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be6ea9f37894a88" /></Relationships>
</file>

<file path=xl/workbook.xml><?xml version="1.0" encoding="utf-8"?>
<x:workbook xmlns:x="http://schemas.openxmlformats.org/spreadsheetml/2006/main">
  <x:sheets>
    <x:sheet xmlns:r="http://schemas.openxmlformats.org/officeDocument/2006/relationships" name="Catalogos" sheetId="1" r:id="Rdcdd16cd28e84dfc"/>
    <x:sheet xmlns:r="http://schemas.openxmlformats.org/officeDocument/2006/relationships" name="Instrucciones" sheetId="2" r:id="Rf19b579ffc9e4a69"/>
    <x:sheet xmlns:r="http://schemas.openxmlformats.org/officeDocument/2006/relationships" name="Captura_Caso" sheetId="3" r:id="R2249d66e6ca9466f"/>
    <x:sheet xmlns:r="http://schemas.openxmlformats.org/officeDocument/2006/relationships" name="Solicitud_Cliente" sheetId="4" r:id="Rbef5b063c5ee402d"/>
    <x:sheet xmlns:r="http://schemas.openxmlformats.org/officeDocument/2006/relationships" name="Checklist_Operativo" sheetId="5" r:id="Rfe4bb8be3a624758"/>
    <x:sheet xmlns:r="http://schemas.openxmlformats.org/officeDocument/2006/relationships" name="Fuentes" sheetId="6" r:id="R578512095f334cf2"/>
  </x:sheets>
</x:workbook>
</file>

<file path=xl/comments1.xml><?xml version="1.0" encoding="utf-8"?>
<x:comments xmlns:x="http://schemas.openxmlformats.org/spreadsheetml/2006/main">
  <x:authors>
    <x:author>OpenAI</x:author>
  </x:authors>
  <x:commentList>
    <x:comment ref="B11" authorId="0">
      <x:text>
        <x:r>
          <x:t>Capturar UDIS del crédito. La banda regulatoria depende de este dato.</x:t>
        </x:r>
      </x:text>
    </x:comment>
    <x:comment ref="B12" authorId="0">
      <x:text>
        <x:r>
          <x:t>Se usa para activar DD Mejorada en cliente nuevo si el monto es &gt;= USD 3MM.</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0.0"/>
    <x:numFmt numFmtId="165" formatCode="0.0"/>
    <x:numFmt numFmtId="166" formatCode="0.0x"/>
  </x:numFmts>
  <x:fonts count="11">
    <x:font>
      <x:sz val="11"/>
      <x:color theme="1"/>
      <x:name val="Calibri"/>
      <x:family val="2"/>
      <x:scheme val="minor"/>
    </x:font>
    <x:font>
      <x:b/>
    </x:font>
    <x:font>
      <x:b/>
      <x:sz val="14"/>
      <x:color rgb="00FFFFFF"/>
    </x:font>
    <x:font>
      <x:color rgb="000000FF"/>
    </x:font>
    <x:font>
      <x:color rgb="00000000"/>
    </x:font>
    <x:font>
      <x:color rgb="00666666"/>
    </x:font>
    <x:font>
      <x:color rgb="00008000"/>
    </x:font>
    <x:font>
      <x:color rgb="00C55A11"/>
    </x:font>
    <x:font>
      <x:b/>
      <x:sz val="11"/>
      <x:color rgb="00FFFFFF"/>
    </x:font>
    <x:font>
      <x:b/>
      <x:sz val="10"/>
      <x:color rgb="00FFFFFF"/>
    </x:font>
    <x:font>
      <x:sz val="10"/>
    </x:font>
  </x:fonts>
  <x:fills count="9">
    <x:fill>
      <x:patternFill patternType="none"/>
    </x:fill>
    <x:fill>
      <x:patternFill patternType="gray125"/>
    </x:fill>
    <x:fill>
      <x:patternFill patternType="solid">
        <x:fgColor rgb="009E1B32"/>
      </x:patternFill>
    </x:fill>
    <x:fill>
      <x:patternFill patternType="solid">
        <x:fgColor rgb="00F2F2F2"/>
      </x:patternFill>
    </x:fill>
    <x:fill>
      <x:patternFill patternType="solid">
        <x:fgColor rgb="00FFFCE6"/>
      </x:patternFill>
    </x:fill>
    <x:fill>
      <x:patternFill patternType="solid">
        <x:fgColor rgb="00404040"/>
      </x:patternFill>
    </x:fill>
    <x:fill>
      <x:patternFill patternType="solid">
        <x:fgColor rgb="00FFFFFF"/>
      </x:patternFill>
    </x:fill>
    <x:fill>
      <x:patternFill patternType="solid">
        <x:fgColor rgb="00FDE9E7"/>
      </x:patternFill>
    </x:fill>
    <x:fill>
      <x:patternFill patternType="solid">
        <x:fgColor rgb="00FFF2CC"/>
      </x:patternFill>
    </x:fill>
  </x:fills>
  <x:borders count="2">
    <x:border>
      <x:left/>
      <x:right/>
      <x:top/>
      <x:bottom/>
      <x:diagonal/>
    </x:border>
    <x:border>
      <x:bottom style="thin">
        <x:color rgb="00BFBFBF"/>
      </x:bottom>
    </x:border>
  </x:borders>
  <x:cellStyleXfs count="1">
    <x:xf numFmtId="0" fontId="0" fillId="0" borderId="0"/>
  </x:cellStyleXfs>
  <x:cellXfs count="31">
    <x:xf numFmtId="0" fontId="0" fillId="0" borderId="0" xfId="0"/>
    <x:xf numFmtId="0" fontId="1" fillId="0" borderId="0" xfId="0"/>
    <x:xf numFmtId="0" fontId="2" fillId="2" borderId="0" xfId="0" applyAlignment="1">
      <x:alignment horizontal="center"/>
    </x:xf>
    <x:xf numFmtId="0" fontId="1" fillId="3" borderId="0" xfId="0"/>
    <x:xf numFmtId="0" fontId="0" fillId="0" borderId="0" xfId="0" applyAlignment="1">
      <x:alignment vertical="top" wrapText="1"/>
    </x:xf>
    <x:xf numFmtId="0" fontId="3" fillId="0" borderId="0" xfId="0"/>
    <x:xf numFmtId="0" fontId="4" fillId="0" borderId="0" xfId="0"/>
    <x:xf numFmtId="0" fontId="5" fillId="0" borderId="0" xfId="0"/>
    <x:xf numFmtId="0" fontId="6" fillId="0" borderId="0" xfId="0"/>
    <x:xf numFmtId="0" fontId="7" fillId="0" borderId="0" xfId="0"/>
    <x:xf numFmtId="0" fontId="8" fillId="5" borderId="0" xfId="0" applyAlignment="1">
      <x:alignment horizontal="center"/>
    </x:xf>
    <x:xf numFmtId="0" fontId="1" fillId="3" borderId="0" xfId="0" applyAlignment="1">
      <x:alignment vertical="center" wrapText="1"/>
    </x:xf>
    <x:xf numFmtId="0" fontId="3" fillId="4" borderId="0" xfId="0" applyAlignment="1">
      <x:alignment vertical="center" wrapText="1"/>
    </x:xf>
    <x:xf numFmtId="0" fontId="0" fillId="0" borderId="0" xfId="0" applyAlignment="1">
      <x:alignment vertical="center" wrapText="1"/>
    </x:xf>
    <x:xf numFmtId="0" fontId="4" fillId="6" borderId="0" xfId="0" applyAlignment="1">
      <x:alignment vertical="center" wrapText="1"/>
    </x:xf>
    <x:xf numFmtId="4" fontId="3" fillId="4" borderId="0" xfId="0" applyAlignment="1">
      <x:alignment vertical="center" wrapText="1"/>
    </x:xf>
    <x:xf numFmtId="1" fontId="4" fillId="6" borderId="0" xfId="0" applyAlignment="1">
      <x:alignment vertical="center" wrapText="1"/>
    </x:xf>
    <x:xf numFmtId="3" fontId="3" fillId="4" borderId="0" xfId="0" applyAlignment="1">
      <x:alignment vertical="center" wrapText="1"/>
    </x:xf>
    <x:xf numFmtId="0" fontId="8" fillId="5" borderId="0" xfId="0" applyAlignment="1">
      <x:alignment vertical="center" wrapText="1"/>
    </x:xf>
    <x:xf numFmtId="164" fontId="3" fillId="4" borderId="0" xfId="0" applyAlignment="1">
      <x:alignment vertical="center" wrapText="1"/>
    </x:xf>
    <x:xf numFmtId="165" fontId="3" fillId="4" borderId="0" xfId="0" applyAlignment="1">
      <x:alignment vertical="center" wrapText="1"/>
    </x:xf>
    <x:xf numFmtId="166" fontId="3" fillId="4" borderId="0" xfId="0" applyAlignment="1">
      <x:alignment vertical="center" wrapText="1"/>
    </x:xf>
    <x:xf numFmtId="0" fontId="9" fillId="2" borderId="1" xfId="0" applyAlignment="1">
      <x:alignment horizontal="center" vertical="center" wrapText="1"/>
    </x:xf>
    <x:xf numFmtId="0" fontId="10" fillId="0" borderId="1" xfId="0" applyAlignment="1">
      <x:alignment vertical="top" wrapText="1"/>
    </x:xf>
    <x:xf numFmtId="0" fontId="4" fillId="0" borderId="1" xfId="0" applyAlignment="1">
      <x:alignment vertical="top" wrapText="1"/>
    </x:xf>
    <x:xf numFmtId="0" fontId="10" fillId="7" borderId="1" xfId="0" applyAlignment="1">
      <x:alignment vertical="top" wrapText="1"/>
    </x:xf>
    <x:xf numFmtId="0" fontId="3" fillId="0" borderId="1" xfId="0" applyAlignment="1">
      <x:alignment vertical="top" wrapText="1"/>
    </x:xf>
    <x:xf numFmtId="0" fontId="0" fillId="0" borderId="1" xfId="0" applyAlignment="1">
      <x:alignment vertical="top" wrapText="1"/>
    </x:xf>
    <x:xf numFmtId="0" fontId="5" fillId="0" borderId="1" xfId="0" applyAlignment="1">
      <x:alignment vertical="top" wrapText="1"/>
    </x:xf>
    <x:xf numFmtId="0" fontId="10" fillId="8" borderId="1" xfId="0" applyAlignment="1">
      <x:alignment vertical="top" wrapText="1"/>
    </x:xf>
    <x:xf numFmtId="0" fontId="9" fillId="2" borderId="0" xfId="0"/>
  </x:cellXfs>
  <x:cellStyles count="1">
    <x:cellStyle name="Normal" xfId="0"/>
  </x:cellStyles>
  <x:dxfs count="5">
    <x:dxf>
      <x:fill>
        <x:patternFill>
          <x:bgColor rgb="00E2F0D9"/>
        </x:patternFill>
      </x:fill>
    </x:dxf>
    <x:dxf>
      <x:fill>
        <x:patternFill>
          <x:bgColor rgb="00FDE9E7"/>
        </x:patternFill>
      </x:fill>
    </x:dxf>
    <x:dxf>
      <x:fill>
        <x:patternFill>
          <x:bgColor rgb="00FFF2CC"/>
        </x:patternFill>
      </x:fill>
    </x:dxf>
    <x:dxf>
      <x:fill>
        <x:patternFill>
          <x:bgColor rgb="00D9D9D9"/>
        </x:patternFill>
      </x:fill>
    </x:dxf>
    <x:dxf>
      <x:fill>
        <x:patternFill>
          <x:bgColor rgb="00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e63655f00ee4879" /><Relationship Type="http://schemas.openxmlformats.org/officeDocument/2006/relationships/theme" Target="/xl/theme/theme1.xml" Id="R47505826524746e4" /><Relationship Type="http://schemas.openxmlformats.org/officeDocument/2006/relationships/sharedStrings" Target="/xl/sharedStrings.xml" Id="Recbf8461ab2c40e9" /><Relationship Type="http://schemas.openxmlformats.org/officeDocument/2006/relationships/worksheet" Target="/xl/worksheets/sheet1.xml" Id="Rdcdd16cd28e84dfc" /><Relationship Type="http://schemas.openxmlformats.org/officeDocument/2006/relationships/worksheet" Target="/xl/worksheets/sheet2.xml" Id="Rf19b579ffc9e4a69" /><Relationship Type="http://schemas.openxmlformats.org/officeDocument/2006/relationships/worksheet" Target="/xl/worksheets/sheet3.xml" Id="R2249d66e6ca9466f" /><Relationship Type="http://schemas.openxmlformats.org/officeDocument/2006/relationships/worksheet" Target="/xl/worksheets/sheet4.xml" Id="Rbef5b063c5ee402d" /><Relationship Type="http://schemas.openxmlformats.org/officeDocument/2006/relationships/worksheet" Target="/xl/worksheets/sheet5.xml" Id="Rfe4bb8be3a624758" /><Relationship Type="http://schemas.openxmlformats.org/officeDocument/2006/relationships/worksheet" Target="/xl/worksheets/sheet6.xml" Id="R578512095f334cf2" /><Relationship Type="http://schemas.microsoft.com/office/2017/10/relationships/person" Target="/xl/persons/person.xml" Id="R483772af1e0f4d0d" /></Relationships>
</file>

<file path=xl/persons/person.xml><?xml version="1.0" encoding="utf-8"?>
<xltc:personList xmlns:xltc="http://schemas.microsoft.com/office/spreadsheetml/2018/threadedcomments">
  <xltc:person displayName="OpenAI" id="{3236BE17-BC88-F764-4DFA-C9B53324CBB9}"/>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comments" Target="/xl/comments1.xml" Id="R54e21a13485148ba" /><Relationship Type="http://schemas.openxmlformats.org/officeDocument/2006/relationships/vmlDrawing" Target="/xl/drawings/vmldrawing.vml" Id="Rd9c394e1ea814685" /></Relationships>
</file>

<file path=xl/worksheets/sheet1.xml><?xml version="1.0" encoding="utf-8"?>
<x:worksheet xmlns:x="http://schemas.openxmlformats.org/spreadsheetml/2006/main">
  <x:sheetFormatPr baseColWidth="8" defaultRowHeight="15"/>
  <x:cols>
    <x:col min="1" max="1" width="24" customWidth="1"/>
    <x:col min="2" max="2" width="24" customWidth="1"/>
    <x:col min="3" max="3" width="24" customWidth="1"/>
    <x:col min="4" max="4" width="24" customWidth="1"/>
    <x:col min="5" max="5" width="24" customWidth="1"/>
    <x:col min="6" max="6" width="24" customWidth="1"/>
    <x:col min="7" max="7" width="24" customWidth="1"/>
    <x:col min="8" max="8" width="24" customWidth="1"/>
    <x:col min="9" max="9" width="24" customWidth="1"/>
    <x:col min="10" max="10" width="24" customWidth="1"/>
  </x:cols>
  <x:sheetData>
    <x:row r="1">
      <x:c r="A1" s="1" t="inlineStr">
        <x:is>
          <x:t xml:space="preserve">Tipo persona</x:t>
        </x:is>
      </x:c>
      <x:c r="B1" s="1" t="inlineStr">
        <x:is>
          <x:t xml:space="preserve">Estatus cliente</x:t>
        </x:is>
      </x:c>
      <x:c r="C1" s="1" t="inlineStr">
        <x:is>
          <x:t xml:space="preserve">Motivo</x:t>
        </x:is>
      </x:c>
      <x:c r="D1" s="1" t="inlineStr">
        <x:is>
          <x:t xml:space="preserve">Producto</x:t>
        </x:is>
      </x:c>
      <x:c r="E1" s="1" t="inlineStr">
        <x:is>
          <x:t xml:space="preserve">Sí/No</x:t>
        </x:is>
      </x:c>
      <x:c r="F1" s="1" t="inlineStr">
        <x:is>
          <x:t xml:space="preserve">Buró interno</x:t>
        </x:is>
      </x:c>
      <x:c r="G1" s="1" t="inlineStr">
        <x:is>
          <x:t xml:space="preserve">Tipo garantía</x:t>
        </x:is>
      </x:c>
      <x:c r="H1" s="1" t="inlineStr">
        <x:is>
          <x:t xml:space="preserve">Soporte financiero</x:t>
        </x:is>
      </x:c>
      <x:c r="I1" s="1" t="inlineStr">
        <x:is>
          <x:t xml:space="preserve">Estatus recepción</x:t>
        </x:is>
      </x:c>
      <x:c r="J1" s="1" t="inlineStr">
        <x:is>
          <x:t xml:space="preserve">Validación</x:t>
        </x:is>
      </x:c>
    </x:row>
    <x:row r="2">
      <x:c r="A2" t="inlineStr">
        <x:is>
          <x:t xml:space="preserve">Moral</x:t>
        </x:is>
      </x:c>
      <x:c r="B2" t="inlineStr">
        <x:is>
          <x:t xml:space="preserve">Nuevo</x:t>
        </x:is>
      </x:c>
      <x:c r="C2" t="inlineStr">
        <x:is>
          <x:t xml:space="preserve">Originación</x:t>
        </x:is>
      </x:c>
      <x:c r="D2" t="inlineStr">
        <x:is>
          <x:t xml:space="preserve">Simple</x:t>
        </x:is>
      </x:c>
      <x:c r="E2" t="inlineStr">
        <x:is>
          <x:t xml:space="preserve">Sí</x:t>
        </x:is>
      </x:c>
      <x:c r="F2" t="inlineStr">
        <x:is>
          <x:t xml:space="preserve">A1</x:t>
        </x:is>
      </x:c>
      <x:c r="G2" t="inlineStr">
        <x:is>
          <x:t xml:space="preserve">Real</x:t>
        </x:is>
      </x:c>
      <x:c r="H2" t="inlineStr">
        <x:is>
          <x:t xml:space="preserve">EEFF</x:t>
        </x:is>
      </x:c>
      <x:c r="I2" t="inlineStr">
        <x:is>
          <x:t xml:space="preserve">Pendiente</x:t>
        </x:is>
      </x:c>
      <x:c r="J2" t="inlineStr">
        <x:is>
          <x:t xml:space="preserve">Sí</x:t>
        </x:is>
      </x:c>
    </x:row>
    <x:row r="3">
      <x:c r="A3" t="inlineStr">
        <x:is>
          <x:t xml:space="preserve">Física</x:t>
        </x:is>
      </x:c>
      <x:c r="B3" t="inlineStr">
        <x:is>
          <x:t xml:space="preserve">Existente</x:t>
        </x:is>
      </x:c>
      <x:c r="C3" t="inlineStr">
        <x:is>
          <x:t xml:space="preserve">Revisión anual</x:t>
        </x:is>
      </x:c>
      <x:c r="D3" t="inlineStr">
        <x:is>
          <x:t xml:space="preserve">Factoraje</x:t>
        </x:is>
      </x:c>
      <x:c r="E3" t="inlineStr">
        <x:is>
          <x:t xml:space="preserve">No</x:t>
        </x:is>
      </x:c>
      <x:c r="F3" t="inlineStr">
        <x:is>
          <x:t xml:space="preserve">A2</x:t>
        </x:is>
      </x:c>
      <x:c r="G3" t="inlineStr">
        <x:is>
          <x:t xml:space="preserve">Personal</x:t>
        </x:is>
      </x:c>
      <x:c r="H3" t="inlineStr">
        <x:is>
          <x:t xml:space="preserve">Estados de cuenta</x:t>
        </x:is>
      </x:c>
      <x:c r="I3" t="inlineStr">
        <x:is>
          <x:t xml:space="preserve">Recibido</x:t>
        </x:is>
      </x:c>
      <x:c r="J3" t="inlineStr">
        <x:is>
          <x:t xml:space="preserve">No</x:t>
        </x:is>
      </x:c>
    </x:row>
    <x:row r="4">
      <x:c r="C4" t="inlineStr">
        <x:is>
          <x:t xml:space="preserve">Nueva transacción o producto</x:t>
        </x:is>
      </x:c>
      <x:c r="D4" t="inlineStr">
        <x:is>
          <x:t xml:space="preserve">Quirografario</x:t>
        </x:is>
      </x:c>
      <x:c r="F4" t="inlineStr">
        <x:is>
          <x:t xml:space="preserve">A3</x:t>
        </x:is>
      </x:c>
      <x:c r="G4" t="inlineStr">
        <x:is>
          <x:t xml:space="preserve">Otro organismo</x:t>
        </x:is>
      </x:c>
      <x:c r="H4" t="inlineStr">
        <x:is>
          <x:t xml:space="preserve">Ambos</x:t>
        </x:is>
      </x:c>
      <x:c r="I4" t="inlineStr">
        <x:is>
          <x:t xml:space="preserve">En revisión</x:t>
        </x:is>
      </x:c>
      <x:c r="J4" t="inlineStr">
        <x:is>
          <x:t xml:space="preserve">N/A</x:t>
        </x:is>
      </x:c>
    </x:row>
    <x:row r="5">
      <x:c r="C5" t="inlineStr">
        <x:is>
          <x:t xml:space="preserve">Incremento</x:t>
        </x:is>
      </x:c>
      <x:c r="D5" t="inlineStr">
        <x:is>
          <x:t xml:space="preserve">Cuenta corriente</x:t>
        </x:is>
      </x:c>
      <x:c r="F5" t="inlineStr">
        <x:is>
          <x:t xml:space="preserve">B1</x:t>
        </x:is>
      </x:c>
      <x:c r="G5" t="inlineStr">
        <x:is>
          <x:t xml:space="preserve">N/A</x:t>
        </x:is>
      </x:c>
      <x:c r="I5" t="inlineStr">
        <x:is>
          <x:t xml:space="preserve">N/A</x:t>
        </x:is>
      </x:c>
    </x:row>
    <x:row r="6">
      <x:c r="C6" t="inlineStr">
        <x:is>
          <x:t xml:space="preserve">Cambios materiales</x:t>
        </x:is>
      </x:c>
      <x:c r="D6" t="inlineStr">
        <x:is>
          <x:t xml:space="preserve">Otro</x:t>
        </x:is>
      </x:c>
      <x:c r="F6" t="inlineStr">
        <x:is>
          <x:t xml:space="preserve">B2</x:t>
        </x:is>
      </x:c>
    </x:row>
    <x:row r="7">
      <x:c r="C7" t="inlineStr">
        <x:is>
          <x:t xml:space="preserve">Reestructura</x:t>
        </x:is>
      </x:c>
      <x:c r="F7" t="inlineStr">
        <x:is>
          <x:t xml:space="preserve">B3</x:t>
        </x:is>
      </x:c>
    </x:row>
    <x:row r="8">
      <x:c r="C8" t="inlineStr">
        <x:is>
          <x:t xml:space="preserve">Cobranza judicial</x:t>
        </x:is>
      </x:c>
      <x:c r="F8" t="inlineStr">
        <x:is>
          <x:t xml:space="preserve">Regular A</x:t>
        </x:is>
      </x:c>
    </x:row>
    <x:row r="9">
      <x:c r="C9" t="inlineStr">
        <x:is>
          <x:t xml:space="preserve">Castigo</x:t>
        </x:is>
      </x:c>
      <x:c r="F9" t="inlineStr">
        <x:is>
          <x:t xml:space="preserve">Regular B</x:t>
        </x:is>
      </x:c>
    </x:row>
    <x:row r="10">
      <x:c r="F10" t="inlineStr">
        <x:is>
          <x:t xml:space="preserve">Regular C</x:t>
        </x:is>
      </x:c>
    </x:row>
    <x:row r="11">
      <x:c r="F11" t="inlineStr">
        <x:is>
          <x:t xml:space="preserve">C1</x:t>
        </x:is>
      </x:c>
    </x:row>
    <x:row r="12">
      <x:c r="F12" t="inlineStr">
        <x:is>
          <x:t xml:space="preserve">C2</x:t>
        </x:is>
      </x:c>
    </x:row>
    <x:row r="13">
      <x:c r="F13" t="inlineStr">
        <x:is>
          <x:t xml:space="preserve">C3</x:t>
        </x:is>
      </x:c>
    </x:row>
    <x:row r="14">
      <x:c r="F14" t="inlineStr">
        <x:is>
          <x:t xml:space="preserve">D1</x:t>
        </x:is>
      </x:c>
    </x:row>
    <x:row r="15">
      <x:c r="F15" t="inlineStr">
        <x:is>
          <x:t xml:space="preserve">D2</x:t>
        </x:is>
      </x:c>
    </x:row>
    <x:row r="16">
      <x:c r="F16" t="inlineStr">
        <x:is>
          <x:t xml:space="preserve">D3</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2" customWidth="1"/>
    <x:col min="2" max="2" width="110" customWidth="1"/>
  </x:cols>
  <x:sheetData>
    <x:row r="1" ht="22" customHeight="1">
      <x:c r="A1" s="2" t="inlineStr">
        <x:is>
          <x:t xml:space="preserve">Checklist dinámico de solicitud de documentos - Crédito Banco Base</x:t>
        </x:is>
      </x:c>
    </x:row>
    <x:row r="2" ht="22" customHeight="1"/>
    <x:row r="3" ht="42" customHeight="1">
      <x:c r="A3" s="3" t="inlineStr">
        <x:is>
          <x:t xml:space="preserve">Objetivo</x:t>
        </x:is>
      </x:c>
      <x:c r="B3" s="4" t="inlineStr">
        <x:is>
          <x:t xml:space="preserve">Consolidar en un solo archivo los mínimos regulatorios, los criterios mínimos de aceptación (CMA) y los requerimientos de Debida Diligencia para armar una solicitud dinámica de documentos.</x:t>
        </x:is>
      </x:c>
    </x:row>
    <x:row r="4" ht="22" customHeight="1"/>
    <x:row r="5" ht="42" customHeight="1">
      <x:c r="A5" s="3" t="inlineStr">
        <x:is>
          <x:t xml:space="preserve">Cómo usarlo</x:t>
        </x:is>
      </x:c>
      <x:c r="B5" s="4" t="inlineStr">
        <x:is>
          <x:t xml:space="preserve">1) Captura los datos del caso en celdas amarillas de la hoja Captura_Caso. 2) Revisa el resumen automático: banda UDIS, tipo de DD y elegibilidad CMA. 3) Ve a Solicitud_Cliente y filtra Aplica = Sí. 4) Usa las columnas Estatus recepción y Validación para administrar pendientes.</x:t>
        </x:is>
      </x:c>
    </x:row>
    <x:row r="6" ht="22" customHeight="1"/>
    <x:row r="7" ht="42" customHeight="1">
      <x:c r="A7" s="3" t="inlineStr">
        <x:is>
          <x:t xml:space="preserve">Lógica regulatoria</x:t>
        </x:is>
      </x:c>
      <x:c r="B7" s="4" t="inlineStr">
        <x:is>
          <x:t xml:space="preserve">La hoja adapta los documentos por banda de crédito: &lt;=25,000 UDIS; &gt;25,000 y &lt;=2,000,000 UDIS; &gt;2,000,000 y &lt;4,000,000 UDIS.</x:t>
        </x:is>
      </x:c>
    </x:row>
    <x:row r="8" ht="22" customHeight="1"/>
    <x:row r="9" ht="42" customHeight="1">
      <x:c r="A9" s="3" t="inlineStr">
        <x:is>
          <x:t xml:space="preserve">Lógica CMA</x:t>
        </x:is>
      </x:c>
      <x:c r="B9" s="4" t="inlineStr">
        <x:is>
          <x:t xml:space="preserve">Bloquea o alerta por ventas mínimas, antigüedad, buró interno, capital contable positivo, quiebra técnica, DSCR y criterios de rechazo.</x:t>
        </x:is>
      </x:c>
    </x:row>
    <x:row r="10" ht="22" customHeight="1"/>
    <x:row r="11" ht="42" customHeight="1">
      <x:c r="A11" s="3" t="inlineStr">
        <x:is>
          <x:t xml:space="preserve">Lógica Debida Diligencia</x:t>
        </x:is>
      </x:c>
      <x:c r="B11" s="4" t="inlineStr">
        <x:is>
          <x:t xml:space="preserve">Define DD Estándar o Mejorada. Se activa DD Mejorada para cliente nuevo con monto &gt;= USD 3MM o cliente existente con cambios materiales / nuevas jurisdicciones. Si aplica DD Mejorada, se agrega CSRA.</x:t>
        </x:is>
      </x:c>
    </x:row>
    <x:row r="12" ht="22" customHeight="1"/>
    <x:row r="13" ht="42" customHeight="1">
      <x:c r="A13" s="3" t="inlineStr">
        <x:is>
          <x:t xml:space="preserve">Interpretación</x:t>
        </x:is>
      </x:c>
      <x:c r="B13" s="4" t="inlineStr">
        <x:is>
          <x:t xml:space="preserve">La hoja Solicitud_Cliente es la versión para pedir información al cliente. La hoja Checklist_Operativo incorpora validaciones internas, legales, riesgos y seguimiento.</x:t>
        </x:is>
      </x:c>
    </x:row>
    <x:row r="14" ht="22" customHeight="1"/>
    <x:row r="15" ht="42" customHeight="1">
      <x:c r="A15" s="3" t="inlineStr">
        <x:is>
          <x:t xml:space="preserve">Alcance</x:t>
        </x:is>
      </x:c>
      <x:c r="B15" s="4" t="inlineStr">
        <x:is>
          <x:t xml:space="preserve">El diseño está orientado a clientes empresariales de Banco Base. Para personas físicas, la parte regulatoria funciona, pero el bloque CMA puede requerir ajuste adicional.</x:t>
        </x:is>
      </x:c>
    </x:row>
    <x:row r="16" ht="22" customHeight="1"/>
    <x:row r="17" ht="22" customHeight="1"/>
    <x:row r="18" ht="24" customHeight="1">
      <x:c r="A18" s="1" t="inlineStr">
        <x:is>
          <x:t xml:space="preserve">Leyenda de colores</x:t>
        </x:is>
      </x:c>
    </x:row>
    <x:row r="19" ht="22" customHeight="1">
      <x:c r="A19" s="5" t="inlineStr">
        <x:is>
          <x:t xml:space="preserve">Azul</x:t>
        </x:is>
      </x:c>
      <x:c r="B19" t="inlineStr">
        <x:is>
          <x:t xml:space="preserve">Dato de entrada editable</x:t>
        </x:is>
      </x:c>
    </x:row>
    <x:row r="20" ht="22" customHeight="1">
      <x:c r="A20" s="6" t="inlineStr">
        <x:is>
          <x:t xml:space="preserve">Negro</x:t>
        </x:is>
      </x:c>
      <x:c r="B20" t="inlineStr">
        <x:is>
          <x:t xml:space="preserve">Fórmula / resultado</x:t>
        </x:is>
      </x:c>
    </x:row>
    <x:row r="21" ht="22" customHeight="1">
      <x:c r="A21" s="7" t="inlineStr">
        <x:is>
          <x:t xml:space="preserve">Gris</x:t>
        </x:is>
      </x:c>
      <x:c r="B21" t="inlineStr">
        <x:is>
          <x:t xml:space="preserve">Texto fijo / instrucción</x:t>
        </x:is>
      </x:c>
    </x:row>
    <x:row r="22" ht="22" customHeight="1">
      <x:c r="A22" s="8" t="inlineStr">
        <x:is>
          <x:t xml:space="preserve">Verde</x:t>
        </x:is>
      </x:c>
      <x:c r="B22" t="inlineStr">
        <x:is>
          <x:t xml:space="preserve">Cumple / recibido</x:t>
        </x:is>
      </x:c>
    </x:row>
    <x:row r="23" ht="22" customHeight="1">
      <x:c r="A23" s="9" t="inlineStr">
        <x:is>
          <x:t xml:space="preserve">Naranja</x:t>
        </x:is>
      </x:c>
      <x:c r="B23" t="inlineStr">
        <x:is>
          <x:t xml:space="preserve">Pendiente / revisión</x:t>
        </x:is>
      </x:c>
    </x:row>
    <x:row r="24" ht="22" customHeight="1"/>
    <x:row r="25" ht="22" customHeight="1"/>
    <x:row r="26" ht="22" customHeight="1"/>
    <x:row r="27" ht="22" customHeight="1"/>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42" customWidth="1"/>
    <x:col min="2" max="2" width="18" customWidth="1"/>
    <x:col min="3" max="3" width="3" customWidth="1"/>
    <x:col min="4" max="4" width="34" customWidth="1"/>
    <x:col min="5" max="5" width="24" customWidth="1"/>
    <x:col min="6" max="6" width="16" customWidth="1"/>
    <x:col min="7" max="7" width="16" customWidth="1"/>
    <x:col min="8" max="8" width="16" customWidth="1"/>
  </x:cols>
  <x:sheetData>
    <x:row r="1" ht="21" customHeight="1">
      <x:c r="A1" s="2" t="inlineStr">
        <x:is>
          <x:t xml:space="preserve">Captura del caso</x:t>
        </x:is>
      </x:c>
    </x:row>
    <x:row r="2" ht="21" customHeight="1"/>
    <x:row r="3" ht="21" customHeight="1">
      <x:c r="D3" s="10" t="inlineStr">
        <x:is>
          <x:t xml:space="preserve">Resumen automático</x:t>
        </x:is>
      </x:c>
    </x:row>
    <x:row r="4" ht="21" customHeight="1">
      <x:c r="A4" s="11" t="inlineStr">
        <x:is>
          <x:t xml:space="preserve">Nombre del cliente</x:t>
        </x:is>
      </x:c>
      <x:c r="B4" s="12" t="n"/>
      <x:c r="C4" s="13" t="n"/>
      <x:c r="D4" s="11" t="inlineStr">
        <x:is>
          <x:t xml:space="preserve">Banda regulatoria (UDIS)</x:t>
        </x:is>
      </x:c>
      <x:c r="E4" s="14" t="str">
        <x:f>IF(B11&lt;=25000,"I. &lt;=25,000 UDIS",IF(B11&lt;=2000000,"II. &gt;25,000 y &lt;=2,000,000 UDIS",IF(B11&lt;4000000,"III. &gt;2,000,000 y &lt;4,000,000 UDIS","Fuera de matriz base")))</x:f>
        <x:v>I. &lt;=25,000 UDIS</x:v>
      </x:c>
    </x:row>
    <x:row r="5" ht="21" customHeight="1">
      <x:c r="A5" s="11" t="inlineStr">
        <x:is>
          <x:t xml:space="preserve">Tipo de persona</x:t>
        </x:is>
      </x:c>
      <x:c r="B5" s="12" t="inlineStr">
        <x:is>
          <x:t xml:space="preserve">Moral</x:t>
        </x:is>
      </x:c>
      <x:c r="C5" s="13" t="n"/>
      <x:c r="D5" s="11" t="inlineStr">
        <x:is>
          <x:t xml:space="preserve">Debida diligencia</x:t>
        </x:is>
      </x:c>
      <x:c r="E5" s="14" t="str">
        <x:f>IF(OR(AND(B6="Nuevo",B12&gt;=3000000),AND(B6="Existente",OR(B19="Sí",B20="Sí",B7="Cambios materiales"))),"Mejorada","Estándar")</x:f>
        <x:v>Estándar</x:v>
      </x:c>
    </x:row>
    <x:row r="6" ht="21" customHeight="1">
      <x:c r="A6" s="11" t="inlineStr">
        <x:is>
          <x:t xml:space="preserve">Estatus del cliente</x:t>
        </x:is>
      </x:c>
      <x:c r="B6" s="12" t="inlineStr">
        <x:is>
          <x:t xml:space="preserve">Nuevo</x:t>
        </x:is>
      </x:c>
      <x:c r="C6" s="13" t="n"/>
      <x:c r="D6" s="11" t="inlineStr">
        <x:is>
          <x:t xml:space="preserve">¿Cumple buró mínimo Regular B?</x:t>
        </x:is>
      </x:c>
      <x:c r="E6" s="14" t="str">
        <x:f>IF(MATCH(B23,Catalogos!$F$2:$F$16,0)&lt;=MATCH("Regular B",Catalogos!$F$2:$F$16,0),"Sí","No")</x:f>
        <x:v>Sí</x:v>
      </x:c>
    </x:row>
    <x:row r="7" ht="21" customHeight="1">
      <x:c r="A7" s="11" t="inlineStr">
        <x:is>
          <x:t xml:space="preserve">Motivo del análisis</x:t>
        </x:is>
      </x:c>
      <x:c r="B7" s="12" t="inlineStr">
        <x:is>
          <x:t xml:space="preserve">Originación</x:t>
        </x:is>
      </x:c>
      <x:c r="C7" s="13" t="n"/>
      <x:c r="D7" s="11" t="inlineStr">
        <x:is>
          <x:t xml:space="preserve">¿Buró en rechazo (C1 o peor)?</x:t>
        </x:is>
      </x:c>
      <x:c r="E7" s="14" t="str">
        <x:f>IF(MATCH(B23,Catalogos!$F$2:$F$16,0)&gt;=MATCH("C1",Catalogos!$F$2:$F$16,0),"Sí","No")</x:f>
        <x:v>No</x:v>
      </x:c>
    </x:row>
    <x:row r="8" ht="21" customHeight="1">
      <x:c r="A8" s="11" t="inlineStr">
        <x:is>
          <x:t xml:space="preserve">Producto</x:t>
        </x:is>
      </x:c>
      <x:c r="B8" s="12" t="inlineStr">
        <x:is>
          <x:t xml:space="preserve">Simple</x:t>
        </x:is>
      </x:c>
      <x:c r="C8" s="13" t="n"/>
      <x:c r="D8" s="11" t="inlineStr">
        <x:is>
          <x:t xml:space="preserve">¿Cumple mínimos CMA?</x:t>
        </x:is>
      </x:c>
      <x:c r="E8" s="14" t="str">
        <x:f>IF(AND(B21&gt;=50,B22&gt;=2,E6="Sí",B24="Sí",B25="No",B26&gt;=1,OR(B16="Sí",B17="Sí")),"Sí","No")</x:f>
        <x:v>Sí</x:v>
      </x:c>
    </x:row>
    <x:row r="9" ht="21" customHeight="1">
      <x:c r="A9" s="11" t="inlineStr">
        <x:is>
          <x:t xml:space="preserve">Moneda</x:t>
        </x:is>
      </x:c>
      <x:c r="B9" s="12" t="inlineStr">
        <x:is>
          <x:t xml:space="preserve">MXN</x:t>
        </x:is>
      </x:c>
      <x:c r="C9" s="13" t="n"/>
      <x:c r="D9" s="11" t="inlineStr">
        <x:is>
          <x:t xml:space="preserve">Elegibilidad preliminar</x:t>
        </x:is>
      </x:c>
      <x:c r="E9" s="14" t="str">
        <x:f>IF(OR(E7="Sí",B27="Sí",B28="Sí",B29="Sí",B30="Sí"),"RECHAZO",IF(E8="Sí","APTO PARA ANÁLISIS","NO CUMPLE CMA"))</x:f>
        <x:v>APTO PARA ANÁLISIS</x:v>
      </x:c>
    </x:row>
    <x:row r="10" ht="21" customHeight="1">
      <x:c r="A10" s="11" t="inlineStr">
        <x:is>
          <x:t xml:space="preserve">Monto solicitado</x:t>
        </x:is>
      </x:c>
      <x:c r="B10" s="15" t="n">
        <x:v>0</x:v>
      </x:c>
      <x:c r="C10" s="13" t="n"/>
      <x:c r="D10" s="11" t="inlineStr">
        <x:is>
          <x:t xml:space="preserve">Documentos aplicables (cliente)</x:t>
        </x:is>
      </x:c>
      <x:c r="E10" s="16">
        <x:f>COUNTIF(Solicitud_Cliente!F2:F200,"Sí")</x:f>
        <x:v>22</x:v>
      </x:c>
    </x:row>
    <x:row r="11" ht="21" customHeight="1">
      <x:c r="A11" s="11" t="inlineStr">
        <x:is>
          <x:t xml:space="preserve">Monto en UDIS</x:t>
        </x:is>
      </x:c>
      <x:c r="B11" s="17" t="n">
        <x:v>0</x:v>
      </x:c>
      <x:c r="C11" s="13" t="n"/>
      <x:c r="D11" s="11" t="inlineStr">
        <x:is>
          <x:t xml:space="preserve">Recibidos</x:t>
        </x:is>
      </x:c>
      <x:c r="E11" s="16">
        <x:f>COUNTIFS(Solicitud_Cliente!F2:F200,"Sí",Solicitud_Cliente!K2:K200,"Recibido")</x:f>
        <x:v>0</x:v>
      </x:c>
    </x:row>
    <x:row r="12" ht="21" customHeight="1">
      <x:c r="A12" s="11" t="inlineStr">
        <x:is>
          <x:t xml:space="preserve">Monto equivalente en USD</x:t>
        </x:is>
      </x:c>
      <x:c r="B12" s="15" t="n">
        <x:v>0</x:v>
      </x:c>
      <x:c r="C12" s="13" t="n"/>
      <x:c r="D12" s="11" t="inlineStr">
        <x:is>
          <x:t xml:space="preserve">En revisión</x:t>
        </x:is>
      </x:c>
      <x:c r="E12" s="16">
        <x:f>COUNTIFS(Solicitud_Cliente!F2:F200,"Sí",Solicitud_Cliente!K2:K200,"En revisión")</x:f>
        <x:v>0</x:v>
      </x:c>
    </x:row>
    <x:row r="13" ht="21" customHeight="1">
      <x:c r="A13" s="11" t="inlineStr">
        <x:is>
          <x:t xml:space="preserve">¿Hay OS / aval / fiador?</x:t>
        </x:is>
      </x:c>
      <x:c r="B13" s="12" t="inlineStr">
        <x:is>
          <x:t xml:space="preserve">No</x:t>
        </x:is>
      </x:c>
      <x:c r="C13" s="13" t="n"/>
      <x:c r="D13" s="11" t="inlineStr">
        <x:is>
          <x:t xml:space="preserve">Pendientes</x:t>
        </x:is>
      </x:c>
      <x:c r="E13" s="16">
        <x:f>COUNTIFS(Solicitud_Cliente!F2:F200,"Sí",Solicitud_Cliente!K2:K200,"&lt;&gt;Recibido",Solicitud_Cliente!K2:K200,"&lt;&gt;En revisión",Solicitud_Cliente!K2:K200,"&lt;&gt;N/A")</x:f>
        <x:v>22</x:v>
      </x:c>
    </x:row>
    <x:row r="14" ht="21" customHeight="1">
      <x:c r="A14" s="11" t="inlineStr">
        <x:is>
          <x:t xml:space="preserve">¿Hay garantía?</x:t>
        </x:is>
      </x:c>
      <x:c r="B14" s="12" t="inlineStr">
        <x:is>
          <x:t xml:space="preserve">Sí</x:t>
        </x:is>
      </x:c>
      <x:c r="C14" s="13" t="n"/>
      <x:c r="D14" s="11" t="inlineStr">
        <x:is>
          <x:t xml:space="preserve">Items bloqueantes pendientes</x:t>
        </x:is>
      </x:c>
      <x:c r="E14" s="16">
        <x:f>COUNTIFS(Solicitud_Cliente!F2:F200,"Sí",Solicitud_Cliente!G2:G200,"Bloqueante",Solicitud_Cliente!K2:K200,"&lt;&gt;Recibido",Solicitud_Cliente!K2:K200,"&lt;&gt;En revisión",Solicitud_Cliente!K2:K200,"&lt;&gt;N/A")</x:f>
        <x:v>16</x:v>
      </x:c>
    </x:row>
    <x:row r="15" ht="21" customHeight="1">
      <x:c r="A15" s="11" t="inlineStr">
        <x:is>
          <x:t xml:space="preserve">Tipo de garantía</x:t>
        </x:is>
      </x:c>
      <x:c r="B15" s="12" t="inlineStr">
        <x:is>
          <x:t xml:space="preserve">Real</x:t>
        </x:is>
      </x:c>
      <x:c r="C15" s="13" t="n"/>
      <x:c r="D15" s="13" t="n"/>
      <x:c r="E15" s="13" t="n"/>
    </x:row>
    <x:row r="16" ht="21" customHeight="1">
      <x:c r="A16" s="11" t="inlineStr">
        <x:is>
          <x:t xml:space="preserve">¿Tiene garantía especial?</x:t>
        </x:is>
      </x:c>
      <x:c r="B16" s="12" t="inlineStr">
        <x:is>
          <x:t xml:space="preserve">No</x:t>
        </x:is>
      </x:c>
      <x:c r="C16" s="13" t="n"/>
      <x:c r="D16" s="18" t="inlineStr">
        <x:is>
          <x:t xml:space="preserve">Criterios de rechazo CMA</x:t>
        </x:is>
      </x:c>
      <x:c r="E16" s="13" t="n"/>
    </x:row>
    <x:row r="17" ht="21" customHeight="1">
      <x:c r="A17" s="11" t="inlineStr">
        <x:is>
          <x:t xml:space="preserve">¿Cobertura 2:1 disponible?</x:t>
        </x:is>
      </x:c>
      <x:c r="B17" s="12" t="inlineStr">
        <x:is>
          <x:t xml:space="preserve">Sí</x:t>
        </x:is>
      </x:c>
      <x:c r="C17" s="13" t="n"/>
      <x:c r="D17" s="11" t="inlineStr">
        <x:is>
          <x:t xml:space="preserve">Buró interno C1 o peor</x:t>
        </x:is>
      </x:c>
      <x:c r="E17" s="13" t="str">
        <x:f>E7</x:f>
        <x:v>No</x:v>
      </x:c>
    </x:row>
    <x:row r="18" ht="21" customHeight="1">
      <x:c r="A18" s="11" t="inlineStr">
        <x:is>
          <x:t xml:space="preserve">¿Opera en el extranjero?</x:t>
        </x:is>
      </x:c>
      <x:c r="B18" s="12" t="inlineStr">
        <x:is>
          <x:t xml:space="preserve">No</x:t>
        </x:is>
      </x:c>
      <x:c r="C18" s="13" t="n"/>
      <x:c r="D18" s="11" t="inlineStr">
        <x:is>
          <x:t xml:space="preserve">Atrasos históricos / vigentes &gt;10%</x:t>
        </x:is>
      </x:c>
      <x:c r="E18" s="13" t="str">
        <x:f>B27</x:f>
        <x:v>No</x:v>
      </x:c>
    </x:row>
    <x:row r="19" ht="21" customHeight="1">
      <x:c r="A19" s="11" t="inlineStr">
        <x:is>
          <x:t xml:space="preserve">¿Hay cambios materiales?</x:t>
        </x:is>
      </x:c>
      <x:c r="B19" s="12" t="inlineStr">
        <x:is>
          <x:t xml:space="preserve">No</x:t>
        </x:is>
      </x:c>
      <x:c r="C19" s="13" t="n"/>
      <x:c r="D19" s="11" t="inlineStr">
        <x:is>
          <x:t xml:space="preserve">Juicios mercantiles sin aclaración</x:t>
        </x:is>
      </x:c>
      <x:c r="E19" s="13" t="str">
        <x:f>B28</x:f>
        <x:v>No</x:v>
      </x:c>
    </x:row>
    <x:row r="20" ht="21" customHeight="1">
      <x:c r="A20" s="11" t="inlineStr">
        <x:is>
          <x:t xml:space="preserve">¿Nueva jurisdicción?</x:t>
        </x:is>
      </x:c>
      <x:c r="B20" s="12" t="inlineStr">
        <x:is>
          <x:t xml:space="preserve">No</x:t>
        </x:is>
      </x:c>
      <x:c r="C20" s="13" t="n"/>
      <x:c r="D20" s="11" t="inlineStr">
        <x:is>
          <x:t xml:space="preserve">Sociedad embargada</x:t>
        </x:is>
      </x:c>
      <x:c r="E20" s="13" t="str">
        <x:f>B29</x:f>
        <x:v>No</x:v>
      </x:c>
    </x:row>
    <x:row r="21" ht="21" customHeight="1">
      <x:c r="A21" s="11" t="inlineStr">
        <x:is>
          <x:t xml:space="preserve">Ventas anuales (MDP)</x:t>
        </x:is>
      </x:c>
      <x:c r="B21" s="19" t="n">
        <x:v>50</x:v>
      </x:c>
      <x:c r="C21" s="13" t="n"/>
      <x:c r="D21" s="11" t="inlineStr">
        <x:is>
          <x:t xml:space="preserve">Coincidencias en listas negras / PLD</x:t>
        </x:is>
      </x:c>
      <x:c r="E21" s="13" t="str">
        <x:f>B30</x:f>
        <x:v>No</x:v>
      </x:c>
    </x:row>
    <x:row r="22" ht="21" customHeight="1">
      <x:c r="A22" s="11" t="inlineStr">
        <x:is>
          <x:t xml:space="preserve">Años de constitución</x:t>
        </x:is>
      </x:c>
      <x:c r="B22" s="20" t="n">
        <x:v>2</x:v>
      </x:c>
      <x:c r="C22" s="13" t="n"/>
      <x:c r="D22" s="13" t="n"/>
      <x:c r="E22" s="13" t="n"/>
    </x:row>
    <x:row r="23" ht="21" customHeight="1">
      <x:c r="A23" s="11" t="inlineStr">
        <x:is>
          <x:t xml:space="preserve">Buró interno</x:t>
        </x:is>
      </x:c>
      <x:c r="B23" s="12" t="inlineStr">
        <x:is>
          <x:t xml:space="preserve">Regular B</x:t>
        </x:is>
      </x:c>
      <x:c r="C23" s="13" t="n"/>
      <x:c r="D23" s="13" t="n"/>
      <x:c r="E23" s="13" t="n"/>
    </x:row>
    <x:row r="24" ht="21" customHeight="1">
      <x:c r="A24" s="11" t="inlineStr">
        <x:is>
          <x:t xml:space="preserve">Capital contable positivo</x:t>
        </x:is>
      </x:c>
      <x:c r="B24" s="12" t="inlineStr">
        <x:is>
          <x:t xml:space="preserve">Sí</x:t>
        </x:is>
      </x:c>
      <x:c r="C24" s="13" t="n"/>
      <x:c r="D24" s="13" t="n"/>
      <x:c r="E24" s="13" t="n"/>
    </x:row>
    <x:row r="25" ht="21" customHeight="1">
      <x:c r="A25" s="11" t="inlineStr">
        <x:is>
          <x:t xml:space="preserve">¿Quiebra técnica?</x:t>
        </x:is>
      </x:c>
      <x:c r="B25" s="12" t="inlineStr">
        <x:is>
          <x:t xml:space="preserve">No</x:t>
        </x:is>
      </x:c>
      <x:c r="C25" s="13" t="n"/>
      <x:c r="D25" s="13" t="n"/>
      <x:c r="E25" s="13" t="n"/>
    </x:row>
    <x:row r="26" ht="21" customHeight="1">
      <x:c r="A26" s="11" t="inlineStr">
        <x:is>
          <x:t xml:space="preserve">DSCR</x:t>
        </x:is>
      </x:c>
      <x:c r="B26" s="21" t="n">
        <x:v>1</x:v>
      </x:c>
      <x:c r="C26" s="13" t="n"/>
      <x:c r="D26" s="13" t="n"/>
      <x:c r="E26" s="13" t="n"/>
    </x:row>
    <x:row r="27" ht="21" customHeight="1">
      <x:c r="A27" s="11" t="inlineStr">
        <x:is>
          <x:t xml:space="preserve">¿Atrasos &gt;10% del saldo vigente?</x:t>
        </x:is>
      </x:c>
      <x:c r="B27" s="12" t="inlineStr">
        <x:is>
          <x:t xml:space="preserve">No</x:t>
        </x:is>
      </x:c>
      <x:c r="C27" s="13" t="n"/>
      <x:c r="D27" s="13" t="n"/>
      <x:c r="E27" s="13" t="n"/>
    </x:row>
    <x:row r="28" ht="21" customHeight="1">
      <x:c r="A28" s="11" t="inlineStr">
        <x:is>
          <x:t xml:space="preserve">¿Juicios mercantiles sin aclaración?</x:t>
        </x:is>
      </x:c>
      <x:c r="B28" s="12" t="inlineStr">
        <x:is>
          <x:t xml:space="preserve">No</x:t>
        </x:is>
      </x:c>
      <x:c r="C28" s="13" t="n"/>
      <x:c r="D28" s="13" t="n"/>
      <x:c r="E28" s="13" t="n"/>
    </x:row>
    <x:row r="29" ht="21" customHeight="1">
      <x:c r="A29" s="11" t="inlineStr">
        <x:is>
          <x:t xml:space="preserve">¿Sociedad embargada?</x:t>
        </x:is>
      </x:c>
      <x:c r="B29" s="12" t="inlineStr">
        <x:is>
          <x:t xml:space="preserve">No</x:t>
        </x:is>
      </x:c>
      <x:c r="C29" s="13" t="n"/>
      <x:c r="D29" s="13" t="n"/>
      <x:c r="E29" s="13" t="n"/>
    </x:row>
    <x:row r="30" ht="21" customHeight="1">
      <x:c r="A30" s="11" t="inlineStr">
        <x:is>
          <x:t xml:space="preserve">¿Coincidencias en listas negras / PLD?</x:t>
        </x:is>
      </x:c>
      <x:c r="B30" s="12" t="inlineStr">
        <x:is>
          <x:t xml:space="preserve">No</x:t>
        </x:is>
      </x:c>
      <x:c r="C30" s="13" t="n"/>
      <x:c r="D30" s="13" t="n"/>
      <x:c r="E30" s="13" t="n"/>
    </x:row>
    <x:row r="31" ht="21" customHeight="1">
      <x:c r="A31" s="11" t="inlineStr">
        <x:is>
          <x:t xml:space="preserve">Información financiera disponible</x:t>
        </x:is>
      </x:c>
      <x:c r="B31" s="12" t="inlineStr">
        <x:is>
          <x:t xml:space="preserve">EEFF</x:t>
        </x:is>
      </x:c>
      <x:c r="C31" s="13" t="n"/>
      <x:c r="D31" s="13" t="n"/>
      <x:c r="E31" s="13" t="n"/>
    </x:row>
    <x:row r="32" ht="21" customHeight="1"/>
    <x:row r="33" ht="21" customHeight="1"/>
    <x:row r="34" ht="21" customHeight="1"/>
    <x:row r="35" ht="21" customHeight="1"/>
    <x:row r="36" ht="21" customHeight="1"/>
    <x:row r="37" ht="21" customHeight="1"/>
    <x:row r="38" ht="21" customHeight="1"/>
    <x:row r="39" ht="21" customHeight="1"/>
  </x:sheetData>
  <x:mergeCells>
    <x:mergeCell ref="D3:H3"/>
    <x:mergeCell ref="A1:H1"/>
  </x:mergeCells>
  <x:conditionalFormatting sqref="E6:E9">
    <x:cfRule type="expression" dxfId="0" priority="1">
      <x:formula>E6="Sí"</x:formula>
    </x:cfRule>
    <x:cfRule type="expression" dxfId="1" priority="2">
      <x:formula>E6="No"</x:formula>
    </x:cfRule>
  </x:conditionalFormatting>
  <x:conditionalFormatting sqref="E9:E9">
    <x:cfRule type="expression" dxfId="0" priority="3">
      <x:formula>E9="APTO PARA ANÁLISIS"</x:formula>
    </x:cfRule>
    <x:cfRule type="expression" dxfId="1" priority="4">
      <x:formula>E9="RECHAZO"</x:formula>
    </x:cfRule>
    <x:cfRule type="expression" dxfId="2" priority="5">
      <x:formula>E9="NO CUMPLE CMA"</x:formula>
    </x:cfRule>
  </x:conditionalFormatting>
  <x:dataValidations count="8">
    <x:dataValidation type="list" allowBlank="0" showDropDown="0" showInputMessage="0" showErrorMessage="0" sqref="B5">
      <x:formula1>=Catalogos!$A$2:$A$3</x:formula1>
    </x:dataValidation>
    <x:dataValidation type="list" allowBlank="0" showDropDown="0" showInputMessage="0" showErrorMessage="0" sqref="B6">
      <x:formula1>=Catalogos!$B$2:$B$3</x:formula1>
    </x:dataValidation>
    <x:dataValidation type="list" allowBlank="0" showDropDown="0" showInputMessage="0" showErrorMessage="0" sqref="B7">
      <x:formula1>=Catalogos!$C$2:$C$9</x:formula1>
    </x:dataValidation>
    <x:dataValidation type="list" allowBlank="0" showDropDown="0" showInputMessage="0" showErrorMessage="0" sqref="B8">
      <x:formula1>=Catalogos!$D$2:$D$6</x:formula1>
    </x:dataValidation>
    <x:dataValidation type="list" allowBlank="0" showDropDown="0" showInputMessage="0" showErrorMessage="0" sqref="B13 B14 B16 B17 B18 B19 B20 B24 B25 B27 B28 B29 B30">
      <x:formula1>=Catalogos!$E$2:$E$3</x:formula1>
    </x:dataValidation>
    <x:dataValidation type="list" allowBlank="0" showDropDown="0" showInputMessage="0" showErrorMessage="0" sqref="B23">
      <x:formula1>=Catalogos!$F$2:$F$16</x:formula1>
    </x:dataValidation>
    <x:dataValidation type="list" allowBlank="0" showDropDown="0" showInputMessage="0" showErrorMessage="0" sqref="B15">
      <x:formula1>=Catalogos!$G$2:$G$5</x:formula1>
    </x:dataValidation>
    <x:dataValidation type="list" allowBlank="0" showDropDown="0" showInputMessage="0" showErrorMessage="0" sqref="B31">
      <x:formula1>=Catalogos!$H$2:$H$4</x:formula1>
    </x:dataValidation>
  </x:dataValidations>
  <x:pageMargins left="0.7" right="0.7" top="0.75" bottom="0.75" header="0.3" footer="0.3"/>
  <x:legacyDrawing xmlns:r="http://schemas.openxmlformats.org/officeDocument/2006/relationships" r:id="Rd9c394e1ea814685"/>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2" customWidth="1"/>
    <x:col min="2" max="2" width="18" customWidth="1"/>
    <x:col min="3" max="3" width="18" customWidth="1"/>
    <x:col min="4" max="4" width="48" customWidth="1"/>
    <x:col min="5" max="5" width="32" customWidth="1"/>
    <x:col min="6" max="6" width="10" customWidth="1"/>
    <x:col min="7" max="7" width="12" customWidth="1"/>
    <x:col min="8" max="8" width="18" customWidth="1"/>
    <x:col min="9" max="9" width="15" customWidth="1"/>
    <x:col min="10" max="10" width="18" customWidth="1"/>
    <x:col min="11" max="11" width="16" customWidth="1"/>
    <x:col min="12" max="12" width="12" customWidth="1"/>
    <x:col min="13" max="13" width="24" customWidth="1"/>
    <x:col min="14" max="14" width="18" customWidth="1"/>
    <x:col min="15" max="15" width="28" customWidth="1"/>
  </x:cols>
  <x:sheetData>
    <x:row r="1">
      <x:c r="A1" s="2" t="inlineStr">
        <x:is>
          <x:t xml:space="preserve">Solicitud de documentos al cliente</x:t>
        </x:is>
      </x:c>
    </x:row>
    <x:row r="2">
      <x:c r="A2" s="22" t="inlineStr">
        <x:is>
          <x:t xml:space="preserve">ID</x:t>
        </x:is>
      </x:c>
      <x:c r="B2" s="22" t="inlineStr">
        <x:is>
          <x:t xml:space="preserve">Etapa</x:t>
        </x:is>
      </x:c>
      <x:c r="C2" s="22" t="inlineStr">
        <x:is>
          <x:t xml:space="preserve">Subcategoría</x:t>
        </x:is>
      </x:c>
      <x:c r="D2" s="22" t="inlineStr">
        <x:is>
          <x:t xml:space="preserve">Documento / evidencia</x:t>
        </x:is>
      </x:c>
      <x:c r="E2" s="22" t="inlineStr">
        <x:is>
          <x:t xml:space="preserve">Condición de activación</x:t>
        </x:is>
      </x:c>
      <x:c r="F2" s="22" t="inlineStr">
        <x:is>
          <x:t xml:space="preserve">Aplica</x:t>
        </x:is>
      </x:c>
      <x:c r="G2" s="22" t="inlineStr">
        <x:is>
          <x:t xml:space="preserve">Prioridad</x:t>
        </x:is>
      </x:c>
      <x:c r="H2" s="22" t="inlineStr">
        <x:is>
          <x:t xml:space="preserve">Responsable</x:t>
        </x:is>
      </x:c>
      <x:c r="I2" s="22" t="inlineStr">
        <x:is>
          <x:t xml:space="preserve">Momento</x:t>
        </x:is>
      </x:c>
      <x:c r="J2" s="22" t="inlineStr">
        <x:is>
          <x:t xml:space="preserve">Vigencia</x:t>
        </x:is>
      </x:c>
      <x:c r="K2" s="22" t="inlineStr">
        <x:is>
          <x:t xml:space="preserve">Estatus recepción</x:t>
        </x:is>
      </x:c>
      <x:c r="L2" s="22" t="inlineStr">
        <x:is>
          <x:t xml:space="preserve">Validación</x:t>
        </x:is>
      </x:c>
      <x:c r="M2" s="22" t="inlineStr">
        <x:is>
          <x:t xml:space="preserve">Observaciones</x:t>
        </x:is>
      </x:c>
      <x:c r="N2" s="22" t="inlineStr">
        <x:is>
          <x:t xml:space="preserve">Fuente</x:t>
        </x:is>
      </x:c>
      <x:c r="O2" s="22" t="inlineStr">
        <x:is>
          <x:t xml:space="preserve">Referencia base</x:t>
        </x:is>
      </x:c>
    </x:row>
    <x:row r="3">
      <x:c r="A3" s="23" t="inlineStr">
        <x:is>
          <x:t xml:space="preserve">CMA-01</x:t>
        </x:is>
      </x:c>
      <x:c r="B3" s="23" t="inlineStr">
        <x:is>
          <x:t xml:space="preserve">Precalificación CMA</x:t>
        </x:is>
      </x:c>
      <x:c r="C3" s="23" t="inlineStr">
        <x:is>
          <x:t xml:space="preserve">Antigüedad / existencia legal</x:t>
        </x:is>
      </x:c>
      <x:c r="D3" s="23" t="inlineStr">
        <x:is>
          <x:t xml:space="preserve">Acta constitutiva, reformas y folio mercantil / evidencia de antigüedad mínima de 2 años</x:t>
        </x:is>
      </x:c>
      <x:c r="E3" s="23" t="inlineStr">
        <x:is>
          <x:t xml:space="preserve">Solo persona moral; valida constitución y antigüedad mínima CMA</x:t>
        </x:is>
      </x:c>
      <x:c r="F3" s="24" t="str">
        <x:f>IF(Captura_Caso!$B$5="Moral","Sí","No")</x:f>
        <x:v>Sí</x:v>
      </x:c>
      <x:c r="G3" s="25" t="inlineStr">
        <x:is>
          <x:t xml:space="preserve">Bloqueante</x:t>
        </x:is>
      </x:c>
      <x:c r="H3" s="23" t="inlineStr">
        <x:is>
          <x:t xml:space="preserve">Cliente / Legal</x:t>
        </x:is>
      </x:c>
      <x:c r="I3" s="23" t="inlineStr">
        <x:is>
          <x:t xml:space="preserve">Pre-screening</x:t>
        </x:is>
      </x:c>
      <x:c r="J3" s="23" t="inlineStr">
        <x:is>
          <x:t xml:space="preserve">Sociedad: 12 meses</x:t>
        </x:is>
      </x:c>
      <x:c r="K3" s="26" t="inlineStr">
        <x:is>
          <x:t xml:space="preserve"/>
        </x:is>
      </x:c>
      <x:c r="L3" s="26" t="inlineStr">
        <x:is>
          <x:t xml:space="preserve"/>
        </x:is>
      </x:c>
      <x:c r="M3" s="27" t="inlineStr">
        <x:is>
          <x:t xml:space="preserve"/>
        </x:is>
      </x:c>
      <x:c r="N3" s="28" t="inlineStr">
        <x:is>
          <x:t xml:space="preserve">CMA + Debida Diligencia</x:t>
        </x:is>
      </x:c>
      <x:c r="O3" s="28" t="inlineStr">
        <x:is>
          <x:t xml:space="preserve">CMA: antigüedad 2 años; DD p.14 documentos</x:t>
        </x:is>
      </x:c>
    </x:row>
    <x:row r="4">
      <x:c r="A4" s="23" t="inlineStr">
        <x:is>
          <x:t xml:space="preserve">CMA-02</x:t>
        </x:is>
      </x:c>
      <x:c r="B4" s="23" t="inlineStr">
        <x:is>
          <x:t xml:space="preserve">Precalificación CMA</x:t>
        </x:is>
      </x:c>
      <x:c r="C4" s="23" t="inlineStr">
        <x:is>
          <x:t xml:space="preserve">Información financiera base</x:t>
        </x:is>
      </x:c>
      <x:c r="D4" s="23" t="inlineStr">
        <x:is>
          <x:t xml:space="preserve">EEFF: un cierre anual y un parcial (&lt;=4 meses) o, en su caso, dos cierres analíticos con declaración fiscal</x:t>
        </x:is>
      </x:c>
      <x:c r="E4" s="23" t="inlineStr">
        <x:is>
          <x:t xml:space="preserve">Aplica cuando la fuente financiera elegida incluye EEFF</x:t>
        </x:is>
      </x:c>
      <x:c r="F4" s="24" t="str">
        <x:f>IF(OR(Captura_Caso!$B$31="EEFF",Captura_Caso!$B$31="Ambos"),"Sí","No")</x:f>
        <x:v>Sí</x:v>
      </x:c>
      <x:c r="G4" s="25" t="inlineStr">
        <x:is>
          <x:t xml:space="preserve">Bloqueante</x:t>
        </x:is>
      </x:c>
      <x:c r="H4" s="23" t="inlineStr">
        <x:is>
          <x:t xml:space="preserve">Cliente</x:t>
        </x:is>
      </x:c>
      <x:c r="I4" s="23" t="inlineStr">
        <x:is>
          <x:t xml:space="preserve">Pre-screening</x:t>
        </x:is>
      </x:c>
      <x:c r="J4" s="23" t="inlineStr">
        <x:is>
          <x:t xml:space="preserve">Parcial &lt;=4 meses</x:t>
        </x:is>
      </x:c>
      <x:c r="K4" s="26" t="inlineStr">
        <x:is>
          <x:t xml:space="preserve"/>
        </x:is>
      </x:c>
      <x:c r="L4" s="26" t="inlineStr">
        <x:is>
          <x:t xml:space="preserve"/>
        </x:is>
      </x:c>
      <x:c r="M4" s="27" t="inlineStr">
        <x:is>
          <x:t xml:space="preserve"/>
        </x:is>
      </x:c>
      <x:c r="N4" s="28" t="inlineStr">
        <x:is>
          <x:t xml:space="preserve">CMA + Requisitos</x:t>
        </x:is>
      </x:c>
      <x:c r="O4" s="28" t="inlineStr">
        <x:is>
          <x:t xml:space="preserve">CMA y Requisitos IV</x:t>
        </x:is>
      </x:c>
    </x:row>
    <x:row r="5">
      <x:c r="A5" s="23" t="inlineStr">
        <x:is>
          <x:t xml:space="preserve">CMA-03</x:t>
        </x:is>
      </x:c>
      <x:c r="B5" s="23" t="inlineStr">
        <x:is>
          <x:t xml:space="preserve">Precalificación CMA</x:t>
        </x:is>
      </x:c>
      <x:c r="C5" s="23" t="inlineStr">
        <x:is>
          <x:t xml:space="preserve">Información financiera alternativa</x:t>
        </x:is>
      </x:c>
      <x:c r="D5" s="23" t="inlineStr">
        <x:is>
          <x:t xml:space="preserve">Estados de cuenta de los últimos 12 meses de bancos principales (&gt;=90% de ingresos)</x:t>
        </x:is>
      </x:c>
      <x:c r="E5" s="23" t="inlineStr">
        <x:is>
          <x:t xml:space="preserve">Aplica cuando la fuente financiera elegida incluye estados de cuenta</x:t>
        </x:is>
      </x:c>
      <x:c r="F5" s="24" t="str">
        <x:f>IF(OR(Captura_Caso!$B$31="Estados de cuenta",Captura_Caso!$B$31="Ambos"),"Sí","No")</x:f>
        <x:v>No</x:v>
      </x:c>
      <x:c r="G5" s="25" t="inlineStr">
        <x:is>
          <x:t xml:space="preserve">Bloqueante</x:t>
        </x:is>
      </x:c>
      <x:c r="H5" s="23" t="inlineStr">
        <x:is>
          <x:t xml:space="preserve">Cliente</x:t>
        </x:is>
      </x:c>
      <x:c r="I5" s="23" t="inlineStr">
        <x:is>
          <x:t xml:space="preserve">Pre-screening</x:t>
        </x:is>
      </x:c>
      <x:c r="J5" s="23" t="inlineStr">
        <x:is>
          <x:t xml:space="preserve">12 meses</x:t>
        </x:is>
      </x:c>
      <x:c r="K5" s="26" t="inlineStr">
        <x:is>
          <x:t xml:space="preserve"/>
        </x:is>
      </x:c>
      <x:c r="L5" s="26" t="inlineStr">
        <x:is>
          <x:t xml:space="preserve"/>
        </x:is>
      </x:c>
      <x:c r="M5" s="27" t="inlineStr">
        <x:is>
          <x:t xml:space="preserve"/>
        </x:is>
      </x:c>
      <x:c r="N5" s="28" t="inlineStr">
        <x:is>
          <x:t xml:space="preserve">CMA + Requisitos</x:t>
        </x:is>
      </x:c>
      <x:c r="O5" s="28" t="inlineStr">
        <x:is>
          <x:t xml:space="preserve">CMA criterios de estados de cuenta; Requisitos IV</x:t>
        </x:is>
      </x:c>
    </x:row>
    <x:row r="6">
      <x:c r="A6" s="23" t="inlineStr">
        <x:is>
          <x:t xml:space="preserve">CMA-10</x:t>
        </x:is>
      </x:c>
      <x:c r="B6" s="23" t="inlineStr">
        <x:is>
          <x:t xml:space="preserve">Precalificación CMA</x:t>
        </x:is>
      </x:c>
      <x:c r="C6" s="23" t="inlineStr">
        <x:is>
          <x:t xml:space="preserve">Garantía mínima</x:t>
        </x:is>
      </x:c>
      <x:c r="D6" s="23" t="inlineStr">
        <x:is>
          <x:t xml:space="preserve">Evidencia de cobertura 2:1 con propiedades libres de gravamen si no existe garantía especial</x:t>
        </x:is>
      </x:c>
      <x:c r="E6" s="23" t="inlineStr">
        <x:is>
          <x:t xml:space="preserve">Aplica cuando NO hay garantía especial</x:t>
        </x:is>
      </x:c>
      <x:c r="F6" s="24" t="str">
        <x:f>IF(Captura_Caso!$B$16="No","Sí","No")</x:f>
        <x:v>Sí</x:v>
      </x:c>
      <x:c r="G6" s="25" t="inlineStr">
        <x:is>
          <x:t xml:space="preserve">Bloqueante</x:t>
        </x:is>
      </x:c>
      <x:c r="H6" s="23" t="inlineStr">
        <x:is>
          <x:t xml:space="preserve">Cliente / Crédito</x:t>
        </x:is>
      </x:c>
      <x:c r="I6" s="23" t="inlineStr">
        <x:is>
          <x:t xml:space="preserve">Pre-screening</x:t>
        </x:is>
      </x:c>
      <x:c r="J6" s="23" t="inlineStr">
        <x:is>
          <x:t xml:space="preserve">Actual</x:t>
        </x:is>
      </x:c>
      <x:c r="K6" s="26" t="inlineStr">
        <x:is>
          <x:t xml:space="preserve"/>
        </x:is>
      </x:c>
      <x:c r="L6" s="26" t="inlineStr">
        <x:is>
          <x:t xml:space="preserve"/>
        </x:is>
      </x:c>
      <x:c r="M6" s="27" t="inlineStr">
        <x:is>
          <x:t xml:space="preserve"/>
        </x:is>
      </x:c>
      <x:c r="N6" s="28" t="inlineStr">
        <x:is>
          <x:t xml:space="preserve">CMA</x:t>
        </x:is>
      </x:c>
      <x:c r="O6" s="28" t="inlineStr">
        <x:is>
          <x:t xml:space="preserve">CMA: seguridad mínima 2 a 1</x:t>
        </x:is>
      </x:c>
    </x:row>
    <x:row r="7">
      <x:c r="A7" s="23" t="inlineStr">
        <x:is>
          <x:t xml:space="preserve">CMA-12</x:t>
        </x:is>
      </x:c>
      <x:c r="B7" s="23" t="inlineStr">
        <x:is>
          <x:t xml:space="preserve">Precalificación CMA</x:t>
        </x:is>
      </x:c>
      <x:c r="C7" s="23" t="inlineStr">
        <x:is>
          <x:t xml:space="preserve">Criterios de rechazo</x:t>
        </x:is>
      </x:c>
      <x:c r="D7" s="23" t="inlineStr">
        <x:is>
          <x:t xml:space="preserve">Búsqueda de juicios mercantiles en los últimos 10 años y aclaraciones del cliente</x:t>
        </x:is>
      </x:c>
      <x:c r="E7" s="23" t="inlineStr">
        <x:is>
          <x:t xml:space="preserve">Siempre</x:t>
        </x:is>
      </x:c>
      <x:c r="F7" s="24" t="str">
        <x:f>"Sí"</x:f>
        <x:v>Sí</x:v>
      </x:c>
      <x:c r="G7" s="25" t="inlineStr">
        <x:is>
          <x:t xml:space="preserve">Bloqueante</x:t>
        </x:is>
      </x:c>
      <x:c r="H7" s="23" t="inlineStr">
        <x:is>
          <x:t xml:space="preserve">Cliente / Legal</x:t>
        </x:is>
      </x:c>
      <x:c r="I7" s="23" t="inlineStr">
        <x:is>
          <x:t xml:space="preserve">Pre-screening</x:t>
        </x:is>
      </x:c>
      <x:c r="J7" s="23" t="inlineStr">
        <x:is>
          <x:t xml:space="preserve">Actual</x:t>
        </x:is>
      </x:c>
      <x:c r="K7" s="26" t="inlineStr">
        <x:is>
          <x:t xml:space="preserve"/>
        </x:is>
      </x:c>
      <x:c r="L7" s="26" t="inlineStr">
        <x:is>
          <x:t xml:space="preserve"/>
        </x:is>
      </x:c>
      <x:c r="M7" s="27" t="inlineStr">
        <x:is>
          <x:t xml:space="preserve"/>
        </x:is>
      </x:c>
      <x:c r="N7" s="28" t="inlineStr">
        <x:is>
          <x:t xml:space="preserve">CMA</x:t>
        </x:is>
      </x:c>
      <x:c r="O7" s="28" t="inlineStr">
        <x:is>
          <x:t xml:space="preserve">CMA: juicios mercantiles sin aclaración</x:t>
        </x:is>
      </x:c>
    </x:row>
    <x:row r="8">
      <x:c r="A8" s="23" t="inlineStr">
        <x:is>
          <x:t xml:space="preserve">CMA-13</x:t>
        </x:is>
      </x:c>
      <x:c r="B8" s="23" t="inlineStr">
        <x:is>
          <x:t xml:space="preserve">Precalificación CMA</x:t>
        </x:is>
      </x:c>
      <x:c r="C8" s="23" t="inlineStr">
        <x:is>
          <x:t xml:space="preserve">Criterios de rechazo</x:t>
        </x:is>
      </x:c>
      <x:c r="D8" s="23" t="inlineStr">
        <x:is>
          <x:t xml:space="preserve">Verificación de sociedad / certificado que no la identifique como embargada</x:t>
        </x:is>
      </x:c>
      <x:c r="E8" s="23" t="inlineStr">
        <x:is>
          <x:t xml:space="preserve">Solo persona moral</x:t>
        </x:is>
      </x:c>
      <x:c r="F8" s="24" t="str">
        <x:f>IF(Captura_Caso!$B$5="Moral","Sí","No")</x:f>
        <x:v>Sí</x:v>
      </x:c>
      <x:c r="G8" s="25" t="inlineStr">
        <x:is>
          <x:t xml:space="preserve">Bloqueante</x:t>
        </x:is>
      </x:c>
      <x:c r="H8" s="23" t="inlineStr">
        <x:is>
          <x:t xml:space="preserve">Cliente / Legal</x:t>
        </x:is>
      </x:c>
      <x:c r="I8" s="23" t="inlineStr">
        <x:is>
          <x:t xml:space="preserve">Pre-screening</x:t>
        </x:is>
      </x:c>
      <x:c r="J8" s="23" t="inlineStr">
        <x:is>
          <x:t xml:space="preserve">Sociedad: 12 meses</x:t>
        </x:is>
      </x:c>
      <x:c r="K8" s="26" t="inlineStr">
        <x:is>
          <x:t xml:space="preserve"/>
        </x:is>
      </x:c>
      <x:c r="L8" s="26" t="inlineStr">
        <x:is>
          <x:t xml:space="preserve"/>
        </x:is>
      </x:c>
      <x:c r="M8" s="27" t="inlineStr">
        <x:is>
          <x:t xml:space="preserve"/>
        </x:is>
      </x:c>
      <x:c r="N8" s="28" t="inlineStr">
        <x:is>
          <x:t xml:space="preserve">CMA</x:t>
        </x:is>
      </x:c>
      <x:c r="O8" s="28" t="inlineStr">
        <x:is>
          <x:t xml:space="preserve">CMA: sociedad no embargada</x:t>
        </x:is>
      </x:c>
    </x:row>
    <x:row r="9">
      <x:c r="A9" s="23" t="inlineStr">
        <x:is>
          <x:t xml:space="preserve">REG-08</x:t>
        </x:is>
      </x:c>
      <x:c r="B9" s="23" t="inlineStr">
        <x:is>
          <x:t xml:space="preserve">Regulatorio</x:t>
        </x:is>
      </x:c>
      <x:c r="C9" s="23" t="inlineStr">
        <x:is>
          <x:t xml:space="preserve">Identificación</x:t>
        </x:is>
      </x:c>
      <x:c r="D9" s="23" t="inlineStr">
        <x:is>
          <x:t xml:space="preserve">Identificación oficial / CIF (PF) o documentos constitutivos inscritos (PM)</x:t>
        </x:is>
      </x:c>
      <x:c r="E9" s="23" t="inlineStr">
        <x:is>
          <x:t xml:space="preserve">Siempre</x:t>
        </x:is>
      </x:c>
      <x:c r="F9" s="24" t="str">
        <x:f>"Sí"</x:f>
        <x:v>Sí</x:v>
      </x:c>
      <x:c r="G9" s="25" t="inlineStr">
        <x:is>
          <x:t xml:space="preserve">Bloqueante</x:t>
        </x:is>
      </x:c>
      <x:c r="H9" s="23" t="inlineStr">
        <x:is>
          <x:t xml:space="preserve">Cliente</x:t>
        </x:is>
      </x:c>
      <x:c r="I9" s="23" t="inlineStr">
        <x:is>
          <x:t xml:space="preserve">Aprobación</x:t>
        </x:is>
      </x:c>
      <x:c r="J9" s="23" t="inlineStr">
        <x:is>
          <x:t xml:space="preserve">Actual</x:t>
        </x:is>
      </x:c>
      <x:c r="K9" s="26" t="inlineStr">
        <x:is>
          <x:t xml:space="preserve"/>
        </x:is>
      </x:c>
      <x:c r="L9" s="26" t="inlineStr">
        <x:is>
          <x:t xml:space="preserve"/>
        </x:is>
      </x:c>
      <x:c r="M9" s="27" t="inlineStr">
        <x:is>
          <x:t xml:space="preserve"/>
        </x:is>
      </x:c>
      <x:c r="N9" s="28" t="inlineStr">
        <x:is>
          <x:t xml:space="preserve">Requisitos</x:t>
        </x:is>
      </x:c>
      <x:c r="O9" s="28" t="inlineStr">
        <x:is>
          <x:t xml:space="preserve">Requisitos I-III</x:t>
        </x:is>
      </x:c>
    </x:row>
    <x:row r="10">
      <x:c r="A10" s="23" t="inlineStr">
        <x:is>
          <x:t xml:space="preserve">REG-09</x:t>
        </x:is>
      </x:c>
      <x:c r="B10" s="23" t="inlineStr">
        <x:is>
          <x:t xml:space="preserve">Regulatorio</x:t>
        </x:is>
      </x:c>
      <x:c r="C10" s="23" t="inlineStr">
        <x:is>
          <x:t xml:space="preserve">Facultades</x:t>
        </x:is>
      </x:c>
      <x:c r="D10" s="23" t="inlineStr">
        <x:is>
          <x:t xml:space="preserve">Poderes y facultades legales de quienes suscriben contratos / títulos</x:t>
        </x:is>
      </x:c>
      <x:c r="E10" s="23" t="inlineStr">
        <x:is>
          <x:t xml:space="preserve">Siempre</x:t>
        </x:is>
      </x:c>
      <x:c r="F10" s="24" t="str">
        <x:f>"Sí"</x:f>
        <x:v>Sí</x:v>
      </x:c>
      <x:c r="G10" s="25" t="inlineStr">
        <x:is>
          <x:t xml:space="preserve">Bloqueante</x:t>
        </x:is>
      </x:c>
      <x:c r="H10" s="23" t="inlineStr">
        <x:is>
          <x:t xml:space="preserve">Cliente / Legal</x:t>
        </x:is>
      </x:c>
      <x:c r="I10" s="23" t="inlineStr">
        <x:is>
          <x:t xml:space="preserve">Aprobación</x:t>
        </x:is>
      </x:c>
      <x:c r="J10" s="23" t="inlineStr">
        <x:is>
          <x:t xml:space="preserve">Actual</x:t>
        </x:is>
      </x:c>
      <x:c r="K10" s="26" t="inlineStr">
        <x:is>
          <x:t xml:space="preserve"/>
        </x:is>
      </x:c>
      <x:c r="L10" s="26" t="inlineStr">
        <x:is>
          <x:t xml:space="preserve"/>
        </x:is>
      </x:c>
      <x:c r="M10" s="27" t="inlineStr">
        <x:is>
          <x:t xml:space="preserve"/>
        </x:is>
      </x:c>
      <x:c r="N10" s="28" t="inlineStr">
        <x:is>
          <x:t xml:space="preserve">Requisitos + DD</x:t>
        </x:is>
      </x:c>
      <x:c r="O10" s="28" t="inlineStr">
        <x:is>
          <x:t xml:space="preserve">Requisitos I-III; DD p.28</x:t>
        </x:is>
      </x:c>
    </x:row>
    <x:row r="11">
      <x:c r="A11" s="23" t="inlineStr">
        <x:is>
          <x:t xml:space="preserve">REG-11</x:t>
        </x:is>
      </x:c>
      <x:c r="B11" s="23" t="inlineStr">
        <x:is>
          <x:t xml:space="preserve">Regulatorio</x:t>
        </x:is>
      </x:c>
      <x:c r="C11" s="23" t="inlineStr">
        <x:is>
          <x:t xml:space="preserve">Información financiera</x:t>
        </x:is>
      </x:c>
      <x:c r="D11" s="23" t="inlineStr">
        <x:is>
          <x:t xml:space="preserve">Evidencia de volumen de operaciones, situación financiera y capacidad de pago (PM) o relación patrimonial / declaraciones (PF)</x:t>
        </x:is>
      </x:c>
      <x:c r="E11" s="23" t="inlineStr">
        <x:is>
          <x:t xml:space="preserve">Siempre</x:t>
        </x:is>
      </x:c>
      <x:c r="F11" s="24" t="str">
        <x:f>"Sí"</x:f>
        <x:v>Sí</x:v>
      </x:c>
      <x:c r="G11" s="25" t="inlineStr">
        <x:is>
          <x:t xml:space="preserve">Bloqueante</x:t>
        </x:is>
      </x:c>
      <x:c r="H11" s="23" t="inlineStr">
        <x:is>
          <x:t xml:space="preserve">Cliente</x:t>
        </x:is>
      </x:c>
      <x:c r="I11" s="23" t="inlineStr">
        <x:is>
          <x:t xml:space="preserve">Aprobación</x:t>
        </x:is>
      </x:c>
      <x:c r="J11" s="23" t="inlineStr">
        <x:is>
          <x:t xml:space="preserve">Segun banda / fecha de corte</x:t>
        </x:is>
      </x:c>
      <x:c r="K11" s="26" t="inlineStr">
        <x:is>
          <x:t xml:space="preserve"/>
        </x:is>
      </x:c>
      <x:c r="L11" s="26" t="inlineStr">
        <x:is>
          <x:t xml:space="preserve"/>
        </x:is>
      </x:c>
      <x:c r="M11" s="27" t="inlineStr">
        <x:is>
          <x:t xml:space="preserve"/>
        </x:is>
      </x:c>
      <x:c r="N11" s="28" t="inlineStr">
        <x:is>
          <x:t xml:space="preserve">Requisitos</x:t>
        </x:is>
      </x:c>
      <x:c r="O11" s="28" t="inlineStr">
        <x:is>
          <x:t xml:space="preserve">Requisitos I-III</x:t>
        </x:is>
      </x:c>
    </x:row>
    <x:row r="12">
      <x:c r="A12" s="23" t="inlineStr">
        <x:is>
          <x:t xml:space="preserve">REG-12</x:t>
        </x:is>
      </x:c>
      <x:c r="B12" s="23" t="inlineStr">
        <x:is>
          <x:t xml:space="preserve">Regulatorio</x:t>
        </x:is>
      </x:c>
      <x:c r="C12" s="23" t="inlineStr">
        <x:is>
          <x:t xml:space="preserve">Flujo de efectivo</x:t>
        </x:is>
      </x:c>
      <x:c r="D12" s="23" t="inlineStr">
        <x:is>
          <x:t xml:space="preserve">Flujo de efectivo / proyecciones por todo el plazo del crédito</x:t>
        </x:is>
      </x:c>
      <x:c r="E12" s="23" t="inlineStr">
        <x:is>
          <x:t xml:space="preserve">Obligatorio cuando el monto es &gt;1MM UDIS</x:t>
        </x:is>
      </x:c>
      <x:c r="F12" s="24" t="str">
        <x:f>IF(Captura_Caso!$B$11&gt;1000000,"Sí","No")</x:f>
        <x:v>No</x:v>
      </x:c>
      <x:c r="G12" s="25" t="inlineStr">
        <x:is>
          <x:t xml:space="preserve">Bloqueante</x:t>
        </x:is>
      </x:c>
      <x:c r="H12" s="23" t="inlineStr">
        <x:is>
          <x:t xml:space="preserve">Cliente</x:t>
        </x:is>
      </x:c>
      <x:c r="I12" s="23" t="inlineStr">
        <x:is>
          <x:t xml:space="preserve">Aprobación</x:t>
        </x:is>
      </x:c>
      <x:c r="J12" s="23" t="inlineStr">
        <x:is>
          <x:t xml:space="preserve">Plazo del crédito</x:t>
        </x:is>
      </x:c>
      <x:c r="K12" s="26" t="inlineStr">
        <x:is>
          <x:t xml:space="preserve"/>
        </x:is>
      </x:c>
      <x:c r="L12" s="26" t="inlineStr">
        <x:is>
          <x:t xml:space="preserve"/>
        </x:is>
      </x:c>
      <x:c r="M12" s="27" t="inlineStr">
        <x:is>
          <x:t xml:space="preserve"/>
        </x:is>
      </x:c>
      <x:c r="N12" s="28" t="inlineStr">
        <x:is>
          <x:t xml:space="preserve">Requisitos + DD</x:t>
        </x:is>
      </x:c>
      <x:c r="O12" s="28" t="inlineStr">
        <x:is>
          <x:t xml:space="preserve">Requisitos II-III; DD p.23</x:t>
        </x:is>
      </x:c>
    </x:row>
    <x:row r="13">
      <x:c r="A13" s="23" t="inlineStr">
        <x:is>
          <x:t xml:space="preserve">REG-16</x:t>
        </x:is>
      </x:c>
      <x:c r="B13" s="23" t="inlineStr">
        <x:is>
          <x:t xml:space="preserve">Regulatorio</x:t>
        </x:is>
      </x:c>
      <x:c r="C13" s="23" t="inlineStr">
        <x:is>
          <x:t xml:space="preserve">Garantías</x:t>
        </x:is>
      </x:c>
      <x:c r="D13" s="23" t="inlineStr">
        <x:is>
          <x:t xml:space="preserve">Avalúos actualizados</x:t>
        </x:is>
      </x:c>
      <x:c r="E13" s="23" t="inlineStr">
        <x:is>
          <x:t xml:space="preserve">Aplica cuando hay garantía y monto &gt;25,000 UDIS</x:t>
        </x:is>
      </x:c>
      <x:c r="F13" s="24" t="str">
        <x:f>IF(AND(Captura_Caso!$B$14="Sí",Captura_Caso!$B$11&gt;25000),"Sí","No")</x:f>
        <x:v>No</x:v>
      </x:c>
      <x:c r="G13" s="25" t="inlineStr">
        <x:is>
          <x:t xml:space="preserve">Bloqueante</x:t>
        </x:is>
      </x:c>
      <x:c r="H13" s="23" t="inlineStr">
        <x:is>
          <x:t xml:space="preserve">Cliente / Valuador</x:t>
        </x:is>
      </x:c>
      <x:c r="I13" s="23" t="inlineStr">
        <x:is>
          <x:t xml:space="preserve">Formalización</x:t>
        </x:is>
      </x:c>
      <x:c r="J13" s="23" t="inlineStr">
        <x:is>
          <x:t xml:space="preserve">Según disposición de CNBV / políticas</x:t>
        </x:is>
      </x:c>
      <x:c r="K13" s="26" t="inlineStr">
        <x:is>
          <x:t xml:space="preserve"/>
        </x:is>
      </x:c>
      <x:c r="L13" s="26" t="inlineStr">
        <x:is>
          <x:t xml:space="preserve"/>
        </x:is>
      </x:c>
      <x:c r="M13" s="27" t="inlineStr">
        <x:is>
          <x:t xml:space="preserve"/>
        </x:is>
      </x:c>
      <x:c r="N13" s="28" t="inlineStr">
        <x:is>
          <x:t xml:space="preserve">Requisitos</x:t>
        </x:is>
      </x:c>
      <x:c r="O13" s="28" t="inlineStr">
        <x:is>
          <x:t xml:space="preserve">Requisitos II-III</x:t>
        </x:is>
      </x:c>
    </x:row>
    <x:row r="14">
      <x:c r="A14" s="23" t="inlineStr">
        <x:is>
          <x:t xml:space="preserve">REG-17</x:t>
        </x:is>
      </x:c>
      <x:c r="B14" s="23" t="inlineStr">
        <x:is>
          <x:t xml:space="preserve">Regulatorio</x:t>
        </x:is>
      </x:c>
      <x:c r="C14" s="23" t="inlineStr">
        <x:is>
          <x:t xml:space="preserve">Garantías</x:t>
        </x:is>
      </x:c>
      <x:c r="D14" s="23" t="inlineStr">
        <x:is>
          <x:t xml:space="preserve">Certificados de gravámenes / inexistencia de gravámenes</x:t>
        </x:is>
      </x:c>
      <x:c r="E14" s="23" t="inlineStr">
        <x:is>
          <x:t xml:space="preserve">Aplica cuando hay garantía</x:t>
        </x:is>
      </x:c>
      <x:c r="F14" s="24" t="str">
        <x:f>IF(Captura_Caso!$B$14="Sí","Sí","No")</x:f>
        <x:v>Sí</x:v>
      </x:c>
      <x:c r="G14" s="25" t="inlineStr">
        <x:is>
          <x:t xml:space="preserve">Bloqueante</x:t>
        </x:is>
      </x:c>
      <x:c r="H14" s="23" t="inlineStr">
        <x:is>
          <x:t xml:space="preserve">Cliente / Legal</x:t>
        </x:is>
      </x:c>
      <x:c r="I14" s="23" t="inlineStr">
        <x:is>
          <x:t xml:space="preserve">Formalización</x:t>
        </x:is>
      </x:c>
      <x:c r="J14" s="23" t="inlineStr">
        <x:is>
          <x:t xml:space="preserve">Propiedad: 6 meses</x:t>
        </x:is>
      </x:c>
      <x:c r="K14" s="26" t="inlineStr">
        <x:is>
          <x:t xml:space="preserve"/>
        </x:is>
      </x:c>
      <x:c r="L14" s="26" t="inlineStr">
        <x:is>
          <x:t xml:space="preserve"/>
        </x:is>
      </x:c>
      <x:c r="M14" s="27" t="inlineStr">
        <x:is>
          <x:t xml:space="preserve"/>
        </x:is>
      </x:c>
      <x:c r="N14" s="28" t="inlineStr">
        <x:is>
          <x:t xml:space="preserve">Requisitos</x:t>
        </x:is>
      </x:c>
      <x:c r="O14" s="28" t="inlineStr">
        <x:is>
          <x:t xml:space="preserve">Requisitos I-III</x:t>
        </x:is>
      </x:c>
    </x:row>
    <x:row r="15">
      <x:c r="A15" s="23" t="inlineStr">
        <x:is>
          <x:t xml:space="preserve">REG-18</x:t>
        </x:is>
      </x:c>
      <x:c r="B15" s="23" t="inlineStr">
        <x:is>
          <x:t xml:space="preserve">Regulatorio</x:t>
        </x:is>
      </x:c>
      <x:c r="C15" s="23" t="inlineStr">
        <x:is>
          <x:t xml:space="preserve">Garantías</x:t>
        </x:is>
      </x:c>
      <x:c r="D15" s="23" t="inlineStr">
        <x:is>
          <x:t xml:space="preserve">Pólizas de seguro de las garantías a favor de la institución</x:t>
        </x:is>
      </x:c>
      <x:c r="E15" s="23" t="inlineStr">
        <x:is>
          <x:t xml:space="preserve">Aplica cuando hay garantía y póliza requerida</x:t>
        </x:is>
      </x:c>
      <x:c r="F15" s="24" t="str">
        <x:f>IF(Captura_Caso!$B$14="Sí","Sí","No")</x:f>
        <x:v>Sí</x:v>
      </x:c>
      <x:c r="G15" s="29" t="inlineStr">
        <x:is>
          <x:t xml:space="preserve">Importante</x:t>
        </x:is>
      </x:c>
      <x:c r="H15" s="23" t="inlineStr">
        <x:is>
          <x:t xml:space="preserve">Cliente</x:t>
        </x:is>
      </x:c>
      <x:c r="I15" s="23" t="inlineStr">
        <x:is>
          <x:t xml:space="preserve">Formalización</x:t>
        </x:is>
      </x:c>
      <x:c r="J15" s="23" t="inlineStr">
        <x:is>
          <x:t xml:space="preserve">Según póliza</x:t>
        </x:is>
      </x:c>
      <x:c r="K15" s="26" t="inlineStr">
        <x:is>
          <x:t xml:space="preserve"/>
        </x:is>
      </x:c>
      <x:c r="L15" s="26" t="inlineStr">
        <x:is>
          <x:t xml:space="preserve"/>
        </x:is>
      </x:c>
      <x:c r="M15" s="27" t="inlineStr">
        <x:is>
          <x:t xml:space="preserve"/>
        </x:is>
      </x:c>
      <x:c r="N15" s="28" t="inlineStr">
        <x:is>
          <x:t xml:space="preserve">Requisitos</x:t>
        </x:is>
      </x:c>
      <x:c r="O15" s="28" t="inlineStr">
        <x:is>
          <x:t xml:space="preserve">Requisitos I-III</x:t>
        </x:is>
      </x:c>
    </x:row>
    <x:row r="16">
      <x:c r="A16" s="23" t="inlineStr">
        <x:is>
          <x:t xml:space="preserve">REG-21</x:t>
        </x:is>
      </x:c>
      <x:c r="B16" s="23" t="inlineStr">
        <x:is>
          <x:t xml:space="preserve">Regulatorio</x:t>
        </x:is>
      </x:c>
      <x:c r="C16" s="23" t="inlineStr">
        <x:is>
          <x:t xml:space="preserve">Procesos especiales</x:t>
        </x:is>
      </x:c>
      <x:c r="D16" s="23" t="inlineStr">
        <x:is>
          <x:t xml:space="preserve">Estudio de viabilidad, autorizaciones y convenios para reestructura</x:t>
        </x:is>
      </x:c>
      <x:c r="E16" s="23" t="inlineStr">
        <x:is>
          <x:t xml:space="preserve">Aplica si el motivo es reestructura</x:t>
        </x:is>
      </x:c>
      <x:c r="F16" s="24" t="str">
        <x:f>IF(Captura_Caso!$B$7="Reestructura","Sí","No")</x:f>
        <x:v>No</x:v>
      </x:c>
      <x:c r="G16" s="25" t="inlineStr">
        <x:is>
          <x:t xml:space="preserve">Bloqueante</x:t>
        </x:is>
      </x:c>
      <x:c r="H16" s="23" t="inlineStr">
        <x:is>
          <x:t xml:space="preserve">Cliente / Crédito / Legal</x:t>
        </x:is>
      </x:c>
      <x:c r="I16" s="23" t="inlineStr">
        <x:is>
          <x:t xml:space="preserve">Reestructura</x:t>
        </x:is>
      </x:c>
      <x:c r="J16" s="23" t="inlineStr">
        <x:is>
          <x:t xml:space="preserve">Actual</x:t>
        </x:is>
      </x:c>
      <x:c r="K16" s="26" t="inlineStr">
        <x:is>
          <x:t xml:space="preserve"/>
        </x:is>
      </x:c>
      <x:c r="L16" s="26" t="inlineStr">
        <x:is>
          <x:t xml:space="preserve"/>
        </x:is>
      </x:c>
      <x:c r="M16" s="27" t="inlineStr">
        <x:is>
          <x:t xml:space="preserve"/>
        </x:is>
      </x:c>
      <x:c r="N16" s="28" t="inlineStr">
        <x:is>
          <x:t xml:space="preserve">Requisitos</x:t>
        </x:is>
      </x:c>
      <x:c r="O16" s="28" t="inlineStr">
        <x:is>
          <x:t xml:space="preserve">Requisitos adicionales</x:t>
        </x:is>
      </x:c>
    </x:row>
    <x:row r="17">
      <x:c r="A17" s="23" t="inlineStr">
        <x:is>
          <x:t xml:space="preserve">DD-01</x:t>
        </x:is>
      </x:c>
      <x:c r="B17" s="23" t="inlineStr">
        <x:is>
          <x:t xml:space="preserve">Debida diligencia</x:t>
        </x:is>
      </x:c>
      <x:c r="C17" s="23" t="inlineStr">
        <x:is>
          <x:t xml:space="preserve">Planeación</x:t>
        </x:is>
      </x:c>
      <x:c r="D17" s="23" t="inlineStr">
        <x:is>
          <x:t xml:space="preserve">Plan de negocio vigente y proyecciones financieras</x:t>
        </x:is>
      </x:c>
      <x:c r="E17" s="23" t="inlineStr">
        <x:is>
          <x:t xml:space="preserve">Aplica en originación, revisión anual, nueva transacción o DD mejorada</x:t>
        </x:is>
      </x:c>
      <x:c r="F17" s="24" t="str">
        <x:f>IF(OR(Captura_Caso!$B$7="Originación",Captura_Caso!$B$7="Revisión anual",Captura_Caso!$B$7="Nueva transacción o producto",Captura_Caso!$B$7="Incremento",Captura_Caso!$E$5="Mejorada"),"Sí","No")</x:f>
        <x:v>Sí</x:v>
      </x:c>
      <x:c r="G17" s="25" t="inlineStr">
        <x:is>
          <x:t xml:space="preserve">Bloqueante</x:t>
        </x:is>
      </x:c>
      <x:c r="H17" s="23" t="inlineStr">
        <x:is>
          <x:t xml:space="preserve">Cliente</x:t>
        </x:is>
      </x:c>
      <x:c r="I17" s="23" t="inlineStr">
        <x:is>
          <x:t xml:space="preserve">Análisis</x:t>
        </x:is>
      </x:c>
      <x:c r="J17" s="23" t="inlineStr">
        <x:is>
          <x:t xml:space="preserve">Vigente</x:t>
        </x:is>
      </x:c>
      <x:c r="K17" s="26" t="inlineStr">
        <x:is>
          <x:t xml:space="preserve"/>
        </x:is>
      </x:c>
      <x:c r="L17" s="26" t="inlineStr">
        <x:is>
          <x:t xml:space="preserve"/>
        </x:is>
      </x:c>
      <x:c r="M17" s="27" t="inlineStr">
        <x:is>
          <x:t xml:space="preserve"/>
        </x:is>
      </x:c>
      <x:c r="N17" s="28" t="inlineStr">
        <x:is>
          <x:t xml:space="preserve">Debida Diligencia</x:t>
        </x:is>
      </x:c>
      <x:c r="O17" s="28" t="inlineStr">
        <x:is>
          <x:t xml:space="preserve">DD p.14, 17</x:t>
        </x:is>
      </x:c>
    </x:row>
    <x:row r="18">
      <x:c r="A18" s="23" t="inlineStr">
        <x:is>
          <x:t xml:space="preserve">DD-02</x:t>
        </x:is>
      </x:c>
      <x:c r="B18" s="23" t="inlineStr">
        <x:is>
          <x:t xml:space="preserve">Debida diligencia</x:t>
        </x:is>
      </x:c>
      <x:c r="C18" s="23" t="inlineStr">
        <x:is>
          <x:t xml:space="preserve">Governance</x:t>
        </x:is>
      </x:c>
      <x:c r="D18" s="23" t="inlineStr">
        <x:is>
          <x:t xml:space="preserve">Organigrama, estructura accionaria, controladoras / subsidiarias y relación intercompañía</x:t>
        </x:is>
      </x:c>
      <x:c r="E18" s="23" t="inlineStr">
        <x:is>
          <x:t xml:space="preserve">Solo persona moral</x:t>
        </x:is>
      </x:c>
      <x:c r="F18" s="24" t="str">
        <x:f>IF(Captura_Caso!$B$5="Moral","Sí","No")</x:f>
        <x:v>Sí</x:v>
      </x:c>
      <x:c r="G18" s="25" t="inlineStr">
        <x:is>
          <x:t xml:space="preserve">Bloqueante</x:t>
        </x:is>
      </x:c>
      <x:c r="H18" s="23" t="inlineStr">
        <x:is>
          <x:t xml:space="preserve">Cliente</x:t>
        </x:is>
      </x:c>
      <x:c r="I18" s="23" t="inlineStr">
        <x:is>
          <x:t xml:space="preserve">Análisis</x:t>
        </x:is>
      </x:c>
      <x:c r="J18" s="23" t="inlineStr">
        <x:is>
          <x:t xml:space="preserve">Vigente</x:t>
        </x:is>
      </x:c>
      <x:c r="K18" s="26" t="inlineStr">
        <x:is>
          <x:t xml:space="preserve"/>
        </x:is>
      </x:c>
      <x:c r="L18" s="26" t="inlineStr">
        <x:is>
          <x:t xml:space="preserve"/>
        </x:is>
      </x:c>
      <x:c r="M18" s="27" t="inlineStr">
        <x:is>
          <x:t xml:space="preserve"/>
        </x:is>
      </x:c>
      <x:c r="N18" s="28" t="inlineStr">
        <x:is>
          <x:t xml:space="preserve">Debida Diligencia</x:t>
        </x:is>
      </x:c>
      <x:c r="O18" s="28" t="inlineStr">
        <x:is>
          <x:t xml:space="preserve">DD p.28</x:t>
        </x:is>
      </x:c>
    </x:row>
    <x:row r="19">
      <x:c r="A19" s="23" t="inlineStr">
        <x:is>
          <x:t xml:space="preserve">DD-03</x:t>
        </x:is>
      </x:c>
      <x:c r="B19" s="23" t="inlineStr">
        <x:is>
          <x:t xml:space="preserve">Debida diligencia</x:t>
        </x:is>
      </x:c>
      <x:c r="C19" s="23" t="inlineStr">
        <x:is>
          <x:t xml:space="preserve">Governance</x:t>
        </x:is>
      </x:c>
      <x:c r="D19" s="23" t="inlineStr">
        <x:is>
          <x:t xml:space="preserve">Composición de consejo, comités, principales accionistas, poderes vigentes y representantes</x:t>
        </x:is>
      </x:c>
      <x:c r="E19" s="23" t="inlineStr">
        <x:is>
          <x:t xml:space="preserve">Solo persona moral</x:t>
        </x:is>
      </x:c>
      <x:c r="F19" s="24" t="str">
        <x:f>IF(Captura_Caso!$B$5="Moral","Sí","No")</x:f>
        <x:v>Sí</x:v>
      </x:c>
      <x:c r="G19" s="25" t="inlineStr">
        <x:is>
          <x:t xml:space="preserve">Bloqueante</x:t>
        </x:is>
      </x:c>
      <x:c r="H19" s="23" t="inlineStr">
        <x:is>
          <x:t xml:space="preserve">Cliente</x:t>
        </x:is>
      </x:c>
      <x:c r="I19" s="23" t="inlineStr">
        <x:is>
          <x:t xml:space="preserve">Análisis</x:t>
        </x:is>
      </x:c>
      <x:c r="J19" s="23" t="inlineStr">
        <x:is>
          <x:t xml:space="preserve">Vigente</x:t>
        </x:is>
      </x:c>
      <x:c r="K19" s="26" t="inlineStr">
        <x:is>
          <x:t xml:space="preserve"/>
        </x:is>
      </x:c>
      <x:c r="L19" s="26" t="inlineStr">
        <x:is>
          <x:t xml:space="preserve"/>
        </x:is>
      </x:c>
      <x:c r="M19" s="27" t="inlineStr">
        <x:is>
          <x:t xml:space="preserve"/>
        </x:is>
      </x:c>
      <x:c r="N19" s="28" t="inlineStr">
        <x:is>
          <x:t xml:space="preserve">Debida Diligencia</x:t>
        </x:is>
      </x:c>
      <x:c r="O19" s="28" t="inlineStr">
        <x:is>
          <x:t xml:space="preserve">DD p.28</x:t>
        </x:is>
      </x:c>
    </x:row>
    <x:row r="20">
      <x:c r="A20" s="23" t="inlineStr">
        <x:is>
          <x:t xml:space="preserve">DD-04</x:t>
        </x:is>
      </x:c>
      <x:c r="B20" s="23" t="inlineStr">
        <x:is>
          <x:t xml:space="preserve">Debida diligencia</x:t>
        </x:is>
      </x:c>
      <x:c r="C20" s="23" t="inlineStr">
        <x:is>
          <x:t xml:space="preserve">Management</x:t>
        </x:is>
      </x:c>
      <x:c r="D20" s="23" t="inlineStr">
        <x:is>
          <x:t xml:space="preserve">Perfil de directivos clave, experiencia y plan de sucesión</x:t>
        </x:is>
      </x:c>
      <x:c r="E20" s="23" t="inlineStr">
        <x:is>
          <x:t xml:space="preserve">Solo persona moral</x:t>
        </x:is>
      </x:c>
      <x:c r="F20" s="24" t="str">
        <x:f>IF(Captura_Caso!$B$5="Moral","Sí","No")</x:f>
        <x:v>Sí</x:v>
      </x:c>
      <x:c r="G20" s="29" t="inlineStr">
        <x:is>
          <x:t xml:space="preserve">Importante</x:t>
        </x:is>
      </x:c>
      <x:c r="H20" s="23" t="inlineStr">
        <x:is>
          <x:t xml:space="preserve">Cliente</x:t>
        </x:is>
      </x:c>
      <x:c r="I20" s="23" t="inlineStr">
        <x:is>
          <x:t xml:space="preserve">Análisis</x:t>
        </x:is>
      </x:c>
      <x:c r="J20" s="23" t="inlineStr">
        <x:is>
          <x:t xml:space="preserve">Vigente</x:t>
        </x:is>
      </x:c>
      <x:c r="K20" s="26" t="inlineStr">
        <x:is>
          <x:t xml:space="preserve"/>
        </x:is>
      </x:c>
      <x:c r="L20" s="26" t="inlineStr">
        <x:is>
          <x:t xml:space="preserve"/>
        </x:is>
      </x:c>
      <x:c r="M20" s="27" t="inlineStr">
        <x:is>
          <x:t xml:space="preserve"/>
        </x:is>
      </x:c>
      <x:c r="N20" s="28" t="inlineStr">
        <x:is>
          <x:t xml:space="preserve">Debida Diligencia</x:t>
        </x:is>
      </x:c>
      <x:c r="O20" s="28" t="inlineStr">
        <x:is>
          <x:t xml:space="preserve">DD p.27-28</x:t>
        </x:is>
      </x:c>
    </x:row>
    <x:row r="21">
      <x:c r="A21" s="23" t="inlineStr">
        <x:is>
          <x:t xml:space="preserve">DD-05</x:t>
        </x:is>
      </x:c>
      <x:c r="B21" s="23" t="inlineStr">
        <x:is>
          <x:t xml:space="preserve">Debida diligencia</x:t>
        </x:is>
      </x:c>
      <x:c r="C21" s="23" t="inlineStr">
        <x:is>
          <x:t xml:space="preserve">ESG / Compliance</x:t>
        </x:is>
      </x:c>
      <x:c r="D21" s="23" t="inlineStr">
        <x:is>
          <x:t xml:space="preserve">Políticas ESG, certificaciones, cumplimiento y riesgos reputacionales</x:t>
        </x:is>
      </x:c>
      <x:c r="E21" s="23" t="inlineStr">
        <x:is>
          <x:t xml:space="preserve">Aplica si DD Mejorada u operación relevante</x:t>
        </x:is>
      </x:c>
      <x:c r="F21" s="24" t="str">
        <x:f>IF(OR(Captura_Caso!$E$5="Mejorada",Captura_Caso!$B$18="Sí"),"Sí","No")</x:f>
        <x:v>No</x:v>
      </x:c>
      <x:c r="G21" s="29" t="inlineStr">
        <x:is>
          <x:t xml:space="preserve">Importante</x:t>
        </x:is>
      </x:c>
      <x:c r="H21" s="23" t="inlineStr">
        <x:is>
          <x:t xml:space="preserve">Cliente</x:t>
        </x:is>
      </x:c>
      <x:c r="I21" s="23" t="inlineStr">
        <x:is>
          <x:t xml:space="preserve">Análisis</x:t>
        </x:is>
      </x:c>
      <x:c r="J21" s="23" t="inlineStr">
        <x:is>
          <x:t xml:space="preserve">Vigente</x:t>
        </x:is>
      </x:c>
      <x:c r="K21" s="26" t="inlineStr">
        <x:is>
          <x:t xml:space="preserve"/>
        </x:is>
      </x:c>
      <x:c r="L21" s="26" t="inlineStr">
        <x:is>
          <x:t xml:space="preserve"/>
        </x:is>
      </x:c>
      <x:c r="M21" s="27" t="inlineStr">
        <x:is>
          <x:t xml:space="preserve"/>
        </x:is>
      </x:c>
      <x:c r="N21" s="28" t="inlineStr">
        <x:is>
          <x:t xml:space="preserve">Debida Diligencia</x:t>
        </x:is>
      </x:c>
      <x:c r="O21" s="28" t="inlineStr">
        <x:is>
          <x:t xml:space="preserve">DD p.28, 37</x:t>
        </x:is>
      </x:c>
    </x:row>
    <x:row r="22">
      <x:c r="A22" s="23" t="inlineStr">
        <x:is>
          <x:t xml:space="preserve">DD-06</x:t>
        </x:is>
      </x:c>
      <x:c r="B22" s="23" t="inlineStr">
        <x:is>
          <x:t xml:space="preserve">Debida diligencia</x:t>
        </x:is>
      </x:c>
      <x:c r="C22" s="23" t="inlineStr">
        <x:is>
          <x:t xml:space="preserve">Clientes</x:t>
        </x:is>
      </x:c>
      <x:c r="D22" s="23" t="inlineStr">
        <x:is>
          <x:t xml:space="preserve">Top 10 clientes, concentración, antigüedad de cartera, cuentas por cobrar y contratos clave</x:t>
        </x:is>
      </x:c>
      <x:c r="E22" s="23" t="inlineStr">
        <x:is>
          <x:t xml:space="preserve">Solo persona moral</x:t>
        </x:is>
      </x:c>
      <x:c r="F22" s="24" t="str">
        <x:f>IF(Captura_Caso!$B$5="Moral","Sí","No")</x:f>
        <x:v>Sí</x:v>
      </x:c>
      <x:c r="G22" s="25" t="inlineStr">
        <x:is>
          <x:t xml:space="preserve">Bloqueante</x:t>
        </x:is>
      </x:c>
      <x:c r="H22" s="23" t="inlineStr">
        <x:is>
          <x:t xml:space="preserve">Cliente</x:t>
        </x:is>
      </x:c>
      <x:c r="I22" s="23" t="inlineStr">
        <x:is>
          <x:t xml:space="preserve">Análisis</x:t>
        </x:is>
      </x:c>
      <x:c r="J22" s="23" t="inlineStr">
        <x:is>
          <x:t xml:space="preserve">Histórico 3-5 años + vigente</x:t>
        </x:is>
      </x:c>
      <x:c r="K22" s="26" t="inlineStr">
        <x:is>
          <x:t xml:space="preserve"/>
        </x:is>
      </x:c>
      <x:c r="L22" s="26" t="inlineStr">
        <x:is>
          <x:t xml:space="preserve"/>
        </x:is>
      </x:c>
      <x:c r="M22" s="27" t="inlineStr">
        <x:is>
          <x:t xml:space="preserve"/>
        </x:is>
      </x:c>
      <x:c r="N22" s="28" t="inlineStr">
        <x:is>
          <x:t xml:space="preserve">Debida Diligencia</x:t>
        </x:is>
      </x:c>
      <x:c r="O22" s="28" t="inlineStr">
        <x:is>
          <x:t xml:space="preserve">DD p.33</x:t>
        </x:is>
      </x:c>
    </x:row>
    <x:row r="23">
      <x:c r="A23" s="23" t="inlineStr">
        <x:is>
          <x:t xml:space="preserve">DD-07</x:t>
        </x:is>
      </x:c>
      <x:c r="B23" s="23" t="inlineStr">
        <x:is>
          <x:t xml:space="preserve">Debida diligencia</x:t>
        </x:is>
      </x:c>
      <x:c r="C23" s="23" t="inlineStr">
        <x:is>
          <x:t xml:space="preserve">Proveedores</x:t>
        </x:is>
      </x:c>
      <x:c r="D23" s="23" t="inlineStr">
        <x:is>
          <x:t xml:space="preserve">Top 10 proveedores, concentración, contratos, dependencia y riesgo de suministro</x:t>
        </x:is>
      </x:c>
      <x:c r="E23" s="23" t="inlineStr">
        <x:is>
          <x:t xml:space="preserve">Solo persona moral</x:t>
        </x:is>
      </x:c>
      <x:c r="F23" s="24" t="str">
        <x:f>IF(Captura_Caso!$B$5="Moral","Sí","No")</x:f>
        <x:v>Sí</x:v>
      </x:c>
      <x:c r="G23" s="25" t="inlineStr">
        <x:is>
          <x:t xml:space="preserve">Bloqueante</x:t>
        </x:is>
      </x:c>
      <x:c r="H23" s="23" t="inlineStr">
        <x:is>
          <x:t xml:space="preserve">Cliente</x:t>
        </x:is>
      </x:c>
      <x:c r="I23" s="23" t="inlineStr">
        <x:is>
          <x:t xml:space="preserve">Análisis</x:t>
        </x:is>
      </x:c>
      <x:c r="J23" s="23" t="inlineStr">
        <x:is>
          <x:t xml:space="preserve">Histórico + vigente</x:t>
        </x:is>
      </x:c>
      <x:c r="K23" s="26" t="inlineStr">
        <x:is>
          <x:t xml:space="preserve"/>
        </x:is>
      </x:c>
      <x:c r="L23" s="26" t="inlineStr">
        <x:is>
          <x:t xml:space="preserve"/>
        </x:is>
      </x:c>
      <x:c r="M23" s="27" t="inlineStr">
        <x:is>
          <x:t xml:space="preserve"/>
        </x:is>
      </x:c>
      <x:c r="N23" s="28" t="inlineStr">
        <x:is>
          <x:t xml:space="preserve">Debida Diligencia</x:t>
        </x:is>
      </x:c>
      <x:c r="O23" s="28" t="inlineStr">
        <x:is>
          <x:t xml:space="preserve">DD p.30, 34</x:t>
        </x:is>
      </x:c>
    </x:row>
    <x:row r="24">
      <x:c r="A24" s="23" t="inlineStr">
        <x:is>
          <x:t xml:space="preserve">DD-08</x:t>
        </x:is>
      </x:c>
      <x:c r="B24" s="23" t="inlineStr">
        <x:is>
          <x:t xml:space="preserve">Debida diligencia</x:t>
        </x:is>
      </x:c>
      <x:c r="C24" s="23" t="inlineStr">
        <x:is>
          <x:t xml:space="preserve">Productos y mercado</x:t>
        </x:is>
      </x:c>
      <x:c r="D24" s="23" t="inlineStr">
        <x:is>
          <x:t xml:space="preserve">Catálogo de productos / servicios, producto core y rentabilidad por línea</x:t>
        </x:is>
      </x:c>
      <x:c r="E24" s="23" t="inlineStr">
        <x:is>
          <x:t xml:space="preserve">Solo persona moral</x:t>
        </x:is>
      </x:c>
      <x:c r="F24" s="24" t="str">
        <x:f>IF(Captura_Caso!$B$5="Moral","Sí","No")</x:f>
        <x:v>Sí</x:v>
      </x:c>
      <x:c r="G24" s="29" t="inlineStr">
        <x:is>
          <x:t xml:space="preserve">Importante</x:t>
        </x:is>
      </x:c>
      <x:c r="H24" s="23" t="inlineStr">
        <x:is>
          <x:t xml:space="preserve">Cliente</x:t>
        </x:is>
      </x:c>
      <x:c r="I24" s="23" t="inlineStr">
        <x:is>
          <x:t xml:space="preserve">Análisis</x:t>
        </x:is>
      </x:c>
      <x:c r="J24" s="23" t="inlineStr">
        <x:is>
          <x:t xml:space="preserve">Vigente</x:t>
        </x:is>
      </x:c>
      <x:c r="K24" s="26" t="inlineStr">
        <x:is>
          <x:t xml:space="preserve"/>
        </x:is>
      </x:c>
      <x:c r="L24" s="26" t="inlineStr">
        <x:is>
          <x:t xml:space="preserve"/>
        </x:is>
      </x:c>
      <x:c r="M24" s="27" t="inlineStr">
        <x:is>
          <x:t xml:space="preserve"/>
        </x:is>
      </x:c>
      <x:c r="N24" s="28" t="inlineStr">
        <x:is>
          <x:t xml:space="preserve">Debida Diligencia</x:t>
        </x:is>
      </x:c>
      <x:c r="O24" s="28" t="inlineStr">
        <x:is>
          <x:t xml:space="preserve">DD p.31-32</x:t>
        </x:is>
      </x:c>
    </x:row>
    <x:row r="25">
      <x:c r="A25" s="23" t="inlineStr">
        <x:is>
          <x:t xml:space="preserve">DD-09</x:t>
        </x:is>
      </x:c>
      <x:c r="B25" s="23" t="inlineStr">
        <x:is>
          <x:t xml:space="preserve">Debida diligencia</x:t>
        </x:is>
      </x:c>
      <x:c r="C25" s="23" t="inlineStr">
        <x:is>
          <x:t xml:space="preserve">Productos y mercado</x:t>
        </x:is>
      </x:c>
      <x:c r="D25" s="23" t="inlineStr">
        <x:is>
          <x:t xml:space="preserve">Políticas de precios, canales de venta, marketing, estacionalidad y ciclo de vida</x:t>
        </x:is>
      </x:c>
      <x:c r="E25" s="23" t="inlineStr">
        <x:is>
          <x:t xml:space="preserve">Solo persona moral</x:t>
        </x:is>
      </x:c>
      <x:c r="F25" s="24" t="str">
        <x:f>IF(Captura_Caso!$B$5="Moral","Sí","No")</x:f>
        <x:v>Sí</x:v>
      </x:c>
      <x:c r="G25" s="29" t="inlineStr">
        <x:is>
          <x:t xml:space="preserve">Importante</x:t>
        </x:is>
      </x:c>
      <x:c r="H25" s="23" t="inlineStr">
        <x:is>
          <x:t xml:space="preserve">Cliente</x:t>
        </x:is>
      </x:c>
      <x:c r="I25" s="23" t="inlineStr">
        <x:is>
          <x:t xml:space="preserve">Análisis</x:t>
        </x:is>
      </x:c>
      <x:c r="J25" s="23" t="inlineStr">
        <x:is>
          <x:t xml:space="preserve">Vigente</x:t>
        </x:is>
      </x:c>
      <x:c r="K25" s="26" t="inlineStr">
        <x:is>
          <x:t xml:space="preserve"/>
        </x:is>
      </x:c>
      <x:c r="L25" s="26" t="inlineStr">
        <x:is>
          <x:t xml:space="preserve"/>
        </x:is>
      </x:c>
      <x:c r="M25" s="27" t="inlineStr">
        <x:is>
          <x:t xml:space="preserve"/>
        </x:is>
      </x:c>
      <x:c r="N25" s="28" t="inlineStr">
        <x:is>
          <x:t xml:space="preserve">Debida Diligencia</x:t>
        </x:is>
      </x:c>
      <x:c r="O25" s="28" t="inlineStr">
        <x:is>
          <x:t xml:space="preserve">DD p.32</x:t>
        </x:is>
      </x:c>
    </x:row>
    <x:row r="26">
      <x:c r="A26" s="23" t="inlineStr">
        <x:is>
          <x:t xml:space="preserve">DD-10</x:t>
        </x:is>
      </x:c>
      <x:c r="B26" s="23" t="inlineStr">
        <x:is>
          <x:t xml:space="preserve">Debida diligencia</x:t>
        </x:is>
      </x:c>
      <x:c r="C26" s="23" t="inlineStr">
        <x:is>
          <x:t xml:space="preserve">Operación</x:t>
        </x:is>
      </x:c>
      <x:c r="D26" s="23" t="inlineStr">
        <x:is>
          <x:t xml:space="preserve">Información de instalaciones, capacidad instalada, certificaciones, seguridad laboral e inventarios</x:t>
        </x:is>
      </x:c>
      <x:c r="E26" s="23" t="inlineStr">
        <x:is>
          <x:t xml:space="preserve">Solo persona moral</x:t>
        </x:is>
      </x:c>
      <x:c r="F26" s="24" t="str">
        <x:f>IF(Captura_Caso!$B$5="Moral","Sí","No")</x:f>
        <x:v>Sí</x:v>
      </x:c>
      <x:c r="G26" s="29" t="inlineStr">
        <x:is>
          <x:t xml:space="preserve">Importante</x:t>
        </x:is>
      </x:c>
      <x:c r="H26" s="23" t="inlineStr">
        <x:is>
          <x:t xml:space="preserve">Cliente</x:t>
        </x:is>
      </x:c>
      <x:c r="I26" s="23" t="inlineStr">
        <x:is>
          <x:t xml:space="preserve">Análisis</x:t>
        </x:is>
      </x:c>
      <x:c r="J26" s="23" t="inlineStr">
        <x:is>
          <x:t xml:space="preserve">Vigente</x:t>
        </x:is>
      </x:c>
      <x:c r="K26" s="26" t="inlineStr">
        <x:is>
          <x:t xml:space="preserve"/>
        </x:is>
      </x:c>
      <x:c r="L26" s="26" t="inlineStr">
        <x:is>
          <x:t xml:space="preserve"/>
        </x:is>
      </x:c>
      <x:c r="M26" s="27" t="inlineStr">
        <x:is>
          <x:t xml:space="preserve"/>
        </x:is>
      </x:c>
      <x:c r="N26" s="28" t="inlineStr">
        <x:is>
          <x:t xml:space="preserve">Debida Diligencia</x:t>
        </x:is>
      </x:c>
      <x:c r="O26" s="28" t="inlineStr">
        <x:is>
          <x:t xml:space="preserve">DD p.34</x:t>
        </x:is>
      </x:c>
    </x:row>
    <x:row r="27">
      <x:c r="A27" s="23" t="inlineStr">
        <x:is>
          <x:t xml:space="preserve">DD-11</x:t>
        </x:is>
      </x:c>
      <x:c r="B27" s="23" t="inlineStr">
        <x:is>
          <x:t xml:space="preserve">Debida diligencia</x:t>
        </x:is>
      </x:c>
      <x:c r="C27" s="23" t="inlineStr">
        <x:is>
          <x:t xml:space="preserve">Tecnología</x:t>
        </x:is>
      </x:c>
      <x:c r="D27" s="23" t="inlineStr">
        <x:is>
          <x:t xml:space="preserve">Políticas TI / ciberseguridad, respaldos y continuidad de negocio</x:t>
        </x:is>
      </x:c>
      <x:c r="E27" s="23" t="inlineStr">
        <x:is>
          <x:t xml:space="preserve">Aplica si DD Mejorada u operación con TI relevante</x:t>
        </x:is>
      </x:c>
      <x:c r="F27" s="24" t="str">
        <x:f>IF(OR(Captura_Caso!$E$5="Mejorada",Captura_Caso!$B$18="Sí"),"Sí","No")</x:f>
        <x:v>No</x:v>
      </x:c>
      <x:c r="G27" s="29" t="inlineStr">
        <x:is>
          <x:t xml:space="preserve">Importante</x:t>
        </x:is>
      </x:c>
      <x:c r="H27" s="23" t="inlineStr">
        <x:is>
          <x:t xml:space="preserve">Cliente</x:t>
        </x:is>
      </x:c>
      <x:c r="I27" s="23" t="inlineStr">
        <x:is>
          <x:t xml:space="preserve">Análisis</x:t>
        </x:is>
      </x:c>
      <x:c r="J27" s="23" t="inlineStr">
        <x:is>
          <x:t xml:space="preserve">Vigente</x:t>
        </x:is>
      </x:c>
      <x:c r="K27" s="26" t="inlineStr">
        <x:is>
          <x:t xml:space="preserve"/>
        </x:is>
      </x:c>
      <x:c r="L27" s="26" t="inlineStr">
        <x:is>
          <x:t xml:space="preserve"/>
        </x:is>
      </x:c>
      <x:c r="M27" s="27" t="inlineStr">
        <x:is>
          <x:t xml:space="preserve"/>
        </x:is>
      </x:c>
      <x:c r="N27" s="28" t="inlineStr">
        <x:is>
          <x:t xml:space="preserve">Debida Diligencia</x:t>
        </x:is>
      </x:c>
      <x:c r="O27" s="28" t="inlineStr">
        <x:is>
          <x:t xml:space="preserve">DD p.34</x:t>
        </x:is>
      </x:c>
    </x:row>
    <x:row r="28">
      <x:c r="A28" s="23" t="inlineStr">
        <x:is>
          <x:t xml:space="preserve">DD-12</x:t>
        </x:is>
      </x:c>
      <x:c r="B28" s="23" t="inlineStr">
        <x:is>
          <x:t xml:space="preserve">Debida diligencia</x:t>
        </x:is>
      </x:c>
      <x:c r="C28" s="23" t="inlineStr">
        <x:is>
          <x:t xml:space="preserve">Jurídico / fiscal</x:t>
        </x:is>
      </x:c>
      <x:c r="D28" s="23" t="inlineStr">
        <x:is>
          <x:t xml:space="preserve">Relación de litigios, asuntos jurídicos, contingencias fiscales y postura fiscal</x:t>
        </x:is>
      </x:c>
      <x:c r="E28" s="23" t="inlineStr">
        <x:is>
          <x:t xml:space="preserve">Siempre</x:t>
        </x:is>
      </x:c>
      <x:c r="F28" s="24" t="str">
        <x:f>"Sí"</x:f>
        <x:v>Sí</x:v>
      </x:c>
      <x:c r="G28" s="25" t="inlineStr">
        <x:is>
          <x:t xml:space="preserve">Bloqueante</x:t>
        </x:is>
      </x:c>
      <x:c r="H28" s="23" t="inlineStr">
        <x:is>
          <x:t xml:space="preserve">Cliente / Legal</x:t>
        </x:is>
      </x:c>
      <x:c r="I28" s="23" t="inlineStr">
        <x:is>
          <x:t xml:space="preserve">Análisis</x:t>
        </x:is>
      </x:c>
      <x:c r="J28" s="23" t="inlineStr">
        <x:is>
          <x:t xml:space="preserve">Vigente</x:t>
        </x:is>
      </x:c>
      <x:c r="K28" s="26" t="inlineStr">
        <x:is>
          <x:t xml:space="preserve"/>
        </x:is>
      </x:c>
      <x:c r="L28" s="26" t="inlineStr">
        <x:is>
          <x:t xml:space="preserve"/>
        </x:is>
      </x:c>
      <x:c r="M28" s="27" t="inlineStr">
        <x:is>
          <x:t xml:space="preserve"/>
        </x:is>
      </x:c>
      <x:c r="N28" s="28" t="inlineStr">
        <x:is>
          <x:t xml:space="preserve">Debida Diligencia</x:t>
        </x:is>
      </x:c>
      <x:c r="O28" s="28" t="inlineStr">
        <x:is>
          <x:t xml:space="preserve">DD p.14, 17, 35</x:t>
        </x:is>
      </x:c>
    </x:row>
    <x:row r="29">
      <x:c r="A29" s="23" t="inlineStr">
        <x:is>
          <x:t xml:space="preserve">DD-13</x:t>
        </x:is>
      </x:c>
      <x:c r="B29" s="23" t="inlineStr">
        <x:is>
          <x:t xml:space="preserve">Debida diligencia</x:t>
        </x:is>
      </x:c>
      <x:c r="C29" s="23" t="inlineStr">
        <x:is>
          <x:t xml:space="preserve">Geográfico</x:t>
        </x:is>
      </x:c>
      <x:c r="D29" s="23" t="inlineStr">
        <x:is>
          <x:t xml:space="preserve">Relación de operaciones por geografía, jurisdicciones y exposición internacional</x:t>
        </x:is>
      </x:c>
      <x:c r="E29" s="23" t="inlineStr">
        <x:is>
          <x:t xml:space="preserve">Aplica si opera en el extranjero, hay nueva jurisdicción o DD Mejorada</x:t>
        </x:is>
      </x:c>
      <x:c r="F29" s="24" t="str">
        <x:f>IF(OR(Captura_Caso!$B$18="Sí",Captura_Caso!$B$20="Sí",Captura_Caso!$E$5="Mejorada"),"Sí","No")</x:f>
        <x:v>No</x:v>
      </x:c>
      <x:c r="G29" s="29" t="inlineStr">
        <x:is>
          <x:t xml:space="preserve">Importante</x:t>
        </x:is>
      </x:c>
      <x:c r="H29" s="23" t="inlineStr">
        <x:is>
          <x:t xml:space="preserve">Cliente</x:t>
        </x:is>
      </x:c>
      <x:c r="I29" s="23" t="inlineStr">
        <x:is>
          <x:t xml:space="preserve">Análisis</x:t>
        </x:is>
      </x:c>
      <x:c r="J29" s="23" t="inlineStr">
        <x:is>
          <x:t xml:space="preserve">Vigente</x:t>
        </x:is>
      </x:c>
      <x:c r="K29" s="26" t="inlineStr">
        <x:is>
          <x:t xml:space="preserve"/>
        </x:is>
      </x:c>
      <x:c r="L29" s="26" t="inlineStr">
        <x:is>
          <x:t xml:space="preserve"/>
        </x:is>
      </x:c>
      <x:c r="M29" s="27" t="inlineStr">
        <x:is>
          <x:t xml:space="preserve"/>
        </x:is>
      </x:c>
      <x:c r="N29" s="28" t="inlineStr">
        <x:is>
          <x:t xml:space="preserve">Debida Diligencia</x:t>
        </x:is>
      </x:c>
      <x:c r="O29" s="28" t="inlineStr">
        <x:is>
          <x:t xml:space="preserve">DD p.15, 36</x:t>
        </x:is>
      </x:c>
    </x:row>
    <x:row r="30">
      <x:c r="A30" s="23" t="inlineStr">
        <x:is>
          <x:t xml:space="preserve">DD-19</x:t>
        </x:is>
      </x:c>
      <x:c r="B30" s="23" t="inlineStr">
        <x:is>
          <x:t xml:space="preserve">Debida diligencia</x:t>
        </x:is>
      </x:c>
      <x:c r="C30" s="23" t="inlineStr">
        <x:is>
          <x:t xml:space="preserve">Ambiental / SST</x:t>
        </x:is>
      </x:c>
      <x:c r="D30" s="23" t="inlineStr">
        <x:is>
          <x:t xml:space="preserve">Información ambiental, cambio climático, salud y seguridad</x:t>
        </x:is>
      </x:c>
      <x:c r="E30" s="23" t="inlineStr">
        <x:is>
          <x:t xml:space="preserve">Aplica si DD Mejorada o empresa operativa</x:t>
        </x:is>
      </x:c>
      <x:c r="F30" s="24" t="str">
        <x:f>IF(OR(Captura_Caso!$E$5="Mejorada",Captura_Caso!$B$5="Moral"),"Sí","No")</x:f>
        <x:v>Sí</x:v>
      </x:c>
      <x:c r="G30" s="29" t="inlineStr">
        <x:is>
          <x:t xml:space="preserve">Importante</x:t>
        </x:is>
      </x:c>
      <x:c r="H30" s="23" t="inlineStr">
        <x:is>
          <x:t xml:space="preserve">Cliente</x:t>
        </x:is>
      </x:c>
      <x:c r="I30" s="23" t="inlineStr">
        <x:is>
          <x:t xml:space="preserve">Análisis</x:t>
        </x:is>
      </x:c>
      <x:c r="J30" s="23" t="inlineStr">
        <x:is>
          <x:t xml:space="preserve">Vigente</x:t>
        </x:is>
      </x:c>
      <x:c r="K30" s="26" t="inlineStr">
        <x:is>
          <x:t xml:space="preserve"/>
        </x:is>
      </x:c>
      <x:c r="L30" s="26" t="inlineStr">
        <x:is>
          <x:t xml:space="preserve"/>
        </x:is>
      </x:c>
      <x:c r="M30" s="27" t="inlineStr">
        <x:is>
          <x:t xml:space="preserve"/>
        </x:is>
      </x:c>
      <x:c r="N30" s="28" t="inlineStr">
        <x:is>
          <x:t xml:space="preserve">Debida Diligencia</x:t>
        </x:is>
      </x:c>
      <x:c r="O30" s="28" t="inlineStr">
        <x:is>
          <x:t xml:space="preserve">DD p.17, 37</x:t>
        </x:is>
      </x:c>
    </x:row>
    <x:row r="31">
      <x:c r="A31" s="23" t="inlineStr">
        <x:is>
          <x:t xml:space="preserve">DD-20</x:t>
        </x:is>
      </x:c>
      <x:c r="B31" s="23" t="inlineStr">
        <x:is>
          <x:t xml:space="preserve">Debida diligencia</x:t>
        </x:is>
      </x:c>
      <x:c r="C31" s="23" t="inlineStr">
        <x:is>
          <x:t xml:space="preserve">Contable</x:t>
        </x:is>
      </x:c>
      <x:c r="D31" s="23" t="inlineStr">
        <x:is>
          <x:t xml:space="preserve">Detalle de políticas contables, backlog, ingresos, pasivos y auditores</x:t>
        </x:is>
      </x:c>
      <x:c r="E31" s="23" t="inlineStr">
        <x:is>
          <x:t xml:space="preserve">Solo persona moral</x:t>
        </x:is>
      </x:c>
      <x:c r="F31" s="24" t="str">
        <x:f>IF(Captura_Caso!$B$5="Moral","Sí","No")</x:f>
        <x:v>Sí</x:v>
      </x:c>
      <x:c r="G31" s="25" t="inlineStr">
        <x:is>
          <x:t xml:space="preserve">Bloqueante</x:t>
        </x:is>
      </x:c>
      <x:c r="H31" s="23" t="inlineStr">
        <x:is>
          <x:t xml:space="preserve">Cliente</x:t>
        </x:is>
      </x:c>
      <x:c r="I31" s="23" t="inlineStr">
        <x:is>
          <x:t xml:space="preserve">Análisis</x:t>
        </x:is>
      </x:c>
      <x:c r="J31" s="23" t="inlineStr">
        <x:is>
          <x:t xml:space="preserve">Vigente</x:t>
        </x:is>
      </x:c>
      <x:c r="K31" s="26" t="inlineStr">
        <x:is>
          <x:t xml:space="preserve"/>
        </x:is>
      </x:c>
      <x:c r="L31" s="26" t="inlineStr">
        <x:is>
          <x:t xml:space="preserve"/>
        </x:is>
      </x:c>
      <x:c r="M31" s="27" t="inlineStr">
        <x:is>
          <x:t xml:space="preserve"/>
        </x:is>
      </x:c>
      <x:c r="N31" s="28" t="inlineStr">
        <x:is>
          <x:t xml:space="preserve">Debida Diligencia</x:t>
        </x:is>
      </x:c>
      <x:c r="O31" s="28" t="inlineStr">
        <x:is>
          <x:t xml:space="preserve">DD p.35</x:t>
        </x:is>
      </x:c>
    </x:row>
  </x:sheetData>
  <x:mergeCells>
    <x:mergeCell ref="A1:O1"/>
  </x:mergeCells>
  <x:conditionalFormatting sqref="F3:F31">
    <x:cfRule type="expression" dxfId="0" priority="1">
      <x:formula>F3="Sí"</x:formula>
    </x:cfRule>
    <x:cfRule type="expression" dxfId="3" priority="2">
      <x:formula>F3="No"</x:formula>
    </x:cfRule>
  </x:conditionalFormatting>
  <x:conditionalFormatting sqref="K3:K31">
    <x:cfRule type="expression" dxfId="0" priority="3">
      <x:formula>K3="Recibido"</x:formula>
    </x:cfRule>
    <x:cfRule type="expression" dxfId="2" priority="4">
      <x:formula>K3="Pendiente"</x:formula>
    </x:cfRule>
    <x:cfRule type="expression" dxfId="4" priority="5">
      <x:formula>K3="En revisión"</x:formula>
    </x:cfRule>
  </x:conditionalFormatting>
  <x:conditionalFormatting sqref="L3:L31">
    <x:cfRule type="expression" dxfId="0" priority="6">
      <x:formula>L3="Sí"</x:formula>
    </x:cfRule>
    <x:cfRule type="expression" dxfId="1" priority="7">
      <x:formula>L3="No"</x:formula>
    </x:cfRule>
  </x:conditionalFormatting>
  <x:dataValidations count="2">
    <x:dataValidation type="list" allowBlank="1" showDropDown="0" showInputMessage="0" showErrorMessage="0" sqref="K3 K4 K5 K6 K7 K8 K9 K10 K11 K12 K13 K14 K15 K16 K17 K18 K19 K20 K21 K22 K23 K24 K25 K26 K27 K28 K29 K30 K31 K32 K33 K34 K35 K36 K37 K38 K39 K40 K41 K42 K43 K44 K45 K46 K47 K48 K49 K50 K51 K52 K53 K54 K55 K56 K57 K58">
      <x:formula1>=Catalogos!$I$2:$I$5</x:formula1>
    </x:dataValidation>
    <x:dataValidation type="list" allowBlank="1" showDropDown="0" showInputMessage="0" showErrorMessage="0" sqref="L3 L4 L5 L6 L7 L8 L9 L10 L11 L12 L13 L14 L15 L16 L17 L18 L19 L20 L21 L22 L23 L24 L25 L26 L27 L28 L29 L30 L31 L32 L33 L34 L35 L36 L37 L38 L39 L40 L41 L42 L43 L44 L45 L46 L47 L48 L49 L50 L51 L52 L53 L54 L55 L56 L57 L58">
      <x:formula1>=Catalogos!$J$2:$J$4</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2" customWidth="1"/>
    <x:col min="2" max="2" width="18" customWidth="1"/>
    <x:col min="3" max="3" width="18" customWidth="1"/>
    <x:col min="4" max="4" width="48" customWidth="1"/>
    <x:col min="5" max="5" width="32" customWidth="1"/>
    <x:col min="6" max="6" width="10" customWidth="1"/>
    <x:col min="7" max="7" width="12" customWidth="1"/>
    <x:col min="8" max="8" width="18" customWidth="1"/>
    <x:col min="9" max="9" width="15" customWidth="1"/>
    <x:col min="10" max="10" width="18" customWidth="1"/>
    <x:col min="11" max="11" width="16" customWidth="1"/>
    <x:col min="12" max="12" width="12" customWidth="1"/>
    <x:col min="13" max="13" width="24" customWidth="1"/>
    <x:col min="14" max="14" width="18" customWidth="1"/>
    <x:col min="15" max="15" width="28" customWidth="1"/>
  </x:cols>
  <x:sheetData>
    <x:row r="1">
      <x:c r="A1" s="2" t="inlineStr">
        <x:is>
          <x:t xml:space="preserve">Checklist operativo integral</x:t>
        </x:is>
      </x:c>
    </x:row>
    <x:row r="2">
      <x:c r="A2" s="22" t="inlineStr">
        <x:is>
          <x:t xml:space="preserve">ID</x:t>
        </x:is>
      </x:c>
      <x:c r="B2" s="22" t="inlineStr">
        <x:is>
          <x:t xml:space="preserve">Etapa</x:t>
        </x:is>
      </x:c>
      <x:c r="C2" s="22" t="inlineStr">
        <x:is>
          <x:t xml:space="preserve">Subcategoría</x:t>
        </x:is>
      </x:c>
      <x:c r="D2" s="22" t="inlineStr">
        <x:is>
          <x:t xml:space="preserve">Documento / evidencia</x:t>
        </x:is>
      </x:c>
      <x:c r="E2" s="22" t="inlineStr">
        <x:is>
          <x:t xml:space="preserve">Condición de activación</x:t>
        </x:is>
      </x:c>
      <x:c r="F2" s="22" t="inlineStr">
        <x:is>
          <x:t xml:space="preserve">Aplica</x:t>
        </x:is>
      </x:c>
      <x:c r="G2" s="22" t="inlineStr">
        <x:is>
          <x:t xml:space="preserve">Prioridad</x:t>
        </x:is>
      </x:c>
      <x:c r="H2" s="22" t="inlineStr">
        <x:is>
          <x:t xml:space="preserve">Responsable</x:t>
        </x:is>
      </x:c>
      <x:c r="I2" s="22" t="inlineStr">
        <x:is>
          <x:t xml:space="preserve">Momento</x:t>
        </x:is>
      </x:c>
      <x:c r="J2" s="22" t="inlineStr">
        <x:is>
          <x:t xml:space="preserve">Vigencia</x:t>
        </x:is>
      </x:c>
      <x:c r="K2" s="22" t="inlineStr">
        <x:is>
          <x:t xml:space="preserve">Estatus recepción</x:t>
        </x:is>
      </x:c>
      <x:c r="L2" s="22" t="inlineStr">
        <x:is>
          <x:t xml:space="preserve">Validación</x:t>
        </x:is>
      </x:c>
      <x:c r="M2" s="22" t="inlineStr">
        <x:is>
          <x:t xml:space="preserve">Observaciones</x:t>
        </x:is>
      </x:c>
      <x:c r="N2" s="22" t="inlineStr">
        <x:is>
          <x:t xml:space="preserve">Fuente</x:t>
        </x:is>
      </x:c>
      <x:c r="O2" s="22" t="inlineStr">
        <x:is>
          <x:t xml:space="preserve">Referencia base</x:t>
        </x:is>
      </x:c>
    </x:row>
    <x:row r="3">
      <x:c r="A3" s="23" t="inlineStr">
        <x:is>
          <x:t xml:space="preserve">CMA-01</x:t>
        </x:is>
      </x:c>
      <x:c r="B3" s="23" t="inlineStr">
        <x:is>
          <x:t xml:space="preserve">Precalificación CMA</x:t>
        </x:is>
      </x:c>
      <x:c r="C3" s="23" t="inlineStr">
        <x:is>
          <x:t xml:space="preserve">Antigüedad / existencia legal</x:t>
        </x:is>
      </x:c>
      <x:c r="D3" s="23" t="inlineStr">
        <x:is>
          <x:t xml:space="preserve">Acta constitutiva, reformas y folio mercantil / evidencia de antigüedad mínima de 2 años</x:t>
        </x:is>
      </x:c>
      <x:c r="E3" s="23" t="inlineStr">
        <x:is>
          <x:t xml:space="preserve">Solo persona moral; valida constitución y antigüedad mínima CMA</x:t>
        </x:is>
      </x:c>
      <x:c r="F3" s="24" t="str">
        <x:f>IF(Captura_Caso!$B$5="Moral","Sí","No")</x:f>
        <x:v>Sí</x:v>
      </x:c>
      <x:c r="G3" s="25" t="inlineStr">
        <x:is>
          <x:t xml:space="preserve">Bloqueante</x:t>
        </x:is>
      </x:c>
      <x:c r="H3" s="23" t="inlineStr">
        <x:is>
          <x:t xml:space="preserve">Cliente / Legal</x:t>
        </x:is>
      </x:c>
      <x:c r="I3" s="23" t="inlineStr">
        <x:is>
          <x:t xml:space="preserve">Pre-screening</x:t>
        </x:is>
      </x:c>
      <x:c r="J3" s="23" t="inlineStr">
        <x:is>
          <x:t xml:space="preserve">Sociedad: 12 meses</x:t>
        </x:is>
      </x:c>
      <x:c r="K3" s="26" t="inlineStr">
        <x:is>
          <x:t xml:space="preserve"/>
        </x:is>
      </x:c>
      <x:c r="L3" s="26" t="inlineStr">
        <x:is>
          <x:t xml:space="preserve"/>
        </x:is>
      </x:c>
      <x:c r="M3" s="27" t="inlineStr">
        <x:is>
          <x:t xml:space="preserve"/>
        </x:is>
      </x:c>
      <x:c r="N3" s="28" t="inlineStr">
        <x:is>
          <x:t xml:space="preserve">CMA + Debida Diligencia</x:t>
        </x:is>
      </x:c>
      <x:c r="O3" s="28" t="inlineStr">
        <x:is>
          <x:t xml:space="preserve">CMA: antigüedad 2 años; DD p.14 documentos</x:t>
        </x:is>
      </x:c>
    </x:row>
    <x:row r="4">
      <x:c r="A4" s="23" t="inlineStr">
        <x:is>
          <x:t xml:space="preserve">CMA-02</x:t>
        </x:is>
      </x:c>
      <x:c r="B4" s="23" t="inlineStr">
        <x:is>
          <x:t xml:space="preserve">Precalificación CMA</x:t>
        </x:is>
      </x:c>
      <x:c r="C4" s="23" t="inlineStr">
        <x:is>
          <x:t xml:space="preserve">Información financiera base</x:t>
        </x:is>
      </x:c>
      <x:c r="D4" s="23" t="inlineStr">
        <x:is>
          <x:t xml:space="preserve">EEFF: un cierre anual y un parcial (&lt;=4 meses) o, en su caso, dos cierres analíticos con declaración fiscal</x:t>
        </x:is>
      </x:c>
      <x:c r="E4" s="23" t="inlineStr">
        <x:is>
          <x:t xml:space="preserve">Aplica cuando la fuente financiera elegida incluye EEFF</x:t>
        </x:is>
      </x:c>
      <x:c r="F4" s="24" t="str">
        <x:f>IF(OR(Captura_Caso!$B$31="EEFF",Captura_Caso!$B$31="Ambos"),"Sí","No")</x:f>
        <x:v>Sí</x:v>
      </x:c>
      <x:c r="G4" s="25" t="inlineStr">
        <x:is>
          <x:t xml:space="preserve">Bloqueante</x:t>
        </x:is>
      </x:c>
      <x:c r="H4" s="23" t="inlineStr">
        <x:is>
          <x:t xml:space="preserve">Cliente</x:t>
        </x:is>
      </x:c>
      <x:c r="I4" s="23" t="inlineStr">
        <x:is>
          <x:t xml:space="preserve">Pre-screening</x:t>
        </x:is>
      </x:c>
      <x:c r="J4" s="23" t="inlineStr">
        <x:is>
          <x:t xml:space="preserve">Parcial &lt;=4 meses</x:t>
        </x:is>
      </x:c>
      <x:c r="K4" s="26" t="inlineStr">
        <x:is>
          <x:t xml:space="preserve"/>
        </x:is>
      </x:c>
      <x:c r="L4" s="26" t="inlineStr">
        <x:is>
          <x:t xml:space="preserve"/>
        </x:is>
      </x:c>
      <x:c r="M4" s="27" t="inlineStr">
        <x:is>
          <x:t xml:space="preserve"/>
        </x:is>
      </x:c>
      <x:c r="N4" s="28" t="inlineStr">
        <x:is>
          <x:t xml:space="preserve">CMA + Requisitos</x:t>
        </x:is>
      </x:c>
      <x:c r="O4" s="28" t="inlineStr">
        <x:is>
          <x:t xml:space="preserve">CMA y Requisitos IV</x:t>
        </x:is>
      </x:c>
    </x:row>
    <x:row r="5">
      <x:c r="A5" s="23" t="inlineStr">
        <x:is>
          <x:t xml:space="preserve">CMA-03</x:t>
        </x:is>
      </x:c>
      <x:c r="B5" s="23" t="inlineStr">
        <x:is>
          <x:t xml:space="preserve">Precalificación CMA</x:t>
        </x:is>
      </x:c>
      <x:c r="C5" s="23" t="inlineStr">
        <x:is>
          <x:t xml:space="preserve">Información financiera alternativa</x:t>
        </x:is>
      </x:c>
      <x:c r="D5" s="23" t="inlineStr">
        <x:is>
          <x:t xml:space="preserve">Estados de cuenta de los últimos 12 meses de bancos principales (&gt;=90% de ingresos)</x:t>
        </x:is>
      </x:c>
      <x:c r="E5" s="23" t="inlineStr">
        <x:is>
          <x:t xml:space="preserve">Aplica cuando la fuente financiera elegida incluye estados de cuenta</x:t>
        </x:is>
      </x:c>
      <x:c r="F5" s="24" t="str">
        <x:f>IF(OR(Captura_Caso!$B$31="Estados de cuenta",Captura_Caso!$B$31="Ambos"),"Sí","No")</x:f>
        <x:v>No</x:v>
      </x:c>
      <x:c r="G5" s="25" t="inlineStr">
        <x:is>
          <x:t xml:space="preserve">Bloqueante</x:t>
        </x:is>
      </x:c>
      <x:c r="H5" s="23" t="inlineStr">
        <x:is>
          <x:t xml:space="preserve">Cliente</x:t>
        </x:is>
      </x:c>
      <x:c r="I5" s="23" t="inlineStr">
        <x:is>
          <x:t xml:space="preserve">Pre-screening</x:t>
        </x:is>
      </x:c>
      <x:c r="J5" s="23" t="inlineStr">
        <x:is>
          <x:t xml:space="preserve">12 meses</x:t>
        </x:is>
      </x:c>
      <x:c r="K5" s="26" t="inlineStr">
        <x:is>
          <x:t xml:space="preserve"/>
        </x:is>
      </x:c>
      <x:c r="L5" s="26" t="inlineStr">
        <x:is>
          <x:t xml:space="preserve"/>
        </x:is>
      </x:c>
      <x:c r="M5" s="27" t="inlineStr">
        <x:is>
          <x:t xml:space="preserve"/>
        </x:is>
      </x:c>
      <x:c r="N5" s="28" t="inlineStr">
        <x:is>
          <x:t xml:space="preserve">CMA + Requisitos</x:t>
        </x:is>
      </x:c>
      <x:c r="O5" s="28" t="inlineStr">
        <x:is>
          <x:t xml:space="preserve">CMA criterios de estados de cuenta; Requisitos IV</x:t>
        </x:is>
      </x:c>
    </x:row>
    <x:row r="6">
      <x:c r="A6" s="23" t="inlineStr">
        <x:is>
          <x:t xml:space="preserve">CMA-04</x:t>
        </x:is>
      </x:c>
      <x:c r="B6" s="23" t="inlineStr">
        <x:is>
          <x:t xml:space="preserve">Precalificación CMA</x:t>
        </x:is>
      </x:c>
      <x:c r="C6" s="23" t="inlineStr">
        <x:is>
          <x:t xml:space="preserve">Buró interno</x:t>
        </x:is>
      </x:c>
      <x:c r="D6" s="23" t="inlineStr">
        <x:is>
          <x:t xml:space="preserve">Consulta y resultado de buró de crédito interno (mínimo Regular B)</x:t>
        </x:is>
      </x:c>
      <x:c r="E6" s="23" t="inlineStr">
        <x:is>
          <x:t xml:space="preserve">Siempre</x:t>
        </x:is>
      </x:c>
      <x:c r="F6" s="24" t="str">
        <x:f>"Sí"</x:f>
        <x:v>Sí</x:v>
      </x:c>
      <x:c r="G6" s="25" t="inlineStr">
        <x:is>
          <x:t xml:space="preserve">Bloqueante</x:t>
        </x:is>
      </x:c>
      <x:c r="H6" s="23" t="inlineStr">
        <x:is>
          <x:t xml:space="preserve">Banco Base</x:t>
        </x:is>
      </x:c>
      <x:c r="I6" s="23" t="inlineStr">
        <x:is>
          <x:t xml:space="preserve">Pre-screening</x:t>
        </x:is>
      </x:c>
      <x:c r="J6" s="23" t="inlineStr">
        <x:is>
          <x:t xml:space="preserve">Actual</x:t>
        </x:is>
      </x:c>
      <x:c r="K6" s="26" t="inlineStr">
        <x:is>
          <x:t xml:space="preserve"/>
        </x:is>
      </x:c>
      <x:c r="L6" s="26" t="inlineStr">
        <x:is>
          <x:t xml:space="preserve"/>
        </x:is>
      </x:c>
      <x:c r="M6" s="27" t="inlineStr">
        <x:is>
          <x:t xml:space="preserve"/>
        </x:is>
      </x:c>
      <x:c r="N6" s="28" t="inlineStr">
        <x:is>
          <x:t xml:space="preserve">CMA</x:t>
        </x:is>
      </x:c>
      <x:c r="O6" s="28" t="inlineStr">
        <x:is>
          <x:t xml:space="preserve">CMA: Regular B mínimo</x:t>
        </x:is>
      </x:c>
    </x:row>
    <x:row r="7">
      <x:c r="A7" s="23" t="inlineStr">
        <x:is>
          <x:t xml:space="preserve">CMA-05</x:t>
        </x:is>
      </x:c>
      <x:c r="B7" s="23" t="inlineStr">
        <x:is>
          <x:t xml:space="preserve">Precalificación CMA</x:t>
        </x:is>
      </x:c>
      <x:c r="C7" s="23" t="inlineStr">
        <x:is>
          <x:t xml:space="preserve">Solidez patrimonial</x:t>
        </x:is>
      </x:c>
      <x:c r="D7" s="23" t="inlineStr">
        <x:is>
          <x:t xml:space="preserve">Cálculo / evidencia de capital contable positivo</x:t>
        </x:is>
      </x:c>
      <x:c r="E7" s="23" t="inlineStr">
        <x:is>
          <x:t xml:space="preserve">Solo persona moral</x:t>
        </x:is>
      </x:c>
      <x:c r="F7" s="24" t="str">
        <x:f>IF(Captura_Caso!$B$5="Moral","Sí","No")</x:f>
        <x:v>Sí</x:v>
      </x:c>
      <x:c r="G7" s="25" t="inlineStr">
        <x:is>
          <x:t xml:space="preserve">Bloqueante</x:t>
        </x:is>
      </x:c>
      <x:c r="H7" s="23" t="inlineStr">
        <x:is>
          <x:t xml:space="preserve">Crédito</x:t>
        </x:is>
      </x:c>
      <x:c r="I7" s="23" t="inlineStr">
        <x:is>
          <x:t xml:space="preserve">Pre-screening</x:t>
        </x:is>
      </x:c>
      <x:c r="J7" s="23" t="inlineStr">
        <x:is>
          <x:t xml:space="preserve">Con EEFF vigentes</x:t>
        </x:is>
      </x:c>
      <x:c r="K7" s="26" t="inlineStr">
        <x:is>
          <x:t xml:space="preserve"/>
        </x:is>
      </x:c>
      <x:c r="L7" s="26" t="inlineStr">
        <x:is>
          <x:t xml:space="preserve"/>
        </x:is>
      </x:c>
      <x:c r="M7" s="27" t="inlineStr">
        <x:is>
          <x:t xml:space="preserve"/>
        </x:is>
      </x:c>
      <x:c r="N7" s="28" t="inlineStr">
        <x:is>
          <x:t xml:space="preserve">CMA</x:t>
        </x:is>
      </x:c>
      <x:c r="O7" s="28" t="inlineStr">
        <x:is>
          <x:t xml:space="preserve">CMA: capital contable positivo</x:t>
        </x:is>
      </x:c>
    </x:row>
    <x:row r="8">
      <x:c r="A8" s="23" t="inlineStr">
        <x:is>
          <x:t xml:space="preserve">CMA-06</x:t>
        </x:is>
      </x:c>
      <x:c r="B8" s="23" t="inlineStr">
        <x:is>
          <x:t xml:space="preserve">Precalificación CMA</x:t>
        </x:is>
      </x:c>
      <x:c r="C8" s="23" t="inlineStr">
        <x:is>
          <x:t xml:space="preserve">Solidez patrimonial</x:t>
        </x:is>
      </x:c>
      <x:c r="D8" s="23" t="inlineStr">
        <x:is>
          <x:t xml:space="preserve">Validación de ausencia de quiebra técnica</x:t>
        </x:is>
      </x:c>
      <x:c r="E8" s="23" t="inlineStr">
        <x:is>
          <x:t xml:space="preserve">Solo persona moral</x:t>
        </x:is>
      </x:c>
      <x:c r="F8" s="24" t="str">
        <x:f>IF(Captura_Caso!$B$5="Moral","Sí","No")</x:f>
        <x:v>Sí</x:v>
      </x:c>
      <x:c r="G8" s="25" t="inlineStr">
        <x:is>
          <x:t xml:space="preserve">Bloqueante</x:t>
        </x:is>
      </x:c>
      <x:c r="H8" s="23" t="inlineStr">
        <x:is>
          <x:t xml:space="preserve">Crédito</x:t>
        </x:is>
      </x:c>
      <x:c r="I8" s="23" t="inlineStr">
        <x:is>
          <x:t xml:space="preserve">Pre-screening</x:t>
        </x:is>
      </x:c>
      <x:c r="J8" s="23" t="inlineStr">
        <x:is>
          <x:t xml:space="preserve">Con EEFF vigentes</x:t>
        </x:is>
      </x:c>
      <x:c r="K8" s="26" t="inlineStr">
        <x:is>
          <x:t xml:space="preserve"/>
        </x:is>
      </x:c>
      <x:c r="L8" s="26" t="inlineStr">
        <x:is>
          <x:t xml:space="preserve"/>
        </x:is>
      </x:c>
      <x:c r="M8" s="27" t="inlineStr">
        <x:is>
          <x:t xml:space="preserve"/>
        </x:is>
      </x:c>
      <x:c r="N8" s="28" t="inlineStr">
        <x:is>
          <x:t xml:space="preserve">CMA</x:t>
        </x:is>
      </x:c>
      <x:c r="O8" s="28" t="inlineStr">
        <x:is>
          <x:t xml:space="preserve">CMA: sin quiebra técnica</x:t>
        </x:is>
      </x:c>
    </x:row>
    <x:row r="9">
      <x:c r="A9" s="23" t="inlineStr">
        <x:is>
          <x:t xml:space="preserve">CMA-07</x:t>
        </x:is>
      </x:c>
      <x:c r="B9" s="23" t="inlineStr">
        <x:is>
          <x:t xml:space="preserve">Precalificación CMA</x:t>
        </x:is>
      </x:c>
      <x:c r="C9" s="23" t="inlineStr">
        <x:is>
          <x:t xml:space="preserve">Capacidad de pago</x:t>
        </x:is>
      </x:c>
      <x:c r="D9" s="23" t="inlineStr">
        <x:is>
          <x:t xml:space="preserve">Cálculo DSCR mínimo 1.0x</x:t>
        </x:is>
      </x:c>
      <x:c r="E9" s="23" t="inlineStr">
        <x:is>
          <x:t xml:space="preserve">Siempre</x:t>
        </x:is>
      </x:c>
      <x:c r="F9" s="24" t="str">
        <x:f>"Sí"</x:f>
        <x:v>Sí</x:v>
      </x:c>
      <x:c r="G9" s="25" t="inlineStr">
        <x:is>
          <x:t xml:space="preserve">Bloqueante</x:t>
        </x:is>
      </x:c>
      <x:c r="H9" s="23" t="inlineStr">
        <x:is>
          <x:t xml:space="preserve">Crédito</x:t>
        </x:is>
      </x:c>
      <x:c r="I9" s="23" t="inlineStr">
        <x:is>
          <x:t xml:space="preserve">Pre-screening</x:t>
        </x:is>
      </x:c>
      <x:c r="J9" s="23" t="inlineStr">
        <x:is>
          <x:t xml:space="preserve">Con info financiera vigente</x:t>
        </x:is>
      </x:c>
      <x:c r="K9" s="26" t="inlineStr">
        <x:is>
          <x:t xml:space="preserve"/>
        </x:is>
      </x:c>
      <x:c r="L9" s="26" t="inlineStr">
        <x:is>
          <x:t xml:space="preserve"/>
        </x:is>
      </x:c>
      <x:c r="M9" s="27" t="inlineStr">
        <x:is>
          <x:t xml:space="preserve"/>
        </x:is>
      </x:c>
      <x:c r="N9" s="28" t="inlineStr">
        <x:is>
          <x:t xml:space="preserve">CMA</x:t>
        </x:is>
      </x:c>
      <x:c r="O9" s="28" t="inlineStr">
        <x:is>
          <x:t xml:space="preserve">CMA: DSCR mínimo 1 a 1</x:t>
        </x:is>
      </x:c>
    </x:row>
    <x:row r="10">
      <x:c r="A10" s="23" t="inlineStr">
        <x:is>
          <x:t xml:space="preserve">CMA-08</x:t>
        </x:is>
      </x:c>
      <x:c r="B10" s="23" t="inlineStr">
        <x:is>
          <x:t xml:space="preserve">Precalificación CMA</x:t>
        </x:is>
      </x:c>
      <x:c r="C10" s="23" t="inlineStr">
        <x:is>
          <x:t xml:space="preserve">Razones financieras</x:t>
        </x:is>
      </x:c>
      <x:c r="D10" s="23" t="inlineStr">
        <x:is>
          <x:t xml:space="preserve">Cálculo de apalancamiento, cobertura de intereses, DSCR, prueba ácida, razón circulante y ciclo financiero</x:t>
        </x:is>
      </x:c>
      <x:c r="E10" s="23" t="inlineStr">
        <x:is>
          <x:t xml:space="preserve">Solo persona moral / cuando existan EEFF</x:t>
        </x:is>
      </x:c>
      <x:c r="F10" s="24" t="str">
        <x:f>IF(AND(Captura_Caso!$B$5="Moral",OR(Captura_Caso!$B$31="EEFF",Captura_Caso!$B$31="Ambos")),"Sí","No")</x:f>
        <x:v>Sí</x:v>
      </x:c>
      <x:c r="G10" s="25" t="inlineStr">
        <x:is>
          <x:t xml:space="preserve">Bloqueante</x:t>
        </x:is>
      </x:c>
      <x:c r="H10" s="23" t="inlineStr">
        <x:is>
          <x:t xml:space="preserve">Crédito</x:t>
        </x:is>
      </x:c>
      <x:c r="I10" s="23" t="inlineStr">
        <x:is>
          <x:t xml:space="preserve">Pre-screening</x:t>
        </x:is>
      </x:c>
      <x:c r="J10" s="23" t="inlineStr">
        <x:is>
          <x:t xml:space="preserve">Con EEFF vigentes</x:t>
        </x:is>
      </x:c>
      <x:c r="K10" s="26" t="inlineStr">
        <x:is>
          <x:t xml:space="preserve"/>
        </x:is>
      </x:c>
      <x:c r="L10" s="26" t="inlineStr">
        <x:is>
          <x:t xml:space="preserve"/>
        </x:is>
      </x:c>
      <x:c r="M10" s="27" t="inlineStr">
        <x:is>
          <x:t xml:space="preserve"/>
        </x:is>
      </x:c>
      <x:c r="N10" s="28" t="inlineStr">
        <x:is>
          <x:t xml:space="preserve">CMA</x:t>
        </x:is>
      </x:c>
      <x:c r="O10" s="28" t="inlineStr">
        <x:is>
          <x:t xml:space="preserve">CMA: razones financieras según industria</x:t>
        </x:is>
      </x:c>
    </x:row>
    <x:row r="11">
      <x:c r="A11" s="23" t="inlineStr">
        <x:is>
          <x:t xml:space="preserve">CMA-09</x:t>
        </x:is>
      </x:c>
      <x:c r="B11" s="23" t="inlineStr">
        <x:is>
          <x:t xml:space="preserve">Precalificación CMA</x:t>
        </x:is>
      </x:c>
      <x:c r="C11" s="23" t="inlineStr">
        <x:is>
          <x:t xml:space="preserve">Análisis de estados de cuenta</x:t>
        </x:is>
      </x:c>
      <x:c r="D11" s="23" t="inlineStr">
        <x:is>
          <x:t xml:space="preserve">Análisis de entradas, salidas y saldo promedio mensual</x:t>
        </x:is>
      </x:c>
      <x:c r="E11" s="23" t="inlineStr">
        <x:is>
          <x:t xml:space="preserve">Aplica cuando se usan estados de cuenta</x:t>
        </x:is>
      </x:c>
      <x:c r="F11" s="24" t="str">
        <x:f>IF(OR(Captura_Caso!$B$31="Estados de cuenta",Captura_Caso!$B$31="Ambos"),"Sí","No")</x:f>
        <x:v>No</x:v>
      </x:c>
      <x:c r="G11" s="29" t="inlineStr">
        <x:is>
          <x:t xml:space="preserve">Importante</x:t>
        </x:is>
      </x:c>
      <x:c r="H11" s="23" t="inlineStr">
        <x:is>
          <x:t xml:space="preserve">Crédito</x:t>
        </x:is>
      </x:c>
      <x:c r="I11" s="23" t="inlineStr">
        <x:is>
          <x:t xml:space="preserve">Pre-screening</x:t>
        </x:is>
      </x:c>
      <x:c r="J11" s="23" t="inlineStr">
        <x:is>
          <x:t xml:space="preserve">12 meses</x:t>
        </x:is>
      </x:c>
      <x:c r="K11" s="26" t="inlineStr">
        <x:is>
          <x:t xml:space="preserve"/>
        </x:is>
      </x:c>
      <x:c r="L11" s="26" t="inlineStr">
        <x:is>
          <x:t xml:space="preserve"/>
        </x:is>
      </x:c>
      <x:c r="M11" s="27" t="inlineStr">
        <x:is>
          <x:t xml:space="preserve"/>
        </x:is>
      </x:c>
      <x:c r="N11" s="28" t="inlineStr">
        <x:is>
          <x:t xml:space="preserve">CMA</x:t>
        </x:is>
      </x:c>
      <x:c r="O11" s="28" t="inlineStr">
        <x:is>
          <x:t xml:space="preserve">CMA: criterios de estados de cuenta</x:t>
        </x:is>
      </x:c>
    </x:row>
    <x:row r="12">
      <x:c r="A12" s="23" t="inlineStr">
        <x:is>
          <x:t xml:space="preserve">CMA-10</x:t>
        </x:is>
      </x:c>
      <x:c r="B12" s="23" t="inlineStr">
        <x:is>
          <x:t xml:space="preserve">Precalificación CMA</x:t>
        </x:is>
      </x:c>
      <x:c r="C12" s="23" t="inlineStr">
        <x:is>
          <x:t xml:space="preserve">Garantía mínima</x:t>
        </x:is>
      </x:c>
      <x:c r="D12" s="23" t="inlineStr">
        <x:is>
          <x:t xml:space="preserve">Evidencia de cobertura 2:1 con propiedades libres de gravamen si no existe garantía especial</x:t>
        </x:is>
      </x:c>
      <x:c r="E12" s="23" t="inlineStr">
        <x:is>
          <x:t xml:space="preserve">Aplica cuando NO hay garantía especial</x:t>
        </x:is>
      </x:c>
      <x:c r="F12" s="24" t="str">
        <x:f>IF(Captura_Caso!$B$16="No","Sí","No")</x:f>
        <x:v>Sí</x:v>
      </x:c>
      <x:c r="G12" s="25" t="inlineStr">
        <x:is>
          <x:t xml:space="preserve">Bloqueante</x:t>
        </x:is>
      </x:c>
      <x:c r="H12" s="23" t="inlineStr">
        <x:is>
          <x:t xml:space="preserve">Cliente / Crédito</x:t>
        </x:is>
      </x:c>
      <x:c r="I12" s="23" t="inlineStr">
        <x:is>
          <x:t xml:space="preserve">Pre-screening</x:t>
        </x:is>
      </x:c>
      <x:c r="J12" s="23" t="inlineStr">
        <x:is>
          <x:t xml:space="preserve">Actual</x:t>
        </x:is>
      </x:c>
      <x:c r="K12" s="26" t="inlineStr">
        <x:is>
          <x:t xml:space="preserve"/>
        </x:is>
      </x:c>
      <x:c r="L12" s="26" t="inlineStr">
        <x:is>
          <x:t xml:space="preserve"/>
        </x:is>
      </x:c>
      <x:c r="M12" s="27" t="inlineStr">
        <x:is>
          <x:t xml:space="preserve"/>
        </x:is>
      </x:c>
      <x:c r="N12" s="28" t="inlineStr">
        <x:is>
          <x:t xml:space="preserve">CMA</x:t>
        </x:is>
      </x:c>
      <x:c r="O12" s="28" t="inlineStr">
        <x:is>
          <x:t xml:space="preserve">CMA: seguridad mínima 2 a 1</x:t>
        </x:is>
      </x:c>
    </x:row>
    <x:row r="13">
      <x:c r="A13" s="23" t="inlineStr">
        <x:is>
          <x:t xml:space="preserve">CMA-11</x:t>
        </x:is>
      </x:c>
      <x:c r="B13" s="23" t="inlineStr">
        <x:is>
          <x:t xml:space="preserve">Precalificación CMA</x:t>
        </x:is>
      </x:c>
      <x:c r="C13" s="23" t="inlineStr">
        <x:is>
          <x:t xml:space="preserve">Criterios de rechazo</x:t>
        </x:is>
      </x:c>
      <x:c r="D13" s="23" t="inlineStr">
        <x:is>
          <x:t xml:space="preserve">Revisión de atrasos vigentes e históricos &gt;10% del saldo vigente</x:t>
        </x:is>
      </x:c>
      <x:c r="E13" s="23" t="inlineStr">
        <x:is>
          <x:t xml:space="preserve">Siempre</x:t>
        </x:is>
      </x:c>
      <x:c r="F13" s="24" t="str">
        <x:f>"Sí"</x:f>
        <x:v>Sí</x:v>
      </x:c>
      <x:c r="G13" s="25" t="inlineStr">
        <x:is>
          <x:t xml:space="preserve">Bloqueante</x:t>
        </x:is>
      </x:c>
      <x:c r="H13" s="23" t="inlineStr">
        <x:is>
          <x:t xml:space="preserve">Banco Base</x:t>
        </x:is>
      </x:c>
      <x:c r="I13" s="23" t="inlineStr">
        <x:is>
          <x:t xml:space="preserve">Pre-screening</x:t>
        </x:is>
      </x:c>
      <x:c r="J13" s="23" t="inlineStr">
        <x:is>
          <x:t xml:space="preserve">Actual</x:t>
        </x:is>
      </x:c>
      <x:c r="K13" s="26" t="inlineStr">
        <x:is>
          <x:t xml:space="preserve"/>
        </x:is>
      </x:c>
      <x:c r="L13" s="26" t="inlineStr">
        <x:is>
          <x:t xml:space="preserve"/>
        </x:is>
      </x:c>
      <x:c r="M13" s="27" t="inlineStr">
        <x:is>
          <x:t xml:space="preserve"/>
        </x:is>
      </x:c>
      <x:c r="N13" s="28" t="inlineStr">
        <x:is>
          <x:t xml:space="preserve">CMA</x:t>
        </x:is>
      </x:c>
      <x:c r="O13" s="28" t="inlineStr">
        <x:is>
          <x:t xml:space="preserve">CMA: rechazo por atrasos &gt;10%</x:t>
        </x:is>
      </x:c>
    </x:row>
    <x:row r="14">
      <x:c r="A14" s="23" t="inlineStr">
        <x:is>
          <x:t xml:space="preserve">CMA-12</x:t>
        </x:is>
      </x:c>
      <x:c r="B14" s="23" t="inlineStr">
        <x:is>
          <x:t xml:space="preserve">Precalificación CMA</x:t>
        </x:is>
      </x:c>
      <x:c r="C14" s="23" t="inlineStr">
        <x:is>
          <x:t xml:space="preserve">Criterios de rechazo</x:t>
        </x:is>
      </x:c>
      <x:c r="D14" s="23" t="inlineStr">
        <x:is>
          <x:t xml:space="preserve">Búsqueda de juicios mercantiles en los últimos 10 años y aclaraciones del cliente</x:t>
        </x:is>
      </x:c>
      <x:c r="E14" s="23" t="inlineStr">
        <x:is>
          <x:t xml:space="preserve">Siempre</x:t>
        </x:is>
      </x:c>
      <x:c r="F14" s="24" t="str">
        <x:f>"Sí"</x:f>
        <x:v>Sí</x:v>
      </x:c>
      <x:c r="G14" s="25" t="inlineStr">
        <x:is>
          <x:t xml:space="preserve">Bloqueante</x:t>
        </x:is>
      </x:c>
      <x:c r="H14" s="23" t="inlineStr">
        <x:is>
          <x:t xml:space="preserve">Cliente / Legal</x:t>
        </x:is>
      </x:c>
      <x:c r="I14" s="23" t="inlineStr">
        <x:is>
          <x:t xml:space="preserve">Pre-screening</x:t>
        </x:is>
      </x:c>
      <x:c r="J14" s="23" t="inlineStr">
        <x:is>
          <x:t xml:space="preserve">Actual</x:t>
        </x:is>
      </x:c>
      <x:c r="K14" s="26" t="inlineStr">
        <x:is>
          <x:t xml:space="preserve"/>
        </x:is>
      </x:c>
      <x:c r="L14" s="26" t="inlineStr">
        <x:is>
          <x:t xml:space="preserve"/>
        </x:is>
      </x:c>
      <x:c r="M14" s="27" t="inlineStr">
        <x:is>
          <x:t xml:space="preserve"/>
        </x:is>
      </x:c>
      <x:c r="N14" s="28" t="inlineStr">
        <x:is>
          <x:t xml:space="preserve">CMA</x:t>
        </x:is>
      </x:c>
      <x:c r="O14" s="28" t="inlineStr">
        <x:is>
          <x:t xml:space="preserve">CMA: juicios mercantiles sin aclaración</x:t>
        </x:is>
      </x:c>
    </x:row>
    <x:row r="15">
      <x:c r="A15" s="23" t="inlineStr">
        <x:is>
          <x:t xml:space="preserve">CMA-13</x:t>
        </x:is>
      </x:c>
      <x:c r="B15" s="23" t="inlineStr">
        <x:is>
          <x:t xml:space="preserve">Precalificación CMA</x:t>
        </x:is>
      </x:c>
      <x:c r="C15" s="23" t="inlineStr">
        <x:is>
          <x:t xml:space="preserve">Criterios de rechazo</x:t>
        </x:is>
      </x:c>
      <x:c r="D15" s="23" t="inlineStr">
        <x:is>
          <x:t xml:space="preserve">Verificación de sociedad / certificado que no la identifique como embargada</x:t>
        </x:is>
      </x:c>
      <x:c r="E15" s="23" t="inlineStr">
        <x:is>
          <x:t xml:space="preserve">Solo persona moral</x:t>
        </x:is>
      </x:c>
      <x:c r="F15" s="24" t="str">
        <x:f>IF(Captura_Caso!$B$5="Moral","Sí","No")</x:f>
        <x:v>Sí</x:v>
      </x:c>
      <x:c r="G15" s="25" t="inlineStr">
        <x:is>
          <x:t xml:space="preserve">Bloqueante</x:t>
        </x:is>
      </x:c>
      <x:c r="H15" s="23" t="inlineStr">
        <x:is>
          <x:t xml:space="preserve">Cliente / Legal</x:t>
        </x:is>
      </x:c>
      <x:c r="I15" s="23" t="inlineStr">
        <x:is>
          <x:t xml:space="preserve">Pre-screening</x:t>
        </x:is>
      </x:c>
      <x:c r="J15" s="23" t="inlineStr">
        <x:is>
          <x:t xml:space="preserve">Sociedad: 12 meses</x:t>
        </x:is>
      </x:c>
      <x:c r="K15" s="26" t="inlineStr">
        <x:is>
          <x:t xml:space="preserve"/>
        </x:is>
      </x:c>
      <x:c r="L15" s="26" t="inlineStr">
        <x:is>
          <x:t xml:space="preserve"/>
        </x:is>
      </x:c>
      <x:c r="M15" s="27" t="inlineStr">
        <x:is>
          <x:t xml:space="preserve"/>
        </x:is>
      </x:c>
      <x:c r="N15" s="28" t="inlineStr">
        <x:is>
          <x:t xml:space="preserve">CMA</x:t>
        </x:is>
      </x:c>
      <x:c r="O15" s="28" t="inlineStr">
        <x:is>
          <x:t xml:space="preserve">CMA: sociedad no embargada</x:t>
        </x:is>
      </x:c>
    </x:row>
    <x:row r="16">
      <x:c r="A16" s="23" t="inlineStr">
        <x:is>
          <x:t xml:space="preserve">CMA-14</x:t>
        </x:is>
      </x:c>
      <x:c r="B16" s="23" t="inlineStr">
        <x:is>
          <x:t xml:space="preserve">Precalificación CMA</x:t>
        </x:is>
      </x:c>
      <x:c r="C16" s="23" t="inlineStr">
        <x:is>
          <x:t xml:space="preserve">Criterios de rechazo</x:t>
        </x:is>
      </x:c>
      <x:c r="D16" s="23" t="inlineStr">
        <x:is>
          <x:t xml:space="preserve">Screening PLD / listas negras de empresa y accionistas</x:t>
        </x:is>
      </x:c>
      <x:c r="E16" s="23" t="inlineStr">
        <x:is>
          <x:t xml:space="preserve">Siempre</x:t>
        </x:is>
      </x:c>
      <x:c r="F16" s="24" t="str">
        <x:f>"Sí"</x:f>
        <x:v>Sí</x:v>
      </x:c>
      <x:c r="G16" s="25" t="inlineStr">
        <x:is>
          <x:t xml:space="preserve">Bloqueante</x:t>
        </x:is>
      </x:c>
      <x:c r="H16" s="23" t="inlineStr">
        <x:is>
          <x:t xml:space="preserve">Banco Base / Cumplimiento</x:t>
        </x:is>
      </x:c>
      <x:c r="I16" s="23" t="inlineStr">
        <x:is>
          <x:t xml:space="preserve">Pre-screening</x:t>
        </x:is>
      </x:c>
      <x:c r="J16" s="23" t="inlineStr">
        <x:is>
          <x:t xml:space="preserve">Actual</x:t>
        </x:is>
      </x:c>
      <x:c r="K16" s="26" t="inlineStr">
        <x:is>
          <x:t xml:space="preserve"/>
        </x:is>
      </x:c>
      <x:c r="L16" s="26" t="inlineStr">
        <x:is>
          <x:t xml:space="preserve"/>
        </x:is>
      </x:c>
      <x:c r="M16" s="27" t="inlineStr">
        <x:is>
          <x:t xml:space="preserve"/>
        </x:is>
      </x:c>
      <x:c r="N16" s="28" t="inlineStr">
        <x:is>
          <x:t xml:space="preserve">CMA + DD</x:t>
        </x:is>
      </x:c>
      <x:c r="O16" s="28" t="inlineStr">
        <x:is>
          <x:t xml:space="preserve">CMA rechazo PLD; DD riesgos geográficos</x:t>
        </x:is>
      </x:c>
    </x:row>
    <x:row r="17">
      <x:c r="A17" s="23" t="inlineStr">
        <x:is>
          <x:t xml:space="preserve">REG-01</x:t>
        </x:is>
      </x:c>
      <x:c r="B17" s="23" t="inlineStr">
        <x:is>
          <x:t xml:space="preserve">Regulatorio</x:t>
        </x:is>
      </x:c>
      <x:c r="C17" s="23" t="inlineStr">
        <x:is>
          <x:t xml:space="preserve">SIC</x:t>
        </x:is>
      </x:c>
      <x:c r="D17" s="23" t="inlineStr">
        <x:is>
          <x:t xml:space="preserve">Consulta SIC del acreditado e informe actualizado</x:t>
        </x:is>
      </x:c>
      <x:c r="E17" s="23" t="inlineStr">
        <x:is>
          <x:t xml:space="preserve">Siempre</x:t>
        </x:is>
      </x:c>
      <x:c r="F17" s="24" t="str">
        <x:f>"Sí"</x:f>
        <x:v>Sí</x:v>
      </x:c>
      <x:c r="G17" s="25" t="inlineStr">
        <x:is>
          <x:t xml:space="preserve">Bloqueante</x:t>
        </x:is>
      </x:c>
      <x:c r="H17" s="23" t="inlineStr">
        <x:is>
          <x:t xml:space="preserve">Banco Base</x:t>
        </x:is>
      </x:c>
      <x:c r="I17" s="23" t="inlineStr">
        <x:is>
          <x:t xml:space="preserve">Aprobación</x:t>
        </x:is>
      </x:c>
      <x:c r="J17" s="23" t="inlineStr">
        <x:is>
          <x:t xml:space="preserve">Actual</x:t>
        </x:is>
      </x:c>
      <x:c r="K17" s="26" t="inlineStr">
        <x:is>
          <x:t xml:space="preserve"/>
        </x:is>
      </x:c>
      <x:c r="L17" s="26" t="inlineStr">
        <x:is>
          <x:t xml:space="preserve"/>
        </x:is>
      </x:c>
      <x:c r="M17" s="27" t="inlineStr">
        <x:is>
          <x:t xml:space="preserve"/>
        </x:is>
      </x:c>
      <x:c r="N17" s="28" t="inlineStr">
        <x:is>
          <x:t xml:space="preserve">Requisitos</x:t>
        </x:is>
      </x:c>
      <x:c r="O17" s="28" t="inlineStr">
        <x:is>
          <x:t xml:space="preserve">Requisitos I-III</x:t>
        </x:is>
      </x:c>
    </x:row>
    <x:row r="18">
      <x:c r="A18" s="23" t="inlineStr">
        <x:is>
          <x:t xml:space="preserve">REG-02</x:t>
        </x:is>
      </x:c>
      <x:c r="B18" s="23" t="inlineStr">
        <x:is>
          <x:t xml:space="preserve">Regulatorio</x:t>
        </x:is>
      </x:c>
      <x:c r="C18" s="23" t="inlineStr">
        <x:is>
          <x:t xml:space="preserve">SIC</x:t>
        </x:is>
      </x:c>
      <x:c r="D18" s="23" t="inlineStr">
        <x:is>
          <x:t xml:space="preserve">Consulta SIC del OS / aval / fiador e informe actualizado</x:t>
        </x:is>
      </x:c>
      <x:c r="E18" s="23" t="inlineStr">
        <x:is>
          <x:t xml:space="preserve">Aplica si existe OS / aval / fiador</x:t>
        </x:is>
      </x:c>
      <x:c r="F18" s="24" t="str">
        <x:f>IF(Captura_Caso!$B$13="Sí","Sí","No")</x:f>
        <x:v>No</x:v>
      </x:c>
      <x:c r="G18" s="25" t="inlineStr">
        <x:is>
          <x:t xml:space="preserve">Bloqueante</x:t>
        </x:is>
      </x:c>
      <x:c r="H18" s="23" t="inlineStr">
        <x:is>
          <x:t xml:space="preserve">Banco Base</x:t>
        </x:is>
      </x:c>
      <x:c r="I18" s="23" t="inlineStr">
        <x:is>
          <x:t xml:space="preserve">Aprobación</x:t>
        </x:is>
      </x:c>
      <x:c r="J18" s="23" t="inlineStr">
        <x:is>
          <x:t xml:space="preserve">Actual</x:t>
        </x:is>
      </x:c>
      <x:c r="K18" s="26" t="inlineStr">
        <x:is>
          <x:t xml:space="preserve"/>
        </x:is>
      </x:c>
      <x:c r="L18" s="26" t="inlineStr">
        <x:is>
          <x:t xml:space="preserve"/>
        </x:is>
      </x:c>
      <x:c r="M18" s="27" t="inlineStr">
        <x:is>
          <x:t xml:space="preserve"/>
        </x:is>
      </x:c>
      <x:c r="N18" s="28" t="inlineStr">
        <x:is>
          <x:t xml:space="preserve">Requisitos</x:t>
        </x:is>
      </x:c>
      <x:c r="O18" s="28" t="inlineStr">
        <x:is>
          <x:t xml:space="preserve">Requisitos I-III</x:t>
        </x:is>
      </x:c>
    </x:row>
    <x:row r="19">
      <x:c r="A19" s="23" t="inlineStr">
        <x:is>
          <x:t xml:space="preserve">REG-03</x:t>
        </x:is>
      </x:c>
      <x:c r="B19" s="23" t="inlineStr">
        <x:is>
          <x:t xml:space="preserve">Regulatorio</x:t>
        </x:is>
      </x:c>
      <x:c r="C19" s="23" t="inlineStr">
        <x:is>
          <x:t xml:space="preserve">Autorización</x:t>
        </x:is>
      </x:c>
      <x:c r="D19" s="23" t="inlineStr">
        <x:is>
          <x:t xml:space="preserve">Documentación de autorizaciones de crédito</x:t>
        </x:is>
      </x:c>
      <x:c r="E19" s="23" t="inlineStr">
        <x:is>
          <x:t xml:space="preserve">Siempre</x:t>
        </x:is>
      </x:c>
      <x:c r="F19" s="24" t="str">
        <x:f>"Sí"</x:f>
        <x:v>Sí</x:v>
      </x:c>
      <x:c r="G19" s="25" t="inlineStr">
        <x:is>
          <x:t xml:space="preserve">Bloqueante</x:t>
        </x:is>
      </x:c>
      <x:c r="H19" s="23" t="inlineStr">
        <x:is>
          <x:t xml:space="preserve">Banco Base</x:t>
        </x:is>
      </x:c>
      <x:c r="I19" s="23" t="inlineStr">
        <x:is>
          <x:t xml:space="preserve">Aprobación</x:t>
        </x:is>
      </x:c>
      <x:c r="J19" s="23" t="inlineStr">
        <x:is>
          <x:t xml:space="preserve">Actual</x:t>
        </x:is>
      </x:c>
      <x:c r="K19" s="26" t="inlineStr">
        <x:is>
          <x:t xml:space="preserve"/>
        </x:is>
      </x:c>
      <x:c r="L19" s="26" t="inlineStr">
        <x:is>
          <x:t xml:space="preserve"/>
        </x:is>
      </x:c>
      <x:c r="M19" s="27" t="inlineStr">
        <x:is>
          <x:t xml:space="preserve"/>
        </x:is>
      </x:c>
      <x:c r="N19" s="28" t="inlineStr">
        <x:is>
          <x:t xml:space="preserve">Requisitos</x:t>
        </x:is>
      </x:c>
      <x:c r="O19" s="28" t="inlineStr">
        <x:is>
          <x:t xml:space="preserve">Requisitos I-III</x:t>
        </x:is>
      </x:c>
    </x:row>
    <x:row r="20">
      <x:c r="A20" s="23" t="inlineStr">
        <x:is>
          <x:t xml:space="preserve">REG-04</x:t>
        </x:is>
      </x:c>
      <x:c r="B20" s="23" t="inlineStr">
        <x:is>
          <x:t xml:space="preserve">Regulatorio</x:t>
        </x:is>
      </x:c>
      <x:c r="C20" s="23" t="inlineStr">
        <x:is>
          <x:t xml:space="preserve">Estudio de crédito</x:t>
        </x:is>
      </x:c>
      <x:c r="D20" s="23" t="inlineStr">
        <x:is>
          <x:t xml:space="preserve">Estudio de crédito / paramétrico del acreditado y, en su caso, garante</x:t>
        </x:is>
      </x:c>
      <x:c r="E20" s="23" t="inlineStr">
        <x:is>
          <x:t xml:space="preserve">Siempre</x:t>
        </x:is>
      </x:c>
      <x:c r="F20" s="24" t="str">
        <x:f>"Sí"</x:f>
        <x:v>Sí</x:v>
      </x:c>
      <x:c r="G20" s="25" t="inlineStr">
        <x:is>
          <x:t xml:space="preserve">Bloqueante</x:t>
        </x:is>
      </x:c>
      <x:c r="H20" s="23" t="inlineStr">
        <x:is>
          <x:t xml:space="preserve">Crédito</x:t>
        </x:is>
      </x:c>
      <x:c r="I20" s="23" t="inlineStr">
        <x:is>
          <x:t xml:space="preserve">Aprobación</x:t>
        </x:is>
      </x:c>
      <x:c r="J20" s="23" t="inlineStr">
        <x:is>
          <x:t xml:space="preserve">Actual</x:t>
        </x:is>
      </x:c>
      <x:c r="K20" s="26" t="inlineStr">
        <x:is>
          <x:t xml:space="preserve"/>
        </x:is>
      </x:c>
      <x:c r="L20" s="26" t="inlineStr">
        <x:is>
          <x:t xml:space="preserve"/>
        </x:is>
      </x:c>
      <x:c r="M20" s="27" t="inlineStr">
        <x:is>
          <x:t xml:space="preserve"/>
        </x:is>
      </x:c>
      <x:c r="N20" s="28" t="inlineStr">
        <x:is>
          <x:t xml:space="preserve">Requisitos</x:t>
        </x:is>
      </x:c>
      <x:c r="O20" s="28" t="inlineStr">
        <x:is>
          <x:t xml:space="preserve">Requisitos I-III</x:t>
        </x:is>
      </x:c>
    </x:row>
    <x:row r="21">
      <x:c r="A21" s="23" t="inlineStr">
        <x:is>
          <x:t xml:space="preserve">REG-05</x:t>
        </x:is>
      </x:c>
      <x:c r="B21" s="23" t="inlineStr">
        <x:is>
          <x:t xml:space="preserve">Regulatorio</x:t>
        </x:is>
      </x:c>
      <x:c r="C21" s="23" t="inlineStr">
        <x:is>
          <x:t xml:space="preserve">Ley</x:t>
        </x:is>
      </x:c>
      <x:c r="D21" s="23" t="inlineStr">
        <x:is>
          <x:t xml:space="preserve">Evidencia de cumplimiento de artículos 73 y 73 Bis</x:t>
        </x:is>
      </x:c>
      <x:c r="E21" s="23" t="inlineStr">
        <x:is>
          <x:t xml:space="preserve">Aplica para créditos &gt;25,000 UDIS</x:t>
        </x:is>
      </x:c>
      <x:c r="F21" s="24" t="str">
        <x:f>IF(Captura_Caso!$B$11&gt;25000,"Sí","No")</x:f>
        <x:v>No</x:v>
      </x:c>
      <x:c r="G21" s="25" t="inlineStr">
        <x:is>
          <x:t xml:space="preserve">Bloqueante</x:t>
        </x:is>
      </x:c>
      <x:c r="H21" s="23" t="inlineStr">
        <x:is>
          <x:t xml:space="preserve">Crédito / Legal</x:t>
        </x:is>
      </x:c>
      <x:c r="I21" s="23" t="inlineStr">
        <x:is>
          <x:t xml:space="preserve">Aprobación</x:t>
        </x:is>
      </x:c>
      <x:c r="J21" s="23" t="inlineStr">
        <x:is>
          <x:t xml:space="preserve">Actual</x:t>
        </x:is>
      </x:c>
      <x:c r="K21" s="26" t="inlineStr">
        <x:is>
          <x:t xml:space="preserve"/>
        </x:is>
      </x:c>
      <x:c r="L21" s="26" t="inlineStr">
        <x:is>
          <x:t xml:space="preserve"/>
        </x:is>
      </x:c>
      <x:c r="M21" s="27" t="inlineStr">
        <x:is>
          <x:t xml:space="preserve"/>
        </x:is>
      </x:c>
      <x:c r="N21" s="28" t="inlineStr">
        <x:is>
          <x:t xml:space="preserve">Requisitos</x:t>
        </x:is>
      </x:c>
      <x:c r="O21" s="28" t="inlineStr">
        <x:is>
          <x:t xml:space="preserve">Requisitos II-III</x:t>
        </x:is>
      </x:c>
    </x:row>
    <x:row r="22">
      <x:c r="A22" s="23" t="inlineStr">
        <x:is>
          <x:t xml:space="preserve">REG-06</x:t>
        </x:is>
      </x:c>
      <x:c r="B22" s="23" t="inlineStr">
        <x:is>
          <x:t xml:space="preserve">Regulatorio</x:t>
        </x:is>
      </x:c>
      <x:c r="C22" s="23" t="inlineStr">
        <x:is>
          <x:t xml:space="preserve">Instrumentos legales</x:t>
        </x:is>
      </x:c>
      <x:c r="D22" s="23" t="inlineStr">
        <x:is>
          <x:t xml:space="preserve">Contrato de crédito y/o pagarés</x:t>
        </x:is>
      </x:c>
      <x:c r="E22" s="23" t="inlineStr">
        <x:is>
          <x:t xml:space="preserve">Siempre</x:t>
        </x:is>
      </x:c>
      <x:c r="F22" s="24" t="str">
        <x:f>"Sí"</x:f>
        <x:v>Sí</x:v>
      </x:c>
      <x:c r="G22" s="25" t="inlineStr">
        <x:is>
          <x:t xml:space="preserve">Bloqueante</x:t>
        </x:is>
      </x:c>
      <x:c r="H22" s="23" t="inlineStr">
        <x:is>
          <x:t xml:space="preserve">Legal</x:t>
        </x:is>
      </x:c>
      <x:c r="I22" s="23" t="inlineStr">
        <x:is>
          <x:t xml:space="preserve">Formalización</x:t>
        </x:is>
      </x:c>
      <x:c r="J22" s="23" t="inlineStr">
        <x:is>
          <x:t xml:space="preserve">Actual</x:t>
        </x:is>
      </x:c>
      <x:c r="K22" s="26" t="inlineStr">
        <x:is>
          <x:t xml:space="preserve"/>
        </x:is>
      </x:c>
      <x:c r="L22" s="26" t="inlineStr">
        <x:is>
          <x:t xml:space="preserve"/>
        </x:is>
      </x:c>
      <x:c r="M22" s="27" t="inlineStr">
        <x:is>
          <x:t xml:space="preserve"/>
        </x:is>
      </x:c>
      <x:c r="N22" s="28" t="inlineStr">
        <x:is>
          <x:t xml:space="preserve">Requisitos</x:t>
        </x:is>
      </x:c>
      <x:c r="O22" s="28" t="inlineStr">
        <x:is>
          <x:t xml:space="preserve">Requisitos I-III</x:t>
        </x:is>
      </x:c>
    </x:row>
    <x:row r="23">
      <x:c r="A23" s="23" t="inlineStr">
        <x:is>
          <x:t xml:space="preserve">REG-07</x:t>
        </x:is>
      </x:c>
      <x:c r="B23" s="23" t="inlineStr">
        <x:is>
          <x:t xml:space="preserve">Regulatorio</x:t>
        </x:is>
      </x:c>
      <x:c r="C23" s="23" t="inlineStr">
        <x:is>
          <x:t xml:space="preserve">Instrumentos legales</x:t>
        </x:is>
      </x:c>
      <x:c r="D23" s="23" t="inlineStr">
        <x:is>
          <x:t xml:space="preserve">Inscripción en RPP / RPC si la naturaleza del crédito lo requiere</x:t>
        </x:is>
      </x:c>
      <x:c r="E23" s="23" t="inlineStr">
        <x:is>
          <x:t xml:space="preserve">Siempre; revisar naturaleza de operación y garantías</x:t>
        </x:is>
      </x:c>
      <x:c r="F23" s="24" t="str">
        <x:f>"Sí"</x:f>
        <x:v>Sí</x:v>
      </x:c>
      <x:c r="G23" s="25" t="inlineStr">
        <x:is>
          <x:t xml:space="preserve">Bloqueante</x:t>
        </x:is>
      </x:c>
      <x:c r="H23" s="23" t="inlineStr">
        <x:is>
          <x:t xml:space="preserve">Legal</x:t>
        </x:is>
      </x:c>
      <x:c r="I23" s="23" t="inlineStr">
        <x:is>
          <x:t xml:space="preserve">Formalización</x:t>
        </x:is>
      </x:c>
      <x:c r="J23" s="23" t="inlineStr">
        <x:is>
          <x:t xml:space="preserve">Actual</x:t>
        </x:is>
      </x:c>
      <x:c r="K23" s="26" t="inlineStr">
        <x:is>
          <x:t xml:space="preserve"/>
        </x:is>
      </x:c>
      <x:c r="L23" s="26" t="inlineStr">
        <x:is>
          <x:t xml:space="preserve"/>
        </x:is>
      </x:c>
      <x:c r="M23" s="27" t="inlineStr">
        <x:is>
          <x:t xml:space="preserve"/>
        </x:is>
      </x:c>
      <x:c r="N23" s="28" t="inlineStr">
        <x:is>
          <x:t xml:space="preserve">Requisitos</x:t>
        </x:is>
      </x:c>
      <x:c r="O23" s="28" t="inlineStr">
        <x:is>
          <x:t xml:space="preserve">Requisitos I-III</x:t>
        </x:is>
      </x:c>
    </x:row>
    <x:row r="24">
      <x:c r="A24" s="23" t="inlineStr">
        <x:is>
          <x:t xml:space="preserve">REG-08</x:t>
        </x:is>
      </x:c>
      <x:c r="B24" s="23" t="inlineStr">
        <x:is>
          <x:t xml:space="preserve">Regulatorio</x:t>
        </x:is>
      </x:c>
      <x:c r="C24" s="23" t="inlineStr">
        <x:is>
          <x:t xml:space="preserve">Identificación</x:t>
        </x:is>
      </x:c>
      <x:c r="D24" s="23" t="inlineStr">
        <x:is>
          <x:t xml:space="preserve">Identificación oficial / CIF (PF) o documentos constitutivos inscritos (PM)</x:t>
        </x:is>
      </x:c>
      <x:c r="E24" s="23" t="inlineStr">
        <x:is>
          <x:t xml:space="preserve">Siempre</x:t>
        </x:is>
      </x:c>
      <x:c r="F24" s="24" t="str">
        <x:f>"Sí"</x:f>
        <x:v>Sí</x:v>
      </x:c>
      <x:c r="G24" s="25" t="inlineStr">
        <x:is>
          <x:t xml:space="preserve">Bloqueante</x:t>
        </x:is>
      </x:c>
      <x:c r="H24" s="23" t="inlineStr">
        <x:is>
          <x:t xml:space="preserve">Cliente</x:t>
        </x:is>
      </x:c>
      <x:c r="I24" s="23" t="inlineStr">
        <x:is>
          <x:t xml:space="preserve">Aprobación</x:t>
        </x:is>
      </x:c>
      <x:c r="J24" s="23" t="inlineStr">
        <x:is>
          <x:t xml:space="preserve">Actual</x:t>
        </x:is>
      </x:c>
      <x:c r="K24" s="26" t="inlineStr">
        <x:is>
          <x:t xml:space="preserve"/>
        </x:is>
      </x:c>
      <x:c r="L24" s="26" t="inlineStr">
        <x:is>
          <x:t xml:space="preserve"/>
        </x:is>
      </x:c>
      <x:c r="M24" s="27" t="inlineStr">
        <x:is>
          <x:t xml:space="preserve"/>
        </x:is>
      </x:c>
      <x:c r="N24" s="28" t="inlineStr">
        <x:is>
          <x:t xml:space="preserve">Requisitos</x:t>
        </x:is>
      </x:c>
      <x:c r="O24" s="28" t="inlineStr">
        <x:is>
          <x:t xml:space="preserve">Requisitos I-III</x:t>
        </x:is>
      </x:c>
    </x:row>
    <x:row r="25">
      <x:c r="A25" s="23" t="inlineStr">
        <x:is>
          <x:t xml:space="preserve">REG-09</x:t>
        </x:is>
      </x:c>
      <x:c r="B25" s="23" t="inlineStr">
        <x:is>
          <x:t xml:space="preserve">Regulatorio</x:t>
        </x:is>
      </x:c>
      <x:c r="C25" s="23" t="inlineStr">
        <x:is>
          <x:t xml:space="preserve">Facultades</x:t>
        </x:is>
      </x:c>
      <x:c r="D25" s="23" t="inlineStr">
        <x:is>
          <x:t xml:space="preserve">Poderes y facultades legales de quienes suscriben contratos / títulos</x:t>
        </x:is>
      </x:c>
      <x:c r="E25" s="23" t="inlineStr">
        <x:is>
          <x:t xml:space="preserve">Siempre</x:t>
        </x:is>
      </x:c>
      <x:c r="F25" s="24" t="str">
        <x:f>"Sí"</x:f>
        <x:v>Sí</x:v>
      </x:c>
      <x:c r="G25" s="25" t="inlineStr">
        <x:is>
          <x:t xml:space="preserve">Bloqueante</x:t>
        </x:is>
      </x:c>
      <x:c r="H25" s="23" t="inlineStr">
        <x:is>
          <x:t xml:space="preserve">Cliente / Legal</x:t>
        </x:is>
      </x:c>
      <x:c r="I25" s="23" t="inlineStr">
        <x:is>
          <x:t xml:space="preserve">Aprobación</x:t>
        </x:is>
      </x:c>
      <x:c r="J25" s="23" t="inlineStr">
        <x:is>
          <x:t xml:space="preserve">Actual</x:t>
        </x:is>
      </x:c>
      <x:c r="K25" s="26" t="inlineStr">
        <x:is>
          <x:t xml:space="preserve"/>
        </x:is>
      </x:c>
      <x:c r="L25" s="26" t="inlineStr">
        <x:is>
          <x:t xml:space="preserve"/>
        </x:is>
      </x:c>
      <x:c r="M25" s="27" t="inlineStr">
        <x:is>
          <x:t xml:space="preserve"/>
        </x:is>
      </x:c>
      <x:c r="N25" s="28" t="inlineStr">
        <x:is>
          <x:t xml:space="preserve">Requisitos + DD</x:t>
        </x:is>
      </x:c>
      <x:c r="O25" s="28" t="inlineStr">
        <x:is>
          <x:t xml:space="preserve">Requisitos I-III; DD p.28</x:t>
        </x:is>
      </x:c>
    </x:row>
    <x:row r="26">
      <x:c r="A26" s="23" t="inlineStr">
        <x:is>
          <x:t xml:space="preserve">REG-10</x:t>
        </x:is>
      </x:c>
      <x:c r="B26" s="23" t="inlineStr">
        <x:is>
          <x:t xml:space="preserve">Regulatorio</x:t>
        </x:is>
      </x:c>
      <x:c r="C26" s="23" t="inlineStr">
        <x:is>
          <x:t xml:space="preserve">Dictamen jurídico</x:t>
        </x:is>
      </x:c>
      <x:c r="D26" s="23" t="inlineStr">
        <x:is>
          <x:t xml:space="preserve">Dictamen jurídico que valide constitución legal y facultades</x:t>
        </x:is>
      </x:c>
      <x:c r="E26" s="23" t="inlineStr">
        <x:is>
          <x:t xml:space="preserve">Aplica para créditos &gt;25,000 UDIS</x:t>
        </x:is>
      </x:c>
      <x:c r="F26" s="24" t="str">
        <x:f>IF(Captura_Caso!$B$11&gt;25000,"Sí","No")</x:f>
        <x:v>No</x:v>
      </x:c>
      <x:c r="G26" s="25" t="inlineStr">
        <x:is>
          <x:t xml:space="preserve">Bloqueante</x:t>
        </x:is>
      </x:c>
      <x:c r="H26" s="23" t="inlineStr">
        <x:is>
          <x:t xml:space="preserve">Legal</x:t>
        </x:is>
      </x:c>
      <x:c r="I26" s="23" t="inlineStr">
        <x:is>
          <x:t xml:space="preserve">Aprobación</x:t>
        </x:is>
      </x:c>
      <x:c r="J26" s="23" t="inlineStr">
        <x:is>
          <x:t xml:space="preserve">Actual</x:t>
        </x:is>
      </x:c>
      <x:c r="K26" s="26" t="inlineStr">
        <x:is>
          <x:t xml:space="preserve"/>
        </x:is>
      </x:c>
      <x:c r="L26" s="26" t="inlineStr">
        <x:is>
          <x:t xml:space="preserve"/>
        </x:is>
      </x:c>
      <x:c r="M26" s="27" t="inlineStr">
        <x:is>
          <x:t xml:space="preserve"/>
        </x:is>
      </x:c>
      <x:c r="N26" s="28" t="inlineStr">
        <x:is>
          <x:t xml:space="preserve">Requisitos</x:t>
        </x:is>
      </x:c>
      <x:c r="O26" s="28" t="inlineStr">
        <x:is>
          <x:t xml:space="preserve">Requisitos II-III</x:t>
        </x:is>
      </x:c>
    </x:row>
    <x:row r="27">
      <x:c r="A27" s="23" t="inlineStr">
        <x:is>
          <x:t xml:space="preserve">REG-11</x:t>
        </x:is>
      </x:c>
      <x:c r="B27" s="23" t="inlineStr">
        <x:is>
          <x:t xml:space="preserve">Regulatorio</x:t>
        </x:is>
      </x:c>
      <x:c r="C27" s="23" t="inlineStr">
        <x:is>
          <x:t xml:space="preserve">Información financiera</x:t>
        </x:is>
      </x:c>
      <x:c r="D27" s="23" t="inlineStr">
        <x:is>
          <x:t xml:space="preserve">Evidencia de volumen de operaciones, situación financiera y capacidad de pago (PM) o relación patrimonial / declaraciones (PF)</x:t>
        </x:is>
      </x:c>
      <x:c r="E27" s="23" t="inlineStr">
        <x:is>
          <x:t xml:space="preserve">Siempre</x:t>
        </x:is>
      </x:c>
      <x:c r="F27" s="24" t="str">
        <x:f>"Sí"</x:f>
        <x:v>Sí</x:v>
      </x:c>
      <x:c r="G27" s="25" t="inlineStr">
        <x:is>
          <x:t xml:space="preserve">Bloqueante</x:t>
        </x:is>
      </x:c>
      <x:c r="H27" s="23" t="inlineStr">
        <x:is>
          <x:t xml:space="preserve">Cliente</x:t>
        </x:is>
      </x:c>
      <x:c r="I27" s="23" t="inlineStr">
        <x:is>
          <x:t xml:space="preserve">Aprobación</x:t>
        </x:is>
      </x:c>
      <x:c r="J27" s="23" t="inlineStr">
        <x:is>
          <x:t xml:space="preserve">Segun banda / fecha de corte</x:t>
        </x:is>
      </x:c>
      <x:c r="K27" s="26" t="inlineStr">
        <x:is>
          <x:t xml:space="preserve"/>
        </x:is>
      </x:c>
      <x:c r="L27" s="26" t="inlineStr">
        <x:is>
          <x:t xml:space="preserve"/>
        </x:is>
      </x:c>
      <x:c r="M27" s="27" t="inlineStr">
        <x:is>
          <x:t xml:space="preserve"/>
        </x:is>
      </x:c>
      <x:c r="N27" s="28" t="inlineStr">
        <x:is>
          <x:t xml:space="preserve">Requisitos</x:t>
        </x:is>
      </x:c>
      <x:c r="O27" s="28" t="inlineStr">
        <x:is>
          <x:t xml:space="preserve">Requisitos I-III</x:t>
        </x:is>
      </x:c>
    </x:row>
    <x:row r="28">
      <x:c r="A28" s="23" t="inlineStr">
        <x:is>
          <x:t xml:space="preserve">REG-12</x:t>
        </x:is>
      </x:c>
      <x:c r="B28" s="23" t="inlineStr">
        <x:is>
          <x:t xml:space="preserve">Regulatorio</x:t>
        </x:is>
      </x:c>
      <x:c r="C28" s="23" t="inlineStr">
        <x:is>
          <x:t xml:space="preserve">Flujo de efectivo</x:t>
        </x:is>
      </x:c>
      <x:c r="D28" s="23" t="inlineStr">
        <x:is>
          <x:t xml:space="preserve">Flujo de efectivo / proyecciones por todo el plazo del crédito</x:t>
        </x:is>
      </x:c>
      <x:c r="E28" s="23" t="inlineStr">
        <x:is>
          <x:t xml:space="preserve">Obligatorio cuando el monto es &gt;1MM UDIS</x:t>
        </x:is>
      </x:c>
      <x:c r="F28" s="24" t="str">
        <x:f>IF(Captura_Caso!$B$11&gt;1000000,"Sí","No")</x:f>
        <x:v>No</x:v>
      </x:c>
      <x:c r="G28" s="25" t="inlineStr">
        <x:is>
          <x:t xml:space="preserve">Bloqueante</x:t>
        </x:is>
      </x:c>
      <x:c r="H28" s="23" t="inlineStr">
        <x:is>
          <x:t xml:space="preserve">Cliente</x:t>
        </x:is>
      </x:c>
      <x:c r="I28" s="23" t="inlineStr">
        <x:is>
          <x:t xml:space="preserve">Aprobación</x:t>
        </x:is>
      </x:c>
      <x:c r="J28" s="23" t="inlineStr">
        <x:is>
          <x:t xml:space="preserve">Plazo del crédito</x:t>
        </x:is>
      </x:c>
      <x:c r="K28" s="26" t="inlineStr">
        <x:is>
          <x:t xml:space="preserve"/>
        </x:is>
      </x:c>
      <x:c r="L28" s="26" t="inlineStr">
        <x:is>
          <x:t xml:space="preserve"/>
        </x:is>
      </x:c>
      <x:c r="M28" s="27" t="inlineStr">
        <x:is>
          <x:t xml:space="preserve"/>
        </x:is>
      </x:c>
      <x:c r="N28" s="28" t="inlineStr">
        <x:is>
          <x:t xml:space="preserve">Requisitos + DD</x:t>
        </x:is>
      </x:c>
      <x:c r="O28" s="28" t="inlineStr">
        <x:is>
          <x:t xml:space="preserve">Requisitos II-III; DD p.23</x:t>
        </x:is>
      </x:c>
    </x:row>
    <x:row r="29">
      <x:c r="A29" s="23" t="inlineStr">
        <x:is>
          <x:t xml:space="preserve">REG-13</x:t>
        </x:is>
      </x:c>
      <x:c r="B29" s="23" t="inlineStr">
        <x:is>
          <x:t xml:space="preserve">Regulatorio</x:t>
        </x:is>
      </x:c>
      <x:c r="C29" s="23" t="inlineStr">
        <x:is>
          <x:t xml:space="preserve">Seguimiento</x:t>
        </x:is>
      </x:c>
      <x:c r="D29" s="23" t="inlineStr">
        <x:is>
          <x:t xml:space="preserve">Información de cumplimiento de pagos, disposiciones, renovaciones o reestructuras</x:t>
        </x:is>
      </x:c>
      <x:c r="E29" s="23" t="inlineStr">
        <x:is>
          <x:t xml:space="preserve">Siempre</x:t>
        </x:is>
      </x:c>
      <x:c r="F29" s="24" t="str">
        <x:f>"Sí"</x:f>
        <x:v>Sí</x:v>
      </x:c>
      <x:c r="G29" s="29" t="inlineStr">
        <x:is>
          <x:t xml:space="preserve">Importante</x:t>
        </x:is>
      </x:c>
      <x:c r="H29" s="23" t="inlineStr">
        <x:is>
          <x:t xml:space="preserve">Banco Base</x:t>
        </x:is>
      </x:c>
      <x:c r="I29" s="23" t="inlineStr">
        <x:is>
          <x:t xml:space="preserve">Seguimiento</x:t>
        </x:is>
      </x:c>
      <x:c r="J29" s="23" t="inlineStr">
        <x:is>
          <x:t xml:space="preserve">Actualizada</x:t>
        </x:is>
      </x:c>
      <x:c r="K29" s="26" t="inlineStr">
        <x:is>
          <x:t xml:space="preserve"/>
        </x:is>
      </x:c>
      <x:c r="L29" s="26" t="inlineStr">
        <x:is>
          <x:t xml:space="preserve"/>
        </x:is>
      </x:c>
      <x:c r="M29" s="27" t="inlineStr">
        <x:is>
          <x:t xml:space="preserve"/>
        </x:is>
      </x:c>
      <x:c r="N29" s="28" t="inlineStr">
        <x:is>
          <x:t xml:space="preserve">Requisitos</x:t>
        </x:is>
      </x:c>
      <x:c r="O29" s="28" t="inlineStr">
        <x:is>
          <x:t xml:space="preserve">Requisitos I-III</x:t>
        </x:is>
      </x:c>
    </x:row>
    <x:row r="30">
      <x:c r="A30" s="23" t="inlineStr">
        <x:is>
          <x:t xml:space="preserve">REG-14</x:t>
        </x:is>
      </x:c>
      <x:c r="B30" s="23" t="inlineStr">
        <x:is>
          <x:t xml:space="preserve">Regulatorio</x:t>
        </x:is>
      </x:c>
      <x:c r="C30" s="23" t="inlineStr">
        <x:is>
          <x:t xml:space="preserve">Visitas</x:t>
        </x:is>
      </x:c>
      <x:c r="D30" s="23" t="inlineStr">
        <x:is>
          <x:t xml:space="preserve">Reportes de visitas oculares según política / contrato</x:t>
        </x:is>
      </x:c>
      <x:c r="E30" s="23" t="inlineStr">
        <x:is>
          <x:t xml:space="preserve">Siempre</x:t>
        </x:is>
      </x:c>
      <x:c r="F30" s="24" t="str">
        <x:f>"Sí"</x:f>
        <x:v>Sí</x:v>
      </x:c>
      <x:c r="G30" s="29" t="inlineStr">
        <x:is>
          <x:t xml:space="preserve">Importante</x:t>
        </x:is>
      </x:c>
      <x:c r="H30" s="23" t="inlineStr">
        <x:is>
          <x:t xml:space="preserve">Banco Base</x:t>
        </x:is>
      </x:c>
      <x:c r="I30" s="23" t="inlineStr">
        <x:is>
          <x:t xml:space="preserve">Aprobación / Seguimiento</x:t>
        </x:is>
      </x:c>
      <x:c r="J30" s="23" t="inlineStr">
        <x:is>
          <x:t xml:space="preserve">Según política</x:t>
        </x:is>
      </x:c>
      <x:c r="K30" s="26" t="inlineStr">
        <x:is>
          <x:t xml:space="preserve"/>
        </x:is>
      </x:c>
      <x:c r="L30" s="26" t="inlineStr">
        <x:is>
          <x:t xml:space="preserve"/>
        </x:is>
      </x:c>
      <x:c r="M30" s="27" t="inlineStr">
        <x:is>
          <x:t xml:space="preserve"/>
        </x:is>
      </x:c>
      <x:c r="N30" s="28" t="inlineStr">
        <x:is>
          <x:t xml:space="preserve">Requisitos + DD</x:t>
        </x:is>
      </x:c>
      <x:c r="O30" s="28" t="inlineStr">
        <x:is>
          <x:t xml:space="preserve">Requisitos I-III; DD p.14 y 17</x:t>
        </x:is>
      </x:c>
    </x:row>
    <x:row r="31">
      <x:c r="A31" s="23" t="inlineStr">
        <x:is>
          <x:t xml:space="preserve">REG-15</x:t>
        </x:is>
      </x:c>
      <x:c r="B31" s="23" t="inlineStr">
        <x:is>
          <x:t xml:space="preserve">Regulatorio</x:t>
        </x:is>
      </x:c>
      <x:c r="C31" s="23" t="inlineStr">
        <x:is>
          <x:t xml:space="preserve">SIC anual</x:t>
        </x:is>
      </x:c>
      <x:c r="D31" s="23" t="inlineStr">
        <x:is>
          <x:t xml:space="preserve">Actualización anual del SIC del acreditado y garantes</x:t>
        </x:is>
      </x:c>
      <x:c r="E31" s="23" t="inlineStr">
        <x:is>
          <x:t xml:space="preserve">Aplica para créditos &gt;25,000 UDIS</x:t>
        </x:is>
      </x:c>
      <x:c r="F31" s="24" t="str">
        <x:f>IF(Captura_Caso!$B$11&gt;25000,"Sí","No")</x:f>
        <x:v>No</x:v>
      </x:c>
      <x:c r="G31" s="29" t="inlineStr">
        <x:is>
          <x:t xml:space="preserve">Importante</x:t>
        </x:is>
      </x:c>
      <x:c r="H31" s="23" t="inlineStr">
        <x:is>
          <x:t xml:space="preserve">Banco Base</x:t>
        </x:is>
      </x:c>
      <x:c r="I31" s="23" t="inlineStr">
        <x:is>
          <x:t xml:space="preserve">Revisión anual</x:t>
        </x:is>
      </x:c>
      <x:c r="J31" s="23" t="inlineStr">
        <x:is>
          <x:t xml:space="preserve">12 meses</x:t>
        </x:is>
      </x:c>
      <x:c r="K31" s="26" t="inlineStr">
        <x:is>
          <x:t xml:space="preserve"/>
        </x:is>
      </x:c>
      <x:c r="L31" s="26" t="inlineStr">
        <x:is>
          <x:t xml:space="preserve"/>
        </x:is>
      </x:c>
      <x:c r="M31" s="27" t="inlineStr">
        <x:is>
          <x:t xml:space="preserve"/>
        </x:is>
      </x:c>
      <x:c r="N31" s="28" t="inlineStr">
        <x:is>
          <x:t xml:space="preserve">Requisitos</x:t>
        </x:is>
      </x:c>
      <x:c r="O31" s="28" t="inlineStr">
        <x:is>
          <x:t xml:space="preserve">Requisitos II-III</x:t>
        </x:is>
      </x:c>
    </x:row>
    <x:row r="32">
      <x:c r="A32" s="23" t="inlineStr">
        <x:is>
          <x:t xml:space="preserve">REG-16</x:t>
        </x:is>
      </x:c>
      <x:c r="B32" s="23" t="inlineStr">
        <x:is>
          <x:t xml:space="preserve">Regulatorio</x:t>
        </x:is>
      </x:c>
      <x:c r="C32" s="23" t="inlineStr">
        <x:is>
          <x:t xml:space="preserve">Garantías</x:t>
        </x:is>
      </x:c>
      <x:c r="D32" s="23" t="inlineStr">
        <x:is>
          <x:t xml:space="preserve">Avalúos actualizados</x:t>
        </x:is>
      </x:c>
      <x:c r="E32" s="23" t="inlineStr">
        <x:is>
          <x:t xml:space="preserve">Aplica cuando hay garantía y monto &gt;25,000 UDIS</x:t>
        </x:is>
      </x:c>
      <x:c r="F32" s="24" t="str">
        <x:f>IF(AND(Captura_Caso!$B$14="Sí",Captura_Caso!$B$11&gt;25000),"Sí","No")</x:f>
        <x:v>No</x:v>
      </x:c>
      <x:c r="G32" s="25" t="inlineStr">
        <x:is>
          <x:t xml:space="preserve">Bloqueante</x:t>
        </x:is>
      </x:c>
      <x:c r="H32" s="23" t="inlineStr">
        <x:is>
          <x:t xml:space="preserve">Cliente / Valuador</x:t>
        </x:is>
      </x:c>
      <x:c r="I32" s="23" t="inlineStr">
        <x:is>
          <x:t xml:space="preserve">Formalización</x:t>
        </x:is>
      </x:c>
      <x:c r="J32" s="23" t="inlineStr">
        <x:is>
          <x:t xml:space="preserve">Según disposición de CNBV / políticas</x:t>
        </x:is>
      </x:c>
      <x:c r="K32" s="26" t="inlineStr">
        <x:is>
          <x:t xml:space="preserve"/>
        </x:is>
      </x:c>
      <x:c r="L32" s="26" t="inlineStr">
        <x:is>
          <x:t xml:space="preserve"/>
        </x:is>
      </x:c>
      <x:c r="M32" s="27" t="inlineStr">
        <x:is>
          <x:t xml:space="preserve"/>
        </x:is>
      </x:c>
      <x:c r="N32" s="28" t="inlineStr">
        <x:is>
          <x:t xml:space="preserve">Requisitos</x:t>
        </x:is>
      </x:c>
      <x:c r="O32" s="28" t="inlineStr">
        <x:is>
          <x:t xml:space="preserve">Requisitos II-III</x:t>
        </x:is>
      </x:c>
    </x:row>
    <x:row r="33">
      <x:c r="A33" s="23" t="inlineStr">
        <x:is>
          <x:t xml:space="preserve">REG-17</x:t>
        </x:is>
      </x:c>
      <x:c r="B33" s="23" t="inlineStr">
        <x:is>
          <x:t xml:space="preserve">Regulatorio</x:t>
        </x:is>
      </x:c>
      <x:c r="C33" s="23" t="inlineStr">
        <x:is>
          <x:t xml:space="preserve">Garantías</x:t>
        </x:is>
      </x:c>
      <x:c r="D33" s="23" t="inlineStr">
        <x:is>
          <x:t xml:space="preserve">Certificados de gravámenes / inexistencia de gravámenes</x:t>
        </x:is>
      </x:c>
      <x:c r="E33" s="23" t="inlineStr">
        <x:is>
          <x:t xml:space="preserve">Aplica cuando hay garantía</x:t>
        </x:is>
      </x:c>
      <x:c r="F33" s="24" t="str">
        <x:f>IF(Captura_Caso!$B$14="Sí","Sí","No")</x:f>
        <x:v>Sí</x:v>
      </x:c>
      <x:c r="G33" s="25" t="inlineStr">
        <x:is>
          <x:t xml:space="preserve">Bloqueante</x:t>
        </x:is>
      </x:c>
      <x:c r="H33" s="23" t="inlineStr">
        <x:is>
          <x:t xml:space="preserve">Cliente / Legal</x:t>
        </x:is>
      </x:c>
      <x:c r="I33" s="23" t="inlineStr">
        <x:is>
          <x:t xml:space="preserve">Formalización</x:t>
        </x:is>
      </x:c>
      <x:c r="J33" s="23" t="inlineStr">
        <x:is>
          <x:t xml:space="preserve">Propiedad: 6 meses</x:t>
        </x:is>
      </x:c>
      <x:c r="K33" s="26" t="inlineStr">
        <x:is>
          <x:t xml:space="preserve"/>
        </x:is>
      </x:c>
      <x:c r="L33" s="26" t="inlineStr">
        <x:is>
          <x:t xml:space="preserve"/>
        </x:is>
      </x:c>
      <x:c r="M33" s="27" t="inlineStr">
        <x:is>
          <x:t xml:space="preserve"/>
        </x:is>
      </x:c>
      <x:c r="N33" s="28" t="inlineStr">
        <x:is>
          <x:t xml:space="preserve">Requisitos</x:t>
        </x:is>
      </x:c>
      <x:c r="O33" s="28" t="inlineStr">
        <x:is>
          <x:t xml:space="preserve">Requisitos I-III</x:t>
        </x:is>
      </x:c>
    </x:row>
    <x:row r="34">
      <x:c r="A34" s="23" t="inlineStr">
        <x:is>
          <x:t xml:space="preserve">REG-18</x:t>
        </x:is>
      </x:c>
      <x:c r="B34" s="23" t="inlineStr">
        <x:is>
          <x:t xml:space="preserve">Regulatorio</x:t>
        </x:is>
      </x:c>
      <x:c r="C34" s="23" t="inlineStr">
        <x:is>
          <x:t xml:space="preserve">Garantías</x:t>
        </x:is>
      </x:c>
      <x:c r="D34" s="23" t="inlineStr">
        <x:is>
          <x:t xml:space="preserve">Pólizas de seguro de las garantías a favor de la institución</x:t>
        </x:is>
      </x:c>
      <x:c r="E34" s="23" t="inlineStr">
        <x:is>
          <x:t xml:space="preserve">Aplica cuando hay garantía y póliza requerida</x:t>
        </x:is>
      </x:c>
      <x:c r="F34" s="24" t="str">
        <x:f>IF(Captura_Caso!$B$14="Sí","Sí","No")</x:f>
        <x:v>Sí</x:v>
      </x:c>
      <x:c r="G34" s="29" t="inlineStr">
        <x:is>
          <x:t xml:space="preserve">Importante</x:t>
        </x:is>
      </x:c>
      <x:c r="H34" s="23" t="inlineStr">
        <x:is>
          <x:t xml:space="preserve">Cliente</x:t>
        </x:is>
      </x:c>
      <x:c r="I34" s="23" t="inlineStr">
        <x:is>
          <x:t xml:space="preserve">Formalización</x:t>
        </x:is>
      </x:c>
      <x:c r="J34" s="23" t="inlineStr">
        <x:is>
          <x:t xml:space="preserve">Según póliza</x:t>
        </x:is>
      </x:c>
      <x:c r="K34" s="26" t="inlineStr">
        <x:is>
          <x:t xml:space="preserve"/>
        </x:is>
      </x:c>
      <x:c r="L34" s="26" t="inlineStr">
        <x:is>
          <x:t xml:space="preserve"/>
        </x:is>
      </x:c>
      <x:c r="M34" s="27" t="inlineStr">
        <x:is>
          <x:t xml:space="preserve"/>
        </x:is>
      </x:c>
      <x:c r="N34" s="28" t="inlineStr">
        <x:is>
          <x:t xml:space="preserve">Requisitos</x:t>
        </x:is>
      </x:c>
      <x:c r="O34" s="28" t="inlineStr">
        <x:is>
          <x:t xml:space="preserve">Requisitos I-III</x:t>
        </x:is>
      </x:c>
    </x:row>
    <x:row r="35">
      <x:c r="A35" s="23" t="inlineStr">
        <x:is>
          <x:t xml:space="preserve">REG-19</x:t>
        </x:is>
      </x:c>
      <x:c r="B35" s="23" t="inlineStr">
        <x:is>
          <x:t xml:space="preserve">Regulatorio</x:t>
        </x:is>
      </x:c>
      <x:c r="C35" s="23" t="inlineStr">
        <x:is>
          <x:t xml:space="preserve">Garantías</x:t>
        </x:is>
      </x:c>
      <x:c r="D35" s="23" t="inlineStr">
        <x:is>
          <x:t xml:space="preserve">Reporte de verificación física de garantías con firma del responsable</x:t>
        </x:is>
      </x:c>
      <x:c r="E35" s="23" t="inlineStr">
        <x:is>
          <x:t xml:space="preserve">Aplica cuando hay garantía y monto &gt;25,000 UDIS</x:t>
        </x:is>
      </x:c>
      <x:c r="F35" s="24" t="str">
        <x:f>IF(AND(Captura_Caso!$B$14="Sí",Captura_Caso!$B$11&gt;25000),"Sí","No")</x:f>
        <x:v>No</x:v>
      </x:c>
      <x:c r="G35" s="29" t="inlineStr">
        <x:is>
          <x:t xml:space="preserve">Importante</x:t>
        </x:is>
      </x:c>
      <x:c r="H35" s="23" t="inlineStr">
        <x:is>
          <x:t xml:space="preserve">Banco Base</x:t>
        </x:is>
      </x:c>
      <x:c r="I35" s="23" t="inlineStr">
        <x:is>
          <x:t xml:space="preserve">Formalización / Seguimiento</x:t>
        </x:is>
      </x:c>
      <x:c r="J35" s="23" t="inlineStr">
        <x:is>
          <x:t xml:space="preserve">Actual</x:t>
        </x:is>
      </x:c>
      <x:c r="K35" s="26" t="inlineStr">
        <x:is>
          <x:t xml:space="preserve"/>
        </x:is>
      </x:c>
      <x:c r="L35" s="26" t="inlineStr">
        <x:is>
          <x:t xml:space="preserve"/>
        </x:is>
      </x:c>
      <x:c r="M35" s="27" t="inlineStr">
        <x:is>
          <x:t xml:space="preserve"/>
        </x:is>
      </x:c>
      <x:c r="N35" s="28" t="inlineStr">
        <x:is>
          <x:t xml:space="preserve">Requisitos</x:t>
        </x:is>
      </x:c>
      <x:c r="O35" s="28" t="inlineStr">
        <x:is>
          <x:t xml:space="preserve">Requisitos II-III</x:t>
        </x:is>
      </x:c>
    </x:row>
    <x:row r="36">
      <x:c r="A36" s="23" t="inlineStr">
        <x:is>
          <x:t xml:space="preserve">REG-20</x:t>
        </x:is>
      </x:c>
      <x:c r="B36" s="23" t="inlineStr">
        <x:is>
          <x:t xml:space="preserve">Regulatorio</x:t>
        </x:is>
      </x:c>
      <x:c r="C36" s="23" t="inlineStr">
        <x:is>
          <x:t xml:space="preserve">Procesos especiales</x:t>
        </x:is>
      </x:c>
      <x:c r="D36" s="23" t="inlineStr">
        <x:is>
          <x:t xml:space="preserve">Información periódica de cobranza judicial y liquidación de adeudos</x:t>
        </x:is>
      </x:c>
      <x:c r="E36" s="23" t="inlineStr">
        <x:is>
          <x:t xml:space="preserve">Aplica si el motivo es cobranza judicial</x:t>
        </x:is>
      </x:c>
      <x:c r="F36" s="24" t="str">
        <x:f>IF(Captura_Caso!$B$7="Cobranza judicial","Sí","No")</x:f>
        <x:v>No</x:v>
      </x:c>
      <x:c r="G36" s="25" t="inlineStr">
        <x:is>
          <x:t xml:space="preserve">Bloqueante</x:t>
        </x:is>
      </x:c>
      <x:c r="H36" s="23" t="inlineStr">
        <x:is>
          <x:t xml:space="preserve">Cobranza</x:t>
        </x:is>
      </x:c>
      <x:c r="I36" s="23" t="inlineStr">
        <x:is>
          <x:t xml:space="preserve">Seguimiento</x:t>
        </x:is>
      </x:c>
      <x:c r="J36" s="23" t="inlineStr">
        <x:is>
          <x:t xml:space="preserve">Periódica</x:t>
        </x:is>
      </x:c>
      <x:c r="K36" s="26" t="inlineStr">
        <x:is>
          <x:t xml:space="preserve"/>
        </x:is>
      </x:c>
      <x:c r="L36" s="26" t="inlineStr">
        <x:is>
          <x:t xml:space="preserve"/>
        </x:is>
      </x:c>
      <x:c r="M36" s="27" t="inlineStr">
        <x:is>
          <x:t xml:space="preserve"/>
        </x:is>
      </x:c>
      <x:c r="N36" s="28" t="inlineStr">
        <x:is>
          <x:t xml:space="preserve">Requisitos</x:t>
        </x:is>
      </x:c>
      <x:c r="O36" s="28" t="inlineStr">
        <x:is>
          <x:t xml:space="preserve">Requisitos adicionales</x:t>
        </x:is>
      </x:c>
    </x:row>
    <x:row r="37">
      <x:c r="A37" s="23" t="inlineStr">
        <x:is>
          <x:t xml:space="preserve">REG-21</x:t>
        </x:is>
      </x:c>
      <x:c r="B37" s="23" t="inlineStr">
        <x:is>
          <x:t xml:space="preserve">Regulatorio</x:t>
        </x:is>
      </x:c>
      <x:c r="C37" s="23" t="inlineStr">
        <x:is>
          <x:t xml:space="preserve">Procesos especiales</x:t>
        </x:is>
      </x:c>
      <x:c r="D37" s="23" t="inlineStr">
        <x:is>
          <x:t xml:space="preserve">Estudio de viabilidad, autorizaciones y convenios para reestructura</x:t>
        </x:is>
      </x:c>
      <x:c r="E37" s="23" t="inlineStr">
        <x:is>
          <x:t xml:space="preserve">Aplica si el motivo es reestructura</x:t>
        </x:is>
      </x:c>
      <x:c r="F37" s="24" t="str">
        <x:f>IF(Captura_Caso!$B$7="Reestructura","Sí","No")</x:f>
        <x:v>No</x:v>
      </x:c>
      <x:c r="G37" s="25" t="inlineStr">
        <x:is>
          <x:t xml:space="preserve">Bloqueante</x:t>
        </x:is>
      </x:c>
      <x:c r="H37" s="23" t="inlineStr">
        <x:is>
          <x:t xml:space="preserve">Cliente / Crédito / Legal</x:t>
        </x:is>
      </x:c>
      <x:c r="I37" s="23" t="inlineStr">
        <x:is>
          <x:t xml:space="preserve">Reestructura</x:t>
        </x:is>
      </x:c>
      <x:c r="J37" s="23" t="inlineStr">
        <x:is>
          <x:t xml:space="preserve">Actual</x:t>
        </x:is>
      </x:c>
      <x:c r="K37" s="26" t="inlineStr">
        <x:is>
          <x:t xml:space="preserve"/>
        </x:is>
      </x:c>
      <x:c r="L37" s="26" t="inlineStr">
        <x:is>
          <x:t xml:space="preserve"/>
        </x:is>
      </x:c>
      <x:c r="M37" s="27" t="inlineStr">
        <x:is>
          <x:t xml:space="preserve"/>
        </x:is>
      </x:c>
      <x:c r="N37" s="28" t="inlineStr">
        <x:is>
          <x:t xml:space="preserve">Requisitos</x:t>
        </x:is>
      </x:c>
      <x:c r="O37" s="28" t="inlineStr">
        <x:is>
          <x:t xml:space="preserve">Requisitos adicionales</x:t>
        </x:is>
      </x:c>
    </x:row>
    <x:row r="38">
      <x:c r="A38" s="23" t="inlineStr">
        <x:is>
          <x:t xml:space="preserve">REG-22</x:t>
        </x:is>
      </x:c>
      <x:c r="B38" s="23" t="inlineStr">
        <x:is>
          <x:t xml:space="preserve">Regulatorio</x:t>
        </x:is>
      </x:c>
      <x:c r="C38" s="23" t="inlineStr">
        <x:is>
          <x:t xml:space="preserve">Procesos especiales</x:t>
        </x:is>
      </x:c>
      <x:c r="D38" s="23" t="inlineStr">
        <x:is>
          <x:t xml:space="preserve">Evidencia de agotamiento de recuperación para castigo</x:t>
        </x:is>
      </x:c>
      <x:c r="E38" s="23" t="inlineStr">
        <x:is>
          <x:t xml:space="preserve">Aplica si el motivo es castigo</x:t>
        </x:is>
      </x:c>
      <x:c r="F38" s="24" t="str">
        <x:f>IF(Captura_Caso!$B$7="Castigo","Sí","No")</x:f>
        <x:v>No</x:v>
      </x:c>
      <x:c r="G38" s="25" t="inlineStr">
        <x:is>
          <x:t xml:space="preserve">Bloqueante</x:t>
        </x:is>
      </x:c>
      <x:c r="H38" s="23" t="inlineStr">
        <x:is>
          <x:t xml:space="preserve">Cobranza / Crédito</x:t>
        </x:is>
      </x:c>
      <x:c r="I38" s="23" t="inlineStr">
        <x:is>
          <x:t xml:space="preserve">Castigo</x:t>
        </x:is>
      </x:c>
      <x:c r="J38" s="23" t="inlineStr">
        <x:is>
          <x:t xml:space="preserve">Actual</x:t>
        </x:is>
      </x:c>
      <x:c r="K38" s="26" t="inlineStr">
        <x:is>
          <x:t xml:space="preserve"/>
        </x:is>
      </x:c>
      <x:c r="L38" s="26" t="inlineStr">
        <x:is>
          <x:t xml:space="preserve"/>
        </x:is>
      </x:c>
      <x:c r="M38" s="27" t="inlineStr">
        <x:is>
          <x:t xml:space="preserve"/>
        </x:is>
      </x:c>
      <x:c r="N38" s="28" t="inlineStr">
        <x:is>
          <x:t xml:space="preserve">Requisitos</x:t>
        </x:is>
      </x:c>
      <x:c r="O38" s="28" t="inlineStr">
        <x:is>
          <x:t xml:space="preserve">Requisitos adicionales</x:t>
        </x:is>
      </x:c>
    </x:row>
    <x:row r="39">
      <x:c r="A39" s="23" t="inlineStr">
        <x:is>
          <x:t xml:space="preserve">DD-01</x:t>
        </x:is>
      </x:c>
      <x:c r="B39" s="23" t="inlineStr">
        <x:is>
          <x:t xml:space="preserve">Debida diligencia</x:t>
        </x:is>
      </x:c>
      <x:c r="C39" s="23" t="inlineStr">
        <x:is>
          <x:t xml:space="preserve">Planeación</x:t>
        </x:is>
      </x:c>
      <x:c r="D39" s="23" t="inlineStr">
        <x:is>
          <x:t xml:space="preserve">Plan de negocio vigente y proyecciones financieras</x:t>
        </x:is>
      </x:c>
      <x:c r="E39" s="23" t="inlineStr">
        <x:is>
          <x:t xml:space="preserve">Aplica en originación, revisión anual, nueva transacción o DD mejorada</x:t>
        </x:is>
      </x:c>
      <x:c r="F39" s="24" t="str">
        <x:f>IF(OR(Captura_Caso!$B$7="Originación",Captura_Caso!$B$7="Revisión anual",Captura_Caso!$B$7="Nueva transacción o producto",Captura_Caso!$B$7="Incremento",Captura_Caso!$E$5="Mejorada"),"Sí","No")</x:f>
        <x:v>Sí</x:v>
      </x:c>
      <x:c r="G39" s="25" t="inlineStr">
        <x:is>
          <x:t xml:space="preserve">Bloqueante</x:t>
        </x:is>
      </x:c>
      <x:c r="H39" s="23" t="inlineStr">
        <x:is>
          <x:t xml:space="preserve">Cliente</x:t>
        </x:is>
      </x:c>
      <x:c r="I39" s="23" t="inlineStr">
        <x:is>
          <x:t xml:space="preserve">Análisis</x:t>
        </x:is>
      </x:c>
      <x:c r="J39" s="23" t="inlineStr">
        <x:is>
          <x:t xml:space="preserve">Vigente</x:t>
        </x:is>
      </x:c>
      <x:c r="K39" s="26" t="inlineStr">
        <x:is>
          <x:t xml:space="preserve"/>
        </x:is>
      </x:c>
      <x:c r="L39" s="26" t="inlineStr">
        <x:is>
          <x:t xml:space="preserve"/>
        </x:is>
      </x:c>
      <x:c r="M39" s="27" t="inlineStr">
        <x:is>
          <x:t xml:space="preserve"/>
        </x:is>
      </x:c>
      <x:c r="N39" s="28" t="inlineStr">
        <x:is>
          <x:t xml:space="preserve">Debida Diligencia</x:t>
        </x:is>
      </x:c>
      <x:c r="O39" s="28" t="inlineStr">
        <x:is>
          <x:t xml:space="preserve">DD p.14, 17</x:t>
        </x:is>
      </x:c>
    </x:row>
    <x:row r="40">
      <x:c r="A40" s="23" t="inlineStr">
        <x:is>
          <x:t xml:space="preserve">DD-02</x:t>
        </x:is>
      </x:c>
      <x:c r="B40" s="23" t="inlineStr">
        <x:is>
          <x:t xml:space="preserve">Debida diligencia</x:t>
        </x:is>
      </x:c>
      <x:c r="C40" s="23" t="inlineStr">
        <x:is>
          <x:t xml:space="preserve">Governance</x:t>
        </x:is>
      </x:c>
      <x:c r="D40" s="23" t="inlineStr">
        <x:is>
          <x:t xml:space="preserve">Organigrama, estructura accionaria, controladoras / subsidiarias y relación intercompañía</x:t>
        </x:is>
      </x:c>
      <x:c r="E40" s="23" t="inlineStr">
        <x:is>
          <x:t xml:space="preserve">Solo persona moral</x:t>
        </x:is>
      </x:c>
      <x:c r="F40" s="24" t="str">
        <x:f>IF(Captura_Caso!$B$5="Moral","Sí","No")</x:f>
        <x:v>Sí</x:v>
      </x:c>
      <x:c r="G40" s="25" t="inlineStr">
        <x:is>
          <x:t xml:space="preserve">Bloqueante</x:t>
        </x:is>
      </x:c>
      <x:c r="H40" s="23" t="inlineStr">
        <x:is>
          <x:t xml:space="preserve">Cliente</x:t>
        </x:is>
      </x:c>
      <x:c r="I40" s="23" t="inlineStr">
        <x:is>
          <x:t xml:space="preserve">Análisis</x:t>
        </x:is>
      </x:c>
      <x:c r="J40" s="23" t="inlineStr">
        <x:is>
          <x:t xml:space="preserve">Vigente</x:t>
        </x:is>
      </x:c>
      <x:c r="K40" s="26" t="inlineStr">
        <x:is>
          <x:t xml:space="preserve"/>
        </x:is>
      </x:c>
      <x:c r="L40" s="26" t="inlineStr">
        <x:is>
          <x:t xml:space="preserve"/>
        </x:is>
      </x:c>
      <x:c r="M40" s="27" t="inlineStr">
        <x:is>
          <x:t xml:space="preserve"/>
        </x:is>
      </x:c>
      <x:c r="N40" s="28" t="inlineStr">
        <x:is>
          <x:t xml:space="preserve">Debida Diligencia</x:t>
        </x:is>
      </x:c>
      <x:c r="O40" s="28" t="inlineStr">
        <x:is>
          <x:t xml:space="preserve">DD p.28</x:t>
        </x:is>
      </x:c>
    </x:row>
    <x:row r="41">
      <x:c r="A41" s="23" t="inlineStr">
        <x:is>
          <x:t xml:space="preserve">DD-03</x:t>
        </x:is>
      </x:c>
      <x:c r="B41" s="23" t="inlineStr">
        <x:is>
          <x:t xml:space="preserve">Debida diligencia</x:t>
        </x:is>
      </x:c>
      <x:c r="C41" s="23" t="inlineStr">
        <x:is>
          <x:t xml:space="preserve">Governance</x:t>
        </x:is>
      </x:c>
      <x:c r="D41" s="23" t="inlineStr">
        <x:is>
          <x:t xml:space="preserve">Composición de consejo, comités, principales accionistas, poderes vigentes y representantes</x:t>
        </x:is>
      </x:c>
      <x:c r="E41" s="23" t="inlineStr">
        <x:is>
          <x:t xml:space="preserve">Solo persona moral</x:t>
        </x:is>
      </x:c>
      <x:c r="F41" s="24" t="str">
        <x:f>IF(Captura_Caso!$B$5="Moral","Sí","No")</x:f>
        <x:v>Sí</x:v>
      </x:c>
      <x:c r="G41" s="25" t="inlineStr">
        <x:is>
          <x:t xml:space="preserve">Bloqueante</x:t>
        </x:is>
      </x:c>
      <x:c r="H41" s="23" t="inlineStr">
        <x:is>
          <x:t xml:space="preserve">Cliente</x:t>
        </x:is>
      </x:c>
      <x:c r="I41" s="23" t="inlineStr">
        <x:is>
          <x:t xml:space="preserve">Análisis</x:t>
        </x:is>
      </x:c>
      <x:c r="J41" s="23" t="inlineStr">
        <x:is>
          <x:t xml:space="preserve">Vigente</x:t>
        </x:is>
      </x:c>
      <x:c r="K41" s="26" t="inlineStr">
        <x:is>
          <x:t xml:space="preserve"/>
        </x:is>
      </x:c>
      <x:c r="L41" s="26" t="inlineStr">
        <x:is>
          <x:t xml:space="preserve"/>
        </x:is>
      </x:c>
      <x:c r="M41" s="27" t="inlineStr">
        <x:is>
          <x:t xml:space="preserve"/>
        </x:is>
      </x:c>
      <x:c r="N41" s="28" t="inlineStr">
        <x:is>
          <x:t xml:space="preserve">Debida Diligencia</x:t>
        </x:is>
      </x:c>
      <x:c r="O41" s="28" t="inlineStr">
        <x:is>
          <x:t xml:space="preserve">DD p.28</x:t>
        </x:is>
      </x:c>
    </x:row>
    <x:row r="42">
      <x:c r="A42" s="23" t="inlineStr">
        <x:is>
          <x:t xml:space="preserve">DD-04</x:t>
        </x:is>
      </x:c>
      <x:c r="B42" s="23" t="inlineStr">
        <x:is>
          <x:t xml:space="preserve">Debida diligencia</x:t>
        </x:is>
      </x:c>
      <x:c r="C42" s="23" t="inlineStr">
        <x:is>
          <x:t xml:space="preserve">Management</x:t>
        </x:is>
      </x:c>
      <x:c r="D42" s="23" t="inlineStr">
        <x:is>
          <x:t xml:space="preserve">Perfil de directivos clave, experiencia y plan de sucesión</x:t>
        </x:is>
      </x:c>
      <x:c r="E42" s="23" t="inlineStr">
        <x:is>
          <x:t xml:space="preserve">Solo persona moral</x:t>
        </x:is>
      </x:c>
      <x:c r="F42" s="24" t="str">
        <x:f>IF(Captura_Caso!$B$5="Moral","Sí","No")</x:f>
        <x:v>Sí</x:v>
      </x:c>
      <x:c r="G42" s="29" t="inlineStr">
        <x:is>
          <x:t xml:space="preserve">Importante</x:t>
        </x:is>
      </x:c>
      <x:c r="H42" s="23" t="inlineStr">
        <x:is>
          <x:t xml:space="preserve">Cliente</x:t>
        </x:is>
      </x:c>
      <x:c r="I42" s="23" t="inlineStr">
        <x:is>
          <x:t xml:space="preserve">Análisis</x:t>
        </x:is>
      </x:c>
      <x:c r="J42" s="23" t="inlineStr">
        <x:is>
          <x:t xml:space="preserve">Vigente</x:t>
        </x:is>
      </x:c>
      <x:c r="K42" s="26" t="inlineStr">
        <x:is>
          <x:t xml:space="preserve"/>
        </x:is>
      </x:c>
      <x:c r="L42" s="26" t="inlineStr">
        <x:is>
          <x:t xml:space="preserve"/>
        </x:is>
      </x:c>
      <x:c r="M42" s="27" t="inlineStr">
        <x:is>
          <x:t xml:space="preserve"/>
        </x:is>
      </x:c>
      <x:c r="N42" s="28" t="inlineStr">
        <x:is>
          <x:t xml:space="preserve">Debida Diligencia</x:t>
        </x:is>
      </x:c>
      <x:c r="O42" s="28" t="inlineStr">
        <x:is>
          <x:t xml:space="preserve">DD p.27-28</x:t>
        </x:is>
      </x:c>
    </x:row>
    <x:row r="43">
      <x:c r="A43" s="23" t="inlineStr">
        <x:is>
          <x:t xml:space="preserve">DD-05</x:t>
        </x:is>
      </x:c>
      <x:c r="B43" s="23" t="inlineStr">
        <x:is>
          <x:t xml:space="preserve">Debida diligencia</x:t>
        </x:is>
      </x:c>
      <x:c r="C43" s="23" t="inlineStr">
        <x:is>
          <x:t xml:space="preserve">ESG / Compliance</x:t>
        </x:is>
      </x:c>
      <x:c r="D43" s="23" t="inlineStr">
        <x:is>
          <x:t xml:space="preserve">Políticas ESG, certificaciones, cumplimiento y riesgos reputacionales</x:t>
        </x:is>
      </x:c>
      <x:c r="E43" s="23" t="inlineStr">
        <x:is>
          <x:t xml:space="preserve">Aplica si DD Mejorada u operación relevante</x:t>
        </x:is>
      </x:c>
      <x:c r="F43" s="24" t="str">
        <x:f>IF(OR(Captura_Caso!$E$5="Mejorada",Captura_Caso!$B$18="Sí"),"Sí","No")</x:f>
        <x:v>No</x:v>
      </x:c>
      <x:c r="G43" s="29" t="inlineStr">
        <x:is>
          <x:t xml:space="preserve">Importante</x:t>
        </x:is>
      </x:c>
      <x:c r="H43" s="23" t="inlineStr">
        <x:is>
          <x:t xml:space="preserve">Cliente</x:t>
        </x:is>
      </x:c>
      <x:c r="I43" s="23" t="inlineStr">
        <x:is>
          <x:t xml:space="preserve">Análisis</x:t>
        </x:is>
      </x:c>
      <x:c r="J43" s="23" t="inlineStr">
        <x:is>
          <x:t xml:space="preserve">Vigente</x:t>
        </x:is>
      </x:c>
      <x:c r="K43" s="26" t="inlineStr">
        <x:is>
          <x:t xml:space="preserve"/>
        </x:is>
      </x:c>
      <x:c r="L43" s="26" t="inlineStr">
        <x:is>
          <x:t xml:space="preserve"/>
        </x:is>
      </x:c>
      <x:c r="M43" s="27" t="inlineStr">
        <x:is>
          <x:t xml:space="preserve"/>
        </x:is>
      </x:c>
      <x:c r="N43" s="28" t="inlineStr">
        <x:is>
          <x:t xml:space="preserve">Debida Diligencia</x:t>
        </x:is>
      </x:c>
      <x:c r="O43" s="28" t="inlineStr">
        <x:is>
          <x:t xml:space="preserve">DD p.28, 37</x:t>
        </x:is>
      </x:c>
    </x:row>
    <x:row r="44">
      <x:c r="A44" s="23" t="inlineStr">
        <x:is>
          <x:t xml:space="preserve">DD-06</x:t>
        </x:is>
      </x:c>
      <x:c r="B44" s="23" t="inlineStr">
        <x:is>
          <x:t xml:space="preserve">Debida diligencia</x:t>
        </x:is>
      </x:c>
      <x:c r="C44" s="23" t="inlineStr">
        <x:is>
          <x:t xml:space="preserve">Clientes</x:t>
        </x:is>
      </x:c>
      <x:c r="D44" s="23" t="inlineStr">
        <x:is>
          <x:t xml:space="preserve">Top 10 clientes, concentración, antigüedad de cartera, cuentas por cobrar y contratos clave</x:t>
        </x:is>
      </x:c>
      <x:c r="E44" s="23" t="inlineStr">
        <x:is>
          <x:t xml:space="preserve">Solo persona moral</x:t>
        </x:is>
      </x:c>
      <x:c r="F44" s="24" t="str">
        <x:f>IF(Captura_Caso!$B$5="Moral","Sí","No")</x:f>
        <x:v>Sí</x:v>
      </x:c>
      <x:c r="G44" s="25" t="inlineStr">
        <x:is>
          <x:t xml:space="preserve">Bloqueante</x:t>
        </x:is>
      </x:c>
      <x:c r="H44" s="23" t="inlineStr">
        <x:is>
          <x:t xml:space="preserve">Cliente</x:t>
        </x:is>
      </x:c>
      <x:c r="I44" s="23" t="inlineStr">
        <x:is>
          <x:t xml:space="preserve">Análisis</x:t>
        </x:is>
      </x:c>
      <x:c r="J44" s="23" t="inlineStr">
        <x:is>
          <x:t xml:space="preserve">Histórico 3-5 años + vigente</x:t>
        </x:is>
      </x:c>
      <x:c r="K44" s="26" t="inlineStr">
        <x:is>
          <x:t xml:space="preserve"/>
        </x:is>
      </x:c>
      <x:c r="L44" s="26" t="inlineStr">
        <x:is>
          <x:t xml:space="preserve"/>
        </x:is>
      </x:c>
      <x:c r="M44" s="27" t="inlineStr">
        <x:is>
          <x:t xml:space="preserve"/>
        </x:is>
      </x:c>
      <x:c r="N44" s="28" t="inlineStr">
        <x:is>
          <x:t xml:space="preserve">Debida Diligencia</x:t>
        </x:is>
      </x:c>
      <x:c r="O44" s="28" t="inlineStr">
        <x:is>
          <x:t xml:space="preserve">DD p.33</x:t>
        </x:is>
      </x:c>
    </x:row>
    <x:row r="45">
      <x:c r="A45" s="23" t="inlineStr">
        <x:is>
          <x:t xml:space="preserve">DD-07</x:t>
        </x:is>
      </x:c>
      <x:c r="B45" s="23" t="inlineStr">
        <x:is>
          <x:t xml:space="preserve">Debida diligencia</x:t>
        </x:is>
      </x:c>
      <x:c r="C45" s="23" t="inlineStr">
        <x:is>
          <x:t xml:space="preserve">Proveedores</x:t>
        </x:is>
      </x:c>
      <x:c r="D45" s="23" t="inlineStr">
        <x:is>
          <x:t xml:space="preserve">Top 10 proveedores, concentración, contratos, dependencia y riesgo de suministro</x:t>
        </x:is>
      </x:c>
      <x:c r="E45" s="23" t="inlineStr">
        <x:is>
          <x:t xml:space="preserve">Solo persona moral</x:t>
        </x:is>
      </x:c>
      <x:c r="F45" s="24" t="str">
        <x:f>IF(Captura_Caso!$B$5="Moral","Sí","No")</x:f>
        <x:v>Sí</x:v>
      </x:c>
      <x:c r="G45" s="25" t="inlineStr">
        <x:is>
          <x:t xml:space="preserve">Bloqueante</x:t>
        </x:is>
      </x:c>
      <x:c r="H45" s="23" t="inlineStr">
        <x:is>
          <x:t xml:space="preserve">Cliente</x:t>
        </x:is>
      </x:c>
      <x:c r="I45" s="23" t="inlineStr">
        <x:is>
          <x:t xml:space="preserve">Análisis</x:t>
        </x:is>
      </x:c>
      <x:c r="J45" s="23" t="inlineStr">
        <x:is>
          <x:t xml:space="preserve">Histórico + vigente</x:t>
        </x:is>
      </x:c>
      <x:c r="K45" s="26" t="inlineStr">
        <x:is>
          <x:t xml:space="preserve"/>
        </x:is>
      </x:c>
      <x:c r="L45" s="26" t="inlineStr">
        <x:is>
          <x:t xml:space="preserve"/>
        </x:is>
      </x:c>
      <x:c r="M45" s="27" t="inlineStr">
        <x:is>
          <x:t xml:space="preserve"/>
        </x:is>
      </x:c>
      <x:c r="N45" s="28" t="inlineStr">
        <x:is>
          <x:t xml:space="preserve">Debida Diligencia</x:t>
        </x:is>
      </x:c>
      <x:c r="O45" s="28" t="inlineStr">
        <x:is>
          <x:t xml:space="preserve">DD p.30, 34</x:t>
        </x:is>
      </x:c>
    </x:row>
    <x:row r="46">
      <x:c r="A46" s="23" t="inlineStr">
        <x:is>
          <x:t xml:space="preserve">DD-08</x:t>
        </x:is>
      </x:c>
      <x:c r="B46" s="23" t="inlineStr">
        <x:is>
          <x:t xml:space="preserve">Debida diligencia</x:t>
        </x:is>
      </x:c>
      <x:c r="C46" s="23" t="inlineStr">
        <x:is>
          <x:t xml:space="preserve">Productos y mercado</x:t>
        </x:is>
      </x:c>
      <x:c r="D46" s="23" t="inlineStr">
        <x:is>
          <x:t xml:space="preserve">Catálogo de productos / servicios, producto core y rentabilidad por línea</x:t>
        </x:is>
      </x:c>
      <x:c r="E46" s="23" t="inlineStr">
        <x:is>
          <x:t xml:space="preserve">Solo persona moral</x:t>
        </x:is>
      </x:c>
      <x:c r="F46" s="24" t="str">
        <x:f>IF(Captura_Caso!$B$5="Moral","Sí","No")</x:f>
        <x:v>Sí</x:v>
      </x:c>
      <x:c r="G46" s="29" t="inlineStr">
        <x:is>
          <x:t xml:space="preserve">Importante</x:t>
        </x:is>
      </x:c>
      <x:c r="H46" s="23" t="inlineStr">
        <x:is>
          <x:t xml:space="preserve">Cliente</x:t>
        </x:is>
      </x:c>
      <x:c r="I46" s="23" t="inlineStr">
        <x:is>
          <x:t xml:space="preserve">Análisis</x:t>
        </x:is>
      </x:c>
      <x:c r="J46" s="23" t="inlineStr">
        <x:is>
          <x:t xml:space="preserve">Vigente</x:t>
        </x:is>
      </x:c>
      <x:c r="K46" s="26" t="inlineStr">
        <x:is>
          <x:t xml:space="preserve"/>
        </x:is>
      </x:c>
      <x:c r="L46" s="26" t="inlineStr">
        <x:is>
          <x:t xml:space="preserve"/>
        </x:is>
      </x:c>
      <x:c r="M46" s="27" t="inlineStr">
        <x:is>
          <x:t xml:space="preserve"/>
        </x:is>
      </x:c>
      <x:c r="N46" s="28" t="inlineStr">
        <x:is>
          <x:t xml:space="preserve">Debida Diligencia</x:t>
        </x:is>
      </x:c>
      <x:c r="O46" s="28" t="inlineStr">
        <x:is>
          <x:t xml:space="preserve">DD p.31-32</x:t>
        </x:is>
      </x:c>
    </x:row>
    <x:row r="47">
      <x:c r="A47" s="23" t="inlineStr">
        <x:is>
          <x:t xml:space="preserve">DD-09</x:t>
        </x:is>
      </x:c>
      <x:c r="B47" s="23" t="inlineStr">
        <x:is>
          <x:t xml:space="preserve">Debida diligencia</x:t>
        </x:is>
      </x:c>
      <x:c r="C47" s="23" t="inlineStr">
        <x:is>
          <x:t xml:space="preserve">Productos y mercado</x:t>
        </x:is>
      </x:c>
      <x:c r="D47" s="23" t="inlineStr">
        <x:is>
          <x:t xml:space="preserve">Políticas de precios, canales de venta, marketing, estacionalidad y ciclo de vida</x:t>
        </x:is>
      </x:c>
      <x:c r="E47" s="23" t="inlineStr">
        <x:is>
          <x:t xml:space="preserve">Solo persona moral</x:t>
        </x:is>
      </x:c>
      <x:c r="F47" s="24" t="str">
        <x:f>IF(Captura_Caso!$B$5="Moral","Sí","No")</x:f>
        <x:v>Sí</x:v>
      </x:c>
      <x:c r="G47" s="29" t="inlineStr">
        <x:is>
          <x:t xml:space="preserve">Importante</x:t>
        </x:is>
      </x:c>
      <x:c r="H47" s="23" t="inlineStr">
        <x:is>
          <x:t xml:space="preserve">Cliente</x:t>
        </x:is>
      </x:c>
      <x:c r="I47" s="23" t="inlineStr">
        <x:is>
          <x:t xml:space="preserve">Análisis</x:t>
        </x:is>
      </x:c>
      <x:c r="J47" s="23" t="inlineStr">
        <x:is>
          <x:t xml:space="preserve">Vigente</x:t>
        </x:is>
      </x:c>
      <x:c r="K47" s="26" t="inlineStr">
        <x:is>
          <x:t xml:space="preserve"/>
        </x:is>
      </x:c>
      <x:c r="L47" s="26" t="inlineStr">
        <x:is>
          <x:t xml:space="preserve"/>
        </x:is>
      </x:c>
      <x:c r="M47" s="27" t="inlineStr">
        <x:is>
          <x:t xml:space="preserve"/>
        </x:is>
      </x:c>
      <x:c r="N47" s="28" t="inlineStr">
        <x:is>
          <x:t xml:space="preserve">Debida Diligencia</x:t>
        </x:is>
      </x:c>
      <x:c r="O47" s="28" t="inlineStr">
        <x:is>
          <x:t xml:space="preserve">DD p.32</x:t>
        </x:is>
      </x:c>
    </x:row>
    <x:row r="48">
      <x:c r="A48" s="23" t="inlineStr">
        <x:is>
          <x:t xml:space="preserve">DD-10</x:t>
        </x:is>
      </x:c>
      <x:c r="B48" s="23" t="inlineStr">
        <x:is>
          <x:t xml:space="preserve">Debida diligencia</x:t>
        </x:is>
      </x:c>
      <x:c r="C48" s="23" t="inlineStr">
        <x:is>
          <x:t xml:space="preserve">Operación</x:t>
        </x:is>
      </x:c>
      <x:c r="D48" s="23" t="inlineStr">
        <x:is>
          <x:t xml:space="preserve">Información de instalaciones, capacidad instalada, certificaciones, seguridad laboral e inventarios</x:t>
        </x:is>
      </x:c>
      <x:c r="E48" s="23" t="inlineStr">
        <x:is>
          <x:t xml:space="preserve">Solo persona moral</x:t>
        </x:is>
      </x:c>
      <x:c r="F48" s="24" t="str">
        <x:f>IF(Captura_Caso!$B$5="Moral","Sí","No")</x:f>
        <x:v>Sí</x:v>
      </x:c>
      <x:c r="G48" s="29" t="inlineStr">
        <x:is>
          <x:t xml:space="preserve">Importante</x:t>
        </x:is>
      </x:c>
      <x:c r="H48" s="23" t="inlineStr">
        <x:is>
          <x:t xml:space="preserve">Cliente</x:t>
        </x:is>
      </x:c>
      <x:c r="I48" s="23" t="inlineStr">
        <x:is>
          <x:t xml:space="preserve">Análisis</x:t>
        </x:is>
      </x:c>
      <x:c r="J48" s="23" t="inlineStr">
        <x:is>
          <x:t xml:space="preserve">Vigente</x:t>
        </x:is>
      </x:c>
      <x:c r="K48" s="26" t="inlineStr">
        <x:is>
          <x:t xml:space="preserve"/>
        </x:is>
      </x:c>
      <x:c r="L48" s="26" t="inlineStr">
        <x:is>
          <x:t xml:space="preserve"/>
        </x:is>
      </x:c>
      <x:c r="M48" s="27" t="inlineStr">
        <x:is>
          <x:t xml:space="preserve"/>
        </x:is>
      </x:c>
      <x:c r="N48" s="28" t="inlineStr">
        <x:is>
          <x:t xml:space="preserve">Debida Diligencia</x:t>
        </x:is>
      </x:c>
      <x:c r="O48" s="28" t="inlineStr">
        <x:is>
          <x:t xml:space="preserve">DD p.34</x:t>
        </x:is>
      </x:c>
    </x:row>
    <x:row r="49">
      <x:c r="A49" s="23" t="inlineStr">
        <x:is>
          <x:t xml:space="preserve">DD-11</x:t>
        </x:is>
      </x:c>
      <x:c r="B49" s="23" t="inlineStr">
        <x:is>
          <x:t xml:space="preserve">Debida diligencia</x:t>
        </x:is>
      </x:c>
      <x:c r="C49" s="23" t="inlineStr">
        <x:is>
          <x:t xml:space="preserve">Tecnología</x:t>
        </x:is>
      </x:c>
      <x:c r="D49" s="23" t="inlineStr">
        <x:is>
          <x:t xml:space="preserve">Políticas TI / ciberseguridad, respaldos y continuidad de negocio</x:t>
        </x:is>
      </x:c>
      <x:c r="E49" s="23" t="inlineStr">
        <x:is>
          <x:t xml:space="preserve">Aplica si DD Mejorada u operación con TI relevante</x:t>
        </x:is>
      </x:c>
      <x:c r="F49" s="24" t="str">
        <x:f>IF(OR(Captura_Caso!$E$5="Mejorada",Captura_Caso!$B$18="Sí"),"Sí","No")</x:f>
        <x:v>No</x:v>
      </x:c>
      <x:c r="G49" s="29" t="inlineStr">
        <x:is>
          <x:t xml:space="preserve">Importante</x:t>
        </x:is>
      </x:c>
      <x:c r="H49" s="23" t="inlineStr">
        <x:is>
          <x:t xml:space="preserve">Cliente</x:t>
        </x:is>
      </x:c>
      <x:c r="I49" s="23" t="inlineStr">
        <x:is>
          <x:t xml:space="preserve">Análisis</x:t>
        </x:is>
      </x:c>
      <x:c r="J49" s="23" t="inlineStr">
        <x:is>
          <x:t xml:space="preserve">Vigente</x:t>
        </x:is>
      </x:c>
      <x:c r="K49" s="26" t="inlineStr">
        <x:is>
          <x:t xml:space="preserve"/>
        </x:is>
      </x:c>
      <x:c r="L49" s="26" t="inlineStr">
        <x:is>
          <x:t xml:space="preserve"/>
        </x:is>
      </x:c>
      <x:c r="M49" s="27" t="inlineStr">
        <x:is>
          <x:t xml:space="preserve"/>
        </x:is>
      </x:c>
      <x:c r="N49" s="28" t="inlineStr">
        <x:is>
          <x:t xml:space="preserve">Debida Diligencia</x:t>
        </x:is>
      </x:c>
      <x:c r="O49" s="28" t="inlineStr">
        <x:is>
          <x:t xml:space="preserve">DD p.34</x:t>
        </x:is>
      </x:c>
    </x:row>
    <x:row r="50">
      <x:c r="A50" s="23" t="inlineStr">
        <x:is>
          <x:t xml:space="preserve">DD-12</x:t>
        </x:is>
      </x:c>
      <x:c r="B50" s="23" t="inlineStr">
        <x:is>
          <x:t xml:space="preserve">Debida diligencia</x:t>
        </x:is>
      </x:c>
      <x:c r="C50" s="23" t="inlineStr">
        <x:is>
          <x:t xml:space="preserve">Jurídico / fiscal</x:t>
        </x:is>
      </x:c>
      <x:c r="D50" s="23" t="inlineStr">
        <x:is>
          <x:t xml:space="preserve">Relación de litigios, asuntos jurídicos, contingencias fiscales y postura fiscal</x:t>
        </x:is>
      </x:c>
      <x:c r="E50" s="23" t="inlineStr">
        <x:is>
          <x:t xml:space="preserve">Siempre</x:t>
        </x:is>
      </x:c>
      <x:c r="F50" s="24" t="str">
        <x:f>"Sí"</x:f>
        <x:v>Sí</x:v>
      </x:c>
      <x:c r="G50" s="25" t="inlineStr">
        <x:is>
          <x:t xml:space="preserve">Bloqueante</x:t>
        </x:is>
      </x:c>
      <x:c r="H50" s="23" t="inlineStr">
        <x:is>
          <x:t xml:space="preserve">Cliente / Legal</x:t>
        </x:is>
      </x:c>
      <x:c r="I50" s="23" t="inlineStr">
        <x:is>
          <x:t xml:space="preserve">Análisis</x:t>
        </x:is>
      </x:c>
      <x:c r="J50" s="23" t="inlineStr">
        <x:is>
          <x:t xml:space="preserve">Vigente</x:t>
        </x:is>
      </x:c>
      <x:c r="K50" s="26" t="inlineStr">
        <x:is>
          <x:t xml:space="preserve"/>
        </x:is>
      </x:c>
      <x:c r="L50" s="26" t="inlineStr">
        <x:is>
          <x:t xml:space="preserve"/>
        </x:is>
      </x:c>
      <x:c r="M50" s="27" t="inlineStr">
        <x:is>
          <x:t xml:space="preserve"/>
        </x:is>
      </x:c>
      <x:c r="N50" s="28" t="inlineStr">
        <x:is>
          <x:t xml:space="preserve">Debida Diligencia</x:t>
        </x:is>
      </x:c>
      <x:c r="O50" s="28" t="inlineStr">
        <x:is>
          <x:t xml:space="preserve">DD p.14, 17, 35</x:t>
        </x:is>
      </x:c>
    </x:row>
    <x:row r="51">
      <x:c r="A51" s="23" t="inlineStr">
        <x:is>
          <x:t xml:space="preserve">DD-13</x:t>
        </x:is>
      </x:c>
      <x:c r="B51" s="23" t="inlineStr">
        <x:is>
          <x:t xml:space="preserve">Debida diligencia</x:t>
        </x:is>
      </x:c>
      <x:c r="C51" s="23" t="inlineStr">
        <x:is>
          <x:t xml:space="preserve">Geográfico</x:t>
        </x:is>
      </x:c>
      <x:c r="D51" s="23" t="inlineStr">
        <x:is>
          <x:t xml:space="preserve">Relación de operaciones por geografía, jurisdicciones y exposición internacional</x:t>
        </x:is>
      </x:c>
      <x:c r="E51" s="23" t="inlineStr">
        <x:is>
          <x:t xml:space="preserve">Aplica si opera en el extranjero, hay nueva jurisdicción o DD Mejorada</x:t>
        </x:is>
      </x:c>
      <x:c r="F51" s="24" t="str">
        <x:f>IF(OR(Captura_Caso!$B$18="Sí",Captura_Caso!$B$20="Sí",Captura_Caso!$E$5="Mejorada"),"Sí","No")</x:f>
        <x:v>No</x:v>
      </x:c>
      <x:c r="G51" s="29" t="inlineStr">
        <x:is>
          <x:t xml:space="preserve">Importante</x:t>
        </x:is>
      </x:c>
      <x:c r="H51" s="23" t="inlineStr">
        <x:is>
          <x:t xml:space="preserve">Cliente</x:t>
        </x:is>
      </x:c>
      <x:c r="I51" s="23" t="inlineStr">
        <x:is>
          <x:t xml:space="preserve">Análisis</x:t>
        </x:is>
      </x:c>
      <x:c r="J51" s="23" t="inlineStr">
        <x:is>
          <x:t xml:space="preserve">Vigente</x:t>
        </x:is>
      </x:c>
      <x:c r="K51" s="26" t="inlineStr">
        <x:is>
          <x:t xml:space="preserve"/>
        </x:is>
      </x:c>
      <x:c r="L51" s="26" t="inlineStr">
        <x:is>
          <x:t xml:space="preserve"/>
        </x:is>
      </x:c>
      <x:c r="M51" s="27" t="inlineStr">
        <x:is>
          <x:t xml:space="preserve"/>
        </x:is>
      </x:c>
      <x:c r="N51" s="28" t="inlineStr">
        <x:is>
          <x:t xml:space="preserve">Debida Diligencia</x:t>
        </x:is>
      </x:c>
      <x:c r="O51" s="28" t="inlineStr">
        <x:is>
          <x:t xml:space="preserve">DD p.15, 36</x:t>
        </x:is>
      </x:c>
    </x:row>
    <x:row r="52">
      <x:c r="A52" s="23" t="inlineStr">
        <x:is>
          <x:t xml:space="preserve">DD-14</x:t>
        </x:is>
      </x:c>
      <x:c r="B52" s="23" t="inlineStr">
        <x:is>
          <x:t xml:space="preserve">Debida diligencia</x:t>
        </x:is>
      </x:c>
      <x:c r="C52" s="23" t="inlineStr">
        <x:is>
          <x:t xml:space="preserve">Visitas</x:t>
        </x:is>
      </x:c>
      <x:c r="D52" s="23" t="inlineStr">
        <x:is>
          <x:t xml:space="preserve">Visita a instalaciones, y de ser necesario a clientes / proveedores</x:t>
        </x:is>
      </x:c>
      <x:c r="E52" s="23" t="inlineStr">
        <x:is>
          <x:t xml:space="preserve">Aplica en originación, revisión anual o DD Mejorada</x:t>
        </x:is>
      </x:c>
      <x:c r="F52" s="24" t="str">
        <x:f>IF(OR(Captura_Caso!$B$7="Originación",Captura_Caso!$B$7="Revisión anual",Captura_Caso!$E$5="Mejorada"),"Sí","No")</x:f>
        <x:v>Sí</x:v>
      </x:c>
      <x:c r="G52" s="29" t="inlineStr">
        <x:is>
          <x:t xml:space="preserve">Importante</x:t>
        </x:is>
      </x:c>
      <x:c r="H52" s="23" t="inlineStr">
        <x:is>
          <x:t xml:space="preserve">Banco Base</x:t>
        </x:is>
      </x:c>
      <x:c r="I52" s="23" t="inlineStr">
        <x:is>
          <x:t xml:space="preserve">Análisis</x:t>
        </x:is>
      </x:c>
      <x:c r="J52" s="23" t="inlineStr">
        <x:is>
          <x:t xml:space="preserve">Según política</x:t>
        </x:is>
      </x:c>
      <x:c r="K52" s="26" t="inlineStr">
        <x:is>
          <x:t xml:space="preserve"/>
        </x:is>
      </x:c>
      <x:c r="L52" s="26" t="inlineStr">
        <x:is>
          <x:t xml:space="preserve"/>
        </x:is>
      </x:c>
      <x:c r="M52" s="27" t="inlineStr">
        <x:is>
          <x:t xml:space="preserve"/>
        </x:is>
      </x:c>
      <x:c r="N52" s="28" t="inlineStr">
        <x:is>
          <x:t xml:space="preserve">Debida Diligencia</x:t>
        </x:is>
      </x:c>
      <x:c r="O52" s="28" t="inlineStr">
        <x:is>
          <x:t xml:space="preserve">DD p.14, 17</x:t>
        </x:is>
      </x:c>
    </x:row>
    <x:row r="53">
      <x:c r="A53" s="23" t="inlineStr">
        <x:is>
          <x:t xml:space="preserve">DD-15</x:t>
        </x:is>
      </x:c>
      <x:c r="B53" s="23" t="inlineStr">
        <x:is>
          <x:t xml:space="preserve">Debida diligencia</x:t>
        </x:is>
      </x:c>
      <x:c r="C53" s="23" t="inlineStr">
        <x:is>
          <x:t xml:space="preserve">Industria</x:t>
        </x:is>
      </x:c>
      <x:c r="D53" s="23" t="inlineStr">
        <x:is>
          <x:t xml:space="preserve">Memo interno de industria, sector, competidores, regulación y factores macro</x:t>
        </x:is>
      </x:c>
      <x:c r="E53" s="23" t="inlineStr">
        <x:is>
          <x:t xml:space="preserve">Siempre</x:t>
        </x:is>
      </x:c>
      <x:c r="F53" s="24" t="str">
        <x:f>"Sí"</x:f>
        <x:v>Sí</x:v>
      </x:c>
      <x:c r="G53" s="25" t="inlineStr">
        <x:is>
          <x:t xml:space="preserve">Bloqueante</x:t>
        </x:is>
      </x:c>
      <x:c r="H53" s="23" t="inlineStr">
        <x:is>
          <x:t xml:space="preserve">Crédito / Riesgos</x:t>
        </x:is>
      </x:c>
      <x:c r="I53" s="23" t="inlineStr">
        <x:is>
          <x:t xml:space="preserve">Análisis</x:t>
        </x:is>
      </x:c>
      <x:c r="J53" s="23" t="inlineStr">
        <x:is>
          <x:t xml:space="preserve">Actual</x:t>
        </x:is>
      </x:c>
      <x:c r="K53" s="26" t="inlineStr">
        <x:is>
          <x:t xml:space="preserve"/>
        </x:is>
      </x:c>
      <x:c r="L53" s="26" t="inlineStr">
        <x:is>
          <x:t xml:space="preserve"/>
        </x:is>
      </x:c>
      <x:c r="M53" s="27" t="inlineStr">
        <x:is>
          <x:t xml:space="preserve"/>
        </x:is>
      </x:c>
      <x:c r="N53" s="28" t="inlineStr">
        <x:is>
          <x:t xml:space="preserve">Debida Diligencia</x:t>
        </x:is>
      </x:c>
      <x:c r="O53" s="28" t="inlineStr">
        <x:is>
          <x:t xml:space="preserve">DD p.29-30</x:t>
        </x:is>
      </x:c>
    </x:row>
    <x:row r="54">
      <x:c r="A54" s="23" t="inlineStr">
        <x:is>
          <x:t xml:space="preserve">DD-16</x:t>
        </x:is>
      </x:c>
      <x:c r="B54" s="23" t="inlineStr">
        <x:is>
          <x:t xml:space="preserve">Debida diligencia</x:t>
        </x:is>
      </x:c>
      <x:c r="C54" s="23" t="inlineStr">
        <x:is>
          <x:t xml:space="preserve">Seguridad corporativa</x:t>
        </x:is>
      </x:c>
      <x:c r="D54" s="23" t="inlineStr">
        <x:is>
          <x:t xml:space="preserve">Formulario CSRA y envío vía portal E-Alert</x:t>
        </x:is>
      </x:c>
      <x:c r="E54" s="23" t="inlineStr">
        <x:is>
          <x:t xml:space="preserve">Aplica solo en DD Mejorada</x:t>
        </x:is>
      </x:c>
      <x:c r="F54" s="24" t="str">
        <x:f>IF(Captura_Caso!$E$5="Mejorada","Sí","No")</x:f>
        <x:v>No</x:v>
      </x:c>
      <x:c r="G54" s="25" t="inlineStr">
        <x:is>
          <x:t xml:space="preserve">Bloqueante</x:t>
        </x:is>
      </x:c>
      <x:c r="H54" s="23" t="inlineStr">
        <x:is>
          <x:t xml:space="preserve">Banco Base</x:t>
        </x:is>
      </x:c>
      <x:c r="I54" s="23" t="inlineStr">
        <x:is>
          <x:t xml:space="preserve">Análisis</x:t>
        </x:is>
      </x:c>
      <x:c r="J54" s="23" t="inlineStr">
        <x:is>
          <x:t xml:space="preserve">Actual</x:t>
        </x:is>
      </x:c>
      <x:c r="K54" s="26" t="inlineStr">
        <x:is>
          <x:t xml:space="preserve"/>
        </x:is>
      </x:c>
      <x:c r="L54" s="26" t="inlineStr">
        <x:is>
          <x:t xml:space="preserve"/>
        </x:is>
      </x:c>
      <x:c r="M54" s="27" t="inlineStr">
        <x:is>
          <x:t xml:space="preserve"/>
        </x:is>
      </x:c>
      <x:c r="N54" s="28" t="inlineStr">
        <x:is>
          <x:t xml:space="preserve">Debida Diligencia</x:t>
        </x:is>
      </x:c>
      <x:c r="O54" s="28" t="inlineStr">
        <x:is>
          <x:t xml:space="preserve">DD árbol p.15</x:t>
        </x:is>
      </x:c>
    </x:row>
    <x:row r="55">
      <x:c r="A55" s="23" t="inlineStr">
        <x:is>
          <x:t xml:space="preserve">DD-17</x:t>
        </x:is>
      </x:c>
      <x:c r="B55" s="23" t="inlineStr">
        <x:is>
          <x:t xml:space="preserve">Debida diligencia</x:t>
        </x:is>
      </x:c>
      <x:c r="C55" s="23" t="inlineStr">
        <x:is>
          <x:t xml:space="preserve">Garantías / colateral</x:t>
        </x:is>
      </x:c>
      <x:c r="D55" s="23" t="inlineStr">
        <x:is>
          <x:t xml:space="preserve">Análisis de colateral: valor, viabilidad de ejecución y cobertura</x:t>
        </x:is>
      </x:c>
      <x:c r="E55" s="23" t="inlineStr">
        <x:is>
          <x:t xml:space="preserve">Aplica cuando hay garantía</x:t>
        </x:is>
      </x:c>
      <x:c r="F55" s="24" t="str">
        <x:f>IF(Captura_Caso!$B$14="Sí","Sí","No")</x:f>
        <x:v>Sí</x:v>
      </x:c>
      <x:c r="G55" s="25" t="inlineStr">
        <x:is>
          <x:t xml:space="preserve">Bloqueante</x:t>
        </x:is>
      </x:c>
      <x:c r="H55" s="23" t="inlineStr">
        <x:is>
          <x:t xml:space="preserve">Crédito / Legal</x:t>
        </x:is>
      </x:c>
      <x:c r="I55" s="23" t="inlineStr">
        <x:is>
          <x:t xml:space="preserve">Análisis</x:t>
        </x:is>
      </x:c>
      <x:c r="J55" s="23" t="inlineStr">
        <x:is>
          <x:t xml:space="preserve">Actual</x:t>
        </x:is>
      </x:c>
      <x:c r="K55" s="26" t="inlineStr">
        <x:is>
          <x:t xml:space="preserve"/>
        </x:is>
      </x:c>
      <x:c r="L55" s="26" t="inlineStr">
        <x:is>
          <x:t xml:space="preserve"/>
        </x:is>
      </x:c>
      <x:c r="M55" s="27" t="inlineStr">
        <x:is>
          <x:t xml:space="preserve"/>
        </x:is>
      </x:c>
      <x:c r="N55" s="28" t="inlineStr">
        <x:is>
          <x:t xml:space="preserve">Debida Diligencia</x:t>
        </x:is>
      </x:c>
      <x:c r="O55" s="28" t="inlineStr">
        <x:is>
          <x:t xml:space="preserve">DD p.5</x:t>
        </x:is>
      </x:c>
    </x:row>
    <x:row r="56">
      <x:c r="A56" s="23" t="inlineStr">
        <x:is>
          <x:t xml:space="preserve">DD-18</x:t>
        </x:is>
      </x:c>
      <x:c r="B56" s="23" t="inlineStr">
        <x:is>
          <x:t xml:space="preserve">Debida diligencia</x:t>
        </x:is>
      </x:c>
      <x:c r="C56" s="23" t="inlineStr">
        <x:is>
          <x:t xml:space="preserve">Covenants</x:t>
        </x:is>
      </x:c>
      <x:c r="D56" s="23" t="inlineStr">
        <x:is>
          <x:t xml:space="preserve">Propuesta de covenants: deuda-capital, dividendos, M&amp;A u otros</x:t>
        </x:is>
      </x:c>
      <x:c r="E56" s="23" t="inlineStr">
        <x:is>
          <x:t xml:space="preserve">Aplica para créditos &gt;25,000 UDIS</x:t>
        </x:is>
      </x:c>
      <x:c r="F56" s="24" t="str">
        <x:f>IF(Captura_Caso!$B$11&gt;25000,"Sí","No")</x:f>
        <x:v>No</x:v>
      </x:c>
      <x:c r="G56" s="29" t="inlineStr">
        <x:is>
          <x:t xml:space="preserve">Importante</x:t>
        </x:is>
      </x:c>
      <x:c r="H56" s="23" t="inlineStr">
        <x:is>
          <x:t xml:space="preserve">Crédito / Legal</x:t>
        </x:is>
      </x:c>
      <x:c r="I56" s="23" t="inlineStr">
        <x:is>
          <x:t xml:space="preserve">Estructuración</x:t>
        </x:is>
      </x:c>
      <x:c r="J56" s="23" t="inlineStr">
        <x:is>
          <x:t xml:space="preserve">Actual</x:t>
        </x:is>
      </x:c>
      <x:c r="K56" s="26" t="inlineStr">
        <x:is>
          <x:t xml:space="preserve"/>
        </x:is>
      </x:c>
      <x:c r="L56" s="26" t="inlineStr">
        <x:is>
          <x:t xml:space="preserve"/>
        </x:is>
      </x:c>
      <x:c r="M56" s="27" t="inlineStr">
        <x:is>
          <x:t xml:space="preserve"/>
        </x:is>
      </x:c>
      <x:c r="N56" s="28" t="inlineStr">
        <x:is>
          <x:t xml:space="preserve">Debida Diligencia</x:t>
        </x:is>
      </x:c>
      <x:c r="O56" s="28" t="inlineStr">
        <x:is>
          <x:t xml:space="preserve">DD p.5</x:t>
        </x:is>
      </x:c>
    </x:row>
    <x:row r="57">
      <x:c r="A57" s="23" t="inlineStr">
        <x:is>
          <x:t xml:space="preserve">DD-19</x:t>
        </x:is>
      </x:c>
      <x:c r="B57" s="23" t="inlineStr">
        <x:is>
          <x:t xml:space="preserve">Debida diligencia</x:t>
        </x:is>
      </x:c>
      <x:c r="C57" s="23" t="inlineStr">
        <x:is>
          <x:t xml:space="preserve">Ambiental / SST</x:t>
        </x:is>
      </x:c>
      <x:c r="D57" s="23" t="inlineStr">
        <x:is>
          <x:t xml:space="preserve">Información ambiental, cambio climático, salud y seguridad</x:t>
        </x:is>
      </x:c>
      <x:c r="E57" s="23" t="inlineStr">
        <x:is>
          <x:t xml:space="preserve">Aplica si DD Mejorada o empresa operativa</x:t>
        </x:is>
      </x:c>
      <x:c r="F57" s="24" t="str">
        <x:f>IF(OR(Captura_Caso!$E$5="Mejorada",Captura_Caso!$B$5="Moral"),"Sí","No")</x:f>
        <x:v>Sí</x:v>
      </x:c>
      <x:c r="G57" s="29" t="inlineStr">
        <x:is>
          <x:t xml:space="preserve">Importante</x:t>
        </x:is>
      </x:c>
      <x:c r="H57" s="23" t="inlineStr">
        <x:is>
          <x:t xml:space="preserve">Cliente</x:t>
        </x:is>
      </x:c>
      <x:c r="I57" s="23" t="inlineStr">
        <x:is>
          <x:t xml:space="preserve">Análisis</x:t>
        </x:is>
      </x:c>
      <x:c r="J57" s="23" t="inlineStr">
        <x:is>
          <x:t xml:space="preserve">Vigente</x:t>
        </x:is>
      </x:c>
      <x:c r="K57" s="26" t="inlineStr">
        <x:is>
          <x:t xml:space="preserve"/>
        </x:is>
      </x:c>
      <x:c r="L57" s="26" t="inlineStr">
        <x:is>
          <x:t xml:space="preserve"/>
        </x:is>
      </x:c>
      <x:c r="M57" s="27" t="inlineStr">
        <x:is>
          <x:t xml:space="preserve"/>
        </x:is>
      </x:c>
      <x:c r="N57" s="28" t="inlineStr">
        <x:is>
          <x:t xml:space="preserve">Debida Diligencia</x:t>
        </x:is>
      </x:c>
      <x:c r="O57" s="28" t="inlineStr">
        <x:is>
          <x:t xml:space="preserve">DD p.17, 37</x:t>
        </x:is>
      </x:c>
    </x:row>
    <x:row r="58">
      <x:c r="A58" s="23" t="inlineStr">
        <x:is>
          <x:t xml:space="preserve">DD-20</x:t>
        </x:is>
      </x:c>
      <x:c r="B58" s="23" t="inlineStr">
        <x:is>
          <x:t xml:space="preserve">Debida diligencia</x:t>
        </x:is>
      </x:c>
      <x:c r="C58" s="23" t="inlineStr">
        <x:is>
          <x:t xml:space="preserve">Contable</x:t>
        </x:is>
      </x:c>
      <x:c r="D58" s="23" t="inlineStr">
        <x:is>
          <x:t xml:space="preserve">Detalle de políticas contables, backlog, ingresos, pasivos y auditores</x:t>
        </x:is>
      </x:c>
      <x:c r="E58" s="23" t="inlineStr">
        <x:is>
          <x:t xml:space="preserve">Solo persona moral</x:t>
        </x:is>
      </x:c>
      <x:c r="F58" s="24" t="str">
        <x:f>IF(Captura_Caso!$B$5="Moral","Sí","No")</x:f>
        <x:v>Sí</x:v>
      </x:c>
      <x:c r="G58" s="25" t="inlineStr">
        <x:is>
          <x:t xml:space="preserve">Bloqueante</x:t>
        </x:is>
      </x:c>
      <x:c r="H58" s="23" t="inlineStr">
        <x:is>
          <x:t xml:space="preserve">Cliente</x:t>
        </x:is>
      </x:c>
      <x:c r="I58" s="23" t="inlineStr">
        <x:is>
          <x:t xml:space="preserve">Análisis</x:t>
        </x:is>
      </x:c>
      <x:c r="J58" s="23" t="inlineStr">
        <x:is>
          <x:t xml:space="preserve">Vigente</x:t>
        </x:is>
      </x:c>
      <x:c r="K58" s="26" t="inlineStr">
        <x:is>
          <x:t xml:space="preserve"/>
        </x:is>
      </x:c>
      <x:c r="L58" s="26" t="inlineStr">
        <x:is>
          <x:t xml:space="preserve"/>
        </x:is>
      </x:c>
      <x:c r="M58" s="27" t="inlineStr">
        <x:is>
          <x:t xml:space="preserve"/>
        </x:is>
      </x:c>
      <x:c r="N58" s="28" t="inlineStr">
        <x:is>
          <x:t xml:space="preserve">Debida Diligencia</x:t>
        </x:is>
      </x:c>
      <x:c r="O58" s="28" t="inlineStr">
        <x:is>
          <x:t xml:space="preserve">DD p.35</x:t>
        </x:is>
      </x:c>
    </x:row>
  </x:sheetData>
  <x:mergeCells>
    <x:mergeCell ref="A1:O1"/>
  </x:mergeCells>
  <x:conditionalFormatting sqref="F3:F58">
    <x:cfRule type="expression" dxfId="0" priority="1">
      <x:formula>F3="Sí"</x:formula>
    </x:cfRule>
    <x:cfRule type="expression" dxfId="3" priority="2">
      <x:formula>F3="No"</x:formula>
    </x:cfRule>
  </x:conditionalFormatting>
  <x:conditionalFormatting sqref="K3:K58">
    <x:cfRule type="expression" dxfId="0" priority="3">
      <x:formula>K3="Recibido"</x:formula>
    </x:cfRule>
    <x:cfRule type="expression" dxfId="2" priority="4">
      <x:formula>K3="Pendiente"</x:formula>
    </x:cfRule>
    <x:cfRule type="expression" dxfId="4" priority="5">
      <x:formula>K3="En revisión"</x:formula>
    </x:cfRule>
  </x:conditionalFormatting>
  <x:conditionalFormatting sqref="L3:L58">
    <x:cfRule type="expression" dxfId="0" priority="6">
      <x:formula>L3="Sí"</x:formula>
    </x:cfRule>
    <x:cfRule type="expression" dxfId="1" priority="7">
      <x:formula>L3="No"</x:formula>
    </x:cfRule>
  </x:conditionalFormatting>
  <x:dataValidations count="2">
    <x:dataValidation type="list" allowBlank="1" showDropDown="0" showInputMessage="0" showErrorMessage="0" sqref="K3 K4 K5 K6 K7 K8 K9 K10 K11 K12 K13 K14 K15 K16 K17 K18 K19 K20 K21 K22 K23 K24 K25 K26 K27 K28 K29 K30 K31 K32 K33 K34 K35 K36 K37 K38 K39 K40 K41 K42 K43 K44 K45 K46 K47 K48 K49 K50 K51 K52 K53 K54 K55 K56 K57 K58">
      <x:formula1>=Catalogos!$I$2:$I$5</x:formula1>
    </x:dataValidation>
    <x:dataValidation type="list" allowBlank="1" showDropDown="0" showInputMessage="0" showErrorMessage="0" sqref="L3 L4 L5 L6 L7 L8 L9 L10 L11 L12 L13 L14 L15 L16 L17 L18 L19 L20 L21 L22 L23 L24 L25 L26 L27 L28 L29 L30 L31 L32 L33 L34 L35 L36 L37 L38 L39 L40 L41 L42 L43 L44 L45 L46 L47 L48 L49 L50 L51 L52 L53 L54 L55 L56 L57 L58">
      <x:formula1>=Catalogos!$J$2:$J$4</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4" customWidth="1"/>
    <x:col min="2" max="2" width="34" customWidth="1"/>
    <x:col min="3" max="3" width="66" customWidth="1"/>
    <x:col min="4" max="4" width="26" customWidth="1"/>
  </x:cols>
  <x:sheetData>
    <x:row r="1">
      <x:c r="A1" s="2" t="inlineStr">
        <x:is>
          <x:t xml:space="preserve">Base documental utilizada</x:t>
        </x:is>
      </x:c>
    </x:row>
    <x:row r="2">
      <x:c r="A2" s="30" t="inlineStr">
        <x:is>
          <x:t xml:space="preserve">Documento fuente</x:t>
        </x:is>
      </x:c>
      <x:c r="B2" s="30" t="inlineStr">
        <x:is>
          <x:t xml:space="preserve">Uso en el checklist</x:t>
        </x:is>
      </x:c>
      <x:c r="C2" s="30" t="inlineStr">
        <x:is>
          <x:t xml:space="preserve">Temas incorporados</x:t>
        </x:is>
      </x:c>
      <x:c r="D2" s="30" t="inlineStr">
        <x:is>
          <x:t xml:space="preserve">Rol en la lógica</x:t>
        </x:is>
      </x:c>
    </x:row>
    <x:row r="3">
      <x:c r="A3" s="4" t="inlineStr">
        <x:is>
          <x:t xml:space="preserve">Requisitos.docx</x:t>
        </x:is>
      </x:c>
      <x:c r="B3" s="4" t="inlineStr">
        <x:is>
          <x:t xml:space="preserve">Mínimos regulatorios por banda UDIS</x:t>
        </x:is>
      </x:c>
      <x:c r="C3" s="4" t="inlineStr">
        <x:is>
          <x:t xml:space="preserve">SIC, autorizaciones, estudio de crédito, dictamen jurídico, avalúos, gravámenes, seguros, visitas, vigencias de sociedad y propiedad.</x:t>
        </x:is>
      </x:c>
      <x:c r="D3" s="4" t="inlineStr">
        <x:is>
          <x:t xml:space="preserve">Base mínima obligatoria</x:t>
        </x:is>
      </x:c>
    </x:row>
    <x:row r="4">
      <x:c r="A4" s="4" t="inlineStr">
        <x:is>
          <x:t xml:space="preserve">CMA.docx</x:t>
        </x:is>
      </x:c>
      <x:c r="B4" s="4" t="inlineStr">
        <x:is>
          <x:t xml:space="preserve">Criterios mínimos de aceptación Banco Base</x:t>
        </x:is>
      </x:c>
      <x:c r="C4" s="4" t="inlineStr">
        <x:is>
          <x:t xml:space="preserve">Ventas &gt;=50 MDP, antigüedad 2 años, Regular B, capital positivo, sin quiebra técnica, DSCR &gt;=1.0, razones financieras, 2:1 si no hay garantía especial y criterios de rechazo.</x:t>
        </x:is>
      </x:c>
      <x:c r="D4" s="4" t="inlineStr">
        <x:is>
          <x:t xml:space="preserve">Filtro de entrada / go-no go</x:t>
        </x:is>
      </x:c>
    </x:row>
    <x:row r="5">
      <x:c r="A5" s="4" t="inlineStr">
        <x:is>
          <x:t xml:space="preserve">Debida Diligencia.pdf</x:t>
        </x:is>
      </x:c>
      <x:c r="B5" s="4" t="inlineStr">
        <x:is>
          <x:t xml:space="preserve">Guía de debida diligencia y árbol de decisión</x:t>
        </x:is>
      </x:c>
      <x:c r="C5" s="4" t="inlineStr">
        <x:is>
          <x:t xml:space="preserve">Define componentes, visitas, análisis financiero, governance, industria, productos, operación, riesgos geográficos y ambientales. Activa DD Mejorada y CSRA en supuestos específicos.</x:t>
        </x:is>
      </x:c>
      <x:c r="D5" s="4" t="inlineStr">
        <x:is>
          <x:t xml:space="preserve">Profundización del checklist</x:t>
        </x:is>
      </x:c>
    </x:row>
  </x:sheetData>
  <x:mergeCells>
    <x:mergeCell ref="A1:D1"/>
  </x:mergeCells>
  <x:pageMargins left="0.7" right="0.7" top="0.75" bottom="0.75" header="0.3" footer="0.3"/>
</x:worksheet>
</file>