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5840" tabRatio="561" firstSheet="1" activeTab="1" autoFilterDateGrouping="1"/>
  </bookViews>
  <sheets>
    <sheet xmlns:r="http://schemas.openxmlformats.org/officeDocument/2006/relationships" name="(1)_Base_de_Datos" sheetId="1" state="hidden" r:id="rId1"/>
    <sheet xmlns:r="http://schemas.openxmlformats.org/officeDocument/2006/relationships" name="(3)_Plan_de_Accion" sheetId="2" state="visible" r:id="rId2"/>
    <sheet xmlns:r="http://schemas.openxmlformats.org/officeDocument/2006/relationships" name="Acerno_Cache_XXXXX" sheetId="3" state="veryHidden" r:id="rId3"/>
    <sheet xmlns:r="http://schemas.openxmlformats.org/officeDocument/2006/relationships" name="datos" sheetId="4" state="hidden" r:id="rId4"/>
    <sheet xmlns:r="http://schemas.openxmlformats.org/officeDocument/2006/relationships" name="Plantilla" sheetId="5" state="hidden" r:id="rId5"/>
  </sheets>
  <externalReferences>
    <externalReference xmlns:r="http://schemas.openxmlformats.org/officeDocument/2006/relationships" r:id="rId6"/>
  </externalReferences>
  <definedNames>
    <definedName name="AI">[1]datos!$B$14:$B$57</definedName>
    <definedName name="CtrlInt">[1]datos!$V$2:$V$7</definedName>
    <definedName name="Cumplimiento">[1]datos!$R$2:$R$7</definedName>
    <definedName name="DeptoAI">[1]datos!$G$2:$G$15</definedName>
    <definedName name="eef_af">datos!$Z$43:$Z$53</definedName>
    <definedName name="eef_br">datos!#REF!</definedName>
    <definedName name="Emp">[1]datos!$G$27:$G$34</definedName>
    <definedName name="ExistNorma">[1]datos!$T$2:$T$7</definedName>
    <definedName name="Impacto">[1]datos!$X$2:$X$7</definedName>
    <definedName name="Prioridad1">[1]datos!$P$11:$P$16</definedName>
    <definedName name="Proceso">[1]datos!$E$2:$E$6</definedName>
    <definedName name="resultado2">'[1](3)_Plan_de_Accion'!$AF$3:$AF$7</definedName>
    <definedName name="RiesgoAsoc">[1]datos!$P$2:$P$7</definedName>
    <definedName name="subdir1">'[1](3)_Plan_de_Accion'!$AI$3:$AI$6</definedName>
    <definedName name="TipoHallazgo">[1]datos!$G$19:$G$23</definedName>
    <definedName name="_xlnm.Print_Titles" localSheetId="1">'(3)_Plan_de_Accion'!$2:$12</definedName>
    <definedName name="_xlnm._FilterDatabase" localSheetId="3" hidden="1">'datos'!$X$2:$AF$113</definedName>
    <definedName name="_xlnm._FilterDatabase" localSheetId="4" hidden="1">'Plantilla'!$A$4:$AL$1656</definedName>
  </definedNames>
  <calcPr calcId="162913" fullCalcOnLoad="1"/>
</workbook>
</file>

<file path=xl/styles.xml><?xml version="1.0" encoding="utf-8"?>
<styleSheet xmlns="http://schemas.openxmlformats.org/spreadsheetml/2006/main">
  <numFmts count="2">
    <numFmt numFmtId="164" formatCode="mm/yy"/>
    <numFmt numFmtId="165" formatCode="[$-80A]d&quot; de &quot;mmmm&quot; de &quot;yyyy;@"/>
  </numFmts>
  <fonts count="54">
    <font>
      <name val="Calibri"/>
      <family val="2"/>
      <color theme="1"/>
      <sz val="11"/>
      <scheme val="minor"/>
    </font>
    <font>
      <name val="Century Gothic"/>
      <family val="2"/>
      <color indexed="8"/>
      <sz val="10"/>
    </font>
    <font>
      <name val="Century Gothic"/>
      <family val="2"/>
      <b val="1"/>
      <color indexed="8"/>
      <sz val="10"/>
    </font>
    <font>
      <name val="Century Gothic"/>
      <family val="2"/>
      <b val="1"/>
      <color rgb="FFC00000"/>
      <sz val="10"/>
    </font>
    <font>
      <name val="Century Gothic"/>
      <family val="2"/>
      <b val="1"/>
      <sz val="10"/>
    </font>
    <font>
      <name val="Century Gothic"/>
      <family val="2"/>
      <sz val="10"/>
    </font>
    <font>
      <name val="Calibri"/>
      <family val="2"/>
      <color indexed="8"/>
      <sz val="16"/>
    </font>
    <font>
      <name val="Century Gothic"/>
      <family val="2"/>
      <color indexed="8"/>
      <sz val="11"/>
    </font>
    <font>
      <name val="Century Gothic"/>
      <family val="2"/>
      <b val="1"/>
      <color indexed="8"/>
      <sz val="11"/>
    </font>
    <font>
      <name val="Century Gothic"/>
      <family val="2"/>
      <b val="1"/>
      <color rgb="FF0000FF"/>
      <sz val="14"/>
    </font>
    <font>
      <name val="Tahoma"/>
      <family val="2"/>
      <color indexed="81"/>
      <sz val="9"/>
    </font>
    <font>
      <name val="Tahoma"/>
      <family val="2"/>
      <color indexed="81"/>
      <sz val="10"/>
    </font>
    <font>
      <name val="Arial"/>
      <charset val="1"/>
      <family val="2"/>
      <b val="1"/>
      <sz val="15"/>
    </font>
    <font>
      <name val="Arial"/>
      <family val="2"/>
      <b val="1"/>
      <sz val="16"/>
    </font>
    <font>
      <name val="Arial"/>
      <charset val="1"/>
      <family val="2"/>
      <b val="1"/>
      <sz val="16"/>
    </font>
    <font>
      <name val="Arial"/>
      <charset val="1"/>
      <family val="2"/>
      <sz val="16"/>
    </font>
    <font>
      <name val="Arial"/>
      <charset val="1"/>
      <family val="2"/>
      <sz val="15"/>
    </font>
    <font>
      <name val="Arial"/>
      <family val="2"/>
      <b val="1"/>
      <color rgb="FF780014"/>
      <sz val="16"/>
    </font>
    <font>
      <name val="Calibri"/>
      <family val="2"/>
      <color indexed="8"/>
      <sz val="10"/>
    </font>
    <font>
      <name val="Arial"/>
      <family val="2"/>
      <b val="1"/>
      <color indexed="10"/>
      <sz val="15"/>
    </font>
    <font>
      <name val="Arial"/>
      <family val="2"/>
      <b val="1"/>
      <color indexed="8"/>
      <sz val="16"/>
    </font>
    <font>
      <name val="Arial"/>
      <charset val="1"/>
      <family val="2"/>
      <b val="1"/>
      <sz val="11"/>
    </font>
    <font>
      <name val="Arial"/>
      <charset val="1"/>
      <family val="2"/>
      <b val="1"/>
      <color indexed="10"/>
      <sz val="16"/>
    </font>
    <font>
      <name val="Arial"/>
      <charset val="1"/>
      <family val="2"/>
      <b val="1"/>
      <color indexed="8"/>
      <sz val="16"/>
    </font>
    <font>
      <name val="Arial"/>
      <family val="2"/>
      <sz val="16"/>
    </font>
    <font>
      <name val="Arial"/>
      <family val="2"/>
      <b val="1"/>
      <sz val="18"/>
    </font>
    <font>
      <name val="Calibri"/>
      <family val="2"/>
      <color theme="0" tint="-0.0499893185216834"/>
      <sz val="10"/>
    </font>
    <font>
      <name val="Arial"/>
      <charset val="1"/>
      <family val="2"/>
      <color rgb="FF000099"/>
      <sz val="16"/>
    </font>
    <font>
      <name val="Arial"/>
      <charset val="1"/>
      <family val="2"/>
      <b val="1"/>
      <sz val="20"/>
    </font>
    <font>
      <name val="Arial"/>
      <charset val="1"/>
      <family val="2"/>
      <b val="1"/>
      <color theme="0"/>
      <sz val="20"/>
    </font>
    <font>
      <name val="Arial"/>
      <charset val="1"/>
      <family val="2"/>
      <b val="1"/>
      <sz val="14"/>
    </font>
    <font>
      <name val="Arial"/>
      <charset val="1"/>
      <family val="2"/>
      <b val="1"/>
      <color theme="0"/>
      <sz val="14"/>
    </font>
    <font>
      <name val="Arial"/>
      <family val="2"/>
      <b val="1"/>
      <sz val="12"/>
    </font>
    <font>
      <name val="Arial"/>
      <family val="2"/>
      <b val="1"/>
      <sz val="14"/>
    </font>
    <font>
      <name val="Arial"/>
      <charset val="1"/>
      <family val="2"/>
      <sz val="14"/>
    </font>
    <font>
      <name val="Arial"/>
      <charset val="1"/>
      <family val="2"/>
      <color rgb="FF000099"/>
      <sz val="14"/>
    </font>
    <font>
      <name val="Arial"/>
      <family val="2"/>
      <b val="1"/>
      <sz val="15"/>
    </font>
    <font>
      <name val="Arial"/>
      <family val="2"/>
      <sz val="14"/>
    </font>
    <font>
      <name val="Arial"/>
      <charset val="1"/>
      <family val="2"/>
      <color theme="0" tint="-0.499984740745262"/>
      <sz val="12"/>
    </font>
    <font>
      <name val="Arial"/>
      <charset val="1"/>
      <family val="2"/>
      <sz val="12"/>
    </font>
    <font>
      <name val="Arial"/>
      <charset val="1"/>
      <family val="2"/>
      <sz val="13"/>
    </font>
    <font>
      <name val="Arial"/>
      <charset val="1"/>
      <family val="2"/>
      <color rgb="FF0000FF"/>
      <sz val="16"/>
    </font>
    <font>
      <name val="Calibri"/>
      <family val="2"/>
      <color theme="1"/>
      <sz val="11"/>
      <scheme val="minor"/>
    </font>
    <font>
      <name val="Arial"/>
      <family val="2"/>
      <b val="1"/>
      <sz val="20"/>
    </font>
    <font>
      <name val="Calibri"/>
      <family val="2"/>
      <color theme="1"/>
      <sz val="20"/>
      <scheme val="minor"/>
    </font>
    <font>
      <name val="Arial"/>
      <family val="2"/>
      <b val="1"/>
      <color theme="0"/>
      <sz val="16"/>
    </font>
    <font>
      <name val="Arial"/>
      <family val="2"/>
      <b val="1"/>
      <color rgb="FF0070C0"/>
      <sz val="20"/>
    </font>
    <font>
      <name val="Calibri"/>
      <family val="2"/>
      <b val="1"/>
      <color theme="1"/>
      <sz val="9"/>
      <scheme val="minor"/>
    </font>
    <font>
      <name val="Candara"/>
      <family val="2"/>
      <sz val="12"/>
    </font>
    <font>
      <name val="Candara"/>
      <family val="2"/>
      <b val="1"/>
      <sz val="12"/>
    </font>
    <font>
      <name val="Webdings"/>
      <charset val="2"/>
      <family val="1"/>
      <color rgb="FF000099"/>
      <sz val="26"/>
    </font>
    <font>
      <name val="Arial"/>
      <family val="2"/>
      <sz val="10"/>
    </font>
    <font>
      <name val="Verdana"/>
      <family val="2"/>
      <sz val="10"/>
    </font>
    <font>
      <name val="Calibri"/>
      <family val="2"/>
      <sz val="8"/>
    </font>
  </fonts>
  <fills count="12">
    <fill>
      <patternFill/>
    </fill>
    <fill>
      <patternFill patternType="gray125"/>
    </fill>
    <fill>
      <patternFill patternType="solid">
        <fgColor rgb="FFFFFF66"/>
        <bgColor indexed="64"/>
      </patternFill>
    </fill>
    <fill>
      <patternFill patternType="solid">
        <fgColor theme="6" tint="0.5999938962981048"/>
        <bgColor indexed="31"/>
      </patternFill>
    </fill>
    <fill>
      <patternFill patternType="solid">
        <fgColor theme="2"/>
        <bgColor indexed="64"/>
      </patternFill>
    </fill>
    <fill>
      <patternFill patternType="solid">
        <fgColor theme="0" tint="-0.1499984740745262"/>
        <bgColor indexed="64"/>
      </patternFill>
    </fill>
    <fill>
      <patternFill patternType="solid">
        <fgColor theme="7" tint="0.7999816888943144"/>
        <bgColor indexed="64"/>
      </patternFill>
    </fill>
    <fill>
      <patternFill patternType="solid">
        <fgColor theme="2"/>
        <bgColor indexed="23"/>
      </patternFill>
    </fill>
    <fill>
      <patternFill patternType="solid">
        <fgColor rgb="FFFFC000"/>
        <bgColor indexed="31"/>
      </patternFill>
    </fill>
    <fill>
      <patternFill patternType="solid">
        <fgColor theme="7" tint="-0.499984740745262"/>
        <bgColor indexed="31"/>
      </patternFill>
    </fill>
    <fill>
      <patternFill patternType="solid">
        <fgColor theme="1" tint="0.0499893185216834"/>
        <bgColor indexed="64"/>
      </patternFill>
    </fill>
    <fill>
      <patternFill patternType="solid">
        <fgColor theme="5" tint="0.3999755851924192"/>
        <bgColor indexed="64"/>
      </patternFill>
    </fill>
  </fills>
  <borders count="54">
    <border>
      <left/>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hair">
        <color rgb="FF0000FF"/>
      </bottom>
      <diagonal/>
    </border>
    <border>
      <left/>
      <right style="thin">
        <color theme="0" tint="-0.249946592608417"/>
      </right>
      <top style="thin">
        <color theme="0" tint="-0.249946592608417"/>
      </top>
      <bottom style="thin">
        <color theme="0" tint="-0.249946592608417"/>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theme="0" tint="-0.1499679555650502"/>
      </bottom>
      <diagonal/>
    </border>
    <border>
      <left/>
      <right/>
      <top style="thin">
        <color indexed="64"/>
      </top>
      <bottom style="thin">
        <color theme="0" tint="-0.1499679555650502"/>
      </bottom>
      <diagonal/>
    </border>
    <border>
      <left/>
      <right style="thin">
        <color indexed="64"/>
      </right>
      <top style="thin">
        <color indexed="64"/>
      </top>
      <bottom style="thin">
        <color theme="0" tint="-0.1499679555650502"/>
      </bottom>
      <diagonal/>
    </border>
    <border>
      <left style="medium">
        <color indexed="64"/>
      </left>
      <right style="thin">
        <color indexed="64"/>
      </right>
      <top/>
      <bottom style="thin">
        <color indexed="64"/>
      </bottom>
      <diagonal/>
    </border>
    <border>
      <left style="thin">
        <color indexed="64"/>
      </left>
      <right style="thin">
        <color theme="0" tint="-0.1499679555650502"/>
      </right>
      <top style="thin">
        <color theme="0" tint="-0.1499679555650502"/>
      </top>
      <bottom style="thin">
        <color indexed="64"/>
      </bottom>
      <diagonal/>
    </border>
    <border>
      <left style="thin">
        <color theme="0" tint="-0.1499679555650502"/>
      </left>
      <right style="thin">
        <color theme="0" tint="-0.1499679555650502"/>
      </right>
      <top style="thin">
        <color theme="0" tint="-0.1499679555650502"/>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right/>
      <top style="medium">
        <color indexed="64"/>
      </top>
      <bottom/>
      <diagonal/>
    </border>
    <border>
      <left style="thin">
        <color theme="0" tint="-0.249946592608417"/>
      </left>
      <right style="thin">
        <color theme="0" tint="-0.249946592608417"/>
      </right>
      <top style="thin">
        <color theme="0" tint="-0.249946592608417"/>
      </top>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
      </left>
      <right/>
      <top style="thin">
        <color theme="0" tint="-0.249946592608417"/>
      </top>
      <bottom style="thin">
        <color indexed="64"/>
      </bottom>
      <diagonal/>
    </border>
    <border>
      <left/>
      <right style="thin">
        <color theme="0" tint="-0.249946592608417"/>
      </right>
      <top style="thin">
        <color theme="0" tint="-0.249946592608417"/>
      </top>
      <bottom style="thin">
        <color indexed="64"/>
      </bottom>
      <diagonal/>
    </border>
    <border>
      <left/>
      <right/>
      <top/>
      <bottom style="thin">
        <color indexed="64"/>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right/>
      <top style="thin">
        <color indexed="64"/>
      </top>
      <bottom style="thin">
        <color auto="1"/>
      </bottom>
      <diagonal/>
    </border>
    <border>
      <left style="thin">
        <color indexed="64"/>
      </left>
      <right style="thin">
        <color indexed="64"/>
      </right>
      <top style="thin">
        <color indexed="64"/>
      </top>
      <bottom style="thin">
        <color theme="0" tint="-0.1499679555650502"/>
      </bottom>
      <diagonal/>
    </border>
    <border>
      <left/>
      <right style="thin">
        <color auto="1"/>
      </right>
      <top/>
      <bottom/>
      <diagonal/>
    </border>
    <border>
      <left/>
      <right style="thin">
        <color auto="1"/>
      </right>
      <top/>
      <bottom style="thin">
        <color auto="1"/>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top style="thin">
        <color theme="0" tint="-0.1499679555650502"/>
      </top>
      <bottom style="thin">
        <color indexed="64"/>
      </bottom>
      <diagonal/>
    </border>
    <border>
      <left/>
      <right style="thin">
        <color theme="0" tint="-0.1499679555650502"/>
      </right>
      <top style="thin">
        <color theme="0" tint="-0.1499679555650502"/>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rgb="FFFF0000"/>
      </left>
      <right style="medium">
        <color rgb="FFFF0000"/>
      </right>
      <top style="medium">
        <color rgb="FFFF0000"/>
      </top>
      <bottom style="medium">
        <color rgb="FFFF0000"/>
      </bottom>
      <diagonal/>
    </border>
  </borders>
  <cellStyleXfs count="9">
    <xf numFmtId="0" fontId="42" fillId="0" borderId="0"/>
    <xf numFmtId="0" fontId="42" fillId="0" borderId="0"/>
    <xf numFmtId="0" fontId="51" fillId="0" borderId="0"/>
    <xf numFmtId="0" fontId="51" fillId="0" borderId="0"/>
    <xf numFmtId="0" fontId="52" fillId="0" borderId="0"/>
    <xf numFmtId="43" fontId="51" fillId="0" borderId="0"/>
    <xf numFmtId="9" fontId="51" fillId="0" borderId="0"/>
    <xf numFmtId="0" fontId="51" fillId="0" borderId="0"/>
    <xf numFmtId="0" fontId="42" fillId="0" borderId="0"/>
  </cellStyleXfs>
  <cellXfs count="308">
    <xf numFmtId="0" fontId="0" fillId="0" borderId="0" pivotButton="0" quotePrefix="0" xfId="0"/>
    <xf numFmtId="0" fontId="1" fillId="0" borderId="0" applyAlignment="1" pivotButton="0" quotePrefix="0" xfId="0">
      <alignment vertical="center"/>
    </xf>
    <xf numFmtId="0" fontId="7" fillId="0" borderId="0" applyProtection="1" pivotButton="0" quotePrefix="0" xfId="0">
      <protection locked="1" hidden="1"/>
    </xf>
    <xf numFmtId="0" fontId="8" fillId="0" borderId="0" applyProtection="1" pivotButton="0" quotePrefix="0" xfId="0">
      <protection locked="1" hidden="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 fillId="0" borderId="0" applyProtection="1" pivotButton="0" quotePrefix="0" xfId="0">
      <protection locked="1" hidden="1"/>
    </xf>
    <xf numFmtId="0" fontId="1" fillId="2" borderId="12" applyAlignment="1" applyProtection="1" pivotButton="0" quotePrefix="0" xfId="0">
      <alignment horizontal="center" vertical="center" wrapText="1"/>
      <protection locked="0" hidden="0"/>
    </xf>
    <xf numFmtId="0" fontId="1" fillId="2" borderId="12" applyAlignment="1" applyProtection="1" pivotButton="0" quotePrefix="0" xfId="0">
      <alignment vertical="center" wrapText="1"/>
      <protection locked="0" hidden="0"/>
    </xf>
    <xf numFmtId="0" fontId="1" fillId="0" borderId="14" applyAlignment="1" applyProtection="1" pivotButton="0" quotePrefix="0" xfId="0">
      <alignment horizontal="center" vertical="center" wrapText="1"/>
      <protection locked="1" hidden="1"/>
    </xf>
    <xf numFmtId="0" fontId="1" fillId="0" borderId="12" applyAlignment="1" applyProtection="1" pivotButton="0" quotePrefix="0" xfId="0">
      <alignment horizontal="center" vertical="center" wrapText="1"/>
      <protection locked="1" hidden="1"/>
    </xf>
    <xf numFmtId="0" fontId="1" fillId="0" borderId="14" applyAlignment="1" applyProtection="1" pivotButton="0" quotePrefix="0" xfId="0">
      <alignment horizontal="justify" vertical="center" wrapText="1"/>
      <protection locked="1" hidden="1"/>
    </xf>
    <xf numFmtId="0" fontId="1" fillId="0" borderId="0" applyAlignment="1" applyProtection="1" pivotButton="0" quotePrefix="0" xfId="0">
      <alignment wrapText="1"/>
      <protection locked="1" hidden="1"/>
    </xf>
    <xf numFmtId="0" fontId="1" fillId="2" borderId="12" applyAlignment="1" applyProtection="1" pivotButton="0" quotePrefix="0" xfId="0">
      <alignment horizontal="justify" vertical="center" wrapText="1"/>
      <protection locked="0" hidden="0"/>
    </xf>
    <xf numFmtId="15" fontId="1" fillId="0" borderId="12" applyAlignment="1" applyProtection="1" pivotButton="0" quotePrefix="0" xfId="0">
      <alignment horizontal="center" vertical="center" wrapText="1"/>
      <protection locked="1" hidden="1"/>
    </xf>
    <xf numFmtId="0" fontId="15" fillId="0" borderId="0" applyAlignment="1" applyProtection="1" pivotButton="0" quotePrefix="0" xfId="0">
      <alignment vertical="center"/>
      <protection locked="1" hidden="1"/>
    </xf>
    <xf numFmtId="0" fontId="16" fillId="0" borderId="0" applyAlignment="1" applyProtection="1" pivotButton="0" quotePrefix="0" xfId="0">
      <alignment vertical="center"/>
      <protection locked="1" hidden="1"/>
    </xf>
    <xf numFmtId="0" fontId="0" fillId="0" borderId="0" applyAlignment="1" applyProtection="1" pivotButton="0" quotePrefix="0" xfId="0">
      <alignment vertical="center"/>
      <protection locked="1" hidden="1"/>
    </xf>
    <xf numFmtId="0" fontId="18" fillId="0" borderId="0" applyProtection="1" pivotButton="0" quotePrefix="0" xfId="0">
      <protection locked="1" hidden="1"/>
    </xf>
    <xf numFmtId="0" fontId="19" fillId="0" borderId="0" applyAlignment="1" applyProtection="1" pivotButton="0" quotePrefix="0" xfId="0">
      <alignment vertical="center"/>
      <protection locked="1" hidden="1"/>
    </xf>
    <xf numFmtId="0" fontId="20" fillId="0" borderId="0" applyAlignment="1" applyProtection="1" pivotButton="0" quotePrefix="0" xfId="0">
      <alignment vertical="center"/>
      <protection locked="1" hidden="1"/>
    </xf>
    <xf numFmtId="0" fontId="21" fillId="0" borderId="0" applyAlignment="1" applyProtection="1" pivotButton="0" quotePrefix="0" xfId="0">
      <alignment vertical="center"/>
      <protection locked="1" hidden="1"/>
    </xf>
    <xf numFmtId="0" fontId="18" fillId="0" borderId="3" applyProtection="1" pivotButton="0" quotePrefix="0" xfId="0">
      <protection locked="1" hidden="1"/>
    </xf>
    <xf numFmtId="0" fontId="16" fillId="0" borderId="1" applyAlignment="1" applyProtection="1" pivotButton="0" quotePrefix="0" xfId="0">
      <alignment vertical="center"/>
      <protection locked="1" hidden="1"/>
    </xf>
    <xf numFmtId="0" fontId="16" fillId="0" borderId="6" applyAlignment="1" applyProtection="1" pivotButton="0" quotePrefix="0" xfId="0">
      <alignment vertical="center"/>
      <protection locked="1" hidden="1"/>
    </xf>
    <xf numFmtId="0" fontId="14" fillId="0" borderId="0" applyAlignment="1" applyProtection="1" pivotButton="0" quotePrefix="0" xfId="0">
      <alignment horizontal="right" vertical="center"/>
      <protection locked="1" hidden="1"/>
    </xf>
    <xf numFmtId="0" fontId="22" fillId="0" borderId="0" applyAlignment="1" applyProtection="1" pivotButton="0" quotePrefix="0" xfId="0">
      <alignment vertical="center"/>
      <protection locked="1" hidden="1"/>
    </xf>
    <xf numFmtId="0" fontId="18" fillId="0" borderId="4" applyProtection="1" pivotButton="0" quotePrefix="0" xfId="0">
      <protection locked="1" hidden="1"/>
    </xf>
    <xf numFmtId="0" fontId="15" fillId="0" borderId="2" applyAlignment="1" applyProtection="1" pivotButton="0" quotePrefix="0" xfId="0">
      <alignment vertical="center"/>
      <protection locked="1" hidden="1"/>
    </xf>
    <xf numFmtId="0" fontId="15" fillId="0" borderId="7"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3" fillId="0" borderId="0" applyAlignment="1" applyProtection="1" pivotButton="0" quotePrefix="0" xfId="0">
      <alignment vertical="center"/>
      <protection locked="1" hidden="1"/>
    </xf>
    <xf numFmtId="0" fontId="15" fillId="0" borderId="0" applyAlignment="1" applyProtection="1" pivotButton="0" quotePrefix="0" xfId="0">
      <alignment vertical="center"/>
      <protection locked="1" hidden="1"/>
    </xf>
    <xf numFmtId="0" fontId="14" fillId="0" borderId="0" applyAlignment="1" pivotButton="0" quotePrefix="0" xfId="0">
      <alignment horizontal="right" vertical="center"/>
    </xf>
    <xf numFmtId="0" fontId="20" fillId="0" borderId="0" applyAlignment="1" applyProtection="1" pivotButton="0" quotePrefix="0" xfId="0">
      <alignment horizontal="right" vertical="center"/>
      <protection locked="1" hidden="1"/>
    </xf>
    <xf numFmtId="0" fontId="20" fillId="0" borderId="0" applyAlignment="1" applyProtection="1" pivotButton="0" quotePrefix="0" xfId="0">
      <alignment vertical="center"/>
      <protection locked="1" hidden="1"/>
    </xf>
    <xf numFmtId="0" fontId="21" fillId="0" borderId="0" applyAlignment="1" applyProtection="1" pivotButton="0" quotePrefix="0" xfId="0">
      <alignment vertical="center"/>
      <protection locked="1" hidden="1"/>
    </xf>
    <xf numFmtId="0" fontId="18" fillId="6" borderId="0" applyProtection="1" pivotButton="0" quotePrefix="0" xfId="0">
      <protection locked="1" hidden="1"/>
    </xf>
    <xf numFmtId="0" fontId="23" fillId="0" borderId="0" applyAlignment="1" applyProtection="1" pivotButton="0" quotePrefix="0" xfId="0">
      <alignment horizontal="left"/>
      <protection locked="1" hidden="1"/>
    </xf>
    <xf numFmtId="0" fontId="15" fillId="0" borderId="0" applyProtection="1" pivotButton="0" quotePrefix="0" xfId="0">
      <protection locked="1" hidden="1"/>
    </xf>
    <xf numFmtId="0" fontId="15" fillId="0" borderId="0" applyAlignment="1" applyProtection="1" pivotButton="0" quotePrefix="0" xfId="0">
      <alignment horizontal="center"/>
      <protection locked="1" hidden="1"/>
    </xf>
    <xf numFmtId="0" fontId="15" fillId="0" borderId="0" applyProtection="1" pivotButton="0" quotePrefix="0" xfId="0">
      <protection locked="1" hidden="1"/>
    </xf>
    <xf numFmtId="0" fontId="6" fillId="0" borderId="0" applyProtection="1" pivotButton="0" quotePrefix="0" xfId="0">
      <protection locked="1" hidden="1"/>
    </xf>
    <xf numFmtId="0" fontId="16" fillId="0" borderId="0" applyProtection="1" pivotButton="0" quotePrefix="0" xfId="0">
      <protection locked="1" hidden="1"/>
    </xf>
    <xf numFmtId="0" fontId="0" fillId="0" borderId="0" applyProtection="1" pivotButton="0" quotePrefix="0" xfId="0">
      <protection locked="1" hidden="1"/>
    </xf>
    <xf numFmtId="0" fontId="32" fillId="0" borderId="0" applyProtection="1" pivotButton="0" quotePrefix="0" xfId="0">
      <protection locked="1" hidden="1"/>
    </xf>
    <xf numFmtId="0" fontId="25" fillId="0" borderId="0" applyProtection="1" pivotButton="0" quotePrefix="0" xfId="0">
      <protection locked="1" hidden="1"/>
    </xf>
    <xf numFmtId="0" fontId="36" fillId="0" borderId="0" applyAlignment="1" applyProtection="1" pivotButton="0" quotePrefix="0" xfId="0">
      <alignment vertical="center" wrapText="1"/>
      <protection locked="1" hidden="1"/>
    </xf>
    <xf numFmtId="0" fontId="38" fillId="0" borderId="0" applyProtection="1" pivotButton="0" quotePrefix="0" xfId="0">
      <protection locked="1" hidden="1"/>
    </xf>
    <xf numFmtId="0" fontId="39" fillId="0" borderId="0" applyAlignment="1" applyProtection="1" pivotButton="0" quotePrefix="0" xfId="0">
      <alignment horizontal="justify" vertical="top" wrapText="1"/>
      <protection locked="1" hidden="1"/>
    </xf>
    <xf numFmtId="164" fontId="39" fillId="0" borderId="0" applyAlignment="1" applyProtection="1" pivotButton="0" quotePrefix="0" xfId="0">
      <alignment horizontal="center" vertical="center" wrapText="1"/>
      <protection locked="1" hidden="1"/>
    </xf>
    <xf numFmtId="0" fontId="0" fillId="0" borderId="0" applyProtection="1" pivotButton="0" quotePrefix="0" xfId="0">
      <protection locked="1" hidden="1"/>
    </xf>
    <xf numFmtId="0" fontId="34" fillId="0" borderId="0" applyAlignment="1" applyProtection="1" pivotButton="0" quotePrefix="0" xfId="0">
      <alignment vertical="top" wrapText="1"/>
      <protection locked="1" hidden="1"/>
    </xf>
    <xf numFmtId="0" fontId="40" fillId="0" borderId="0" applyProtection="1" pivotButton="0" quotePrefix="0" xfId="0">
      <protection locked="1" hidden="1"/>
    </xf>
    <xf numFmtId="0" fontId="36" fillId="0" borderId="0" applyAlignment="1" applyProtection="1" pivotButton="0" quotePrefix="0" xfId="0">
      <alignment horizontal="center" vertical="top" wrapText="1"/>
      <protection locked="1" hidden="1"/>
    </xf>
    <xf numFmtId="0" fontId="15" fillId="0" borderId="0" applyAlignment="1" applyProtection="1" pivotButton="0" quotePrefix="0" xfId="0">
      <alignment horizontal="justify" vertical="top" wrapText="1"/>
      <protection locked="1" hidden="1"/>
    </xf>
    <xf numFmtId="0" fontId="16" fillId="0" borderId="0" applyAlignment="1" applyProtection="1" pivotButton="0" quotePrefix="0" xfId="0">
      <alignment horizontal="justify" vertical="top" wrapText="1"/>
      <protection locked="1" hidden="1"/>
    </xf>
    <xf numFmtId="0" fontId="15" fillId="0" borderId="0" applyProtection="1" pivotButton="0" quotePrefix="0" xfId="0">
      <protection locked="1" hidden="1"/>
    </xf>
    <xf numFmtId="0" fontId="40" fillId="0" borderId="0" applyAlignment="1" applyProtection="1" pivotButton="0" quotePrefix="0" xfId="0">
      <alignment horizontal="justify" vertical="top" wrapText="1"/>
      <protection locked="1" hidden="1"/>
    </xf>
    <xf numFmtId="0" fontId="16" fillId="0" borderId="0" applyAlignment="1" applyProtection="1" pivotButton="0" quotePrefix="0" xfId="0">
      <alignment horizontal="center"/>
      <protection locked="1" hidden="1"/>
    </xf>
    <xf numFmtId="0" fontId="16" fillId="0" borderId="0" applyProtection="1" pivotButton="0" quotePrefix="0" xfId="0">
      <protection locked="1" hidden="1"/>
    </xf>
    <xf numFmtId="0" fontId="15" fillId="0" borderId="0" applyAlignment="1" applyProtection="1" pivotButton="0" quotePrefix="0" xfId="0">
      <alignment vertical="top" wrapText="1"/>
      <protection locked="1" hidden="1"/>
    </xf>
    <xf numFmtId="0" fontId="6" fillId="0" borderId="0" applyProtection="1" pivotButton="0" quotePrefix="0" xfId="0">
      <protection locked="1" hidden="1"/>
    </xf>
    <xf numFmtId="0" fontId="36" fillId="0" borderId="0" applyAlignment="1" applyProtection="1" pivotButton="0" quotePrefix="0" xfId="0">
      <alignment horizontal="center"/>
      <protection locked="1" hidden="1"/>
    </xf>
    <xf numFmtId="0" fontId="16" fillId="0" borderId="0" applyProtection="1" pivotButton="0" quotePrefix="0" xfId="0">
      <protection locked="1" hidden="1"/>
    </xf>
    <xf numFmtId="0" fontId="15" fillId="0" borderId="0" applyProtection="1" pivotButton="0" quotePrefix="0" xfId="0">
      <protection locked="1" hidden="1"/>
    </xf>
    <xf numFmtId="0" fontId="0" fillId="0" borderId="0" applyProtection="1" pivotButton="0" quotePrefix="0" xfId="0">
      <protection locked="1" hidden="1"/>
    </xf>
    <xf numFmtId="0" fontId="12" fillId="0" borderId="0" applyAlignment="1" applyProtection="1" pivotButton="0" quotePrefix="0" xfId="0">
      <alignment horizontal="center"/>
      <protection locked="1" hidden="1"/>
    </xf>
    <xf numFmtId="0" fontId="12" fillId="0" borderId="0" applyProtection="1" pivotButton="0" quotePrefix="0" xfId="0">
      <protection locked="1" hidden="1"/>
    </xf>
    <xf numFmtId="0" fontId="0" fillId="0" borderId="0" applyProtection="1" pivotButton="0" quotePrefix="0" xfId="0">
      <protection locked="1" hidden="1"/>
    </xf>
    <xf numFmtId="0" fontId="16" fillId="0" borderId="0" applyAlignment="1" applyProtection="1" pivotButton="0" quotePrefix="0" xfId="0">
      <alignment horizontal="justify" vertical="top" wrapText="1"/>
      <protection locked="1" hidden="1"/>
    </xf>
    <xf numFmtId="0" fontId="16" fillId="0" borderId="0" applyAlignment="1" applyProtection="1" pivotButton="0" quotePrefix="0" xfId="0">
      <alignment horizontal="left" vertical="center"/>
      <protection locked="1" hidden="1"/>
    </xf>
    <xf numFmtId="0" fontId="16" fillId="0" borderId="0" applyAlignment="1" applyProtection="1" pivotButton="0" quotePrefix="0" xfId="0">
      <alignment horizontal="left" vertical="center"/>
      <protection locked="1" hidden="1"/>
    </xf>
    <xf numFmtId="0" fontId="36" fillId="0" borderId="0" applyAlignment="1" applyProtection="1" pivotButton="0" quotePrefix="0" xfId="0">
      <alignment horizontal="left" vertical="center" wrapText="1"/>
      <protection locked="1" hidden="1"/>
    </xf>
    <xf numFmtId="0" fontId="16" fillId="0" borderId="0" applyProtection="1" pivotButton="0" quotePrefix="0" xfId="0">
      <protection locked="1" hidden="1"/>
    </xf>
    <xf numFmtId="0" fontId="15" fillId="0" borderId="0" applyAlignment="1" applyProtection="1" pivotButton="0" quotePrefix="0" xfId="0">
      <alignment horizontal="right"/>
      <protection locked="1" hidden="1"/>
    </xf>
    <xf numFmtId="0" fontId="25" fillId="0" borderId="33" applyAlignment="1" applyProtection="1" pivotButton="0" quotePrefix="0" xfId="0">
      <alignment horizontal="center" vertical="center" wrapText="1"/>
      <protection locked="1" hidden="1"/>
    </xf>
    <xf numFmtId="0" fontId="16" fillId="0" borderId="0" applyAlignment="1" applyProtection="1" pivotButton="0" quotePrefix="0" xfId="0">
      <alignment horizontal="center"/>
      <protection locked="1" hidden="1"/>
    </xf>
    <xf numFmtId="0" fontId="25" fillId="0" borderId="0" applyAlignment="1" applyProtection="1" pivotButton="0" quotePrefix="0" xfId="0">
      <alignment horizontal="center" vertical="center" wrapText="1"/>
      <protection locked="1" hidden="1"/>
    </xf>
    <xf numFmtId="0" fontId="0" fillId="0" borderId="0" pivotButton="0" quotePrefix="0" xfId="0"/>
    <xf numFmtId="0" fontId="16" fillId="0" borderId="0" pivotButton="0" quotePrefix="0" xfId="0"/>
    <xf numFmtId="0" fontId="16" fillId="0" borderId="0" applyAlignment="1" pivotButton="0" quotePrefix="0" xfId="0">
      <alignment horizontal="center"/>
    </xf>
    <xf numFmtId="0" fontId="15" fillId="0" borderId="0" applyAlignment="1" applyProtection="1" pivotButton="0" quotePrefix="0" xfId="0">
      <alignment horizontal="center"/>
      <protection locked="1" hidden="1"/>
    </xf>
    <xf numFmtId="0" fontId="30" fillId="8" borderId="28" applyAlignment="1" pivotButton="0" quotePrefix="0" xfId="0">
      <alignment horizontal="center" vertical="center"/>
    </xf>
    <xf numFmtId="0" fontId="30" fillId="8" borderId="8" applyAlignment="1" pivotButton="0" quotePrefix="0" xfId="0">
      <alignment horizontal="center" vertical="center" wrapText="1"/>
    </xf>
    <xf numFmtId="0" fontId="31" fillId="9" borderId="30" applyAlignment="1" pivotButton="0" quotePrefix="0" xfId="0">
      <alignment horizontal="center" vertical="center" wrapText="1"/>
    </xf>
    <xf numFmtId="0" fontId="18" fillId="0" borderId="35" applyProtection="1" pivotButton="0" quotePrefix="0" xfId="0">
      <protection locked="1" hidden="1"/>
    </xf>
    <xf numFmtId="0" fontId="18" fillId="0" borderId="0" applyProtection="1" pivotButton="0" quotePrefix="0" xfId="0">
      <protection locked="1" hidden="1"/>
    </xf>
    <xf numFmtId="0" fontId="14" fillId="0" borderId="0" applyAlignment="1" applyProtection="1" pivotButton="0" quotePrefix="0" xfId="0">
      <alignment vertical="center" wrapText="1"/>
      <protection locked="1" hidden="1"/>
    </xf>
    <xf numFmtId="165" fontId="7" fillId="0" borderId="0" applyProtection="1" pivotButton="0" quotePrefix="0" xfId="0">
      <protection locked="1" hidden="1"/>
    </xf>
    <xf numFmtId="165" fontId="4" fillId="3" borderId="12" applyAlignment="1" pivotButton="0" quotePrefix="0" xfId="0">
      <alignment horizontal="center" vertical="center" wrapText="1"/>
    </xf>
    <xf numFmtId="165" fontId="1" fillId="0" borderId="12" applyAlignment="1" applyProtection="1" pivotButton="0" quotePrefix="0" xfId="0">
      <alignment horizontal="center" vertical="center" wrapText="1"/>
      <protection locked="1" hidden="1"/>
    </xf>
    <xf numFmtId="0" fontId="7" fillId="0" borderId="0" applyAlignment="1" applyProtection="1" pivotButton="0" quotePrefix="0" xfId="0">
      <alignment horizontal="center"/>
      <protection locked="1" hidden="1"/>
    </xf>
    <xf numFmtId="15" fontId="1" fillId="0" borderId="14" applyAlignment="1" applyProtection="1" pivotButton="0" quotePrefix="0" xfId="0">
      <alignment horizontal="center" vertical="center" wrapText="1"/>
      <protection locked="1" hidden="1"/>
    </xf>
    <xf numFmtId="165" fontId="15" fillId="0" borderId="0" applyProtection="1" pivotButton="0" quotePrefix="0" xfId="0">
      <protection locked="1" hidden="1"/>
    </xf>
    <xf numFmtId="0" fontId="12" fillId="0" borderId="0" applyAlignment="1" applyProtection="1" pivotButton="0" quotePrefix="0" xfId="0">
      <alignment vertical="center"/>
      <protection locked="1" hidden="1"/>
    </xf>
    <xf numFmtId="0" fontId="23" fillId="0" borderId="0" applyAlignment="1" pivotButton="0" quotePrefix="0" xfId="0">
      <alignment vertical="center"/>
    </xf>
    <xf numFmtId="0" fontId="23" fillId="0" borderId="32" applyAlignment="1" applyProtection="1" pivotButton="0" quotePrefix="0" xfId="0">
      <alignment vertical="center"/>
      <protection locked="1" hidden="1"/>
    </xf>
    <xf numFmtId="0" fontId="0" fillId="0" borderId="9" applyAlignment="1" pivotButton="0" quotePrefix="0" xfId="0">
      <alignment vertical="center"/>
    </xf>
    <xf numFmtId="0" fontId="1" fillId="0" borderId="9"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1" fillId="0" borderId="0" applyAlignment="1" pivotButton="0" quotePrefix="0" xfId="0">
      <alignment vertical="center"/>
    </xf>
    <xf numFmtId="0" fontId="9" fillId="0" borderId="0" applyAlignment="1" pivotButton="0" quotePrefix="0" xfId="0">
      <alignment horizontal="center"/>
    </xf>
    <xf numFmtId="49" fontId="0" fillId="0" borderId="0" applyAlignment="1" pivotButton="0" quotePrefix="0" xfId="0">
      <alignment horizontal="center" vertical="center"/>
    </xf>
    <xf numFmtId="0" fontId="0" fillId="0" borderId="0" applyAlignment="1" pivotButton="0" quotePrefix="0" xfId="0">
      <alignment shrinkToFit="1"/>
    </xf>
    <xf numFmtId="0" fontId="1" fillId="0" borderId="9" applyAlignment="1" pivotButton="0" quotePrefix="0" xfId="0">
      <alignment vertical="center" wrapText="1"/>
    </xf>
    <xf numFmtId="0" fontId="7" fillId="0" borderId="0" applyAlignment="1" applyProtection="1" pivotButton="0" quotePrefix="0" xfId="0">
      <alignment horizontal="left"/>
      <protection locked="1" hidden="1"/>
    </xf>
    <xf numFmtId="0" fontId="4" fillId="3" borderId="12" applyAlignment="1" pivotButton="0" quotePrefix="0" xfId="0">
      <alignment horizontal="left" vertical="center" wrapText="1"/>
    </xf>
    <xf numFmtId="15" fontId="1" fillId="0" borderId="12" applyAlignment="1" applyProtection="1" pivotButton="0" quotePrefix="0" xfId="0">
      <alignment horizontal="left" vertical="center" wrapText="1"/>
      <protection locked="1" hidden="1"/>
    </xf>
    <xf numFmtId="14" fontId="0" fillId="0" borderId="0" applyAlignment="1" pivotButton="0" quotePrefix="0" xfId="0">
      <alignment horizontal="left"/>
    </xf>
    <xf numFmtId="0" fontId="0" fillId="0" borderId="9" applyAlignment="1" pivotButton="0" quotePrefix="0" xfId="0">
      <alignment vertical="center" wrapText="1"/>
    </xf>
    <xf numFmtId="14" fontId="0" fillId="0" borderId="0" pivotButton="0" quotePrefix="0" xfId="0"/>
    <xf numFmtId="0" fontId="17" fillId="0" borderId="0" applyAlignment="1" applyProtection="1" pivotButton="0" quotePrefix="0" xfId="0">
      <alignment vertical="center"/>
      <protection locked="1" hidden="1"/>
    </xf>
    <xf numFmtId="0" fontId="17" fillId="0" borderId="0" applyAlignment="1" applyProtection="1" pivotButton="0" quotePrefix="0" xfId="0">
      <alignment horizontal="center" vertical="center"/>
      <protection locked="1" hidden="1"/>
    </xf>
    <xf numFmtId="0" fontId="6" fillId="0" borderId="0" applyAlignment="1" applyProtection="1" pivotButton="0" quotePrefix="0" xfId="0">
      <alignment vertical="center"/>
      <protection locked="1" hidden="1"/>
    </xf>
    <xf numFmtId="0" fontId="44" fillId="4" borderId="24" applyProtection="1" pivotButton="0" quotePrefix="0" xfId="0">
      <protection locked="1" hidden="1"/>
    </xf>
    <xf numFmtId="0" fontId="44" fillId="4" borderId="31" applyProtection="1" pivotButton="0" quotePrefix="0" xfId="0">
      <protection locked="1" hidden="1"/>
    </xf>
    <xf numFmtId="0" fontId="4" fillId="3" borderId="34" applyAlignment="1" pivotButton="0" quotePrefix="0" xfId="0">
      <alignment horizontal="center" vertical="center" wrapText="1"/>
    </xf>
    <xf numFmtId="0" fontId="43" fillId="7" borderId="23" applyProtection="1" pivotButton="0" quotePrefix="0" xfId="0">
      <protection locked="1" hidden="1"/>
    </xf>
    <xf numFmtId="0" fontId="14" fillId="0" borderId="0" applyAlignment="1" applyProtection="1" pivotButton="0" quotePrefix="0" xfId="0">
      <alignment horizontal="center" vertical="center"/>
      <protection locked="1" hidden="1"/>
    </xf>
    <xf numFmtId="0" fontId="13" fillId="0" borderId="0" applyAlignment="1" applyProtection="1" pivotButton="0" quotePrefix="0" xfId="0">
      <alignment horizontal="center" vertical="center"/>
      <protection locked="1" hidden="1"/>
    </xf>
    <xf numFmtId="0" fontId="23" fillId="0" borderId="0" applyAlignment="1" pivotButton="0" quotePrefix="0" xfId="0">
      <alignment horizontal="center" vertical="center"/>
    </xf>
    <xf numFmtId="0" fontId="0" fillId="0" borderId="0" pivotButton="0" quotePrefix="0" xfId="0"/>
    <xf numFmtId="0" fontId="4" fillId="0" borderId="32" applyAlignment="1" pivotButton="0" quotePrefix="0" xfId="0">
      <alignment horizontal="center" vertical="center" wrapText="1"/>
    </xf>
    <xf numFmtId="0" fontId="5" fillId="0" borderId="32" applyAlignment="1" pivotButton="0" quotePrefix="0" xfId="0">
      <alignment horizontal="center" vertical="center" wrapText="1"/>
    </xf>
    <xf numFmtId="0" fontId="0" fillId="0" borderId="0" applyAlignment="1" pivotButton="0" quotePrefix="0" xfId="0">
      <alignment horizontal="center" vertical="center"/>
    </xf>
    <xf numFmtId="0" fontId="47" fillId="11" borderId="9" applyAlignment="1" pivotButton="0" quotePrefix="0" xfId="0">
      <alignment horizontal="center" vertical="center" wrapText="1"/>
    </xf>
    <xf numFmtId="0" fontId="48" fillId="0" borderId="0" pivotButton="0" quotePrefix="0" xfId="0"/>
    <xf numFmtId="0" fontId="48" fillId="0" borderId="0" pivotButton="0" quotePrefix="0" xfId="0"/>
    <xf numFmtId="1" fontId="49" fillId="5" borderId="9" applyAlignment="1" pivotButton="0" quotePrefix="0" xfId="0">
      <alignment horizontal="center" vertical="center" wrapText="1"/>
    </xf>
    <xf numFmtId="0" fontId="4" fillId="3" borderId="14" applyAlignment="1" pivotButton="0" quotePrefix="0" xfId="0">
      <alignment horizontal="center" vertical="center" wrapText="1"/>
    </xf>
    <xf numFmtId="0" fontId="4" fillId="3" borderId="9" applyAlignment="1" pivotButton="0" quotePrefix="0" xfId="0">
      <alignment horizontal="center" vertical="center" wrapText="1"/>
    </xf>
    <xf numFmtId="0" fontId="4" fillId="0" borderId="0" applyAlignment="1" pivotButton="0" quotePrefix="0" xfId="0">
      <alignment horizontal="center" vertical="center" wrapText="1"/>
    </xf>
    <xf numFmtId="0" fontId="48" fillId="0" borderId="9" applyAlignment="1" pivotButton="0" quotePrefix="0" xfId="0">
      <alignment horizontal="center" vertical="center" wrapText="1"/>
    </xf>
    <xf numFmtId="0" fontId="48" fillId="0" borderId="9" applyAlignment="1" pivotButton="0" quotePrefix="0" xfId="0">
      <alignment horizontal="left" vertical="center" wrapText="1"/>
    </xf>
    <xf numFmtId="0" fontId="48"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9" applyAlignment="1" pivotButton="0" quotePrefix="0" xfId="0">
      <alignment vertical="center"/>
    </xf>
    <xf numFmtId="0" fontId="1" fillId="0" borderId="0" applyAlignment="1" pivotButton="0" quotePrefix="0" xfId="0">
      <alignment vertical="center"/>
    </xf>
    <xf numFmtId="0" fontId="49" fillId="0" borderId="0" applyAlignment="1" pivotButton="0" quotePrefix="0" xfId="0">
      <alignment horizontal="center" vertical="center" wrapText="1"/>
    </xf>
    <xf numFmtId="0" fontId="2" fillId="0" borderId="0" applyAlignment="1" pivotButton="0" quotePrefix="0" xfId="0">
      <alignment vertical="center"/>
    </xf>
    <xf numFmtId="0" fontId="7" fillId="0" borderId="0" applyAlignment="1" applyProtection="1" pivotButton="0" quotePrefix="0" xfId="0">
      <alignment horizontal="left" wrapText="1"/>
      <protection locked="1" hidden="1"/>
    </xf>
    <xf numFmtId="15" fontId="50" fillId="2" borderId="0" applyAlignment="1" applyProtection="1" pivotButton="0" quotePrefix="0" xfId="0">
      <alignment horizontal="center" wrapText="1"/>
      <protection locked="0" hidden="0"/>
    </xf>
    <xf numFmtId="0" fontId="53" fillId="0" borderId="9" applyAlignment="1" pivotButton="0" quotePrefix="0" xfId="3">
      <alignment vertical="center" wrapText="1"/>
    </xf>
    <xf numFmtId="0" fontId="4" fillId="3" borderId="38" applyAlignment="1" pivotButton="0" quotePrefix="0" xfId="0">
      <alignment vertical="center"/>
    </xf>
    <xf numFmtId="0" fontId="4" fillId="3" borderId="39" applyAlignment="1" pivotButton="0" quotePrefix="0" xfId="0">
      <alignment vertical="center"/>
    </xf>
    <xf numFmtId="0" fontId="0" fillId="0" borderId="0" pivotButton="0" quotePrefix="0" xfId="0"/>
    <xf numFmtId="14" fontId="0" fillId="0" borderId="0" pivotButton="0" quotePrefix="0" xfId="0"/>
    <xf numFmtId="0" fontId="13" fillId="0" borderId="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8" applyAlignment="1" pivotButton="0" quotePrefix="0" xfId="0">
      <alignment horizontal="center" vertical="center" wrapText="1"/>
    </xf>
    <xf numFmtId="0" fontId="34" fillId="0" borderId="9" applyAlignment="1" applyProtection="1" pivotButton="0" quotePrefix="0" xfId="0">
      <alignment horizontal="justify" vertical="center" wrapText="1"/>
      <protection locked="1" hidden="1"/>
    </xf>
    <xf numFmtId="0" fontId="33" fillId="4" borderId="9" applyAlignment="1" pivotButton="0" quotePrefix="0" xfId="0">
      <alignment vertical="center" wrapText="1"/>
    </xf>
    <xf numFmtId="0" fontId="34" fillId="0" borderId="3" applyAlignment="1" applyProtection="1" pivotButton="0" quotePrefix="0" xfId="0">
      <alignment horizontal="center" vertical="center" wrapText="1"/>
      <protection locked="1" hidden="1"/>
    </xf>
    <xf numFmtId="0" fontId="34" fillId="0" borderId="4" applyAlignment="1" applyProtection="1" pivotButton="0" quotePrefix="0" xfId="0">
      <alignment horizontal="center" vertical="center" wrapText="1"/>
      <protection locked="1" hidden="1"/>
    </xf>
    <xf numFmtId="0" fontId="34" fillId="0" borderId="8" applyAlignment="1" applyProtection="1" pivotButton="0" quotePrefix="0" xfId="0">
      <alignment horizontal="center" vertical="center" wrapText="1"/>
      <protection locked="1" hidden="1"/>
    </xf>
    <xf numFmtId="0" fontId="33" fillId="4" borderId="23" applyAlignment="1" applyProtection="1" pivotButton="0" quotePrefix="0" xfId="0">
      <alignment horizontal="justify" vertical="center" wrapText="1"/>
      <protection locked="1" hidden="1"/>
    </xf>
    <xf numFmtId="0" fontId="33" fillId="4" borderId="24" applyAlignment="1" applyProtection="1" pivotButton="0" quotePrefix="0" xfId="0">
      <alignment horizontal="justify" vertical="center" wrapText="1"/>
      <protection locked="1" hidden="1"/>
    </xf>
    <xf numFmtId="0" fontId="13" fillId="0" borderId="3" applyAlignment="1" applyProtection="1" pivotButton="0" quotePrefix="0" xfId="0">
      <alignment horizontal="center" vertical="center" wrapText="1"/>
      <protection locked="1" hidden="1"/>
    </xf>
    <xf numFmtId="0" fontId="13" fillId="0" borderId="4" applyAlignment="1" applyProtection="1" pivotButton="0" quotePrefix="0" xfId="0">
      <alignment horizontal="center" vertical="center" wrapText="1"/>
      <protection locked="1" hidden="1"/>
    </xf>
    <xf numFmtId="0" fontId="13" fillId="0" borderId="8" applyAlignment="1" applyProtection="1" pivotButton="0" quotePrefix="0" xfId="0">
      <alignment horizontal="center" vertical="center" wrapText="1"/>
      <protection locked="1" hidden="1"/>
    </xf>
    <xf numFmtId="0" fontId="37" fillId="0" borderId="1" applyAlignment="1" applyProtection="1" pivotButton="0" quotePrefix="0" xfId="0">
      <alignment horizontal="center" vertical="top" wrapText="1"/>
      <protection locked="1" hidden="1"/>
    </xf>
    <xf numFmtId="0" fontId="37" fillId="0" borderId="5" applyAlignment="1" applyProtection="1" pivotButton="0" quotePrefix="0" xfId="0">
      <alignment horizontal="center" vertical="top" wrapText="1"/>
      <protection locked="1" hidden="1"/>
    </xf>
    <xf numFmtId="0" fontId="37" fillId="0" borderId="6" applyAlignment="1" applyProtection="1" pivotButton="0" quotePrefix="0" xfId="0">
      <alignment horizontal="center" vertical="top" wrapText="1"/>
      <protection locked="1" hidden="1"/>
    </xf>
    <xf numFmtId="0" fontId="37" fillId="0" borderId="2" applyAlignment="1" applyProtection="1" pivotButton="0" quotePrefix="0" xfId="0">
      <alignment horizontal="center" vertical="top" wrapText="1"/>
      <protection locked="1" hidden="1"/>
    </xf>
    <xf numFmtId="0" fontId="37" fillId="0" borderId="0" applyAlignment="1" applyProtection="1" pivotButton="0" quotePrefix="0" xfId="0">
      <alignment horizontal="center" vertical="top" wrapText="1"/>
      <protection locked="1" hidden="1"/>
    </xf>
    <xf numFmtId="0" fontId="37" fillId="0" borderId="7" applyAlignment="1" applyProtection="1" pivotButton="0" quotePrefix="0" xfId="0">
      <alignment horizontal="center" vertical="top" wrapText="1"/>
      <protection locked="1" hidden="1"/>
    </xf>
    <xf numFmtId="0" fontId="37" fillId="0" borderId="36" applyAlignment="1" applyProtection="1" pivotButton="0" quotePrefix="0" xfId="0">
      <alignment horizontal="center" vertical="top" wrapText="1"/>
      <protection locked="1" hidden="1"/>
    </xf>
    <xf numFmtId="0" fontId="37" fillId="0" borderId="32" applyAlignment="1" applyProtection="1" pivotButton="0" quotePrefix="0" xfId="0">
      <alignment horizontal="center" vertical="top" wrapText="1"/>
      <protection locked="1" hidden="1"/>
    </xf>
    <xf numFmtId="0" fontId="37" fillId="0" borderId="37" applyAlignment="1" applyProtection="1" pivotButton="0" quotePrefix="0" xfId="0">
      <alignment horizontal="center" vertical="top" wrapText="1"/>
      <protection locked="1" hidden="1"/>
    </xf>
    <xf numFmtId="0" fontId="17" fillId="0" borderId="10" applyAlignment="1" applyProtection="1" pivotButton="0" quotePrefix="0" xfId="0">
      <alignment horizontal="center" vertical="center"/>
      <protection locked="1" hidden="1"/>
    </xf>
    <xf numFmtId="0" fontId="17" fillId="0" borderId="11" applyAlignment="1" applyProtection="1" pivotButton="0" quotePrefix="0" xfId="0">
      <alignment horizontal="center" vertical="center"/>
      <protection locked="1" hidden="1"/>
    </xf>
    <xf numFmtId="0" fontId="23" fillId="0" borderId="0" applyAlignment="1" pivotButton="0" quotePrefix="0" xfId="0">
      <alignment horizontal="center" vertical="center"/>
    </xf>
    <xf numFmtId="165" fontId="24" fillId="0" borderId="32" applyAlignment="1" applyProtection="1" pivotButton="0" quotePrefix="0" xfId="0">
      <alignment horizontal="center" vertical="center"/>
      <protection locked="1" hidden="1"/>
    </xf>
    <xf numFmtId="165" fontId="24" fillId="0" borderId="32" applyAlignment="1" applyProtection="1" pivotButton="0" quotePrefix="0" xfId="0">
      <alignment horizontal="center" vertical="center"/>
      <protection locked="1" hidden="1"/>
    </xf>
    <xf numFmtId="0" fontId="25" fillId="0" borderId="15" applyAlignment="1" pivotButton="0" quotePrefix="0" xfId="0">
      <alignment horizontal="center" vertical="center" wrapText="1"/>
    </xf>
    <xf numFmtId="0" fontId="25" fillId="0" borderId="16" applyAlignment="1" pivotButton="0" quotePrefix="0" xfId="0">
      <alignment horizontal="center" vertical="center" wrapText="1"/>
    </xf>
    <xf numFmtId="0" fontId="25" fillId="0" borderId="17" applyAlignment="1" pivotButton="0" quotePrefix="0" xfId="0">
      <alignment horizontal="center" vertical="center" wrapText="1"/>
    </xf>
    <xf numFmtId="0" fontId="25" fillId="0" borderId="18" applyAlignment="1" pivotButton="0" quotePrefix="0" xfId="0">
      <alignment horizontal="center" vertical="center" wrapText="1"/>
    </xf>
    <xf numFmtId="0" fontId="25" fillId="0" borderId="0" applyAlignment="1" pivotButton="0" quotePrefix="0" xfId="0">
      <alignment horizontal="center" vertical="center" wrapText="1"/>
    </xf>
    <xf numFmtId="0" fontId="25" fillId="0" borderId="19" applyAlignment="1" pivotButton="0" quotePrefix="0" xfId="0">
      <alignment horizontal="center" vertical="center" wrapText="1"/>
    </xf>
    <xf numFmtId="0" fontId="25" fillId="0" borderId="20" applyAlignment="1" pivotButton="0" quotePrefix="0" xfId="0">
      <alignment horizontal="center" vertical="center" wrapText="1"/>
    </xf>
    <xf numFmtId="0" fontId="25" fillId="0" borderId="21" applyAlignment="1" pivotButton="0" quotePrefix="0" xfId="0">
      <alignment horizontal="center" vertical="center" wrapText="1"/>
    </xf>
    <xf numFmtId="0" fontId="25" fillId="0" borderId="22" applyAlignment="1" pivotButton="0" quotePrefix="0" xfId="0">
      <alignment horizontal="center" vertical="center" wrapText="1"/>
    </xf>
    <xf numFmtId="0" fontId="13" fillId="0" borderId="0" applyAlignment="1" applyProtection="1" pivotButton="0" quotePrefix="0" xfId="0">
      <alignment horizontal="center" vertical="center"/>
      <protection locked="1" hidden="1"/>
    </xf>
    <xf numFmtId="0" fontId="24" fillId="0" borderId="32" applyAlignment="1" applyProtection="1" pivotButton="0" quotePrefix="0" xfId="0">
      <alignment horizontal="center" vertical="center" wrapText="1"/>
      <protection locked="1" hidden="1"/>
    </xf>
    <xf numFmtId="0" fontId="24" fillId="0" borderId="32" applyAlignment="1" applyProtection="1" pivotButton="0" quotePrefix="0" xfId="0">
      <alignment horizontal="center" vertical="center"/>
      <protection locked="1" hidden="1"/>
    </xf>
    <xf numFmtId="0" fontId="35" fillId="2" borderId="1" applyAlignment="1" applyProtection="1" pivotButton="0" quotePrefix="0" xfId="0">
      <alignment horizontal="center" vertical="center" wrapText="1"/>
      <protection locked="0" hidden="0"/>
    </xf>
    <xf numFmtId="0" fontId="35" fillId="2" borderId="5" applyAlignment="1" applyProtection="1" pivotButton="0" quotePrefix="0" xfId="0">
      <alignment horizontal="center" vertical="center" wrapText="1"/>
      <protection locked="0" hidden="0"/>
    </xf>
    <xf numFmtId="0" fontId="35" fillId="2" borderId="6" applyAlignment="1" applyProtection="1" pivotButton="0" quotePrefix="0" xfId="0">
      <alignment horizontal="center" vertical="center" wrapText="1"/>
      <protection locked="0" hidden="0"/>
    </xf>
    <xf numFmtId="0" fontId="35" fillId="2" borderId="2" applyAlignment="1" applyProtection="1" pivotButton="0" quotePrefix="0" xfId="0">
      <alignment horizontal="center" vertical="center" wrapText="1"/>
      <protection locked="0" hidden="0"/>
    </xf>
    <xf numFmtId="0" fontId="35" fillId="2" borderId="0" applyAlignment="1" applyProtection="1" pivotButton="0" quotePrefix="0" xfId="0">
      <alignment horizontal="center" vertical="center" wrapText="1"/>
      <protection locked="0" hidden="0"/>
    </xf>
    <xf numFmtId="0" fontId="35" fillId="2" borderId="7" applyAlignment="1" applyProtection="1" pivotButton="0" quotePrefix="0" xfId="0">
      <alignment horizontal="center" vertical="center" wrapText="1"/>
      <protection locked="0" hidden="0"/>
    </xf>
    <xf numFmtId="0" fontId="35" fillId="2" borderId="36" applyAlignment="1" applyProtection="1" pivotButton="0" quotePrefix="0" xfId="0">
      <alignment horizontal="center" vertical="center" wrapText="1"/>
      <protection locked="0" hidden="0"/>
    </xf>
    <xf numFmtId="0" fontId="35" fillId="2" borderId="32" applyAlignment="1" applyProtection="1" pivotButton="0" quotePrefix="0" xfId="0">
      <alignment horizontal="center" vertical="center" wrapText="1"/>
      <protection locked="0" hidden="0"/>
    </xf>
    <xf numFmtId="0" fontId="35" fillId="2" borderId="37" applyAlignment="1" applyProtection="1" pivotButton="0" quotePrefix="0" xfId="0">
      <alignment horizontal="center" vertical="center" wrapText="1"/>
      <protection locked="0" hidden="0"/>
    </xf>
    <xf numFmtId="15" fontId="35" fillId="2" borderId="3" applyAlignment="1" applyProtection="1" pivotButton="0" quotePrefix="0" xfId="0">
      <alignment horizontal="center" vertical="center" wrapText="1"/>
      <protection locked="0" hidden="0"/>
    </xf>
    <xf numFmtId="15" fontId="35" fillId="2" borderId="4" applyAlignment="1" applyProtection="1" pivotButton="0" quotePrefix="0" xfId="0">
      <alignment horizontal="center" vertical="center" wrapText="1"/>
      <protection locked="0" hidden="0"/>
    </xf>
    <xf numFmtId="15" fontId="35" fillId="2" borderId="8" applyAlignment="1" applyProtection="1" pivotButton="0" quotePrefix="0" xfId="0">
      <alignment horizontal="center" vertical="center" wrapText="1"/>
      <protection locked="0" hidden="0"/>
    </xf>
    <xf numFmtId="0" fontId="27" fillId="0" borderId="0" applyAlignment="1" applyProtection="1" pivotButton="0" quotePrefix="0" xfId="0">
      <alignment horizontal="center"/>
      <protection locked="0" hidden="0"/>
    </xf>
    <xf numFmtId="0" fontId="41" fillId="4" borderId="0" applyAlignment="1" applyProtection="1" pivotButton="0" quotePrefix="0" xfId="0">
      <alignment horizontal="center" vertical="top" wrapText="1"/>
      <protection locked="0" hidden="0"/>
    </xf>
    <xf numFmtId="0" fontId="46" fillId="7" borderId="23" applyAlignment="1" applyProtection="1" pivotButton="0" quotePrefix="0" xfId="0">
      <alignment horizontal="center"/>
      <protection locked="1" hidden="1"/>
    </xf>
    <xf numFmtId="0" fontId="46" fillId="7" borderId="24" applyAlignment="1" applyProtection="1" pivotButton="0" quotePrefix="0" xfId="0">
      <alignment horizontal="center"/>
      <protection locked="1" hidden="1"/>
    </xf>
    <xf numFmtId="0" fontId="33" fillId="4" borderId="23" applyAlignment="1" pivotButton="0" quotePrefix="0" xfId="0">
      <alignment vertical="center" wrapText="1"/>
    </xf>
    <xf numFmtId="0" fontId="33" fillId="4" borderId="24" applyAlignment="1" pivotButton="0" quotePrefix="0" xfId="0">
      <alignment vertical="center" wrapText="1"/>
    </xf>
    <xf numFmtId="0" fontId="33" fillId="4" borderId="31" applyAlignment="1" pivotButton="0" quotePrefix="0" xfId="0">
      <alignment vertical="center" wrapText="1"/>
    </xf>
    <xf numFmtId="0" fontId="33" fillId="4" borderId="31" applyAlignment="1" applyProtection="1" pivotButton="0" quotePrefix="0" xfId="0">
      <alignment horizontal="justify" vertical="center" wrapText="1"/>
      <protection locked="1" hidden="1"/>
    </xf>
    <xf numFmtId="0" fontId="37" fillId="0" borderId="1" applyAlignment="1" applyProtection="1" pivotButton="0" quotePrefix="0" xfId="0">
      <alignment horizontal="left" vertical="top" wrapText="1"/>
      <protection locked="1" hidden="1"/>
    </xf>
    <xf numFmtId="0" fontId="37" fillId="0" borderId="5" applyAlignment="1" applyProtection="1" pivotButton="0" quotePrefix="0" xfId="0">
      <alignment horizontal="left" vertical="top" wrapText="1"/>
      <protection locked="1" hidden="1"/>
    </xf>
    <xf numFmtId="0" fontId="37" fillId="0" borderId="6" applyAlignment="1" applyProtection="1" pivotButton="0" quotePrefix="0" xfId="0">
      <alignment horizontal="left" vertical="top" wrapText="1"/>
      <protection locked="1" hidden="1"/>
    </xf>
    <xf numFmtId="0" fontId="37" fillId="0" borderId="2" applyAlignment="1" applyProtection="1" pivotButton="0" quotePrefix="0" xfId="0">
      <alignment horizontal="left" vertical="top" wrapText="1"/>
      <protection locked="1" hidden="1"/>
    </xf>
    <xf numFmtId="0" fontId="37" fillId="0" borderId="0" applyAlignment="1" applyProtection="1" pivotButton="0" quotePrefix="0" xfId="0">
      <alignment horizontal="left" vertical="top" wrapText="1"/>
      <protection locked="1" hidden="1"/>
    </xf>
    <xf numFmtId="0" fontId="37" fillId="0" borderId="7" applyAlignment="1" applyProtection="1" pivotButton="0" quotePrefix="0" xfId="0">
      <alignment horizontal="left" vertical="top" wrapText="1"/>
      <protection locked="1" hidden="1"/>
    </xf>
    <xf numFmtId="0" fontId="37" fillId="0" borderId="36" applyAlignment="1" applyProtection="1" pivotButton="0" quotePrefix="0" xfId="0">
      <alignment horizontal="left" vertical="top" wrapText="1"/>
      <protection locked="1" hidden="1"/>
    </xf>
    <xf numFmtId="0" fontId="37" fillId="0" borderId="32" applyAlignment="1" applyProtection="1" pivotButton="0" quotePrefix="0" xfId="0">
      <alignment horizontal="left" vertical="top" wrapText="1"/>
      <protection locked="1" hidden="1"/>
    </xf>
    <xf numFmtId="0" fontId="37" fillId="0" borderId="37" applyAlignment="1" applyProtection="1" pivotButton="0" quotePrefix="0" xfId="0">
      <alignment horizontal="left" vertical="top" wrapText="1"/>
      <protection locked="1" hidden="1"/>
    </xf>
    <xf numFmtId="0" fontId="13" fillId="0" borderId="5" applyAlignment="1" applyProtection="1" pivotButton="0" quotePrefix="0" xfId="0">
      <alignment horizontal="center" vertical="center" wrapText="1"/>
      <protection locked="1" hidden="1"/>
    </xf>
    <xf numFmtId="0" fontId="13" fillId="0" borderId="0" applyAlignment="1" applyProtection="1" pivotButton="0" quotePrefix="0" xfId="0">
      <alignment horizontal="center" vertical="center" wrapText="1"/>
      <protection locked="1" hidden="1"/>
    </xf>
    <xf numFmtId="0" fontId="13" fillId="0" borderId="32" applyAlignment="1" applyProtection="1" pivotButton="0" quotePrefix="0" xfId="0">
      <alignment horizontal="center" vertical="center" wrapText="1"/>
      <protection locked="1" hidden="1"/>
    </xf>
    <xf numFmtId="15" fontId="35" fillId="2" borderId="35" applyAlignment="1" applyProtection="1" pivotButton="0" quotePrefix="0" xfId="0">
      <alignment horizontal="center" vertical="center" wrapText="1"/>
      <protection locked="0" hidden="0"/>
    </xf>
    <xf numFmtId="0" fontId="14" fillId="0" borderId="0" applyAlignment="1" pivotButton="0" quotePrefix="0" xfId="0">
      <alignment horizontal="center" vertical="center"/>
    </xf>
    <xf numFmtId="0" fontId="14" fillId="0" borderId="0" applyAlignment="1" applyProtection="1" pivotButton="0" quotePrefix="0" xfId="0">
      <alignment horizontal="center" vertical="center"/>
      <protection locked="1" hidden="1"/>
    </xf>
    <xf numFmtId="0" fontId="28" fillId="8" borderId="23" applyAlignment="1" pivotButton="0" quotePrefix="0" xfId="0">
      <alignment horizontal="center" vertical="center"/>
    </xf>
    <xf numFmtId="0" fontId="28" fillId="8" borderId="24" applyAlignment="1" pivotButton="0" quotePrefix="0" xfId="0">
      <alignment horizontal="center" vertical="center"/>
    </xf>
    <xf numFmtId="0" fontId="29" fillId="9" borderId="25" applyAlignment="1" pivotButton="0" quotePrefix="0" xfId="0">
      <alignment horizontal="center" vertical="center"/>
    </xf>
    <xf numFmtId="0" fontId="29" fillId="9" borderId="26" applyAlignment="1" pivotButton="0" quotePrefix="0" xfId="0">
      <alignment horizontal="center" vertical="center"/>
    </xf>
    <xf numFmtId="0" fontId="29" fillId="9" borderId="27" applyAlignment="1" pivotButton="0" quotePrefix="0" xfId="0">
      <alignment horizontal="center" vertical="center"/>
    </xf>
    <xf numFmtId="0" fontId="30" fillId="8" borderId="8" applyAlignment="1" pivotButton="0" quotePrefix="0" xfId="0">
      <alignment horizontal="center" vertical="center"/>
    </xf>
    <xf numFmtId="0" fontId="30" fillId="8" borderId="8" applyAlignment="1" pivotButton="0" quotePrefix="0" xfId="0">
      <alignment horizontal="center" vertical="center" wrapText="1"/>
    </xf>
    <xf numFmtId="0" fontId="31" fillId="9" borderId="29" applyAlignment="1" pivotButton="0" quotePrefix="0" xfId="0">
      <alignment horizontal="center" vertical="center"/>
    </xf>
    <xf numFmtId="0" fontId="31" fillId="9" borderId="30" applyAlignment="1" pivotButton="0" quotePrefix="0" xfId="0">
      <alignment horizontal="center" vertical="center"/>
    </xf>
    <xf numFmtId="0" fontId="34" fillId="0" borderId="1" applyAlignment="1" applyProtection="1" pivotButton="0" quotePrefix="0" xfId="0">
      <alignment horizontal="center" vertical="center" wrapText="1"/>
      <protection locked="1" hidden="1"/>
    </xf>
    <xf numFmtId="0" fontId="34" fillId="0" borderId="2" applyAlignment="1" applyProtection="1" pivotButton="0" quotePrefix="0" xfId="0">
      <alignment horizontal="center" vertical="center" wrapText="1"/>
      <protection locked="1" hidden="1"/>
    </xf>
    <xf numFmtId="0" fontId="34" fillId="0" borderId="36" applyAlignment="1" applyProtection="1" pivotButton="0" quotePrefix="0" xfId="0">
      <alignment horizontal="center" vertical="center" wrapText="1"/>
      <protection locked="1" hidden="1"/>
    </xf>
    <xf numFmtId="0" fontId="26" fillId="0" borderId="0" applyAlignment="1" applyProtection="1" pivotButton="0" quotePrefix="0" xfId="0">
      <alignment horizontal="center" vertical="center" wrapText="1"/>
      <protection locked="1" hidden="1"/>
    </xf>
    <xf numFmtId="0" fontId="45" fillId="10" borderId="23" applyAlignment="1" pivotButton="0" quotePrefix="0" xfId="0">
      <alignment horizontal="center" vertical="center"/>
    </xf>
    <xf numFmtId="0" fontId="45" fillId="10" borderId="24" applyAlignment="1" pivotButton="0" quotePrefix="0" xfId="0">
      <alignment horizontal="center" vertical="center"/>
    </xf>
    <xf numFmtId="0" fontId="13" fillId="0" borderId="6" applyAlignment="1" applyProtection="1" pivotButton="0" quotePrefix="0" xfId="0">
      <alignment horizontal="center" vertical="center" wrapText="1"/>
      <protection locked="1" hidden="1"/>
    </xf>
    <xf numFmtId="0" fontId="13" fillId="0" borderId="7" applyAlignment="1" applyProtection="1" pivotButton="0" quotePrefix="0" xfId="0">
      <alignment horizontal="center" vertical="center" wrapText="1"/>
      <protection locked="1" hidden="1"/>
    </xf>
    <xf numFmtId="0" fontId="13" fillId="0" borderId="37" applyAlignment="1" applyProtection="1" pivotButton="0" quotePrefix="0" xfId="0">
      <alignment horizontal="center" vertical="center" wrapText="1"/>
      <protection locked="1" hidden="1"/>
    </xf>
    <xf numFmtId="165" fontId="7" fillId="0" borderId="0" applyProtection="1" pivotButton="0" quotePrefix="0" xfId="0">
      <protection locked="1" hidden="1"/>
    </xf>
    <xf numFmtId="165" fontId="4" fillId="3" borderId="12" applyAlignment="1" pivotButton="0" quotePrefix="0" xfId="0">
      <alignment horizontal="center" vertical="center" wrapText="1"/>
    </xf>
    <xf numFmtId="165" fontId="1" fillId="0" borderId="12" applyAlignment="1" applyProtection="1" pivotButton="0" quotePrefix="0" xfId="0">
      <alignment horizontal="center" vertical="center" wrapText="1"/>
      <protection locked="1" hidden="1"/>
    </xf>
    <xf numFmtId="0" fontId="0" fillId="0" borderId="24" pivotButton="0" quotePrefix="0" xfId="0"/>
    <xf numFmtId="0" fontId="17" fillId="0" borderId="51" applyAlignment="1" applyProtection="1" pivotButton="0" quotePrefix="0" xfId="0">
      <alignment horizontal="center" vertical="center"/>
      <protection locked="1" hidden="1"/>
    </xf>
    <xf numFmtId="0" fontId="0" fillId="0" borderId="11" applyProtection="1" pivotButton="0" quotePrefix="0" xfId="0">
      <protection locked="1" hidden="1"/>
    </xf>
    <xf numFmtId="165" fontId="24" fillId="0" borderId="32" applyAlignment="1" applyProtection="1" pivotButton="0" quotePrefix="0" xfId="0">
      <alignment horizontal="center" vertical="center"/>
      <protection locked="1" hidden="1"/>
    </xf>
    <xf numFmtId="0" fontId="0" fillId="0" borderId="32" applyProtection="1" pivotButton="0" quotePrefix="0" xfId="0">
      <protection locked="1" hidden="1"/>
    </xf>
    <xf numFmtId="0" fontId="25" fillId="0" borderId="53"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9" fillId="9" borderId="44" applyAlignment="1" pivotButton="0" quotePrefix="0" xfId="0">
      <alignment horizontal="center" vertical="center"/>
    </xf>
    <xf numFmtId="0" fontId="0" fillId="0" borderId="26" pivotButton="0" quotePrefix="0" xfId="0"/>
    <xf numFmtId="0" fontId="0" fillId="0" borderId="27" pivotButton="0" quotePrefix="0" xfId="0"/>
    <xf numFmtId="0" fontId="30" fillId="8" borderId="35" applyAlignment="1" pivotButton="0" quotePrefix="0" xfId="0">
      <alignment horizontal="center" vertical="center"/>
    </xf>
    <xf numFmtId="0" fontId="0" fillId="0" borderId="32" pivotButton="0" quotePrefix="0" xfId="0"/>
    <xf numFmtId="0" fontId="0" fillId="0" borderId="46" pivotButton="0" quotePrefix="0" xfId="0"/>
    <xf numFmtId="0" fontId="30" fillId="8" borderId="35" applyAlignment="1" pivotButton="0" quotePrefix="0" xfId="0">
      <alignment horizontal="center" vertical="center" wrapText="1"/>
    </xf>
    <xf numFmtId="0" fontId="0" fillId="0" borderId="49" pivotButton="0" quotePrefix="0" xfId="0"/>
    <xf numFmtId="0" fontId="0" fillId="0" borderId="50" pivotButton="0" quotePrefix="0" xfId="0"/>
    <xf numFmtId="0" fontId="0" fillId="0" borderId="24" applyProtection="1" pivotButton="0" quotePrefix="0" xfId="0">
      <protection locked="1" hidden="1"/>
    </xf>
    <xf numFmtId="0" fontId="13" fillId="0" borderId="41" applyAlignment="1" pivotButton="0" quotePrefix="0" xfId="0">
      <alignment horizontal="center" vertical="center" wrapText="1"/>
    </xf>
    <xf numFmtId="0" fontId="0" fillId="0" borderId="31" applyProtection="1" pivotButton="0" quotePrefix="0" xfId="0">
      <protection locked="1" hidden="1"/>
    </xf>
    <xf numFmtId="0" fontId="13" fillId="0" borderId="43" applyAlignment="1" applyProtection="1" pivotButton="0" quotePrefix="0" xfId="0">
      <alignment horizontal="center" vertical="center" wrapText="1"/>
      <protection locked="1" hidden="1"/>
    </xf>
    <xf numFmtId="0" fontId="0" fillId="0" borderId="31" pivotButton="0" quotePrefix="0" xfId="0"/>
    <xf numFmtId="0" fontId="34" fillId="0" borderId="23" applyAlignment="1" applyProtection="1" pivotButton="0" quotePrefix="0" xfId="0">
      <alignment horizontal="center" vertical="center" wrapText="1"/>
      <protection locked="1" hidden="1"/>
    </xf>
    <xf numFmtId="0" fontId="35" fillId="2" borderId="9" applyAlignment="1" applyProtection="1" pivotButton="0" quotePrefix="0" xfId="0">
      <alignment horizontal="center"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15" fontId="35" fillId="2" borderId="41" applyAlignment="1" applyProtection="1" pivotButton="0" quotePrefix="0" xfId="0">
      <alignment horizontal="center" vertical="center" wrapText="1"/>
      <protection locked="0" hidden="0"/>
    </xf>
    <xf numFmtId="0" fontId="34" fillId="0" borderId="41" applyAlignment="1" applyProtection="1" pivotButton="0" quotePrefix="0" xfId="0">
      <alignment horizontal="center" vertical="center" wrapText="1"/>
      <protection locked="1" hidden="1"/>
    </xf>
    <xf numFmtId="0" fontId="0" fillId="0" borderId="4" pivotButton="0" quotePrefix="0" xfId="0"/>
    <xf numFmtId="0" fontId="37" fillId="0" borderId="9" applyAlignment="1" applyProtection="1" pivotButton="0" quotePrefix="0" xfId="0">
      <alignment horizontal="left" vertical="top" wrapText="1"/>
      <protection locked="1" hidden="1"/>
    </xf>
    <xf numFmtId="0" fontId="0" fillId="0" borderId="5" applyProtection="1" pivotButton="0" quotePrefix="0" xfId="0">
      <protection locked="1" hidden="1"/>
    </xf>
    <xf numFmtId="0" fontId="0" fillId="0" borderId="6" applyProtection="1" pivotButton="0" quotePrefix="0" xfId="0">
      <protection locked="1" hidden="1"/>
    </xf>
    <xf numFmtId="0" fontId="0" fillId="0" borderId="2" applyProtection="1" pivotButton="0" quotePrefix="0" xfId="0">
      <protection locked="1" hidden="1"/>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applyProtection="1" pivotButton="0" quotePrefix="0" xfId="0">
      <protection locked="1" hidden="1"/>
    </xf>
    <xf numFmtId="0" fontId="0" fillId="0" borderId="7" applyProtection="1" pivotButton="0" quotePrefix="0" xfId="0">
      <protection locked="1" hidden="1"/>
    </xf>
    <xf numFmtId="0" fontId="0" fillId="0" borderId="36" applyProtection="1" pivotButton="0" quotePrefix="0" xfId="0">
      <protection locked="1" hidden="1"/>
    </xf>
    <xf numFmtId="0" fontId="0" fillId="0" borderId="40" applyProtection="1" pivotButton="0" quotePrefix="0" xfId="0">
      <protection locked="1" hidden="1"/>
    </xf>
    <xf numFmtId="0" fontId="0" fillId="0" borderId="37" applyProtection="1" pivotButton="0" quotePrefix="0" xfId="0">
      <protection locked="1" hidden="1"/>
    </xf>
    <xf numFmtId="0" fontId="0" fillId="0" borderId="42" pivotButton="0" quotePrefix="0" xfId="0"/>
    <xf numFmtId="0" fontId="0" fillId="0" borderId="36" applyProtection="1" pivotButton="0" quotePrefix="0" xfId="0">
      <protection locked="0" hidden="0"/>
    </xf>
    <xf numFmtId="0" fontId="0" fillId="0" borderId="40" applyProtection="1" pivotButton="0" quotePrefix="0" xfId="0">
      <protection locked="0" hidden="0"/>
    </xf>
    <xf numFmtId="0" fontId="0" fillId="0" borderId="37" applyProtection="1" pivotButton="0" quotePrefix="0" xfId="0">
      <protection locked="0" hidden="0"/>
    </xf>
    <xf numFmtId="0" fontId="0" fillId="0" borderId="42" applyProtection="1" pivotButton="0" quotePrefix="0" xfId="0">
      <protection locked="0" hidden="0"/>
    </xf>
    <xf numFmtId="0" fontId="0" fillId="0" borderId="42" applyProtection="1" pivotButton="0" quotePrefix="0" xfId="0">
      <protection locked="1" hidden="1"/>
    </xf>
    <xf numFmtId="0" fontId="33" fillId="4" borderId="9" applyAlignment="1" applyProtection="1" pivotButton="0" quotePrefix="0" xfId="0">
      <alignment horizontal="justify" vertical="center" wrapText="1"/>
      <protection locked="1" hidden="1"/>
    </xf>
    <xf numFmtId="0" fontId="13" fillId="0" borderId="31" applyAlignment="1" applyProtection="1" pivotButton="0" quotePrefix="0" xfId="0">
      <alignment horizontal="center" vertical="center" wrapText="1"/>
      <protection locked="1" hidden="1"/>
    </xf>
    <xf numFmtId="0" fontId="13" fillId="0" borderId="41" applyAlignment="1" applyProtection="1" pivotButton="0" quotePrefix="0" xfId="0">
      <alignment horizontal="center" vertical="center" wrapText="1"/>
      <protection locked="1" hidden="1"/>
    </xf>
    <xf numFmtId="0" fontId="35" fillId="2" borderId="43" applyAlignment="1" applyProtection="1" pivotButton="0" quotePrefix="0" xfId="0">
      <alignment horizontal="center" vertical="center" wrapText="1"/>
      <protection locked="0" hidden="0"/>
    </xf>
    <xf numFmtId="0" fontId="37" fillId="0" borderId="9" applyAlignment="1" applyProtection="1" pivotButton="0" quotePrefix="0" xfId="0">
      <alignment horizontal="center" vertical="top" wrapText="1"/>
      <protection locked="1" hidden="1"/>
    </xf>
    <xf numFmtId="0" fontId="0" fillId="0" borderId="32" applyProtection="1" pivotButton="0" quotePrefix="0" xfId="0">
      <protection locked="0" hidden="0"/>
    </xf>
    <xf numFmtId="164" fontId="39" fillId="0" borderId="0" applyAlignment="1" applyProtection="1" pivotButton="0" quotePrefix="0" xfId="0">
      <alignment horizontal="center" vertical="center" wrapText="1"/>
      <protection locked="1" hidden="1"/>
    </xf>
    <xf numFmtId="165" fontId="15" fillId="0" borderId="0" applyProtection="1" pivotButton="0" quotePrefix="0" xfId="0">
      <protection locked="1" hidden="1"/>
    </xf>
  </cellXfs>
  <cellStyles count="9">
    <cellStyle name="Normal" xfId="0" builtinId="0"/>
    <cellStyle name="Normal 3" xfId="1"/>
    <cellStyle name="Normal 5" xfId="2"/>
    <cellStyle name="Normal 2" xfId="3"/>
    <cellStyle name="Normal 4" xfId="4"/>
    <cellStyle name="Comma 2" xfId="5"/>
    <cellStyle name="Porcentaje 2" xfId="6"/>
    <cellStyle name="Normal 2 2" xfId="7"/>
    <cellStyle name="Normal 3 3 2" xfId="8"/>
  </cellStyles>
  <dxfs count="153">
    <dxf>
      <fill>
        <patternFill>
          <bgColor auto="1"/>
        </patternFill>
      </fill>
    </dxf>
    <dxf>
      <fill>
        <patternFill>
          <bgColor auto="1"/>
        </patternFill>
      </fill>
    </dxf>
    <dxf>
      <fill>
        <patternFill>
          <bgColor auto="1"/>
        </patternFill>
      </fill>
    </dxf>
    <dxf>
      <fill>
        <patternFill>
          <bgColor auto="1"/>
        </patternFill>
      </fill>
    </dxf>
    <dxf>
      <font>
        <u val="single"/>
      </font>
    </dxf>
    <dxf>
      <font>
        <u val="single"/>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top style="thin">
          <color indexed="64"/>
        </top>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top style="thin">
          <color indexed="64"/>
        </top>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top style="thin">
          <color indexed="64"/>
        </top>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2"/>
        </patternFill>
      </fill>
    </dxf>
    <dxf>
      <fill>
        <patternFill>
          <bgColor theme="2"/>
        </patternFill>
      </fill>
    </dxf>
    <dxf>
      <fill>
        <patternFill>
          <bgColor auto="1"/>
        </patternFill>
      </fill>
    </dxf>
    <dxf>
      <fill>
        <patternFill>
          <bgColor theme="2"/>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2"/>
        </patternFill>
      </fill>
    </dxf>
    <dxf>
      <fill>
        <patternFill>
          <bgColor auto="1"/>
        </patternFill>
      </fill>
    </dxf>
    <dxf>
      <fill>
        <patternFill>
          <bgColor theme="2"/>
        </patternFill>
      </fill>
    </dxf>
    <dxf>
      <fill>
        <patternFill>
          <bgColor auto="1"/>
        </patternFill>
      </fill>
    </dxf>
    <dxf>
      <fill>
        <patternFill>
          <bgColor theme="2"/>
        </patternFill>
      </fill>
    </dxf>
    <dxf>
      <fill>
        <patternFill>
          <bgColor theme="2"/>
        </patternFill>
      </fill>
    </dxf>
    <dxf>
      <fill>
        <patternFill>
          <bgColor auto="1"/>
        </patternFill>
      </fill>
    </dxf>
    <dxf>
      <fill>
        <patternFill>
          <bgColor auto="1"/>
        </patternFill>
      </fill>
    </dxf>
    <dxf>
      <fill>
        <patternFill>
          <bgColor auto="1"/>
        </patternFill>
      </fill>
    </dxf>
    <dxf>
      <fill>
        <patternFill>
          <bgColor theme="2"/>
        </patternFill>
      </fill>
    </dxf>
    <dxf>
      <fill>
        <patternFill>
          <bgColor auto="1"/>
        </patternFill>
      </fill>
    </dxf>
    <dxf>
      <fill>
        <patternFill>
          <bgColor theme="2"/>
        </patternFill>
      </fill>
    </dxf>
    <dxf>
      <fill>
        <patternFill>
          <bgColor auto="1"/>
        </patternFill>
      </fill>
    </dxf>
    <dxf>
      <fill>
        <patternFill>
          <bgColor theme="2"/>
        </patternFill>
      </fill>
    </dxf>
    <dxf>
      <fill>
        <patternFill>
          <bgColor auto="1"/>
        </patternFill>
      </fill>
    </dxf>
    <dxf>
      <fill>
        <patternFill>
          <bgColor auto="1"/>
        </patternFill>
      </fill>
    </dxf>
    <dxf>
      <fill>
        <patternFill>
          <bgColor theme="2"/>
        </patternFill>
      </fill>
    </dxf>
    <dxf>
      <fill>
        <patternFill>
          <bgColor auto="1"/>
        </patternFill>
      </fill>
    </dxf>
    <dxf>
      <fill>
        <patternFill>
          <bgColor auto="1"/>
        </patternFill>
      </fill>
    </dxf>
    <dxf>
      <fill>
        <patternFill>
          <bgColor theme="2"/>
        </patternFill>
      </fill>
    </dxf>
    <dxf>
      <fill>
        <patternFill>
          <bgColor auto="1"/>
        </patternFill>
      </fill>
    </dxf>
    <dxf>
      <fill>
        <patternFill>
          <bgColor auto="1"/>
        </patternFill>
      </fill>
    </dxf>
    <dxf>
      <fill>
        <patternFill>
          <bgColor theme="2"/>
        </patternFill>
      </fill>
    </dxf>
    <dxf>
      <fill>
        <patternFill>
          <bgColor auto="1"/>
        </patternFill>
      </fill>
    </dxf>
    <dxf>
      <fill>
        <patternFill>
          <bgColor auto="1"/>
        </patternFill>
      </fill>
    </dxf>
    <dxf>
      <fill>
        <patternFill>
          <bgColor theme="2"/>
        </patternFill>
      </fill>
    </dxf>
    <dxf>
      <fill>
        <patternFill>
          <bgColor auto="1"/>
        </patternFill>
      </fill>
    </dxf>
    <dxf>
      <fill>
        <patternFill>
          <bgColor theme="2"/>
        </patternFill>
      </fill>
    </dxf>
    <dxf>
      <fill>
        <patternFill>
          <bgColor auto="1"/>
        </patternFill>
      </fill>
    </dxf>
    <dxf>
      <fill>
        <patternFill>
          <bgColor theme="2"/>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Víctor Ramírez</author>
    <author>user</author>
    <author>Blanca Nelly Gutierrez Garza</author>
  </authors>
  <commentList>
    <comment ref="A3" authorId="0" shapeId="0">
      <text>
        <t>NÚMERO DE OBSERVACIÓN O HALLAZGO EN FORMA CONSECUTIVA.
(ESTE DATO SE OBTIENE DE MANERA AUTOMÁTICA)</t>
      </text>
    </comment>
    <comment ref="C3" authorId="0" shapeId="0">
      <text>
        <t>GRADO DE RIESGO QUE TENGA LA OBSERVACION DE ACUERDO A LA MATRIZ DE RIESGOS Y CONTROLES</t>
      </text>
    </comment>
    <comment ref="D3" authorId="0" shapeId="0">
      <text>
        <t>SELECCIONAR LA CLASIFICACIÓN DEL  PROCESO AUDITADO.:
SEGÚN DONDE SEUBIQUE EL MANUAL DEL PROCESO AUDITADO EN LA INTRANET</t>
      </text>
    </comment>
    <comment ref="F3" authorId="0" shapeId="0">
      <text>
        <t>CAPTURAR 
EL   AÑO EN EL CUAL SE LLEVA A CABO LA REVISIÓN.</t>
      </text>
    </comment>
    <comment ref="H3" authorId="0" shapeId="0">
      <text>
        <t xml:space="preserve">ICAPTURAR EL PERÍODO DEL 
CUAL SE LLEVA A CABO LA REVISIÓN.
(Ej. Del 15 de Enero al 28 de Febrero de 2013) </t>
      </text>
    </comment>
    <comment ref="I3" authorId="0" shapeId="0">
      <text>
        <t>CAPTURAR LA FECHA DE CORTE A LA CUAL SE REALIZARÁ LA AUDITORÍA. 
(Ej. 31-Ene-2019)</t>
      </text>
    </comment>
    <comment ref="J3" authorId="0" shapeId="0">
      <text>
        <t>CAPTURR EL NOMBRE DE LA AUDITORIA DE ACUERDO AL CATALOGO QUE SE ENCUENTRA EN LA HOJA "datos"</t>
      </text>
    </comment>
    <comment ref="L3" authorId="0" shapeId="0">
      <text>
        <t>CAPTURAR NOMBRE CORTO O UNA BREVE DESCRIPCIÓN DEL HALLAZGO DETECTADO.</t>
      </text>
    </comment>
    <comment ref="M3" authorId="0" shapeId="0">
      <text>
        <t>CAPTURAR LA DESCRIPCIÓN DEL HALLAZGO DETECTADO DURANTE LA AUDITORÍA</t>
      </text>
    </comment>
    <comment ref="N3" authorId="0" shapeId="0">
      <text>
        <t>CAPTURAR  LA IMPLICACIÓN O LOS EFECTOS QUE PUEDEN DERIVARSE DEL HALLAZGO OBSERVADO.</t>
      </text>
    </comment>
    <comment ref="O3" authorId="0" shapeId="0">
      <text>
        <t>CAPTURAR  EL FUNDAMENTO DEL HALLAZGO, ES DECIR, NOMBRE DEL MANUAL,  ARTICULO, PARRFO 
 O DETALLE DE LA NORMATIVA  INTERNA O EXTERNA.</t>
      </text>
    </comment>
    <comment ref="Q3" authorId="0" shapeId="0">
      <text>
        <t>TIPO DEL HALLAZGO DETECTADO.
(CAPTURAR PARA CADA OBSERVACIÓN A MANIFESTAR)</t>
      </text>
    </comment>
    <comment ref="T3" authorId="0" shapeId="0">
      <text>
        <t>SELECCIONAR EL NOMBRE DEL AUDITOR ENCARGADO DE LLEVAR A CABO LA AUDITORÍA.</t>
      </text>
    </comment>
    <comment ref="V3" authorId="0" shapeId="0">
      <text>
        <t>Antes de la fecha de emisión del Informe.</t>
      </text>
    </comment>
    <comment ref="W3" authorId="1" shapeId="0">
      <text>
        <t>CAPTURAR EL NÚMERO DEL NIP DEL RESPONSABLE DEL ÁREA AUDITADA Y DE DAR SEGUIMIENTO AL HALLAZGO.
OBTENER ESTA INFORMACIÓN DE LA PESTAÑA "´PLANTILLA" INCLUIDA EN ESTE MISMO ARCHVO.</t>
      </text>
    </comment>
    <comment ref="X3" authorId="0" shapeId="0">
      <text>
        <t>CONTIENE EL NOMBRE DEL RESPONSABLE DEL ÁREA AUDITADA Y DE DAR SEGUIMIENTO AL HALLAZGO.
(ESTE DATO SE OBTIENE DE MANERA AUTOMÁTICA)</t>
      </text>
    </comment>
    <comment ref="Y3" authorId="2" shapeId="0">
      <text>
        <t xml:space="preserve">PUESTO DEL RESPONSABLE AUDITADO.  (ESTE DATO SE OBTIENE DE MANERA AUTOMATICA AL LLENAR EL NIP DE RESPONSABLE DEL SEGUIMIENTO DE LA OBSERVACION)
</t>
      </text>
    </comment>
    <comment ref="Z3" authorId="2" shapeId="0">
      <text>
        <t xml:space="preserve">AREA DEL RESPONSABLE AUDITADO.  (ESTE DATO SE OBTIENE DE MANERA AUTOMATICA AL LLENAR EL NIP DEL REESPONSABLE QUE DARA SEGUIMIENNTO A LA OBSERVACION)
</t>
      </text>
    </comment>
    <comment ref="AB3" authorId="0" shapeId="0">
      <text>
        <t xml:space="preserve">CONTIENE EL COMPROMISO ADQUIRIDO INICIALMENTE POR EL RESPONSABLE DEL ÁREA AUDITADA.
(ESTE DATO SE OBTIENE DE MANERA AUTOMÁTICA)
ESTA INFORMACIÓN DEBE LLENARSE EN LA PESTAÑA DEL "PLAN DE ACCION". </t>
      </text>
    </comment>
    <comment ref="AC3" authorId="0" shapeId="0">
      <text>
        <t xml:space="preserve">CONTIENE LA FECHA COMPROMISO ESTABLECIDA INICIALMENTE POR EL RESPONSABLE DEL ÁREA AUDITADA.
(ESTE DATO SE OBTIENE DE MANERA AUTOMÁTICA) 
ESTA INFORMACIÓN DEBE LLENARSE EN LA PESTAÑA DEL "PLAN DE ACCION". </t>
      </text>
    </comment>
  </commentList>
</comments>
</file>

<file path=xl/comments/comment2.xml><?xml version="1.0" encoding="utf-8"?>
<comments xmlns="http://schemas.openxmlformats.org/spreadsheetml/2006/main">
  <authors>
    <author>Víctor Ramírez</author>
  </authors>
  <commentList>
    <comment ref="J2" authorId="0" shapeId="0">
      <text>
        <t>SELECCIONAR LA CLASIFICACIÓN DEL  PROCESO AUDITADO.:
SEGÚN DONDE SEUBIQUE EL MANUAL DEL PROCESO AUDITADO EN LA INTRANET</t>
      </text>
    </comment>
    <comment ref="L2" authorId="0" shapeId="0">
      <text>
        <t>CAPTURR EL NOMBRE DE LA AUDITORIA DE ACUERDO AL CATALOGO QUE SE ENCUENTRA EN LA HOJA "datos"</t>
      </text>
    </comment>
    <comment ref="R2" authorId="0" shapeId="0">
      <text>
        <t>TIPO DEL HALLAZGO DETECTADO.
(CAPTURAR PARA CADA OBSERVACIÓN A MANIFESTAR)</t>
      </text>
    </comment>
    <comment ref="W2" authorId="0" shapeId="0">
      <text>
        <t>SELECCIONAR EL NOMBRE DEL AUDITOR ENCARGADO DE LLEVAR A CABO LA AUDITORÍA.</t>
      </text>
    </comment>
  </commentList>
</comments>
</file>

<file path=xl/externalLinks/_rels/externalLink1.xml.rels><Relationships xmlns="http://schemas.openxmlformats.org/package/2006/relationships"><Relationship Type="http://schemas.openxmlformats.org/officeDocument/2006/relationships/externalLinkPath" Target="/Users/bgutierrez/Documents/6.-%20Archivos/Plan_de_Accion_Procesos_v1%201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nstructivo"/>
      <sheetName val="Comentarios_Campos_BD"/>
      <sheetName val="(1)_Base_de_Datos"/>
      <sheetName val="(2)_Calificacion_de_Hallazgos"/>
      <sheetName val="(3)_Plan_de_Accion"/>
      <sheetName val="(4)_Resumen"/>
      <sheetName val="(5)_Criterios_Prioridad"/>
      <sheetName val="Plantilla"/>
      <sheetName val="datos"/>
    </sheetNames>
    <sheetDataSet>
      <sheetData sheetId="0"/>
      <sheetData sheetId="1"/>
      <sheetData sheetId="2"/>
      <sheetData sheetId="3"/>
      <sheetData sheetId="4">
        <row r="3">
          <cell r="AF3">
            <v>0</v>
          </cell>
          <cell r="AI3">
            <v>0</v>
          </cell>
        </row>
        <row r="4">
          <cell r="AF4" t="str">
            <v>ACEPTABLE</v>
          </cell>
          <cell r="AI4" t="str">
            <v>ANTONIO FLORES LUNA</v>
          </cell>
        </row>
        <row r="5">
          <cell r="AF5" t="str">
            <v>PARCIALMENTE ACEPTABLE</v>
          </cell>
          <cell r="AI5" t="str">
            <v>CARLOS ALBERTO NAVARRO RIVERA</v>
          </cell>
        </row>
        <row r="6">
          <cell r="AF6" t="str">
            <v>EN OBSERVACIÓN</v>
          </cell>
          <cell r="AI6" t="str">
            <v>PABLO MARTÍNEZ HERNÁNDEZ</v>
          </cell>
        </row>
        <row r="7">
          <cell r="AF7" t="str">
            <v>INACEPTABLE</v>
          </cell>
        </row>
      </sheetData>
      <sheetData sheetId="5"/>
      <sheetData sheetId="6"/>
      <sheetData sheetId="7"/>
      <sheetData sheetId="8">
        <row r="2">
          <cell r="E2">
            <v>0</v>
          </cell>
          <cell r="G2">
            <v>0</v>
          </cell>
          <cell r="P2">
            <v>0</v>
          </cell>
          <cell r="R2">
            <v>0</v>
          </cell>
          <cell r="T2">
            <v>0</v>
          </cell>
          <cell r="V2">
            <v>0</v>
          </cell>
          <cell r="X2">
            <v>0</v>
          </cell>
        </row>
        <row r="3">
          <cell r="E3" t="str">
            <v>Apoyo</v>
          </cell>
          <cell r="G3" t="str">
            <v>Auditoría de Análisis de Datos y Admón</v>
          </cell>
          <cell r="P3" t="str">
            <v>TEMA DE EFICIENCIA</v>
          </cell>
          <cell r="R3" t="str">
            <v>NO EXISTE INCUMPLIMIENTO.</v>
          </cell>
          <cell r="T3" t="str">
            <v>NORMATIVIDAD ACTUALIZADA.</v>
          </cell>
          <cell r="V3" t="str">
            <v>EXISTEN ACTIVIDADES DE CONTROL.</v>
          </cell>
          <cell r="X3" t="str">
            <v>SIN IMPACTO ECONÓMICO.</v>
          </cell>
        </row>
        <row r="4">
          <cell r="E4" t="str">
            <v>Canales</v>
          </cell>
          <cell r="G4" t="str">
            <v>Auditoría de Operaciónes y Centrales</v>
          </cell>
          <cell r="P4" t="str">
            <v>BAJO</v>
          </cell>
          <cell r="R4" t="str">
            <v>INCUMPLIMIENTO A UN PROCEDIMIENTO.</v>
          </cell>
          <cell r="T4" t="str">
            <v>EXISTE  POLÍTICAS FORMALIZADAS MÁS NO ESTÁN PUBLICADOS EN LA INTRANET.</v>
          </cell>
          <cell r="V4" t="str">
            <v>SI EXISTEN CONTROLES  INTERNOS, CON LIMITACIONES MÍNIMAS.</v>
          </cell>
          <cell r="X4" t="str">
            <v>EL IMPACTO EN LOS RESULTADOS DE LA INSTITUCIÓN ES DE ENTRE $0 Y $375</v>
          </cell>
        </row>
        <row r="5">
          <cell r="E5" t="str">
            <v>Marco de Gobierno</v>
          </cell>
          <cell r="G5" t="str">
            <v>Auditoría de Tecnología de la Información</v>
          </cell>
          <cell r="P5" t="str">
            <v>MEDIO</v>
          </cell>
          <cell r="R5" t="str">
            <v>INCUMPLIMIENTO POLÍTICA.</v>
          </cell>
          <cell r="T5" t="str">
            <v>NORMATIVIDAD PENDIENTE DE ACTUALIZAR O MODIFICAR POR INCORPORACIÓN DE NUEVOS PROCESOS Y POLÍTICAS.</v>
          </cell>
          <cell r="V5" t="str">
            <v>SI EXISTEN CONTROLES  INTERNOS, PERO SE CONSIDERAN INSUFICIENTES.</v>
          </cell>
          <cell r="X5" t="str">
            <v>EL IMPACTO EN LOS RESULTADOS DE LA INSTITUCIÓN ES DE ENTRE $375.1 Y $1,200</v>
          </cell>
        </row>
        <row r="6">
          <cell r="E6" t="str">
            <v>Negocio</v>
          </cell>
          <cell r="G6" t="str">
            <v>Auditoría Forense</v>
          </cell>
          <cell r="P6" t="str">
            <v>ALTO</v>
          </cell>
          <cell r="R6" t="str">
            <v>INCUMPLIMIENTO A FACULTADES DE AUTORIZACIÓN /ACTIVIDAD DE CONTROL ESTABLECIDA.</v>
          </cell>
          <cell r="T6" t="str">
            <v>DOCUMENTACIÓN INTERNA DE LOS NUEVOS PROCESOS Y POLÍTICAS DE MANERA PARCIAL, FALTANDO EN CRITERIOS DESTACADOS.</v>
          </cell>
          <cell r="V6" t="str">
            <v xml:space="preserve">NO EXISTEN ACTIVIDADES DE CONTROL CLAVE, POR LO QUE EXISTE UN RIESGO EN LA OPERACIÓN. </v>
          </cell>
          <cell r="X6" t="str">
            <v>IMPACTO EN LOS RESULTADOS DE LA INSTITUCIÓN DE ENTRE $1,200.1 Y $3,000</v>
          </cell>
        </row>
        <row r="7">
          <cell r="G7" t="str">
            <v>Auditoría de Administración de Riesgos</v>
          </cell>
          <cell r="P7" t="str">
            <v>MUY ALTO</v>
          </cell>
          <cell r="R7" t="str">
            <v>INCUMPLIMIENTO A LAS REGULACIONES EXTERNAS.</v>
          </cell>
          <cell r="T7" t="str">
            <v>AUSENCIA DE NORMATIVIDAD APLICABLE A LOS PROCESOS Y POLÍTICAS.</v>
          </cell>
          <cell r="V7" t="str">
            <v xml:space="preserve">NO EXISTEN NINGUNA ACTIVIDAD DE CONTROL POR LO QUE EXISTEN MÚLTIPLES RIESGOS EN LA OPERACIÓN. </v>
          </cell>
          <cell r="X7" t="str">
            <v>IMPACTO EN LOS RESULTADOS DE LA INSTITUCIÓN MAYOR A $3,000.1</v>
          </cell>
        </row>
        <row r="8">
          <cell r="G8" t="str">
            <v>Auditoría de Jurídico</v>
          </cell>
        </row>
        <row r="9">
          <cell r="G9" t="str">
            <v>Auditoría de Contabilidad y Fiscal</v>
          </cell>
        </row>
        <row r="10">
          <cell r="G10" t="str">
            <v>Auditoría de Empresarial</v>
          </cell>
        </row>
        <row r="11">
          <cell r="G11" t="str">
            <v>Auditoría de Negocios</v>
          </cell>
          <cell r="P11">
            <v>0</v>
          </cell>
        </row>
        <row r="12">
          <cell r="G12" t="str">
            <v>Auditoría de Comercial</v>
          </cell>
          <cell r="P12" t="str">
            <v>BAJO</v>
          </cell>
        </row>
        <row r="13">
          <cell r="G13" t="str">
            <v>Auditoría de Patrimonial y Tesoreria</v>
          </cell>
          <cell r="P13" t="str">
            <v>MEDIO</v>
          </cell>
        </row>
        <row r="14">
          <cell r="B14">
            <v>0</v>
          </cell>
          <cell r="G14" t="str">
            <v>Auditoría de Responsabilidad Social</v>
          </cell>
          <cell r="P14" t="str">
            <v>ALTO</v>
          </cell>
        </row>
        <row r="15">
          <cell r="B15" t="str">
            <v>Antonio Flores Luna</v>
          </cell>
          <cell r="G15" t="str">
            <v>Auditoría de Gestión de Talentos y Control de Pagos</v>
          </cell>
          <cell r="P15" t="str">
            <v>MUY ALTO</v>
          </cell>
        </row>
        <row r="16">
          <cell r="B16" t="str">
            <v>Carlos Alberto Navarro Rivera</v>
          </cell>
          <cell r="P16" t="str">
            <v>RECOMENDACIÓN</v>
          </cell>
        </row>
        <row r="17">
          <cell r="B17" t="str">
            <v>Melissa Lizeth López Chapa</v>
          </cell>
        </row>
        <row r="18">
          <cell r="B18" t="str">
            <v>Arturo Javier Celis Martínez</v>
          </cell>
        </row>
        <row r="19">
          <cell r="B19" t="str">
            <v>Ericka Judith Velázquez Gómez</v>
          </cell>
          <cell r="G19">
            <v>0</v>
          </cell>
        </row>
        <row r="20">
          <cell r="B20" t="str">
            <v>Doryan Vanessa Cervantes Arévalo</v>
          </cell>
          <cell r="G20" t="str">
            <v>Ausencia de Normatividad</v>
          </cell>
        </row>
        <row r="21">
          <cell r="B21" t="str">
            <v>Hugo Enrique Hernández Martínez</v>
          </cell>
          <cell r="G21" t="str">
            <v>Diseño del Control Limitado</v>
          </cell>
        </row>
        <row r="22">
          <cell r="B22" t="str">
            <v>José Francisco Morales Benavides</v>
          </cell>
          <cell r="G22" t="str">
            <v>Falta de Ejecución en el Control</v>
          </cell>
        </row>
        <row r="23">
          <cell r="B23" t="str">
            <v>Juan Artemio Borjas Mata</v>
          </cell>
          <cell r="G23" t="str">
            <v>Inexistencia de Control</v>
          </cell>
        </row>
        <row r="24">
          <cell r="B24" t="str">
            <v>Ana Isabel Martínez Cabriales</v>
          </cell>
        </row>
        <row r="25">
          <cell r="B25" t="str">
            <v>Miguel Ángel Leija Arriaga</v>
          </cell>
        </row>
        <row r="26">
          <cell r="B26" t="str">
            <v>Jorge Alberto Reyes Ramírez</v>
          </cell>
        </row>
        <row r="27">
          <cell r="B27" t="str">
            <v>Antonio de Jesús Colunga Trujillo</v>
          </cell>
          <cell r="G27">
            <v>0</v>
          </cell>
        </row>
        <row r="28">
          <cell r="B28" t="str">
            <v>Luis Alberto Rocha Villagómez</v>
          </cell>
          <cell r="G28" t="str">
            <v>Banregio</v>
          </cell>
        </row>
        <row r="29">
          <cell r="B29" t="str">
            <v>Leslie Gabriela Sánchez Cepeda</v>
          </cell>
          <cell r="G29" t="str">
            <v>AF Banregio</v>
          </cell>
        </row>
        <row r="30">
          <cell r="B30" t="str">
            <v>José Carlos Claudio Torres</v>
          </cell>
          <cell r="G30" t="str">
            <v>Soluciones Financieras</v>
          </cell>
        </row>
        <row r="31">
          <cell r="B31" t="str">
            <v>Martin Alejandro Cisneros Sandate</v>
          </cell>
          <cell r="G31" t="str">
            <v>Financiera Banregio</v>
          </cell>
        </row>
        <row r="32">
          <cell r="B32" t="str">
            <v>Miguel Ángel Salas Rivera</v>
          </cell>
          <cell r="G32" t="str">
            <v>Grupo</v>
          </cell>
        </row>
        <row r="33">
          <cell r="B33" t="str">
            <v>Blanca Nelly Gutiérrez Garza</v>
          </cell>
          <cell r="G33" t="str">
            <v>Servicios Banregio</v>
          </cell>
        </row>
        <row r="34">
          <cell r="B34" t="str">
            <v>Víctor Hugo Ramírez González</v>
          </cell>
          <cell r="G34" t="str">
            <v>Operadora Banregio</v>
          </cell>
        </row>
        <row r="35">
          <cell r="B35" t="str">
            <v>Mariana Villagrán Camarena</v>
          </cell>
        </row>
        <row r="36">
          <cell r="B36" t="str">
            <v>Alejandra Contreras Gándara</v>
          </cell>
        </row>
        <row r="37">
          <cell r="B37" t="str">
            <v>Lilia Monseratt Dávila Lozano</v>
          </cell>
        </row>
        <row r="38">
          <cell r="B38" t="str">
            <v>Rolando Torres Ruiz</v>
          </cell>
        </row>
        <row r="39">
          <cell r="B39" t="str">
            <v>Walter Carreón Villarreal</v>
          </cell>
        </row>
        <row r="40">
          <cell r="B40" t="str">
            <v>Cecilia Gabriela Bravo Morales</v>
          </cell>
        </row>
        <row r="41">
          <cell r="B41" t="str">
            <v>Pablo Martínez Hernández</v>
          </cell>
        </row>
        <row r="42">
          <cell r="B42" t="str">
            <v>Héctor Hadad González Núñez</v>
          </cell>
        </row>
        <row r="43">
          <cell r="B43" t="str">
            <v>Jesús Armando Cruz Cantú</v>
          </cell>
        </row>
        <row r="44">
          <cell r="B44" t="str">
            <v>Katia Lizeth Herrera Ruiz</v>
          </cell>
        </row>
        <row r="45">
          <cell r="B45" t="str">
            <v>Adriana Vela Garza</v>
          </cell>
        </row>
        <row r="46">
          <cell r="B46" t="str">
            <v>Brenda Marisol Rivera Jiménez</v>
          </cell>
        </row>
        <row r="47">
          <cell r="B47" t="str">
            <v>Moisés González Florencio</v>
          </cell>
        </row>
        <row r="48">
          <cell r="B48" t="str">
            <v>Hernán Garza Martínez</v>
          </cell>
        </row>
        <row r="49">
          <cell r="B49" t="str">
            <v>Daniel Ávila Muñoz</v>
          </cell>
        </row>
        <row r="50">
          <cell r="B50" t="str">
            <v>Vanessa Villanueva Montes</v>
          </cell>
        </row>
        <row r="51">
          <cell r="B51" t="str">
            <v>Alfredo Vergara González</v>
          </cell>
        </row>
        <row r="52">
          <cell r="B52" t="str">
            <v>Argelia Jazmín Torres Rodríguez</v>
          </cell>
        </row>
        <row r="53">
          <cell r="B53" t="str">
            <v>Gerardo Ramírez Valdés</v>
          </cell>
        </row>
        <row r="54">
          <cell r="B54" t="str">
            <v>Mario Eduardo Meléndez Moreno</v>
          </cell>
        </row>
        <row r="55">
          <cell r="B55" t="str">
            <v>Julio Cesar Salas Vázquez</v>
          </cell>
        </row>
        <row r="56">
          <cell r="B56" t="str">
            <v>Jesús Alfredo Lozano Treviño</v>
          </cell>
        </row>
        <row r="57">
          <cell r="B57">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FFC000"/>
    <outlinePr summaryBelow="1" summaryRight="1"/>
    <pageSetUpPr/>
  </sheetPr>
  <dimension ref="A1:AC39"/>
  <sheetViews>
    <sheetView showGridLines="0" zoomScale="70" zoomScaleNormal="70" workbookViewId="0">
      <pane ySplit="3" topLeftCell="A4" activePane="bottomLeft" state="frozen"/>
      <selection activeCell="A5" sqref="A5"/>
      <selection pane="bottomLeft" activeCell="A5" sqref="A5"/>
    </sheetView>
  </sheetViews>
  <sheetFormatPr baseColWidth="8" defaultColWidth="11.36328125" defaultRowHeight="32" customHeight="1"/>
  <cols>
    <col width="7.36328125" customWidth="1" style="92" min="1" max="1"/>
    <col width="19.7265625" customWidth="1" style="2" min="2" max="2"/>
    <col width="17.6328125" bestFit="1" customWidth="1" style="2" min="3" max="3"/>
    <col width="18.7265625" customWidth="1" style="2" min="4" max="4"/>
    <col width="24.90625" customWidth="1" style="2" min="5" max="5"/>
    <col width="12.7265625" customWidth="1" style="2" min="6" max="6"/>
    <col hidden="1" width="12.7265625" customWidth="1" style="2" min="7" max="7"/>
    <col width="24.1796875" bestFit="1" customWidth="1" style="244" min="8" max="8"/>
    <col width="24.1796875" bestFit="1" customWidth="1" style="2" min="9" max="9"/>
    <col width="60.26953125" customWidth="1" style="110" min="10" max="10"/>
    <col width="36.6328125" customWidth="1" style="145" min="11" max="11"/>
    <col width="19.7265625" customWidth="1" style="2" min="12" max="12"/>
    <col width="66.453125" customWidth="1" style="2" min="13" max="13"/>
    <col width="50.7265625" customWidth="1" style="2" min="14" max="16"/>
    <col width="25.7265625" customWidth="1" style="2" min="17" max="17"/>
    <col width="17.26953125" bestFit="1" customWidth="1" style="3" min="18" max="18"/>
    <col width="20.08984375" customWidth="1" style="2" min="19" max="19"/>
    <col width="34.26953125" bestFit="1" customWidth="1" style="2" min="20" max="20"/>
    <col width="17.7265625" customWidth="1" style="2" min="21" max="22"/>
    <col width="20.7265625" customWidth="1" style="2" min="23" max="25"/>
    <col width="35.7265625" customWidth="1" style="2" min="26" max="27"/>
    <col width="50.7265625" customWidth="1" style="2" min="28" max="28"/>
    <col width="17.7265625" customWidth="1" style="92" min="29" max="29"/>
    <col width="16.36328125" customWidth="1" style="2" min="30" max="30"/>
    <col width="8.90625" customWidth="1" style="2" min="31" max="32"/>
    <col width="16.36328125" customWidth="1" style="2" min="33" max="33"/>
    <col width="8.90625" customWidth="1" style="2" min="34" max="36"/>
    <col width="16.36328125" customWidth="1" style="2" min="37" max="37"/>
    <col width="8.90625" customWidth="1" style="2" min="38" max="53"/>
    <col width="11.36328125" customWidth="1" style="2" min="54" max="16384"/>
  </cols>
  <sheetData>
    <row r="1" ht="17.5" customHeight="1" s="150">
      <c r="A1" s="106" t="n"/>
    </row>
    <row r="2" ht="17.5" customHeight="1" s="150">
      <c r="A2" s="106" t="n"/>
    </row>
    <row r="3" ht="37.5" customFormat="1" customHeight="1" s="6">
      <c r="A3" s="4" t="inlineStr">
        <is>
          <t>NO. OBS</t>
        </is>
      </c>
      <c r="B3" s="4" t="inlineStr">
        <is>
          <t>OBSERVACION / RECOMENDACIÓN</t>
        </is>
      </c>
      <c r="C3" s="4" t="inlineStr">
        <is>
          <t>GRADO DE RIESGO</t>
        </is>
      </c>
      <c r="D3" s="4" t="inlineStr">
        <is>
          <t>CLASIFICACIÓN DE PROCESO AUDITADO</t>
        </is>
      </c>
      <c r="E3" s="4" t="inlineStr">
        <is>
          <t>ÁREA AUDITADA</t>
        </is>
      </c>
      <c r="F3" s="4" t="inlineStr">
        <is>
          <t>AÑO DE REVISIÓN</t>
        </is>
      </c>
      <c r="G3" s="4" t="inlineStr">
        <is>
          <t>CVE</t>
        </is>
      </c>
      <c r="H3" s="245" t="inlineStr">
        <is>
          <t>PERÍODO DE REVISIÓN</t>
        </is>
      </c>
      <c r="I3" s="4" t="inlineStr">
        <is>
          <t>REVISION CON CIFRAS AL</t>
        </is>
      </c>
      <c r="J3" s="111" t="inlineStr">
        <is>
          <t>NOMBRE DE LA AUDITORIA</t>
        </is>
      </c>
      <c r="K3" s="111" t="inlineStr">
        <is>
          <t>NOMBRE DEL MONITOREO</t>
        </is>
      </c>
      <c r="L3" s="4" t="inlineStr">
        <is>
          <t>CONCEPTO DEL HALLAZGO</t>
        </is>
      </c>
      <c r="M3" s="4" t="inlineStr">
        <is>
          <t>DESCRIPCION DEL HALLAZGO</t>
        </is>
      </c>
      <c r="N3" s="4" t="inlineStr">
        <is>
          <t>IMPLICACIÓN</t>
        </is>
      </c>
      <c r="O3" s="4" t="inlineStr">
        <is>
          <t>FUNDAMENTO</t>
        </is>
      </c>
      <c r="P3" s="4" t="inlineStr">
        <is>
          <t>CONTROL</t>
        </is>
      </c>
      <c r="Q3" s="4" t="inlineStr">
        <is>
          <t>TIPO DE 
HALLAZGO</t>
        </is>
      </c>
      <c r="R3" s="4" t="inlineStr">
        <is>
          <t>EMPRESA</t>
        </is>
      </c>
      <c r="S3" s="4" t="inlineStr">
        <is>
          <t>DEPTO DE AUDITORÍA INTERNA</t>
        </is>
      </c>
      <c r="T3" s="5" t="inlineStr">
        <is>
          <t>AUDITOR RESPONSABLE</t>
        </is>
      </c>
      <c r="U3" s="4" t="inlineStr">
        <is>
          <t>Area del Auditor</t>
        </is>
      </c>
      <c r="V3" s="4" t="inlineStr">
        <is>
          <t>FECHA DE ELABORACIÓN</t>
        </is>
      </c>
      <c r="W3" s="5" t="inlineStr">
        <is>
          <t>NIP</t>
        </is>
      </c>
      <c r="X3" s="4" t="inlineStr">
        <is>
          <t>NOMBRE DEL RESPONSABLE AUDITADO</t>
        </is>
      </c>
      <c r="Y3" s="4" t="inlineStr">
        <is>
          <t>PUESTO DEL RESPONSABLE AUDITADO</t>
        </is>
      </c>
      <c r="Z3" s="4" t="inlineStr">
        <is>
          <t>AREA DEL RESPONSABLE AUDITADO</t>
        </is>
      </c>
      <c r="AA3" s="4" t="inlineStr">
        <is>
          <t>DIRECCION RESPONSABLE</t>
        </is>
      </c>
      <c r="AB3" s="4" t="inlineStr">
        <is>
          <t>COMPROMISO INICIAL</t>
        </is>
      </c>
      <c r="AC3" s="4" t="inlineStr">
        <is>
          <t>FECHA 
COMPROMISO INICIAL</t>
        </is>
      </c>
    </row>
    <row r="4" ht="188" customFormat="1" customHeight="1" s="12">
      <c r="A4" s="107" t="inlineStr">
        <is>
          <t>01</t>
        </is>
      </c>
      <c r="B4" s="8" t="inlineStr">
        <is>
          <t>Observación</t>
        </is>
      </c>
      <c r="C4" s="8" t="inlineStr">
        <is>
          <t>MEDIO</t>
        </is>
      </c>
      <c r="D4" s="8" t="inlineStr">
        <is>
          <t>Control</t>
        </is>
      </c>
      <c r="E4" s="7" t="inlineStr">
        <is>
          <t>Calificación de Cartera</t>
        </is>
      </c>
      <c r="F4" s="7" t="n">
        <v>2026</v>
      </c>
      <c r="G4" s="7" t="n"/>
      <c r="H4" s="7" t="inlineStr">
        <is>
          <t>31 de Mayo de 2026</t>
        </is>
      </c>
      <c r="I4" s="7" t="inlineStr">
        <is>
          <t>31 de Mayo de 2026</t>
        </is>
      </c>
      <c r="J4" s="7" t="inlineStr">
        <is>
          <t>CALIFICACION DE CARTERA</t>
        </is>
      </c>
      <c r="K4" s="7" t="n"/>
      <c r="L4" s="8" t="inlineStr">
        <is>
          <t>Inconsistencias en el cálculo de la Probabilidad de Incumplimiento y Severidad de la Pérdida.</t>
        </is>
      </c>
      <c r="M4" s="13" t="inlineStr">
        <is>
          <t xml:space="preserve">a) Como resultado de la validación del cálculo de la Probabilidad de Incumplimiento se detectó un caso GREENING RENOVABLES S.A. DE C.V., que se calificó en sector Servicios debiendo ser Construcción de acuerdo a la carátula de autorización de fecha 15 de septiembre de 2025.
b) Diferencia en las reserva de acuerdo a lo siguiente:
En 1 cliente inconsistencia en el cálculo de la EI expuesta, después de aplicar la garantía líquida, lo cual se detalla en el reporte regulatorio R04-C-0434 Severidad de la Pérdida, lo que ocasiona cálculo erróneo de la reserva, Impacto $379.83 pesos. 
</t>
        </is>
      </c>
      <c r="N4" s="13" t="inlineStr">
        <is>
          <t>Incumplimiento a la CUB Anexo 22</t>
        </is>
      </c>
      <c r="O4" s="13" t="inlineStr">
        <is>
          <t>CUB Anexo 22, CUB Artículo 114.</t>
        </is>
      </c>
      <c r="P4" s="8" t="inlineStr">
        <is>
          <t>Deficiencia del diseño del control</t>
        </is>
      </c>
      <c r="Q4" s="8" t="inlineStr">
        <is>
          <t>Diseño del Control Limitado</t>
        </is>
      </c>
      <c r="R4" s="10" t="inlineStr">
        <is>
          <t>Banco BASE</t>
        </is>
      </c>
      <c r="S4" s="10" t="inlineStr">
        <is>
          <t>Auditoría de Crédito Empresarial</t>
        </is>
      </c>
      <c r="T4" s="10" t="inlineStr">
        <is>
          <t>Blanca Nelly Gutiérrez Garza</t>
        </is>
      </c>
      <c r="U4" s="14">
        <f>IFERROR(VLOOKUP(T4,datos!$W$3:$X$23,2,0),"")</f>
        <v/>
      </c>
      <c r="V4" s="14" t="inlineStr">
        <is>
          <t>25 de Septiembre de 2026</t>
        </is>
      </c>
      <c r="W4" s="7" t="n">
        <v>3731</v>
      </c>
      <c r="X4" s="9">
        <f>IFERROR(VLOOKUP($W4,Plantilla!$B$3:$AE$2497,2,0),"")</f>
        <v/>
      </c>
      <c r="Y4" s="9">
        <f>IFERROR(VLOOKUP($W4,Plantilla!$B$3:$AE$2497,4,0),"")</f>
        <v/>
      </c>
      <c r="Z4" s="9">
        <f>IFERROR(VLOOKUP($W4,Plantilla!$B$3:$AE$2496,4,0),"")</f>
        <v/>
      </c>
      <c r="AA4" s="9">
        <f>IFERROR(VLOOKUP($W4,Plantilla!$B$3:$AJ$2496,17,0),"")</f>
        <v/>
      </c>
      <c r="AB4" s="11">
        <f>IFERROR(IF('(3)_Plan_de_Accion'!M14&lt;&gt;"",'(3)_Plan_de_Accion'!M14,""),"")</f>
        <v/>
      </c>
      <c r="AC4" s="93">
        <f>IFERROR(IF('(3)_Plan_de_Accion'!Q14&lt;&gt;"",'(3)_Plan_de_Accion'!Q14,""),"")</f>
        <v/>
      </c>
    </row>
    <row r="5" ht="97.5" customFormat="1" customHeight="1" s="12">
      <c r="A5" s="107" t="inlineStr">
        <is>
          <t>02</t>
        </is>
      </c>
      <c r="B5" s="8" t="inlineStr">
        <is>
          <t>Observación</t>
        </is>
      </c>
      <c r="C5" s="8" t="inlineStr">
        <is>
          <t>BAJO</t>
        </is>
      </c>
      <c r="D5" s="8" t="inlineStr">
        <is>
          <t>Control</t>
        </is>
      </c>
      <c r="E5" s="7" t="inlineStr">
        <is>
          <t>Calificación de Cartera</t>
        </is>
      </c>
      <c r="F5" s="10">
        <f>IFERROR(IF($J5&lt;&gt;"",F4,""),"")</f>
        <v/>
      </c>
      <c r="G5" s="10">
        <f>IFERROR(IF($J5&lt;&gt;"",G4,""),"")</f>
        <v/>
      </c>
      <c r="H5" s="246">
        <f>IFERROR(IF($J5&lt;&gt;"",H4,""),"")</f>
        <v/>
      </c>
      <c r="I5" s="246">
        <f>IFERROR(IF($J5&lt;&gt;"",I4,""),"")</f>
        <v/>
      </c>
      <c r="J5" s="14">
        <f>IFERROR(IF($B5&lt;&gt;"",J4,""),"")</f>
        <v/>
      </c>
      <c r="K5" s="112" t="n"/>
      <c r="L5" s="8" t="inlineStr">
        <is>
          <t>Calidad de la información del Reporte Regulatorio R04-C-438.</t>
        </is>
      </c>
      <c r="M5" s="13" t="inlineStr">
        <is>
          <t xml:space="preserve">Derivado de la validación de la calidad de la información en los reportes regulatorios, en el reporte R04-C-0438, se detectó error el campo 45 Cuentas y Documentos por Cobrar, de acuerdo al instructivo de llenado, si los estados financiero se encuentran vencidos, este campo deberá llenarse con -999, sin embargo se esta presentando en -99. (5 clientes)
</t>
        </is>
      </c>
      <c r="N5" s="13" t="inlineStr">
        <is>
          <t>Incumplimiento a Regulación Externa</t>
        </is>
      </c>
      <c r="O5" s="13" t="inlineStr">
        <is>
          <t xml:space="preserve">CUB_BD_R04_C-0430-0439_Cred com Act 11feb26 Instructivo
</t>
        </is>
      </c>
      <c r="P5" s="8" t="inlineStr">
        <is>
          <t>Deficiencia del diseño del control</t>
        </is>
      </c>
      <c r="Q5" s="8" t="inlineStr">
        <is>
          <t>Diseño del Control Limitado</t>
        </is>
      </c>
      <c r="R5" s="10">
        <f>IFERROR(IF($J5&lt;&gt;"",R4,""),"")</f>
        <v/>
      </c>
      <c r="S5" s="10">
        <f>IFERROR(IF($J5&lt;&gt;"",S4,""),"")</f>
        <v/>
      </c>
      <c r="T5" s="10">
        <f>IFERROR(IF($J5&lt;&gt;"",T4,""),"")</f>
        <v/>
      </c>
      <c r="U5" s="14">
        <f>IFERROR(IF($J5&lt;&gt;"",U4,""),"")</f>
        <v/>
      </c>
      <c r="V5" s="14">
        <f>IFERROR(IF($J5&lt;&gt;"",V4,""),"")</f>
        <v/>
      </c>
      <c r="W5" s="7" t="n">
        <v>3731</v>
      </c>
      <c r="X5" s="9">
        <f>IFERROR(VLOOKUP($W5,Plantilla!$B$3:$AE$2497,2,0),"")</f>
        <v/>
      </c>
      <c r="Y5" s="9">
        <f>IFERROR(VLOOKUP($W5,Plantilla!$B$3:$AE$2497,4,0),"")</f>
        <v/>
      </c>
      <c r="Z5" s="9">
        <f>IFERROR(VLOOKUP($W5,Plantilla!$B$3:$AE$2496,4,0),"")</f>
        <v/>
      </c>
      <c r="AA5" s="9">
        <f>IFERROR(VLOOKUP($W5,Plantilla!$B$3:$AJ$2496,17,0),"")</f>
        <v/>
      </c>
      <c r="AB5" s="11">
        <f>IFERROR(IF('(3)_Plan_de_Accion'!M23&lt;&gt;"",'(3)_Plan_de_Accion'!M23,""),"")</f>
        <v/>
      </c>
      <c r="AC5" s="93">
        <f>IFERROR(IF('(3)_Plan_de_Accion'!Q23&lt;&gt;"",'(3)_Plan_de_Accion'!Q23,""),"")</f>
        <v/>
      </c>
    </row>
    <row r="6" ht="32" customFormat="1" customHeight="1" s="12">
      <c r="A6" s="107" t="inlineStr">
        <is>
          <t>03</t>
        </is>
      </c>
      <c r="B6" s="8" t="n"/>
      <c r="C6" s="8" t="n"/>
      <c r="D6" s="8" t="n"/>
      <c r="E6" s="7" t="n"/>
      <c r="F6" s="10">
        <f>IFERROR(IF($J6&lt;&gt;"",F5,""),"")</f>
        <v/>
      </c>
      <c r="G6" s="10">
        <f>IFERROR(IF($J6&lt;&gt;"",G5,""),"")</f>
        <v/>
      </c>
      <c r="H6" s="246">
        <f>IFERROR(IF($J6&lt;&gt;"",H5,""),"")</f>
        <v/>
      </c>
      <c r="I6" s="246">
        <f>IFERROR(IF($J6&lt;&gt;"",I5,""),"")</f>
        <v/>
      </c>
      <c r="J6" s="112">
        <f>IFERROR(IF($B6&lt;&gt;"",J5,""),"")</f>
        <v/>
      </c>
      <c r="K6" s="112" t="n"/>
      <c r="L6" s="8" t="n"/>
      <c r="M6" s="13" t="n"/>
      <c r="N6" s="13" t="n"/>
      <c r="O6" s="13" t="n"/>
      <c r="P6" s="8" t="n"/>
      <c r="Q6" s="8" t="n"/>
      <c r="R6" s="10">
        <f>IFERROR(IF($J6&lt;&gt;"",R5,""),"")</f>
        <v/>
      </c>
      <c r="S6" s="10">
        <f>IFERROR(IF($J6&lt;&gt;"",S5,""),"")</f>
        <v/>
      </c>
      <c r="T6" s="10">
        <f>IFERROR(IF($J6&lt;&gt;"",T5,""),"")</f>
        <v/>
      </c>
      <c r="U6" s="14">
        <f>IFERROR(IF($J6&lt;&gt;"",U5,""),"")</f>
        <v/>
      </c>
      <c r="V6" s="14">
        <f>IFERROR(IF($J6&lt;&gt;"",V5,""),"")</f>
        <v/>
      </c>
      <c r="W6" s="7" t="n"/>
      <c r="X6" s="9">
        <f>IFERROR(VLOOKUP($W6,Plantilla!$B$3:$AE$2497,2,0),"")</f>
        <v/>
      </c>
      <c r="Y6" s="9">
        <f>IFERROR(VLOOKUP($W6,Plantilla!$B$3:$AE$2497,4,0),"")</f>
        <v/>
      </c>
      <c r="Z6" s="9">
        <f>IFERROR(VLOOKUP($W6,Plantilla!$B$3:$AE$2496,4,0),"")</f>
        <v/>
      </c>
      <c r="AA6" s="9">
        <f>IFERROR(VLOOKUP($W6,Plantilla!$B$3:$AJ$2496,17,0),"")</f>
        <v/>
      </c>
      <c r="AB6" s="11">
        <f>IFERROR(IF('(3)_Plan_de_Accion'!M32&lt;&gt;"",'(3)_Plan_de_Accion'!M32,""),"")</f>
        <v/>
      </c>
      <c r="AC6" s="93">
        <f>IFERROR(IF('(3)_Plan_de_Accion'!Q32&lt;&gt;"",'(3)_Plan_de_Accion'!Q32,""),"")</f>
        <v/>
      </c>
    </row>
    <row r="7" ht="32" customFormat="1" customHeight="1" s="12">
      <c r="A7" s="107" t="inlineStr">
        <is>
          <t>04</t>
        </is>
      </c>
      <c r="B7" s="8" t="n"/>
      <c r="C7" s="8" t="n"/>
      <c r="D7" s="8" t="n"/>
      <c r="E7" s="7" t="n"/>
      <c r="F7" s="10">
        <f>IFERROR(IF($J7&lt;&gt;"",F6,""),"")</f>
        <v/>
      </c>
      <c r="G7" s="10">
        <f>IFERROR(IF($J7&lt;&gt;"",G6,""),"")</f>
        <v/>
      </c>
      <c r="H7" s="246">
        <f>IFERROR(IF($J7&lt;&gt;"",H6,""),"")</f>
        <v/>
      </c>
      <c r="I7" s="246">
        <f>IFERROR(IF($J7&lt;&gt;"",I6,""),"")</f>
        <v/>
      </c>
      <c r="J7" s="112">
        <f>IFERROR(IF($B7&lt;&gt;"",J6,""),"")</f>
        <v/>
      </c>
      <c r="K7" s="112" t="n"/>
      <c r="L7" s="8" t="n"/>
      <c r="M7" s="13" t="n"/>
      <c r="N7" s="13" t="n"/>
      <c r="O7" s="13" t="n"/>
      <c r="P7" s="8" t="n"/>
      <c r="Q7" s="8" t="n"/>
      <c r="R7" s="10">
        <f>IFERROR(IF($J7&lt;&gt;"",R6,""),"")</f>
        <v/>
      </c>
      <c r="S7" s="10">
        <f>IFERROR(IF($J7&lt;&gt;"",S6,""),"")</f>
        <v/>
      </c>
      <c r="T7" s="10">
        <f>IFERROR(IF($J7&lt;&gt;"",T6,""),"")</f>
        <v/>
      </c>
      <c r="U7" s="14">
        <f>IFERROR(IF($J7&lt;&gt;"",U6,""),"")</f>
        <v/>
      </c>
      <c r="V7" s="14">
        <f>IFERROR(IF($J7&lt;&gt;"",V6,""),"")</f>
        <v/>
      </c>
      <c r="W7" s="7" t="n"/>
      <c r="X7" s="9">
        <f>IFERROR(VLOOKUP($W7,Plantilla!$B$3:$AE$2497,2,0),"")</f>
        <v/>
      </c>
      <c r="Y7" s="9">
        <f>IFERROR(VLOOKUP($W7,Plantilla!$B$3:$AE$2497,4,0),"")</f>
        <v/>
      </c>
      <c r="Z7" s="9">
        <f>IFERROR(VLOOKUP($W7,Plantilla!$B$3:$AE$2496,4,0),"")</f>
        <v/>
      </c>
      <c r="AA7" s="9">
        <f>IFERROR(VLOOKUP($W7,Plantilla!$B$3:$AJ$2496,17,0),"")</f>
        <v/>
      </c>
      <c r="AB7" s="11">
        <f>IFERROR(IF('(3)_Plan_de_Accion'!M41&lt;&gt;"",'(3)_Plan_de_Accion'!M41,""),"")</f>
        <v/>
      </c>
      <c r="AC7" s="93">
        <f>IFERROR(IF('(3)_Plan_de_Accion'!Q41&lt;&gt;"",'(3)_Plan_de_Accion'!Q41,""),"")</f>
        <v/>
      </c>
    </row>
    <row r="8" ht="32" customFormat="1" customHeight="1" s="12">
      <c r="A8" s="107" t="inlineStr">
        <is>
          <t>05</t>
        </is>
      </c>
      <c r="B8" s="8" t="n"/>
      <c r="C8" s="8" t="n"/>
      <c r="D8" s="8" t="n"/>
      <c r="E8" s="7" t="n"/>
      <c r="F8" s="10">
        <f>IFERROR(IF($J8&lt;&gt;"",F7,""),"")</f>
        <v/>
      </c>
      <c r="G8" s="10">
        <f>IFERROR(IF($J8&lt;&gt;"",G7,""),"")</f>
        <v/>
      </c>
      <c r="H8" s="246">
        <f>IFERROR(IF($J8&lt;&gt;"",H7,""),"")</f>
        <v/>
      </c>
      <c r="I8" s="246">
        <f>IFERROR(IF($J8&lt;&gt;"",I7,""),"")</f>
        <v/>
      </c>
      <c r="J8" s="112">
        <f>IFERROR(IF($B8&lt;&gt;"",J7,""),"")</f>
        <v/>
      </c>
      <c r="K8" s="112" t="n"/>
      <c r="L8" s="8" t="n"/>
      <c r="M8" s="13" t="n"/>
      <c r="N8" s="13" t="n"/>
      <c r="O8" s="13" t="n"/>
      <c r="P8" s="8" t="n"/>
      <c r="Q8" s="8" t="n"/>
      <c r="R8" s="10">
        <f>IFERROR(IF($J8&lt;&gt;"",R7,""),"")</f>
        <v/>
      </c>
      <c r="S8" s="10">
        <f>IFERROR(IF($J8&lt;&gt;"",S7,""),"")</f>
        <v/>
      </c>
      <c r="T8" s="10">
        <f>IFERROR(IF($J8&lt;&gt;"",T7,""),"")</f>
        <v/>
      </c>
      <c r="U8" s="14">
        <f>IFERROR(IF($J8&lt;&gt;"",U7,""),"")</f>
        <v/>
      </c>
      <c r="V8" s="14">
        <f>IFERROR(IF($J8&lt;&gt;"",V7,""),"")</f>
        <v/>
      </c>
      <c r="W8" s="7" t="n"/>
      <c r="X8" s="9">
        <f>IFERROR(VLOOKUP($W8,Plantilla!$B$3:$AE$2497,2,0),"")</f>
        <v/>
      </c>
      <c r="Y8" s="9">
        <f>IFERROR(VLOOKUP($W8,Plantilla!$B$3:$AE$2497,4,0),"")</f>
        <v/>
      </c>
      <c r="Z8" s="9">
        <f>IFERROR(VLOOKUP($W8,Plantilla!$B$3:$AE$2496,4,0),"")</f>
        <v/>
      </c>
      <c r="AA8" s="9">
        <f>IFERROR(VLOOKUP($W8,Plantilla!$B$3:$AJ$2496,17,0),"")</f>
        <v/>
      </c>
      <c r="AB8" s="11">
        <f>IFERROR(IF('(3)_Plan_de_Accion'!M50&lt;&gt;"",'(3)_Plan_de_Accion'!M50,""),"")</f>
        <v/>
      </c>
      <c r="AC8" s="93">
        <f>IFERROR(IF('(3)_Plan_de_Accion'!Q50&lt;&gt;"",'(3)_Plan_de_Accion'!Q50,""),"")</f>
        <v/>
      </c>
    </row>
    <row r="9" ht="32" customFormat="1" customHeight="1" s="12">
      <c r="A9" s="107" t="inlineStr">
        <is>
          <t>06</t>
        </is>
      </c>
      <c r="B9" s="8" t="n"/>
      <c r="C9" s="8" t="n"/>
      <c r="D9" s="8" t="n"/>
      <c r="E9" s="7" t="n"/>
      <c r="F9" s="10">
        <f>IFERROR(IF($J9&lt;&gt;"",F8,""),"")</f>
        <v/>
      </c>
      <c r="G9" s="10">
        <f>IFERROR(IF($J9&lt;&gt;"",G8,""),"")</f>
        <v/>
      </c>
      <c r="H9" s="246">
        <f>IFERROR(IF($J9&lt;&gt;"",H8,""),"")</f>
        <v/>
      </c>
      <c r="I9" s="246">
        <f>IFERROR(IF($J9&lt;&gt;"",I8,""),"")</f>
        <v/>
      </c>
      <c r="J9" s="112">
        <f>IFERROR(IF($B9&lt;&gt;"",J8,""),"")</f>
        <v/>
      </c>
      <c r="K9" s="112" t="n"/>
      <c r="L9" s="8" t="n"/>
      <c r="M9" s="13" t="n"/>
      <c r="N9" s="13" t="n"/>
      <c r="O9" s="13" t="n"/>
      <c r="P9" s="8" t="n"/>
      <c r="Q9" s="8" t="n"/>
      <c r="R9" s="10">
        <f>IFERROR(IF($J9&lt;&gt;"",R8,""),"")</f>
        <v/>
      </c>
      <c r="S9" s="10">
        <f>IFERROR(IF($J9&lt;&gt;"",S8,""),"")</f>
        <v/>
      </c>
      <c r="T9" s="10">
        <f>IFERROR(IF($J9&lt;&gt;"",T8,""),"")</f>
        <v/>
      </c>
      <c r="U9" s="14">
        <f>IFERROR(IF($J9&lt;&gt;"",U8,""),"")</f>
        <v/>
      </c>
      <c r="V9" s="14">
        <f>IFERROR(IF($J9&lt;&gt;"",V8,""),"")</f>
        <v/>
      </c>
      <c r="W9" s="7" t="n"/>
      <c r="X9" s="9">
        <f>IFERROR(VLOOKUP($W9,Plantilla!$B$3:$AE$2497,2,0),"")</f>
        <v/>
      </c>
      <c r="Y9" s="9">
        <f>IFERROR(VLOOKUP($W9,Plantilla!$B$3:$AE$2497,4,0),"")</f>
        <v/>
      </c>
      <c r="Z9" s="9">
        <f>IFERROR(VLOOKUP($W9,Plantilla!$B$3:$AE$2496,4,0),"")</f>
        <v/>
      </c>
      <c r="AA9" s="9">
        <f>IFERROR(VLOOKUP($W9,Plantilla!$B$3:$AJ$2496,17,0),"")</f>
        <v/>
      </c>
      <c r="AB9" s="11">
        <f>IFERROR(IF('(3)_Plan_de_Accion'!M59&lt;&gt;"",'(3)_Plan_de_Accion'!M59,""),"")</f>
        <v/>
      </c>
      <c r="AC9" s="93">
        <f>IFERROR(IF('(3)_Plan_de_Accion'!Q59&lt;&gt;"",'(3)_Plan_de_Accion'!Q59,""),"")</f>
        <v/>
      </c>
    </row>
    <row r="10" ht="32" customFormat="1" customHeight="1" s="12">
      <c r="A10" s="107" t="inlineStr">
        <is>
          <t>07</t>
        </is>
      </c>
      <c r="B10" s="8" t="n"/>
      <c r="C10" s="8" t="n"/>
      <c r="D10" s="8" t="n"/>
      <c r="E10" s="7" t="n"/>
      <c r="F10" s="10">
        <f>IFERROR(IF($J10&lt;&gt;"",F9,""),"")</f>
        <v/>
      </c>
      <c r="G10" s="10">
        <f>IFERROR(IF($J10&lt;&gt;"",G9,""),"")</f>
        <v/>
      </c>
      <c r="H10" s="246">
        <f>IFERROR(IF($J10&lt;&gt;"",H9,""),"")</f>
        <v/>
      </c>
      <c r="I10" s="246">
        <f>IFERROR(IF($J10&lt;&gt;"",I9,""),"")</f>
        <v/>
      </c>
      <c r="J10" s="112">
        <f>IFERROR(IF($B10&lt;&gt;"",J9,""),"")</f>
        <v/>
      </c>
      <c r="K10" s="112" t="n"/>
      <c r="L10" s="8" t="n"/>
      <c r="M10" s="13" t="n"/>
      <c r="N10" s="13" t="n"/>
      <c r="O10" s="13" t="n"/>
      <c r="P10" s="8" t="n"/>
      <c r="Q10" s="8" t="n"/>
      <c r="R10" s="10">
        <f>IFERROR(IF($J10&lt;&gt;"",R9,""),"")</f>
        <v/>
      </c>
      <c r="S10" s="10">
        <f>IFERROR(IF($J10&lt;&gt;"",S9,""),"")</f>
        <v/>
      </c>
      <c r="T10" s="10">
        <f>IFERROR(IF($J10&lt;&gt;"",T9,""),"")</f>
        <v/>
      </c>
      <c r="U10" s="14">
        <f>IFERROR(IF($J10&lt;&gt;"",U9,""),"")</f>
        <v/>
      </c>
      <c r="V10" s="14">
        <f>IFERROR(IF($J10&lt;&gt;"",V9,""),"")</f>
        <v/>
      </c>
      <c r="W10" s="7" t="n"/>
      <c r="X10" s="9">
        <f>IFERROR(VLOOKUP($W10,Plantilla!$B$3:$AE$2497,2,0),"")</f>
        <v/>
      </c>
      <c r="Y10" s="9">
        <f>IFERROR(VLOOKUP($W10,Plantilla!$B$3:$AE$2497,4,0),"")</f>
        <v/>
      </c>
      <c r="Z10" s="9">
        <f>IFERROR(VLOOKUP($W10,Plantilla!$B$3:$AE$2496,4,0),"")</f>
        <v/>
      </c>
      <c r="AA10" s="9">
        <f>IFERROR(VLOOKUP($W10,Plantilla!$B$3:$AJ$2496,17,0),"")</f>
        <v/>
      </c>
      <c r="AB10" s="11">
        <f>IFERROR(IF('(3)_Plan_de_Accion'!M68&lt;&gt;"",'(3)_Plan_de_Accion'!M68,""),"")</f>
        <v/>
      </c>
      <c r="AC10" s="93">
        <f>IFERROR(IF('(3)_Plan_de_Accion'!Q68&lt;&gt;"",'(3)_Plan_de_Accion'!Q68,""),"")</f>
        <v/>
      </c>
    </row>
    <row r="11" ht="32" customFormat="1" customHeight="1" s="12">
      <c r="A11" s="107" t="inlineStr">
        <is>
          <t>08</t>
        </is>
      </c>
      <c r="B11" s="8" t="n"/>
      <c r="C11" s="8" t="n"/>
      <c r="D11" s="8" t="n"/>
      <c r="E11" s="7" t="n"/>
      <c r="F11" s="10">
        <f>IFERROR(IF($J11&lt;&gt;"",F10,""),"")</f>
        <v/>
      </c>
      <c r="G11" s="10">
        <f>IFERROR(IF($J11&lt;&gt;"",G10,""),"")</f>
        <v/>
      </c>
      <c r="H11" s="246">
        <f>IFERROR(IF($J11&lt;&gt;"",H10,""),"")</f>
        <v/>
      </c>
      <c r="I11" s="246">
        <f>IFERROR(IF($J11&lt;&gt;"",I10,""),"")</f>
        <v/>
      </c>
      <c r="J11" s="112">
        <f>IFERROR(IF($B11&lt;&gt;"",J10,""),"")</f>
        <v/>
      </c>
      <c r="K11" s="112" t="n"/>
      <c r="L11" s="8" t="n"/>
      <c r="M11" s="13" t="n"/>
      <c r="N11" s="13" t="n"/>
      <c r="O11" s="13" t="n"/>
      <c r="P11" s="8" t="n"/>
      <c r="Q11" s="8" t="n"/>
      <c r="R11" s="10">
        <f>IFERROR(IF($J11&lt;&gt;"",R10,""),"")</f>
        <v/>
      </c>
      <c r="S11" s="10">
        <f>IFERROR(IF($J11&lt;&gt;"",S10,""),"")</f>
        <v/>
      </c>
      <c r="T11" s="10">
        <f>IFERROR(IF($J11&lt;&gt;"",T10,""),"")</f>
        <v/>
      </c>
      <c r="U11" s="14">
        <f>IFERROR(IF($J11&lt;&gt;"",U10,""),"")</f>
        <v/>
      </c>
      <c r="V11" s="14">
        <f>IFERROR(IF($J11&lt;&gt;"",V10,""),"")</f>
        <v/>
      </c>
      <c r="W11" s="7" t="n"/>
      <c r="X11" s="9">
        <f>IFERROR(VLOOKUP($W11,Plantilla!$B$3:$AE$2497,2,0),"")</f>
        <v/>
      </c>
      <c r="Y11" s="9">
        <f>IFERROR(VLOOKUP($W11,Plantilla!$B$3:$AE$2497,4,0),"")</f>
        <v/>
      </c>
      <c r="Z11" s="9">
        <f>IFERROR(VLOOKUP($W11,Plantilla!$B$3:$AE$2496,4,0),"")</f>
        <v/>
      </c>
      <c r="AA11" s="9">
        <f>IFERROR(VLOOKUP($W11,Plantilla!$B$3:$AJ$2496,17,0),"")</f>
        <v/>
      </c>
      <c r="AB11" s="11">
        <f>IFERROR(IF('(3)_Plan_de_Accion'!M79&lt;&gt;"",'(3)_Plan_de_Accion'!M79,""),"")</f>
        <v/>
      </c>
      <c r="AC11" s="93">
        <f>IFERROR(IF('(3)_Plan_de_Accion'!Q79&lt;&gt;"",'(3)_Plan_de_Accion'!Q79,""),"")</f>
        <v/>
      </c>
    </row>
    <row r="12" ht="32" customFormat="1" customHeight="1" s="12">
      <c r="A12" s="107" t="inlineStr">
        <is>
          <t>09</t>
        </is>
      </c>
      <c r="B12" s="8" t="n"/>
      <c r="C12" s="8" t="n"/>
      <c r="D12" s="8" t="n"/>
      <c r="E12" s="7" t="n"/>
      <c r="F12" s="10">
        <f>IFERROR(IF($J12&lt;&gt;"",F11,""),"")</f>
        <v/>
      </c>
      <c r="G12" s="10">
        <f>IFERROR(IF($J12&lt;&gt;"",G11,""),"")</f>
        <v/>
      </c>
      <c r="H12" s="246">
        <f>IFERROR(IF($J12&lt;&gt;"",H11,""),"")</f>
        <v/>
      </c>
      <c r="I12" s="246">
        <f>IFERROR(IF($J12&lt;&gt;"",I11,""),"")</f>
        <v/>
      </c>
      <c r="J12" s="112">
        <f>IFERROR(IF($B12&lt;&gt;"",J11,""),"")</f>
        <v/>
      </c>
      <c r="K12" s="112" t="n"/>
      <c r="L12" s="8" t="n"/>
      <c r="M12" s="13" t="n"/>
      <c r="N12" s="13" t="n"/>
      <c r="O12" s="13" t="n"/>
      <c r="P12" s="8" t="n"/>
      <c r="Q12" s="8" t="n"/>
      <c r="R12" s="10">
        <f>IFERROR(IF($J12&lt;&gt;"",R11,""),"")</f>
        <v/>
      </c>
      <c r="S12" s="10">
        <f>IFERROR(IF($J12&lt;&gt;"",S11,""),"")</f>
        <v/>
      </c>
      <c r="T12" s="10">
        <f>IFERROR(IF($J12&lt;&gt;"",T11,""),"")</f>
        <v/>
      </c>
      <c r="U12" s="14">
        <f>IFERROR(IF($J12&lt;&gt;"",U11,""),"")</f>
        <v/>
      </c>
      <c r="V12" s="14">
        <f>IFERROR(IF($J12&lt;&gt;"",V11,""),"")</f>
        <v/>
      </c>
      <c r="W12" s="7" t="n"/>
      <c r="X12" s="9">
        <f>IFERROR(VLOOKUP($W12,Plantilla!$B$3:$AE$2497,2,0),"")</f>
        <v/>
      </c>
      <c r="Y12" s="9">
        <f>IFERROR(VLOOKUP($W12,Plantilla!$B$3:$AE$2497,4,0),"")</f>
        <v/>
      </c>
      <c r="Z12" s="9">
        <f>IFERROR(VLOOKUP($W12,Plantilla!$B$3:$AE$2496,4,0),"")</f>
        <v/>
      </c>
      <c r="AA12" s="9">
        <f>IFERROR(VLOOKUP($W12,Plantilla!$B$3:$AJ$2496,17,0),"")</f>
        <v/>
      </c>
      <c r="AB12" s="11">
        <f>IFERROR(IF('(3)_Plan_de_Accion'!M88&lt;&gt;"",'(3)_Plan_de_Accion'!M88,""),"")</f>
        <v/>
      </c>
      <c r="AC12" s="93">
        <f>IFERROR(IF('(3)_Plan_de_Accion'!Q88&lt;&gt;"",'(3)_Plan_de_Accion'!Q88,""),"")</f>
        <v/>
      </c>
    </row>
    <row r="13" ht="32" customFormat="1" customHeight="1" s="12">
      <c r="A13" s="107" t="inlineStr">
        <is>
          <t>10</t>
        </is>
      </c>
      <c r="B13" s="8" t="n"/>
      <c r="C13" s="8" t="n"/>
      <c r="D13" s="8" t="n"/>
      <c r="E13" s="7" t="n"/>
      <c r="F13" s="10">
        <f>IFERROR(IF($J13&lt;&gt;"",F12,""),"")</f>
        <v/>
      </c>
      <c r="G13" s="10">
        <f>IFERROR(IF($J13&lt;&gt;"",G12,""),"")</f>
        <v/>
      </c>
      <c r="H13" s="246">
        <f>IFERROR(IF($J13&lt;&gt;"",H12,""),"")</f>
        <v/>
      </c>
      <c r="I13" s="246">
        <f>IFERROR(IF($J13&lt;&gt;"",I12,""),"")</f>
        <v/>
      </c>
      <c r="J13" s="112">
        <f>IFERROR(IF($B13&lt;&gt;"",J12,""),"")</f>
        <v/>
      </c>
      <c r="K13" s="112" t="n"/>
      <c r="L13" s="8" t="n"/>
      <c r="M13" s="13" t="n"/>
      <c r="N13" s="13" t="n"/>
      <c r="O13" s="13" t="n"/>
      <c r="P13" s="8" t="n"/>
      <c r="Q13" s="8" t="n"/>
      <c r="R13" s="10">
        <f>IFERROR(IF($J13&lt;&gt;"",R12,""),"")</f>
        <v/>
      </c>
      <c r="S13" s="10">
        <f>IFERROR(IF($J13&lt;&gt;"",S12,""),"")</f>
        <v/>
      </c>
      <c r="T13" s="10">
        <f>IFERROR(IF($J13&lt;&gt;"",T12,""),"")</f>
        <v/>
      </c>
      <c r="U13" s="14">
        <f>IFERROR(IF($J13&lt;&gt;"",U12,""),"")</f>
        <v/>
      </c>
      <c r="V13" s="14">
        <f>IFERROR(IF($J13&lt;&gt;"",V12,""),"")</f>
        <v/>
      </c>
      <c r="W13" s="7" t="n"/>
      <c r="X13" s="9">
        <f>IFERROR(VLOOKUP($W13,Plantilla!$B$3:$AE$2497,2,0),"")</f>
        <v/>
      </c>
      <c r="Y13" s="9">
        <f>IFERROR(VLOOKUP($W13,Plantilla!$B$3:$AE$2497,4,0),"")</f>
        <v/>
      </c>
      <c r="Z13" s="9">
        <f>IFERROR(VLOOKUP($W13,Plantilla!$B$3:$AE$2496,4,0),"")</f>
        <v/>
      </c>
      <c r="AA13" s="9">
        <f>IFERROR(VLOOKUP($W13,Plantilla!$B$3:$AJ$2496,17,0),"")</f>
        <v/>
      </c>
      <c r="AB13" s="11">
        <f>IFERROR(IF('(3)_Plan_de_Accion'!M97&lt;&gt;"",'(3)_Plan_de_Accion'!M97,""),"")</f>
        <v/>
      </c>
      <c r="AC13" s="93">
        <f>IFERROR(IF('(3)_Plan_de_Accion'!Q97&lt;&gt;"",'(3)_Plan_de_Accion'!Q97,""),"")</f>
        <v/>
      </c>
    </row>
    <row r="14" ht="32" customFormat="1" customHeight="1" s="12">
      <c r="A14" s="107" t="inlineStr">
        <is>
          <t>11</t>
        </is>
      </c>
      <c r="B14" s="8" t="n"/>
      <c r="C14" s="8" t="n"/>
      <c r="D14" s="8" t="n"/>
      <c r="E14" s="7" t="n"/>
      <c r="F14" s="10">
        <f>IFERROR(IF($J14&lt;&gt;"",F13,""),"")</f>
        <v/>
      </c>
      <c r="G14" s="10">
        <f>IFERROR(IF($J14&lt;&gt;"",G13,""),"")</f>
        <v/>
      </c>
      <c r="H14" s="246">
        <f>IFERROR(IF($J14&lt;&gt;"",H13,""),"")</f>
        <v/>
      </c>
      <c r="I14" s="246">
        <f>IFERROR(IF($J14&lt;&gt;"",I13,""),"")</f>
        <v/>
      </c>
      <c r="J14" s="112">
        <f>IFERROR(IF($B14&lt;&gt;"",J13,""),"")</f>
        <v/>
      </c>
      <c r="K14" s="112" t="n"/>
      <c r="L14" s="8" t="n"/>
      <c r="M14" s="13" t="n"/>
      <c r="N14" s="13" t="n"/>
      <c r="O14" s="13" t="n"/>
      <c r="P14" s="8" t="n"/>
      <c r="Q14" s="8" t="n"/>
      <c r="R14" s="10">
        <f>IFERROR(IF($J14&lt;&gt;"",R13,""),"")</f>
        <v/>
      </c>
      <c r="S14" s="10">
        <f>IFERROR(IF($J14&lt;&gt;"",S13,""),"")</f>
        <v/>
      </c>
      <c r="T14" s="10">
        <f>IFERROR(IF($J14&lt;&gt;"",T13,""),"")</f>
        <v/>
      </c>
      <c r="U14" s="14">
        <f>IFERROR(IF($J14&lt;&gt;"",U13,""),"")</f>
        <v/>
      </c>
      <c r="V14" s="14">
        <f>IFERROR(IF($J14&lt;&gt;"",V13,""),"")</f>
        <v/>
      </c>
      <c r="W14" s="7" t="n"/>
      <c r="X14" s="9">
        <f>IFERROR(VLOOKUP($W14,Plantilla!$B$3:$AE$2497,2,0),"")</f>
        <v/>
      </c>
      <c r="Y14" s="9">
        <f>IFERROR(VLOOKUP($W14,Plantilla!$B$3:$AE$2497,4,0),"")</f>
        <v/>
      </c>
      <c r="Z14" s="9">
        <f>IFERROR(VLOOKUP($W14,Plantilla!$B$3:$AE$2496,4,0),"")</f>
        <v/>
      </c>
      <c r="AA14" s="9">
        <f>IFERROR(VLOOKUP($W14,Plantilla!$B$3:$AJ$2496,17,0),"")</f>
        <v/>
      </c>
      <c r="AB14" s="11">
        <f>IFERROR(IF('(3)_Plan_de_Accion'!M106&lt;&gt;"",'(3)_Plan_de_Accion'!M106,""),"")</f>
        <v/>
      </c>
      <c r="AC14" s="93">
        <f>IFERROR(IF('(3)_Plan_de_Accion'!Q106&lt;&gt;"",'(3)_Plan_de_Accion'!Q106,""),"")</f>
        <v/>
      </c>
    </row>
    <row r="15" ht="32" customFormat="1" customHeight="1" s="12">
      <c r="A15" s="107" t="inlineStr">
        <is>
          <t>12</t>
        </is>
      </c>
      <c r="B15" s="8" t="n"/>
      <c r="C15" s="8" t="n"/>
      <c r="D15" s="8" t="n"/>
      <c r="E15" s="7" t="n"/>
      <c r="F15" s="10">
        <f>IFERROR(IF($J15&lt;&gt;"",F14,""),"")</f>
        <v/>
      </c>
      <c r="G15" s="10">
        <f>IFERROR(IF($J15&lt;&gt;"",G14,""),"")</f>
        <v/>
      </c>
      <c r="H15" s="246">
        <f>IFERROR(IF($J15&lt;&gt;"",H14,""),"")</f>
        <v/>
      </c>
      <c r="I15" s="246">
        <f>IFERROR(IF($J15&lt;&gt;"",I14,""),"")</f>
        <v/>
      </c>
      <c r="J15" s="112">
        <f>IFERROR(IF($B15&lt;&gt;"",J14,""),"")</f>
        <v/>
      </c>
      <c r="K15" s="112" t="n"/>
      <c r="L15" s="8" t="n"/>
      <c r="M15" s="13" t="n"/>
      <c r="N15" s="13" t="n"/>
      <c r="O15" s="13" t="n"/>
      <c r="P15" s="8" t="n"/>
      <c r="Q15" s="8" t="n"/>
      <c r="R15" s="10">
        <f>IFERROR(IF($J15&lt;&gt;"",R14,""),"")</f>
        <v/>
      </c>
      <c r="S15" s="10">
        <f>IFERROR(IF($J15&lt;&gt;"",S14,""),"")</f>
        <v/>
      </c>
      <c r="T15" s="10">
        <f>IFERROR(IF($J15&lt;&gt;"",T14,""),"")</f>
        <v/>
      </c>
      <c r="U15" s="14">
        <f>IFERROR(IF($J15&lt;&gt;"",U14,""),"")</f>
        <v/>
      </c>
      <c r="V15" s="14">
        <f>IFERROR(IF($J15&lt;&gt;"",V14,""),"")</f>
        <v/>
      </c>
      <c r="W15" s="7" t="n"/>
      <c r="X15" s="9">
        <f>IFERROR(VLOOKUP($W15,Plantilla!$B$3:$AE$2497,2,0),"")</f>
        <v/>
      </c>
      <c r="Y15" s="9">
        <f>IFERROR(VLOOKUP($W15,Plantilla!$B$3:$AE$2497,4,0),"")</f>
        <v/>
      </c>
      <c r="Z15" s="9">
        <f>IFERROR(VLOOKUP($W15,Plantilla!$B$3:$AE$2496,4,0),"")</f>
        <v/>
      </c>
      <c r="AA15" s="9">
        <f>IFERROR(VLOOKUP($W15,Plantilla!$B$3:$AJ$2496,17,0),"")</f>
        <v/>
      </c>
      <c r="AB15" s="11">
        <f>IFERROR(IF('(3)_Plan_de_Accion'!M115&lt;&gt;"",'(3)_Plan_de_Accion'!M115,""),"")</f>
        <v/>
      </c>
      <c r="AC15" s="93">
        <f>IFERROR(IF('(3)_Plan_de_Accion'!Q115&lt;&gt;"",'(3)_Plan_de_Accion'!Q115,""),"")</f>
        <v/>
      </c>
    </row>
    <row r="16" ht="32" customFormat="1" customHeight="1" s="12">
      <c r="A16" s="107" t="inlineStr">
        <is>
          <t>13</t>
        </is>
      </c>
      <c r="B16" s="8" t="n"/>
      <c r="C16" s="8" t="n"/>
      <c r="D16" s="8" t="n"/>
      <c r="E16" s="7" t="n"/>
      <c r="F16" s="10">
        <f>IFERROR(IF($J16&lt;&gt;"",F15,""),"")</f>
        <v/>
      </c>
      <c r="G16" s="10">
        <f>IFERROR(IF($J16&lt;&gt;"",G15,""),"")</f>
        <v/>
      </c>
      <c r="H16" s="246">
        <f>IFERROR(IF($J16&lt;&gt;"",H15,""),"")</f>
        <v/>
      </c>
      <c r="I16" s="246">
        <f>IFERROR(IF($J16&lt;&gt;"",I15,""),"")</f>
        <v/>
      </c>
      <c r="J16" s="112">
        <f>IFERROR(IF($B16&lt;&gt;"",J15,""),"")</f>
        <v/>
      </c>
      <c r="K16" s="112" t="n"/>
      <c r="L16" s="8" t="n"/>
      <c r="M16" s="13" t="n"/>
      <c r="N16" s="13" t="n"/>
      <c r="O16" s="13" t="n"/>
      <c r="P16" s="8" t="n"/>
      <c r="Q16" s="8" t="n"/>
      <c r="R16" s="10">
        <f>IFERROR(IF($J16&lt;&gt;"",R15,""),"")</f>
        <v/>
      </c>
      <c r="S16" s="10">
        <f>IFERROR(IF($J16&lt;&gt;"",S15,""),"")</f>
        <v/>
      </c>
      <c r="T16" s="10">
        <f>IFERROR(IF($J16&lt;&gt;"",T15,""),"")</f>
        <v/>
      </c>
      <c r="U16" s="14">
        <f>IFERROR(IF($J16&lt;&gt;"",U15,""),"")</f>
        <v/>
      </c>
      <c r="V16" s="14">
        <f>IFERROR(IF($J16&lt;&gt;"",V15,""),"")</f>
        <v/>
      </c>
      <c r="W16" s="7" t="n"/>
      <c r="X16" s="9">
        <f>IFERROR(VLOOKUP($W16,Plantilla!$B$3:$AE$2497,2,0),"")</f>
        <v/>
      </c>
      <c r="Y16" s="9">
        <f>IFERROR(VLOOKUP($W16,Plantilla!$B$3:$AE$2497,4,0),"")</f>
        <v/>
      </c>
      <c r="Z16" s="9">
        <f>IFERROR(VLOOKUP($W16,Plantilla!$B$3:$AE$2496,4,0),"")</f>
        <v/>
      </c>
      <c r="AA16" s="9">
        <f>IFERROR(VLOOKUP($W16,Plantilla!$B$3:$AJ$2496,17,0),"")</f>
        <v/>
      </c>
      <c r="AB16" s="11">
        <f>IFERROR(IF('(3)_Plan_de_Accion'!M124&lt;&gt;"",'(3)_Plan_de_Accion'!M124,""),"")</f>
        <v/>
      </c>
      <c r="AC16" s="93">
        <f>IFERROR(IF('(3)_Plan_de_Accion'!Q124&lt;&gt;"",'(3)_Plan_de_Accion'!Q124,""),"")</f>
        <v/>
      </c>
    </row>
    <row r="17" ht="32" customFormat="1" customHeight="1" s="12">
      <c r="A17" s="107" t="inlineStr">
        <is>
          <t>14</t>
        </is>
      </c>
      <c r="B17" s="8" t="n"/>
      <c r="C17" s="8" t="n"/>
      <c r="D17" s="8" t="n"/>
      <c r="E17" s="7" t="n"/>
      <c r="F17" s="10">
        <f>IFERROR(IF($J17&lt;&gt;"",F16,""),"")</f>
        <v/>
      </c>
      <c r="G17" s="10">
        <f>IFERROR(IF($J17&lt;&gt;"",G16,""),"")</f>
        <v/>
      </c>
      <c r="H17" s="246">
        <f>IFERROR(IF($J17&lt;&gt;"",H16,""),"")</f>
        <v/>
      </c>
      <c r="I17" s="246">
        <f>IFERROR(IF($J17&lt;&gt;"",I16,""),"")</f>
        <v/>
      </c>
      <c r="J17" s="112">
        <f>IFERROR(IF($B17&lt;&gt;"",J16,""),"")</f>
        <v/>
      </c>
      <c r="K17" s="112" t="n"/>
      <c r="L17" s="8" t="n"/>
      <c r="M17" s="13" t="n"/>
      <c r="N17" s="13" t="n"/>
      <c r="O17" s="13" t="n"/>
      <c r="P17" s="8" t="n"/>
      <c r="Q17" s="8" t="n"/>
      <c r="R17" s="10">
        <f>IFERROR(IF($J17&lt;&gt;"",R16,""),"")</f>
        <v/>
      </c>
      <c r="S17" s="10">
        <f>IFERROR(IF($J17&lt;&gt;"",S16,""),"")</f>
        <v/>
      </c>
      <c r="T17" s="10">
        <f>IFERROR(IF($J17&lt;&gt;"",T16,""),"")</f>
        <v/>
      </c>
      <c r="U17" s="14">
        <f>IFERROR(IF($J17&lt;&gt;"",U16,""),"")</f>
        <v/>
      </c>
      <c r="V17" s="14">
        <f>IFERROR(IF($J17&lt;&gt;"",V16,""),"")</f>
        <v/>
      </c>
      <c r="W17" s="7" t="n"/>
      <c r="X17" s="9">
        <f>IFERROR(VLOOKUP($W17,Plantilla!$B$3:$AE$2497,2,0),"")</f>
        <v/>
      </c>
      <c r="Y17" s="9">
        <f>IFERROR(VLOOKUP($W17,Plantilla!$B$3:$AE$2497,4,0),"")</f>
        <v/>
      </c>
      <c r="Z17" s="9">
        <f>IFERROR(VLOOKUP($W17,Plantilla!$B$3:$AE$2496,4,0),"")</f>
        <v/>
      </c>
      <c r="AA17" s="9">
        <f>IFERROR(VLOOKUP($W17,Plantilla!$B$3:$AJ$2496,17,0),"")</f>
        <v/>
      </c>
      <c r="AB17" s="11">
        <f>IFERROR(IF('(3)_Plan_de_Accion'!M133&lt;&gt;"",'(3)_Plan_de_Accion'!M133,""),"")</f>
        <v/>
      </c>
      <c r="AC17" s="93">
        <f>IFERROR(IF('(3)_Plan_de_Accion'!Q133&lt;&gt;"",'(3)_Plan_de_Accion'!Q133,""),"")</f>
        <v/>
      </c>
    </row>
    <row r="18" ht="32" customFormat="1" customHeight="1" s="12">
      <c r="A18" s="107" t="inlineStr">
        <is>
          <t>15</t>
        </is>
      </c>
      <c r="B18" s="8" t="n"/>
      <c r="C18" s="8" t="n"/>
      <c r="D18" s="8" t="n"/>
      <c r="E18" s="7" t="n"/>
      <c r="F18" s="10">
        <f>IFERROR(IF($J18&lt;&gt;"",F17,""),"")</f>
        <v/>
      </c>
      <c r="G18" s="10">
        <f>IFERROR(IF($J18&lt;&gt;"",G17,""),"")</f>
        <v/>
      </c>
      <c r="H18" s="246">
        <f>IFERROR(IF($J18&lt;&gt;"",H17,""),"")</f>
        <v/>
      </c>
      <c r="I18" s="246">
        <f>IFERROR(IF($J18&lt;&gt;"",I17,""),"")</f>
        <v/>
      </c>
      <c r="J18" s="112">
        <f>IFERROR(IF($B18&lt;&gt;"",J17,""),"")</f>
        <v/>
      </c>
      <c r="K18" s="112" t="n"/>
      <c r="L18" s="8" t="n"/>
      <c r="M18" s="13" t="n"/>
      <c r="N18" s="13" t="n"/>
      <c r="O18" s="13" t="n"/>
      <c r="P18" s="8" t="n"/>
      <c r="Q18" s="8" t="n"/>
      <c r="R18" s="10">
        <f>IFERROR(IF($J18&lt;&gt;"",R17,""),"")</f>
        <v/>
      </c>
      <c r="S18" s="10">
        <f>IFERROR(IF($J18&lt;&gt;"",S17,""),"")</f>
        <v/>
      </c>
      <c r="T18" s="10">
        <f>IFERROR(IF($J18&lt;&gt;"",T17,""),"")</f>
        <v/>
      </c>
      <c r="U18" s="14">
        <f>IFERROR(IF($J18&lt;&gt;"",U17,""),"")</f>
        <v/>
      </c>
      <c r="V18" s="14">
        <f>IFERROR(IF($J18&lt;&gt;"",V17,""),"")</f>
        <v/>
      </c>
      <c r="W18" s="7" t="n"/>
      <c r="X18" s="9">
        <f>IFERROR(VLOOKUP($W18,Plantilla!$B$3:$AE$2497,2,0),"")</f>
        <v/>
      </c>
      <c r="Y18" s="9">
        <f>IFERROR(VLOOKUP($W18,Plantilla!$B$3:$AE$2497,4,0),"")</f>
        <v/>
      </c>
      <c r="Z18" s="9">
        <f>IFERROR(VLOOKUP($W18,Plantilla!$B$3:$AE$2496,4,0),"")</f>
        <v/>
      </c>
      <c r="AA18" s="9">
        <f>IFERROR(VLOOKUP($W18,Plantilla!$B$3:$AJ$2496,17,0),"")</f>
        <v/>
      </c>
      <c r="AB18" s="11">
        <f>IFERROR(IF('(3)_Plan_de_Accion'!M142&lt;&gt;"",'(3)_Plan_de_Accion'!M142,""),"")</f>
        <v/>
      </c>
      <c r="AC18" s="93">
        <f>IFERROR(IF('(3)_Plan_de_Accion'!Q142&lt;&gt;"",'(3)_Plan_de_Accion'!Q142,""),"")</f>
        <v/>
      </c>
    </row>
    <row r="19" ht="32" customFormat="1" customHeight="1" s="12">
      <c r="A19" s="107" t="inlineStr">
        <is>
          <t>16</t>
        </is>
      </c>
      <c r="B19" s="8" t="n"/>
      <c r="C19" s="8" t="n"/>
      <c r="D19" s="8" t="n"/>
      <c r="E19" s="7" t="n"/>
      <c r="F19" s="10">
        <f>IFERROR(IF($J19&lt;&gt;"",F18,""),"")</f>
        <v/>
      </c>
      <c r="G19" s="10">
        <f>IFERROR(IF($J19&lt;&gt;"",G18,""),"")</f>
        <v/>
      </c>
      <c r="H19" s="246">
        <f>IFERROR(IF($J19&lt;&gt;"",H18,""),"")</f>
        <v/>
      </c>
      <c r="I19" s="246">
        <f>IFERROR(IF($J19&lt;&gt;"",I18,""),"")</f>
        <v/>
      </c>
      <c r="J19" s="112">
        <f>IFERROR(IF($B19&lt;&gt;"",J18,""),"")</f>
        <v/>
      </c>
      <c r="K19" s="112" t="n"/>
      <c r="L19" s="8" t="n"/>
      <c r="M19" s="13" t="n"/>
      <c r="N19" s="13" t="n"/>
      <c r="O19" s="13" t="n"/>
      <c r="P19" s="8" t="n"/>
      <c r="Q19" s="8" t="n"/>
      <c r="R19" s="10">
        <f>IFERROR(IF($J19&lt;&gt;"",R18,""),"")</f>
        <v/>
      </c>
      <c r="S19" s="10">
        <f>IFERROR(IF($J19&lt;&gt;"",S18,""),"")</f>
        <v/>
      </c>
      <c r="T19" s="10">
        <f>IFERROR(IF($J19&lt;&gt;"",T18,""),"")</f>
        <v/>
      </c>
      <c r="U19" s="14">
        <f>IFERROR(IF($J19&lt;&gt;"",U18,""),"")</f>
        <v/>
      </c>
      <c r="V19" s="14">
        <f>IFERROR(IF($J19&lt;&gt;"",V18,""),"")</f>
        <v/>
      </c>
      <c r="W19" s="7" t="n"/>
      <c r="X19" s="9">
        <f>IFERROR(VLOOKUP($W19,Plantilla!$B$3:$AE$2497,2,0),"")</f>
        <v/>
      </c>
      <c r="Y19" s="9">
        <f>IFERROR(VLOOKUP($W19,Plantilla!$B$3:$AE$2497,4,0),"")</f>
        <v/>
      </c>
      <c r="Z19" s="9">
        <f>IFERROR(VLOOKUP($W19,Plantilla!$B$3:$AE$2496,4,0),"")</f>
        <v/>
      </c>
      <c r="AA19" s="9">
        <f>IFERROR(VLOOKUP($W19,Plantilla!$B$3:$AJ$2496,17,0),"")</f>
        <v/>
      </c>
      <c r="AB19" s="11">
        <f>IFERROR(IF('(3)_Plan_de_Accion'!M151&lt;&gt;"",'(3)_Plan_de_Accion'!M151,""),"")</f>
        <v/>
      </c>
      <c r="AC19" s="93">
        <f>IFERROR(IF('(3)_Plan_de_Accion'!Q151&lt;&gt;"",'(3)_Plan_de_Accion'!Q151,""),"")</f>
        <v/>
      </c>
    </row>
    <row r="20" ht="32" customFormat="1" customHeight="1" s="12">
      <c r="A20" s="107" t="inlineStr">
        <is>
          <t>17</t>
        </is>
      </c>
      <c r="B20" s="8" t="n"/>
      <c r="C20" s="8" t="n"/>
      <c r="D20" s="8" t="n"/>
      <c r="E20" s="7" t="n"/>
      <c r="F20" s="10">
        <f>IFERROR(IF($J20&lt;&gt;"",F19,""),"")</f>
        <v/>
      </c>
      <c r="G20" s="10">
        <f>IFERROR(IF($J20&lt;&gt;"",G19,""),"")</f>
        <v/>
      </c>
      <c r="H20" s="246">
        <f>IFERROR(IF($J20&lt;&gt;"",H19,""),"")</f>
        <v/>
      </c>
      <c r="I20" s="246">
        <f>IFERROR(IF($J20&lt;&gt;"",I19,""),"")</f>
        <v/>
      </c>
      <c r="J20" s="112">
        <f>IFERROR(IF($B20&lt;&gt;"",J19,""),"")</f>
        <v/>
      </c>
      <c r="K20" s="112" t="n"/>
      <c r="L20" s="8" t="n"/>
      <c r="M20" s="13" t="n"/>
      <c r="N20" s="13" t="n"/>
      <c r="O20" s="13" t="n"/>
      <c r="P20" s="8" t="n"/>
      <c r="Q20" s="8" t="n"/>
      <c r="R20" s="10">
        <f>IFERROR(IF($J20&lt;&gt;"",R19,""),"")</f>
        <v/>
      </c>
      <c r="S20" s="10">
        <f>IFERROR(IF($J20&lt;&gt;"",S19,""),"")</f>
        <v/>
      </c>
      <c r="T20" s="10">
        <f>IFERROR(IF($J20&lt;&gt;"",T19,""),"")</f>
        <v/>
      </c>
      <c r="U20" s="14">
        <f>IFERROR(IF($J20&lt;&gt;"",U19,""),"")</f>
        <v/>
      </c>
      <c r="V20" s="14">
        <f>IFERROR(IF($J20&lt;&gt;"",V19,""),"")</f>
        <v/>
      </c>
      <c r="W20" s="7" t="n"/>
      <c r="X20" s="9">
        <f>IFERROR(VLOOKUP($W20,Plantilla!$B$3:$AE$2497,2,0),"")</f>
        <v/>
      </c>
      <c r="Y20" s="9">
        <f>IFERROR(VLOOKUP($W20,Plantilla!$B$3:$AE$2497,4,0),"")</f>
        <v/>
      </c>
      <c r="Z20" s="9">
        <f>IFERROR(VLOOKUP($W20,Plantilla!$B$3:$AE$2496,4,0),"")</f>
        <v/>
      </c>
      <c r="AA20" s="9">
        <f>IFERROR(VLOOKUP($W20,Plantilla!$B$3:$AJ$2496,17,0),"")</f>
        <v/>
      </c>
      <c r="AB20" s="11">
        <f>IFERROR(IF('(3)_Plan_de_Accion'!M160&lt;&gt;"",'(3)_Plan_de_Accion'!M160,""),"")</f>
        <v/>
      </c>
      <c r="AC20" s="93">
        <f>IFERROR(IF('(3)_Plan_de_Accion'!Q160&lt;&gt;"",'(3)_Plan_de_Accion'!Q160,""),"")</f>
        <v/>
      </c>
    </row>
    <row r="21" ht="32" customFormat="1" customHeight="1" s="12">
      <c r="A21" s="107" t="inlineStr">
        <is>
          <t>18</t>
        </is>
      </c>
      <c r="B21" s="8" t="n"/>
      <c r="C21" s="8" t="n"/>
      <c r="D21" s="8" t="n"/>
      <c r="E21" s="7" t="n"/>
      <c r="F21" s="10">
        <f>IFERROR(IF($J21&lt;&gt;"",F20,""),"")</f>
        <v/>
      </c>
      <c r="G21" s="10">
        <f>IFERROR(IF($J21&lt;&gt;"",G20,""),"")</f>
        <v/>
      </c>
      <c r="H21" s="246">
        <f>IFERROR(IF($J21&lt;&gt;"",H20,""),"")</f>
        <v/>
      </c>
      <c r="I21" s="246">
        <f>IFERROR(IF($J21&lt;&gt;"",I20,""),"")</f>
        <v/>
      </c>
      <c r="J21" s="112">
        <f>IFERROR(IF($B21&lt;&gt;"",J20,""),"")</f>
        <v/>
      </c>
      <c r="K21" s="112" t="n"/>
      <c r="L21" s="8" t="n"/>
      <c r="M21" s="13" t="n"/>
      <c r="N21" s="13" t="n"/>
      <c r="O21" s="13" t="n"/>
      <c r="P21" s="8" t="n"/>
      <c r="Q21" s="8" t="n"/>
      <c r="R21" s="10">
        <f>IFERROR(IF($J21&lt;&gt;"",R20,""),"")</f>
        <v/>
      </c>
      <c r="S21" s="10">
        <f>IFERROR(IF($J21&lt;&gt;"",S20,""),"")</f>
        <v/>
      </c>
      <c r="T21" s="10">
        <f>IFERROR(IF($J21&lt;&gt;"",T20,""),"")</f>
        <v/>
      </c>
      <c r="U21" s="14">
        <f>IFERROR(IF($J21&lt;&gt;"",U20,""),"")</f>
        <v/>
      </c>
      <c r="V21" s="14">
        <f>IFERROR(IF($J21&lt;&gt;"",V20,""),"")</f>
        <v/>
      </c>
      <c r="W21" s="7" t="n"/>
      <c r="X21" s="9">
        <f>IFERROR(VLOOKUP($W21,Plantilla!$B$3:$AE$2497,2,0),"")</f>
        <v/>
      </c>
      <c r="Y21" s="9">
        <f>IFERROR(VLOOKUP($W21,Plantilla!$B$3:$AE$2497,4,0),"")</f>
        <v/>
      </c>
      <c r="Z21" s="9">
        <f>IFERROR(VLOOKUP($W21,Plantilla!$B$3:$AE$2496,4,0),"")</f>
        <v/>
      </c>
      <c r="AA21" s="9">
        <f>IFERROR(VLOOKUP($W21,Plantilla!$B$3:$AJ$2496,17,0),"")</f>
        <v/>
      </c>
      <c r="AB21" s="11">
        <f>IFERROR(IF('(3)_Plan_de_Accion'!M169&lt;&gt;"",'(3)_Plan_de_Accion'!M169,""),"")</f>
        <v/>
      </c>
      <c r="AC21" s="93">
        <f>IFERROR(IF('(3)_Plan_de_Accion'!Q169&lt;&gt;"",'(3)_Plan_de_Accion'!Q169,""),"")</f>
        <v/>
      </c>
    </row>
    <row r="22" ht="32" customFormat="1" customHeight="1" s="12">
      <c r="A22" s="107" t="inlineStr">
        <is>
          <t>19</t>
        </is>
      </c>
      <c r="B22" s="8" t="n"/>
      <c r="C22" s="8" t="n"/>
      <c r="D22" s="8" t="n"/>
      <c r="E22" s="7" t="n"/>
      <c r="F22" s="10">
        <f>IFERROR(IF($J22&lt;&gt;"",F21,""),"")</f>
        <v/>
      </c>
      <c r="G22" s="10">
        <f>IFERROR(IF($J22&lt;&gt;"",G21,""),"")</f>
        <v/>
      </c>
      <c r="H22" s="246">
        <f>IFERROR(IF($J22&lt;&gt;"",H21,""),"")</f>
        <v/>
      </c>
      <c r="I22" s="246">
        <f>IFERROR(IF($J22&lt;&gt;"",I21,""),"")</f>
        <v/>
      </c>
      <c r="J22" s="112">
        <f>IFERROR(IF($B22&lt;&gt;"",J21,""),"")</f>
        <v/>
      </c>
      <c r="K22" s="112" t="n"/>
      <c r="L22" s="8" t="n"/>
      <c r="M22" s="13" t="n"/>
      <c r="N22" s="13" t="n"/>
      <c r="O22" s="13" t="n"/>
      <c r="P22" s="8" t="n"/>
      <c r="Q22" s="8" t="n"/>
      <c r="R22" s="10">
        <f>IFERROR(IF($J22&lt;&gt;"",R21,""),"")</f>
        <v/>
      </c>
      <c r="S22" s="10">
        <f>IFERROR(IF($J22&lt;&gt;"",S21,""),"")</f>
        <v/>
      </c>
      <c r="T22" s="10">
        <f>IFERROR(IF($J22&lt;&gt;"",T21,""),"")</f>
        <v/>
      </c>
      <c r="U22" s="14">
        <f>IFERROR(IF($J22&lt;&gt;"",U21,""),"")</f>
        <v/>
      </c>
      <c r="V22" s="14">
        <f>IFERROR(IF($J22&lt;&gt;"",V21,""),"")</f>
        <v/>
      </c>
      <c r="W22" s="7" t="n"/>
      <c r="X22" s="9">
        <f>IFERROR(VLOOKUP($W22,Plantilla!$B$3:$AE$2497,2,0),"")</f>
        <v/>
      </c>
      <c r="Y22" s="9">
        <f>IFERROR(VLOOKUP($W22,Plantilla!$B$3:$AE$2497,4,0),"")</f>
        <v/>
      </c>
      <c r="Z22" s="9">
        <f>IFERROR(VLOOKUP($W22,Plantilla!$B$3:$AE$2496,4,0),"")</f>
        <v/>
      </c>
      <c r="AA22" s="9">
        <f>IFERROR(VLOOKUP($W22,Plantilla!$B$3:$AJ$2496,17,0),"")</f>
        <v/>
      </c>
      <c r="AB22" s="11">
        <f>IFERROR(IF('(3)_Plan_de_Accion'!M178&lt;&gt;"",'(3)_Plan_de_Accion'!M178,""),"")</f>
        <v/>
      </c>
      <c r="AC22" s="93">
        <f>IFERROR(IF('(3)_Plan_de_Accion'!Q178&lt;&gt;"",'(3)_Plan_de_Accion'!Q178,""),"")</f>
        <v/>
      </c>
    </row>
    <row r="23" ht="32" customFormat="1" customHeight="1" s="12">
      <c r="A23" s="107" t="inlineStr">
        <is>
          <t>20</t>
        </is>
      </c>
      <c r="B23" s="8" t="n"/>
      <c r="C23" s="8" t="n"/>
      <c r="D23" s="8" t="n"/>
      <c r="E23" s="7" t="n"/>
      <c r="F23" s="10">
        <f>IFERROR(IF($J23&lt;&gt;"",F22,""),"")</f>
        <v/>
      </c>
      <c r="G23" s="10">
        <f>IFERROR(IF($J23&lt;&gt;"",G22,""),"")</f>
        <v/>
      </c>
      <c r="H23" s="246">
        <f>IFERROR(IF($J23&lt;&gt;"",H22,""),"")</f>
        <v/>
      </c>
      <c r="I23" s="246">
        <f>IFERROR(IF($J23&lt;&gt;"",I22,""),"")</f>
        <v/>
      </c>
      <c r="J23" s="112">
        <f>IFERROR(IF($B23&lt;&gt;"",J22,""),"")</f>
        <v/>
      </c>
      <c r="K23" s="112" t="n"/>
      <c r="L23" s="8" t="n"/>
      <c r="M23" s="13" t="n"/>
      <c r="N23" s="13" t="n"/>
      <c r="O23" s="13" t="n"/>
      <c r="P23" s="8" t="n"/>
      <c r="Q23" s="8" t="n"/>
      <c r="R23" s="10">
        <f>IFERROR(IF($J23&lt;&gt;"",R22,""),"")</f>
        <v/>
      </c>
      <c r="S23" s="10">
        <f>IFERROR(IF($J23&lt;&gt;"",S22,""),"")</f>
        <v/>
      </c>
      <c r="T23" s="10">
        <f>IFERROR(IF($J23&lt;&gt;"",T22,""),"")</f>
        <v/>
      </c>
      <c r="U23" s="14">
        <f>IFERROR(IF($J23&lt;&gt;"",U22,""),"")</f>
        <v/>
      </c>
      <c r="V23" s="14">
        <f>IFERROR(IF($J23&lt;&gt;"",V22,""),"")</f>
        <v/>
      </c>
      <c r="W23" s="7" t="n"/>
      <c r="X23" s="9">
        <f>IFERROR(VLOOKUP($W23,Plantilla!$B$3:$AE$2497,2,0),"")</f>
        <v/>
      </c>
      <c r="Y23" s="9">
        <f>IFERROR(VLOOKUP($W23,Plantilla!$B$3:$AE$2497,4,0),"")</f>
        <v/>
      </c>
      <c r="Z23" s="9">
        <f>IFERROR(VLOOKUP($W23,Plantilla!$B$3:$AE$2496,4,0),"")</f>
        <v/>
      </c>
      <c r="AA23" s="9">
        <f>IFERROR(VLOOKUP($W23,Plantilla!$B$3:$AJ$2496,17,0),"")</f>
        <v/>
      </c>
      <c r="AB23" s="11">
        <f>IFERROR(IF('(3)_Plan_de_Accion'!M187&lt;&gt;"",'(3)_Plan_de_Accion'!M187,""),"")</f>
        <v/>
      </c>
      <c r="AC23" s="93">
        <f>IFERROR(IF('(3)_Plan_de_Accion'!Q187&lt;&gt;"",'(3)_Plan_de_Accion'!Q187,""),"")</f>
        <v/>
      </c>
    </row>
    <row r="24" ht="32" customFormat="1" customHeight="1" s="12">
      <c r="A24" s="107" t="inlineStr">
        <is>
          <t>21</t>
        </is>
      </c>
      <c r="B24" s="8" t="n"/>
      <c r="C24" s="8" t="n"/>
      <c r="D24" s="8" t="n"/>
      <c r="E24" s="7" t="n"/>
      <c r="F24" s="10">
        <f>IFERROR(IF($J24&lt;&gt;"",F23,""),"")</f>
        <v/>
      </c>
      <c r="G24" s="10">
        <f>IFERROR(IF($J24&lt;&gt;"",G23,""),"")</f>
        <v/>
      </c>
      <c r="H24" s="246">
        <f>IFERROR(IF($J24&lt;&gt;"",H23,""),"")</f>
        <v/>
      </c>
      <c r="I24" s="246">
        <f>IFERROR(IF($J24&lt;&gt;"",I23,""),"")</f>
        <v/>
      </c>
      <c r="J24" s="112">
        <f>IFERROR(IF($B24&lt;&gt;"",J23,""),"")</f>
        <v/>
      </c>
      <c r="K24" s="112" t="n"/>
      <c r="L24" s="8" t="n"/>
      <c r="M24" s="13" t="n"/>
      <c r="N24" s="13" t="n"/>
      <c r="O24" s="13" t="n"/>
      <c r="P24" s="8" t="n"/>
      <c r="Q24" s="8" t="n"/>
      <c r="R24" s="10">
        <f>IFERROR(IF($J24&lt;&gt;"",R23,""),"")</f>
        <v/>
      </c>
      <c r="S24" s="10">
        <f>IFERROR(IF($J24&lt;&gt;"",S23,""),"")</f>
        <v/>
      </c>
      <c r="T24" s="10">
        <f>IFERROR(IF($J24&lt;&gt;"",T23,""),"")</f>
        <v/>
      </c>
      <c r="U24" s="14">
        <f>IFERROR(IF($J24&lt;&gt;"",U23,""),"")</f>
        <v/>
      </c>
      <c r="V24" s="14">
        <f>IFERROR(IF($J24&lt;&gt;"",V23,""),"")</f>
        <v/>
      </c>
      <c r="W24" s="7" t="n"/>
      <c r="X24" s="9">
        <f>IFERROR(VLOOKUP($W24,Plantilla!$B$3:$AE$2497,2,0),"")</f>
        <v/>
      </c>
      <c r="Y24" s="9">
        <f>IFERROR(VLOOKUP($W24,Plantilla!$B$3:$AE$2497,4,0),"")</f>
        <v/>
      </c>
      <c r="Z24" s="9">
        <f>IFERROR(VLOOKUP($W24,Plantilla!$B$3:$AE$2496,4,0),"")</f>
        <v/>
      </c>
      <c r="AA24" s="9">
        <f>IFERROR(VLOOKUP($W24,Plantilla!$B$3:$AJ$2496,17,0),"")</f>
        <v/>
      </c>
      <c r="AB24" s="11">
        <f>IFERROR(IF('(3)_Plan_de_Accion'!M196&lt;&gt;"",'(3)_Plan_de_Accion'!M196,""),"")</f>
        <v/>
      </c>
      <c r="AC24" s="93">
        <f>IFERROR(IF('(3)_Plan_de_Accion'!Q196&lt;&gt;"",'(3)_Plan_de_Accion'!Q196,""),"")</f>
        <v/>
      </c>
    </row>
    <row r="25" ht="32" customFormat="1" customHeight="1" s="12">
      <c r="A25" s="107" t="inlineStr">
        <is>
          <t>22</t>
        </is>
      </c>
      <c r="B25" s="8" t="n"/>
      <c r="C25" s="8" t="n"/>
      <c r="D25" s="8" t="n"/>
      <c r="E25" s="7" t="n"/>
      <c r="F25" s="10">
        <f>IFERROR(IF($J25&lt;&gt;"",F24,""),"")</f>
        <v/>
      </c>
      <c r="G25" s="10">
        <f>IFERROR(IF($J25&lt;&gt;"",G24,""),"")</f>
        <v/>
      </c>
      <c r="H25" s="246">
        <f>IFERROR(IF($J25&lt;&gt;"",H24,""),"")</f>
        <v/>
      </c>
      <c r="I25" s="246">
        <f>IFERROR(IF($J25&lt;&gt;"",I24,""),"")</f>
        <v/>
      </c>
      <c r="J25" s="112">
        <f>IFERROR(IF($B25&lt;&gt;"",J24,""),"")</f>
        <v/>
      </c>
      <c r="K25" s="112" t="n"/>
      <c r="L25" s="8" t="n"/>
      <c r="M25" s="13" t="n"/>
      <c r="N25" s="13" t="n"/>
      <c r="O25" s="13" t="n"/>
      <c r="P25" s="8" t="n"/>
      <c r="Q25" s="8" t="n"/>
      <c r="R25" s="10">
        <f>IFERROR(IF($J25&lt;&gt;"",R24,""),"")</f>
        <v/>
      </c>
      <c r="S25" s="10">
        <f>IFERROR(IF($J25&lt;&gt;"",S24,""),"")</f>
        <v/>
      </c>
      <c r="T25" s="10">
        <f>IFERROR(IF($J25&lt;&gt;"",T24,""),"")</f>
        <v/>
      </c>
      <c r="U25" s="14">
        <f>IFERROR(IF($J25&lt;&gt;"",U24,""),"")</f>
        <v/>
      </c>
      <c r="V25" s="14">
        <f>IFERROR(IF($J25&lt;&gt;"",V24,""),"")</f>
        <v/>
      </c>
      <c r="W25" s="7" t="n"/>
      <c r="X25" s="9">
        <f>IFERROR(VLOOKUP($W25,Plantilla!$B$3:$AE$2497,2,0),"")</f>
        <v/>
      </c>
      <c r="Y25" s="9">
        <f>IFERROR(VLOOKUP($W25,Plantilla!$B$3:$AE$2497,4,0),"")</f>
        <v/>
      </c>
      <c r="Z25" s="9">
        <f>IFERROR(VLOOKUP($W25,Plantilla!$B$3:$AE$2496,4,0),"")</f>
        <v/>
      </c>
      <c r="AA25" s="9">
        <f>IFERROR(VLOOKUP($W25,Plantilla!$B$3:$AJ$2496,17,0),"")</f>
        <v/>
      </c>
      <c r="AB25" s="11">
        <f>IFERROR(IF('(3)_Plan_de_Accion'!M205&lt;&gt;"",'(3)_Plan_de_Accion'!M205,""),"")</f>
        <v/>
      </c>
      <c r="AC25" s="93">
        <f>IFERROR(IF('(3)_Plan_de_Accion'!Q205&lt;&gt;"",'(3)_Plan_de_Accion'!Q205,""),"")</f>
        <v/>
      </c>
    </row>
    <row r="26" ht="32" customFormat="1" customHeight="1" s="12">
      <c r="A26" s="107" t="inlineStr">
        <is>
          <t>23</t>
        </is>
      </c>
      <c r="B26" s="8" t="n"/>
      <c r="C26" s="8" t="n"/>
      <c r="D26" s="8" t="n"/>
      <c r="E26" s="7" t="n"/>
      <c r="F26" s="10">
        <f>IFERROR(IF($J26&lt;&gt;"",F25,""),"")</f>
        <v/>
      </c>
      <c r="G26" s="10">
        <f>IFERROR(IF($J26&lt;&gt;"",G25,""),"")</f>
        <v/>
      </c>
      <c r="H26" s="246">
        <f>IFERROR(IF($J26&lt;&gt;"",H25,""),"")</f>
        <v/>
      </c>
      <c r="I26" s="246">
        <f>IFERROR(IF($J26&lt;&gt;"",I25,""),"")</f>
        <v/>
      </c>
      <c r="J26" s="112">
        <f>IFERROR(IF($B26&lt;&gt;"",J25,""),"")</f>
        <v/>
      </c>
      <c r="K26" s="112" t="n"/>
      <c r="L26" s="8" t="n"/>
      <c r="M26" s="13" t="n"/>
      <c r="N26" s="13" t="n"/>
      <c r="O26" s="13" t="n"/>
      <c r="P26" s="8" t="n"/>
      <c r="Q26" s="8" t="n"/>
      <c r="R26" s="10">
        <f>IFERROR(IF($J26&lt;&gt;"",R25,""),"")</f>
        <v/>
      </c>
      <c r="S26" s="10">
        <f>IFERROR(IF($J26&lt;&gt;"",S25,""),"")</f>
        <v/>
      </c>
      <c r="T26" s="10">
        <f>IFERROR(IF($J26&lt;&gt;"",T25,""),"")</f>
        <v/>
      </c>
      <c r="U26" s="14">
        <f>IFERROR(IF($J26&lt;&gt;"",U25,""),"")</f>
        <v/>
      </c>
      <c r="V26" s="14">
        <f>IFERROR(IF($J26&lt;&gt;"",V25,""),"")</f>
        <v/>
      </c>
      <c r="W26" s="7" t="n"/>
      <c r="X26" s="9">
        <f>IFERROR(VLOOKUP($W26,Plantilla!$B$3:$AE$2497,2,0),"")</f>
        <v/>
      </c>
      <c r="Y26" s="9">
        <f>IFERROR(VLOOKUP($W26,Plantilla!$B$3:$AE$2497,4,0),"")</f>
        <v/>
      </c>
      <c r="Z26" s="9">
        <f>IFERROR(VLOOKUP($W26,Plantilla!$B$3:$AE$2496,4,0),"")</f>
        <v/>
      </c>
      <c r="AA26" s="9">
        <f>IFERROR(VLOOKUP($W26,Plantilla!$B$3:$AJ$2496,17,0),"")</f>
        <v/>
      </c>
      <c r="AB26" s="11">
        <f>IFERROR(IF('(3)_Plan_de_Accion'!M214&lt;&gt;"",'(3)_Plan_de_Accion'!M214,""),"")</f>
        <v/>
      </c>
      <c r="AC26" s="93">
        <f>IFERROR(IF('(3)_Plan_de_Accion'!Q214&lt;&gt;"",'(3)_Plan_de_Accion'!Q214,""),"")</f>
        <v/>
      </c>
    </row>
    <row r="27" ht="32" customFormat="1" customHeight="1" s="12">
      <c r="A27" s="107" t="inlineStr">
        <is>
          <t>24</t>
        </is>
      </c>
      <c r="B27" s="8" t="n"/>
      <c r="C27" s="8" t="n"/>
      <c r="D27" s="8" t="n"/>
      <c r="E27" s="7" t="n"/>
      <c r="F27" s="10">
        <f>IFERROR(IF($J27&lt;&gt;"",F26,""),"")</f>
        <v/>
      </c>
      <c r="G27" s="10">
        <f>IFERROR(IF($J27&lt;&gt;"",G26,""),"")</f>
        <v/>
      </c>
      <c r="H27" s="246">
        <f>IFERROR(IF($J27&lt;&gt;"",H26,""),"")</f>
        <v/>
      </c>
      <c r="I27" s="246">
        <f>IFERROR(IF($J27&lt;&gt;"",I26,""),"")</f>
        <v/>
      </c>
      <c r="J27" s="112">
        <f>IFERROR(IF($B27&lt;&gt;"",J26,""),"")</f>
        <v/>
      </c>
      <c r="K27" s="112" t="n"/>
      <c r="L27" s="8" t="n"/>
      <c r="M27" s="13" t="n"/>
      <c r="N27" s="13" t="n"/>
      <c r="O27" s="13" t="n"/>
      <c r="P27" s="8" t="n"/>
      <c r="Q27" s="8" t="n"/>
      <c r="R27" s="10">
        <f>IFERROR(IF($J27&lt;&gt;"",R26,""),"")</f>
        <v/>
      </c>
      <c r="S27" s="10">
        <f>IFERROR(IF($J27&lt;&gt;"",S26,""),"")</f>
        <v/>
      </c>
      <c r="T27" s="10">
        <f>IFERROR(IF($J27&lt;&gt;"",T26,""),"")</f>
        <v/>
      </c>
      <c r="U27" s="14">
        <f>IFERROR(IF($J27&lt;&gt;"",U26,""),"")</f>
        <v/>
      </c>
      <c r="V27" s="14">
        <f>IFERROR(IF($J27&lt;&gt;"",V26,""),"")</f>
        <v/>
      </c>
      <c r="W27" s="7" t="n"/>
      <c r="X27" s="9">
        <f>IFERROR(VLOOKUP($W27,Plantilla!$B$3:$AE$2497,2,0),"")</f>
        <v/>
      </c>
      <c r="Y27" s="9">
        <f>IFERROR(VLOOKUP($W27,Plantilla!$B$3:$AE$2497,4,0),"")</f>
        <v/>
      </c>
      <c r="Z27" s="9">
        <f>IFERROR(VLOOKUP($W27,Plantilla!$B$3:$AE$2496,4,0),"")</f>
        <v/>
      </c>
      <c r="AA27" s="9">
        <f>IFERROR(VLOOKUP($W27,Plantilla!$B$3:$AJ$2496,17,0),"")</f>
        <v/>
      </c>
      <c r="AB27" s="11">
        <f>IFERROR(IF('(3)_Plan_de_Accion'!M223&lt;&gt;"",'(3)_Plan_de_Accion'!M223,""),"")</f>
        <v/>
      </c>
      <c r="AC27" s="93">
        <f>IFERROR(IF('(3)_Plan_de_Accion'!Q223&lt;&gt;"",'(3)_Plan_de_Accion'!Q223,""),"")</f>
        <v/>
      </c>
    </row>
    <row r="28" ht="32" customFormat="1" customHeight="1" s="12">
      <c r="A28" s="107" t="inlineStr">
        <is>
          <t>25</t>
        </is>
      </c>
      <c r="B28" s="8" t="n"/>
      <c r="C28" s="8" t="n"/>
      <c r="D28" s="8" t="n"/>
      <c r="E28" s="7" t="n"/>
      <c r="F28" s="10">
        <f>IFERROR(IF($J28&lt;&gt;"",F27,""),"")</f>
        <v/>
      </c>
      <c r="G28" s="10">
        <f>IFERROR(IF($J28&lt;&gt;"",G27,""),"")</f>
        <v/>
      </c>
      <c r="H28" s="246">
        <f>IFERROR(IF($J28&lt;&gt;"",H27,""),"")</f>
        <v/>
      </c>
      <c r="I28" s="246">
        <f>IFERROR(IF($J28&lt;&gt;"",I27,""),"")</f>
        <v/>
      </c>
      <c r="J28" s="112">
        <f>IFERROR(IF($B28&lt;&gt;"",J27,""),"")</f>
        <v/>
      </c>
      <c r="K28" s="112" t="n"/>
      <c r="L28" s="8" t="n"/>
      <c r="M28" s="13" t="n"/>
      <c r="N28" s="13" t="n"/>
      <c r="O28" s="13" t="n"/>
      <c r="P28" s="8" t="n"/>
      <c r="Q28" s="8" t="n"/>
      <c r="R28" s="10">
        <f>IFERROR(IF($J28&lt;&gt;"",R27,""),"")</f>
        <v/>
      </c>
      <c r="S28" s="10">
        <f>IFERROR(IF($J28&lt;&gt;"",S27,""),"")</f>
        <v/>
      </c>
      <c r="T28" s="10">
        <f>IFERROR(IF($J28&lt;&gt;"",T27,""),"")</f>
        <v/>
      </c>
      <c r="U28" s="14">
        <f>IFERROR(IF($J28&lt;&gt;"",U27,""),"")</f>
        <v/>
      </c>
      <c r="V28" s="14">
        <f>IFERROR(IF($J28&lt;&gt;"",V27,""),"")</f>
        <v/>
      </c>
      <c r="W28" s="7" t="n"/>
      <c r="X28" s="9">
        <f>IFERROR(VLOOKUP($W28,Plantilla!$B$3:$AE$2497,2,0),"")</f>
        <v/>
      </c>
      <c r="Y28" s="9">
        <f>IFERROR(VLOOKUP($W28,Plantilla!$B$3:$AE$2497,4,0),"")</f>
        <v/>
      </c>
      <c r="Z28" s="9">
        <f>IFERROR(VLOOKUP($W28,Plantilla!$B$3:$AE$2496,4,0),"")</f>
        <v/>
      </c>
      <c r="AA28" s="9">
        <f>IFERROR(VLOOKUP($W28,Plantilla!$B$3:$AJ$2496,17,0),"")</f>
        <v/>
      </c>
      <c r="AB28" s="11">
        <f>IFERROR(IF('(3)_Plan_de_Accion'!M232&lt;&gt;"",'(3)_Plan_de_Accion'!M232,""),"")</f>
        <v/>
      </c>
      <c r="AC28" s="93">
        <f>IFERROR(IF('(3)_Plan_de_Accion'!Q232&lt;&gt;"",'(3)_Plan_de_Accion'!Q232,""),"")</f>
        <v/>
      </c>
    </row>
    <row r="29" ht="32" customFormat="1" customHeight="1" s="12">
      <c r="A29" s="107" t="inlineStr">
        <is>
          <t>26</t>
        </is>
      </c>
      <c r="B29" s="8" t="n"/>
      <c r="C29" s="8" t="n"/>
      <c r="D29" s="8" t="n"/>
      <c r="E29" s="7" t="n"/>
      <c r="F29" s="10">
        <f>IFERROR(IF($J29&lt;&gt;"",F28,""),"")</f>
        <v/>
      </c>
      <c r="G29" s="10">
        <f>IFERROR(IF($J29&lt;&gt;"",G28,""),"")</f>
        <v/>
      </c>
      <c r="H29" s="246">
        <f>IFERROR(IF($J29&lt;&gt;"",H28,""),"")</f>
        <v/>
      </c>
      <c r="I29" s="246">
        <f>IFERROR(IF($J29&lt;&gt;"",I28,""),"")</f>
        <v/>
      </c>
      <c r="J29" s="112">
        <f>IFERROR(IF($B29&lt;&gt;"",J28,""),"")</f>
        <v/>
      </c>
      <c r="K29" s="112" t="n"/>
      <c r="L29" s="8" t="n"/>
      <c r="M29" s="13" t="n"/>
      <c r="N29" s="13" t="n"/>
      <c r="O29" s="13" t="n"/>
      <c r="P29" s="8" t="n"/>
      <c r="Q29" s="8" t="n"/>
      <c r="R29" s="10">
        <f>IFERROR(IF($J29&lt;&gt;"",R28,""),"")</f>
        <v/>
      </c>
      <c r="S29" s="10">
        <f>IFERROR(IF($J29&lt;&gt;"",S28,""),"")</f>
        <v/>
      </c>
      <c r="T29" s="10">
        <f>IFERROR(IF($J29&lt;&gt;"",T28,""),"")</f>
        <v/>
      </c>
      <c r="U29" s="14">
        <f>IFERROR(IF($J29&lt;&gt;"",U28,""),"")</f>
        <v/>
      </c>
      <c r="V29" s="14">
        <f>IFERROR(IF($J29&lt;&gt;"",V28,""),"")</f>
        <v/>
      </c>
      <c r="W29" s="7" t="n"/>
      <c r="X29" s="9">
        <f>IFERROR(VLOOKUP($W29,Plantilla!$B$3:$AE$2497,2,0),"")</f>
        <v/>
      </c>
      <c r="Y29" s="9">
        <f>IFERROR(VLOOKUP($W29,Plantilla!$B$3:$AE$2497,4,0),"")</f>
        <v/>
      </c>
      <c r="Z29" s="9">
        <f>IFERROR(VLOOKUP($W29,Plantilla!$B$3:$AE$2496,4,0),"")</f>
        <v/>
      </c>
      <c r="AA29" s="9">
        <f>IFERROR(VLOOKUP($W29,Plantilla!$B$3:$AJ$2496,17,0),"")</f>
        <v/>
      </c>
      <c r="AB29" s="11">
        <f>IFERROR(IF('(3)_Plan_de_Accion'!M241&lt;&gt;"",'(3)_Plan_de_Accion'!M241,""),"")</f>
        <v/>
      </c>
      <c r="AC29" s="93">
        <f>IFERROR(IF('(3)_Plan_de_Accion'!Q241&lt;&gt;"",'(3)_Plan_de_Accion'!Q241,""),"")</f>
        <v/>
      </c>
    </row>
    <row r="30" ht="32" customFormat="1" customHeight="1" s="12">
      <c r="A30" s="107" t="inlineStr">
        <is>
          <t>27</t>
        </is>
      </c>
      <c r="B30" s="8" t="n"/>
      <c r="C30" s="8" t="n"/>
      <c r="D30" s="8" t="n"/>
      <c r="E30" s="7" t="n"/>
      <c r="F30" s="10">
        <f>IFERROR(IF($J30&lt;&gt;"",F29,""),"")</f>
        <v/>
      </c>
      <c r="G30" s="10">
        <f>IFERROR(IF($J30&lt;&gt;"",G29,""),"")</f>
        <v/>
      </c>
      <c r="H30" s="246">
        <f>IFERROR(IF($J30&lt;&gt;"",H29,""),"")</f>
        <v/>
      </c>
      <c r="I30" s="246">
        <f>IFERROR(IF($J30&lt;&gt;"",I29,""),"")</f>
        <v/>
      </c>
      <c r="J30" s="112">
        <f>IFERROR(IF($B30&lt;&gt;"",J29,""),"")</f>
        <v/>
      </c>
      <c r="K30" s="112" t="n"/>
      <c r="L30" s="8" t="n"/>
      <c r="M30" s="13" t="n"/>
      <c r="N30" s="13" t="n"/>
      <c r="O30" s="13" t="n"/>
      <c r="P30" s="8" t="n"/>
      <c r="Q30" s="8" t="n"/>
      <c r="R30" s="10">
        <f>IFERROR(IF($J30&lt;&gt;"",R29,""),"")</f>
        <v/>
      </c>
      <c r="S30" s="10">
        <f>IFERROR(IF($J30&lt;&gt;"",S29,""),"")</f>
        <v/>
      </c>
      <c r="T30" s="10">
        <f>IFERROR(IF($J30&lt;&gt;"",T29,""),"")</f>
        <v/>
      </c>
      <c r="U30" s="14">
        <f>IFERROR(IF($J30&lt;&gt;"",U29,""),"")</f>
        <v/>
      </c>
      <c r="V30" s="14">
        <f>IFERROR(IF($J30&lt;&gt;"",V29,""),"")</f>
        <v/>
      </c>
      <c r="W30" s="7" t="n"/>
      <c r="X30" s="9">
        <f>IFERROR(VLOOKUP($W30,Plantilla!$B$3:$AE$2497,2,0),"")</f>
        <v/>
      </c>
      <c r="Y30" s="9">
        <f>IFERROR(VLOOKUP($W30,Plantilla!$B$3:$AE$2497,4,0),"")</f>
        <v/>
      </c>
      <c r="Z30" s="9">
        <f>IFERROR(VLOOKUP($W30,Plantilla!$B$3:$AE$2496,4,0),"")</f>
        <v/>
      </c>
      <c r="AA30" s="9">
        <f>IFERROR(VLOOKUP($W30,Plantilla!$B$3:$AJ$2496,17,0),"")</f>
        <v/>
      </c>
      <c r="AB30" s="11">
        <f>IFERROR(IF('(3)_Plan_de_Accion'!M250&lt;&gt;"",'(3)_Plan_de_Accion'!M250,""),"")</f>
        <v/>
      </c>
      <c r="AC30" s="93">
        <f>IFERROR(IF('(3)_Plan_de_Accion'!Q250&lt;&gt;"",'(3)_Plan_de_Accion'!Q250,""),"")</f>
        <v/>
      </c>
    </row>
    <row r="31" ht="32" customFormat="1" customHeight="1" s="12">
      <c r="A31" s="107" t="inlineStr">
        <is>
          <t>28</t>
        </is>
      </c>
      <c r="B31" s="8" t="n"/>
      <c r="C31" s="8" t="n"/>
      <c r="D31" s="8" t="n"/>
      <c r="E31" s="7" t="n"/>
      <c r="F31" s="10">
        <f>IFERROR(IF($J31&lt;&gt;"",F30,""),"")</f>
        <v/>
      </c>
      <c r="G31" s="10">
        <f>IFERROR(IF($J31&lt;&gt;"",G30,""),"")</f>
        <v/>
      </c>
      <c r="H31" s="246">
        <f>IFERROR(IF($J31&lt;&gt;"",H30,""),"")</f>
        <v/>
      </c>
      <c r="I31" s="246">
        <f>IFERROR(IF($J31&lt;&gt;"",I30,""),"")</f>
        <v/>
      </c>
      <c r="J31" s="112">
        <f>IFERROR(IF($B31&lt;&gt;"",J30,""),"")</f>
        <v/>
      </c>
      <c r="K31" s="112" t="n"/>
      <c r="L31" s="8" t="n"/>
      <c r="M31" s="13" t="n"/>
      <c r="N31" s="13" t="n"/>
      <c r="O31" s="13" t="n"/>
      <c r="P31" s="8" t="n"/>
      <c r="Q31" s="8" t="n"/>
      <c r="R31" s="10">
        <f>IFERROR(IF($J31&lt;&gt;"",R30,""),"")</f>
        <v/>
      </c>
      <c r="S31" s="10">
        <f>IFERROR(IF($J31&lt;&gt;"",S30,""),"")</f>
        <v/>
      </c>
      <c r="T31" s="10">
        <f>IFERROR(IF($J31&lt;&gt;"",T30,""),"")</f>
        <v/>
      </c>
      <c r="U31" s="14">
        <f>IFERROR(IF($J31&lt;&gt;"",U30,""),"")</f>
        <v/>
      </c>
      <c r="V31" s="14">
        <f>IFERROR(IF($J31&lt;&gt;"",V30,""),"")</f>
        <v/>
      </c>
      <c r="W31" s="7" t="n"/>
      <c r="X31" s="9">
        <f>IFERROR(VLOOKUP($W31,Plantilla!$B$3:$AE$2497,2,0),"")</f>
        <v/>
      </c>
      <c r="Y31" s="9">
        <f>IFERROR(VLOOKUP($W31,Plantilla!$B$3:$AE$2497,4,0),"")</f>
        <v/>
      </c>
      <c r="Z31" s="9">
        <f>IFERROR(VLOOKUP($W31,Plantilla!$B$3:$AE$2496,4,0),"")</f>
        <v/>
      </c>
      <c r="AA31" s="9">
        <f>IFERROR(VLOOKUP($W31,Plantilla!$B$3:$AJ$2496,17,0),"")</f>
        <v/>
      </c>
      <c r="AB31" s="11">
        <f>IFERROR(IF('(3)_Plan_de_Accion'!M259&lt;&gt;"",'(3)_Plan_de_Accion'!M259,""),"")</f>
        <v/>
      </c>
      <c r="AC31" s="93">
        <f>IFERROR(IF('(3)_Plan_de_Accion'!Q259&lt;&gt;"",'(3)_Plan_de_Accion'!Q259,""),"")</f>
        <v/>
      </c>
    </row>
    <row r="32" ht="32" customFormat="1" customHeight="1" s="12">
      <c r="A32" s="107" t="inlineStr">
        <is>
          <t>29</t>
        </is>
      </c>
      <c r="B32" s="8" t="n"/>
      <c r="C32" s="8" t="n"/>
      <c r="D32" s="8" t="n"/>
      <c r="E32" s="7" t="n"/>
      <c r="F32" s="10">
        <f>IFERROR(IF($J32&lt;&gt;"",F31,""),"")</f>
        <v/>
      </c>
      <c r="G32" s="10">
        <f>IFERROR(IF($J32&lt;&gt;"",G31,""),"")</f>
        <v/>
      </c>
      <c r="H32" s="246">
        <f>IFERROR(IF($J32&lt;&gt;"",H31,""),"")</f>
        <v/>
      </c>
      <c r="I32" s="246">
        <f>IFERROR(IF($J32&lt;&gt;"",I31,""),"")</f>
        <v/>
      </c>
      <c r="J32" s="112">
        <f>IFERROR(IF($B32&lt;&gt;"",J31,""),"")</f>
        <v/>
      </c>
      <c r="K32" s="112" t="n"/>
      <c r="L32" s="8" t="n"/>
      <c r="M32" s="13" t="n"/>
      <c r="N32" s="13" t="n"/>
      <c r="O32" s="13" t="n"/>
      <c r="P32" s="8" t="n"/>
      <c r="Q32" s="8" t="n"/>
      <c r="R32" s="10">
        <f>IFERROR(IF($J32&lt;&gt;"",R31,""),"")</f>
        <v/>
      </c>
      <c r="S32" s="10">
        <f>IFERROR(IF($J32&lt;&gt;"",S31,""),"")</f>
        <v/>
      </c>
      <c r="T32" s="10">
        <f>IFERROR(IF($J32&lt;&gt;"",T31,""),"")</f>
        <v/>
      </c>
      <c r="U32" s="14">
        <f>IFERROR(IF($J32&lt;&gt;"",U31,""),"")</f>
        <v/>
      </c>
      <c r="V32" s="14">
        <f>IFERROR(IF($J32&lt;&gt;"",V31,""),"")</f>
        <v/>
      </c>
      <c r="W32" s="7" t="n"/>
      <c r="X32" s="9">
        <f>IFERROR(VLOOKUP($W32,Plantilla!$B$3:$AE$2497,2,0),"")</f>
        <v/>
      </c>
      <c r="Y32" s="9">
        <f>IFERROR(VLOOKUP($W32,Plantilla!$B$3:$AE$2497,4,0),"")</f>
        <v/>
      </c>
      <c r="Z32" s="9">
        <f>IFERROR(VLOOKUP($W32,Plantilla!$B$3:$AE$2496,4,0),"")</f>
        <v/>
      </c>
      <c r="AA32" s="9">
        <f>IFERROR(VLOOKUP($W32,Plantilla!$B$3:$AJ$2496,17,0),"")</f>
        <v/>
      </c>
      <c r="AB32" s="11">
        <f>IFERROR(IF('(3)_Plan_de_Accion'!M268&lt;&gt;"",'(3)_Plan_de_Accion'!M268,""),"")</f>
        <v/>
      </c>
      <c r="AC32" s="93">
        <f>IFERROR(IF('(3)_Plan_de_Accion'!Q268&lt;&gt;"",'(3)_Plan_de_Accion'!Q268,""),"")</f>
        <v/>
      </c>
    </row>
    <row r="33" ht="32" customFormat="1" customHeight="1" s="12">
      <c r="A33" s="107" t="inlineStr">
        <is>
          <t>30</t>
        </is>
      </c>
      <c r="B33" s="8" t="n"/>
      <c r="C33" s="8" t="n"/>
      <c r="D33" s="8" t="n"/>
      <c r="E33" s="7" t="n"/>
      <c r="F33" s="10">
        <f>IFERROR(IF($J33&lt;&gt;"",F32,""),"")</f>
        <v/>
      </c>
      <c r="G33" s="10">
        <f>IFERROR(IF($J33&lt;&gt;"",G32,""),"")</f>
        <v/>
      </c>
      <c r="H33" s="246">
        <f>IFERROR(IF($J33&lt;&gt;"",H32,""),"")</f>
        <v/>
      </c>
      <c r="I33" s="246">
        <f>IFERROR(IF($J33&lt;&gt;"",I32,""),"")</f>
        <v/>
      </c>
      <c r="J33" s="112">
        <f>IFERROR(IF($B33&lt;&gt;"",J32,""),"")</f>
        <v/>
      </c>
      <c r="K33" s="112" t="n"/>
      <c r="L33" s="8" t="n"/>
      <c r="M33" s="13" t="n"/>
      <c r="N33" s="13" t="n"/>
      <c r="O33" s="13" t="n"/>
      <c r="P33" s="8" t="n"/>
      <c r="Q33" s="8" t="n"/>
      <c r="R33" s="10">
        <f>IFERROR(IF($J33&lt;&gt;"",R32,""),"")</f>
        <v/>
      </c>
      <c r="S33" s="10">
        <f>IFERROR(IF($J33&lt;&gt;"",S32,""),"")</f>
        <v/>
      </c>
      <c r="T33" s="10">
        <f>IFERROR(IF($J33&lt;&gt;"",T32,""),"")</f>
        <v/>
      </c>
      <c r="U33" s="14">
        <f>IFERROR(IF($J33&lt;&gt;"",U32,""),"")</f>
        <v/>
      </c>
      <c r="V33" s="14">
        <f>IFERROR(IF($J33&lt;&gt;"",V32,""),"")</f>
        <v/>
      </c>
      <c r="W33" s="7" t="n"/>
      <c r="X33" s="9">
        <f>IFERROR(VLOOKUP($W33,Plantilla!$B$3:$AE$2497,2,0),"")</f>
        <v/>
      </c>
      <c r="Y33" s="9">
        <f>IFERROR(VLOOKUP($W33,Plantilla!$B$3:$AE$2497,4,0),"")</f>
        <v/>
      </c>
      <c r="Z33" s="9">
        <f>IFERROR(VLOOKUP($W33,Plantilla!$B$3:$AE$2496,4,0),"")</f>
        <v/>
      </c>
      <c r="AA33" s="9">
        <f>IFERROR(VLOOKUP($W33,Plantilla!$B$3:$AJ$2496,17,0),"")</f>
        <v/>
      </c>
      <c r="AB33" s="11">
        <f>IFERROR(IF('(3)_Plan_de_Accion'!M277&lt;&gt;"",'(3)_Plan_de_Accion'!M277,""),"")</f>
        <v/>
      </c>
      <c r="AC33" s="93">
        <f>IFERROR(IF('(3)_Plan_de_Accion'!Q277&lt;&gt;"",'(3)_Plan_de_Accion'!Q277,""),"")</f>
        <v/>
      </c>
    </row>
    <row r="34" ht="32" customHeight="1" s="150">
      <c r="K34" s="112" t="n"/>
    </row>
    <row r="35" ht="32" customHeight="1" s="150">
      <c r="K35" s="112" t="n"/>
    </row>
    <row r="36" ht="32" customHeight="1" s="150">
      <c r="K36" s="112" t="n"/>
    </row>
    <row r="37" ht="32" customHeight="1" s="150">
      <c r="K37" s="112" t="n"/>
    </row>
    <row r="38" ht="32" customHeight="1" s="150">
      <c r="K38" s="112" t="n"/>
    </row>
    <row r="39" ht="32" customHeight="1" s="150">
      <c r="K39" s="112" t="n"/>
    </row>
  </sheetData>
  <conditionalFormatting sqref="A4:A33 X4:AA33 X4:AC4">
    <cfRule type="containsBlanks" priority="210" dxfId="105">
      <formula>LEN(TRIM(A4))=0</formula>
    </cfRule>
  </conditionalFormatting>
  <conditionalFormatting sqref="E4 L4:O33 P4 S4:T4 V4:W4">
    <cfRule type="notContainsBlanks" priority="208" dxfId="0">
      <formula>LEN(TRIM(E4))&gt;0</formula>
    </cfRule>
  </conditionalFormatting>
  <conditionalFormatting sqref="L33:O33">
    <cfRule type="notContainsBlanks" priority="192" dxfId="0">
      <formula>LEN(TRIM(L33))&gt;0</formula>
    </cfRule>
  </conditionalFormatting>
  <conditionalFormatting sqref="B4">
    <cfRule type="notContainsBlanks" priority="181" dxfId="0">
      <formula>LEN(TRIM(B4))&gt;0</formula>
    </cfRule>
  </conditionalFormatting>
  <conditionalFormatting sqref="D4">
    <cfRule type="notContainsBlanks" priority="176" dxfId="0">
      <formula>LEN(TRIM(D4))&gt;0</formula>
    </cfRule>
  </conditionalFormatting>
  <conditionalFormatting sqref="Q4">
    <cfRule type="notContainsBlanks" priority="174" dxfId="0">
      <formula>LEN(TRIM(Q4))&gt;0</formula>
    </cfRule>
  </conditionalFormatting>
  <conditionalFormatting sqref="S5 V5">
    <cfRule type="containsBlanks" priority="165" dxfId="105">
      <formula>LEN(TRIM(S5))=0</formula>
    </cfRule>
    <cfRule type="notContainsBlanks" priority="164" dxfId="0">
      <formula>LEN(TRIM(S5))&gt;0</formula>
    </cfRule>
  </conditionalFormatting>
  <conditionalFormatting sqref="R4:S33 V4:V33">
    <cfRule type="containsBlanks" priority="152" dxfId="105">
      <formula>LEN(TRIM(R4))=0</formula>
    </cfRule>
    <cfRule type="notContainsBlanks" priority="151" dxfId="0">
      <formula>LEN(TRIM(R4))&gt;0</formula>
    </cfRule>
  </conditionalFormatting>
  <conditionalFormatting sqref="F5:F33 H5:H33">
    <cfRule type="containsBlanks" priority="141" dxfId="105">
      <formula>LEN(TRIM(F5))=0</formula>
    </cfRule>
    <cfRule type="notContainsBlanks" priority="139" dxfId="0">
      <formula>LEN(TRIM(F5))&gt;0</formula>
    </cfRule>
  </conditionalFormatting>
  <conditionalFormatting sqref="F5:F33">
    <cfRule type="notContainsBlanks" priority="138" dxfId="0">
      <formula>LEN(TRIM(F5))&gt;0</formula>
    </cfRule>
  </conditionalFormatting>
  <conditionalFormatting sqref="AB4:AC33">
    <cfRule type="containsBlanks" priority="136" dxfId="105">
      <formula>LEN(TRIM(AB4))=0</formula>
    </cfRule>
  </conditionalFormatting>
  <conditionalFormatting sqref="C4">
    <cfRule type="notContainsBlanks" priority="127" dxfId="0">
      <formula>LEN(TRIM(C4))&gt;0</formula>
    </cfRule>
  </conditionalFormatting>
  <conditionalFormatting sqref="E4:E33">
    <cfRule type="notContainsBlanks" priority="110" dxfId="0">
      <formula>LEN(TRIM(E4))&gt;0</formula>
    </cfRule>
  </conditionalFormatting>
  <conditionalFormatting sqref="T4:T33">
    <cfRule type="containsBlanks" priority="97" dxfId="105">
      <formula>LEN(TRIM(T4))=0</formula>
    </cfRule>
    <cfRule type="notContainsBlanks" priority="96" dxfId="0">
      <formula>LEN(TRIM(T4))&gt;0</formula>
    </cfRule>
  </conditionalFormatting>
  <conditionalFormatting sqref="W4:W33">
    <cfRule type="notContainsBlanks" priority="95" dxfId="0">
      <formula>LEN(TRIM(W4))&gt;0</formula>
    </cfRule>
  </conditionalFormatting>
  <conditionalFormatting sqref="F5:I5">
    <cfRule type="containsBlanks" priority="77" dxfId="105">
      <formula>LEN(TRIM(F5))=0</formula>
    </cfRule>
    <cfRule type="notContainsBlanks" priority="76" dxfId="0">
      <formula>LEN(TRIM(F5))&gt;0</formula>
    </cfRule>
  </conditionalFormatting>
  <conditionalFormatting sqref="F5:G5">
    <cfRule type="notContainsBlanks" priority="75" dxfId="0">
      <formula>LEN(TRIM(F5))&gt;0</formula>
    </cfRule>
  </conditionalFormatting>
  <conditionalFormatting sqref="J5">
    <cfRule type="containsBlanks" priority="70" dxfId="105">
      <formula>LEN(TRIM(J5))=0</formula>
    </cfRule>
    <cfRule type="notContainsBlanks" priority="69" dxfId="0">
      <formula>LEN(TRIM(J5))&gt;0</formula>
    </cfRule>
  </conditionalFormatting>
  <conditionalFormatting sqref="J5:J33">
    <cfRule type="containsBlanks" priority="68" dxfId="105">
      <formula>LEN(TRIM(J5))=0</formula>
    </cfRule>
    <cfRule type="notContainsBlanks" priority="67" dxfId="0">
      <formula>LEN(TRIM(J5))&gt;0</formula>
    </cfRule>
  </conditionalFormatting>
  <conditionalFormatting sqref="I5:I33">
    <cfRule type="containsBlanks" priority="66" dxfId="105">
      <formula>LEN(TRIM(I5))=0</formula>
    </cfRule>
    <cfRule type="notContainsBlanks" priority="65" dxfId="0">
      <formula>LEN(TRIM(I5))&gt;0</formula>
    </cfRule>
  </conditionalFormatting>
  <conditionalFormatting sqref="U5">
    <cfRule type="notContainsBlanks" priority="57" dxfId="0">
      <formula>LEN(TRIM(U5))&gt;0</formula>
    </cfRule>
    <cfRule type="containsBlanks" priority="58" dxfId="105">
      <formula>LEN(TRIM(U5))=0</formula>
    </cfRule>
  </conditionalFormatting>
  <conditionalFormatting sqref="U4:U33">
    <cfRule type="notContainsBlanks" priority="55" dxfId="0">
      <formula>LEN(TRIM(U4))&gt;0</formula>
    </cfRule>
    <cfRule type="containsBlanks" priority="56" dxfId="105">
      <formula>LEN(TRIM(U4))=0</formula>
    </cfRule>
  </conditionalFormatting>
  <conditionalFormatting sqref="E5">
    <cfRule type="notContainsBlanks" priority="40" dxfId="0">
      <formula>LEN(TRIM(E5))&gt;0</formula>
    </cfRule>
  </conditionalFormatting>
  <conditionalFormatting sqref="U4">
    <cfRule type="containsBlanks" priority="46" dxfId="105">
      <formula>LEN(TRIM(U4))=0</formula>
    </cfRule>
  </conditionalFormatting>
  <conditionalFormatting sqref="G5:G33">
    <cfRule type="notContainsBlanks" priority="43" dxfId="0">
      <formula>LEN(TRIM(G5))&gt;0</formula>
    </cfRule>
    <cfRule type="containsBlanks" priority="44" dxfId="105">
      <formula>LEN(TRIM(G5))=0</formula>
    </cfRule>
    <cfRule type="notContainsBlanks" priority="42" dxfId="0">
      <formula>LEN(TRIM(G5))&gt;0</formula>
    </cfRule>
  </conditionalFormatting>
  <conditionalFormatting sqref="L5">
    <cfRule type="notContainsBlanks" priority="36" dxfId="0">
      <formula>LEN(TRIM(L5))&gt;0</formula>
    </cfRule>
  </conditionalFormatting>
  <conditionalFormatting sqref="M5">
    <cfRule type="notContainsBlanks" priority="34" dxfId="0">
      <formula>LEN(TRIM(M5))&gt;0</formula>
    </cfRule>
  </conditionalFormatting>
  <conditionalFormatting sqref="N5:O5">
    <cfRule type="notContainsBlanks" priority="33" dxfId="0">
      <formula>LEN(TRIM(N5))&gt;0</formula>
    </cfRule>
  </conditionalFormatting>
  <conditionalFormatting sqref="E6">
    <cfRule type="notContainsBlanks" priority="32" dxfId="0">
      <formula>LEN(TRIM(E6))&gt;0</formula>
    </cfRule>
  </conditionalFormatting>
  <conditionalFormatting sqref="R4">
    <cfRule type="notContainsBlanks" priority="28" dxfId="0">
      <formula>LEN(TRIM(R4))&gt;0</formula>
    </cfRule>
  </conditionalFormatting>
  <conditionalFormatting sqref="K5">
    <cfRule type="notContainsBlanks" priority="20" dxfId="0">
      <formula>LEN(TRIM(K5))&gt;0</formula>
    </cfRule>
    <cfRule type="containsBlanks" priority="21" dxfId="105">
      <formula>LEN(TRIM(K5))=0</formula>
    </cfRule>
  </conditionalFormatting>
  <conditionalFormatting sqref="R5">
    <cfRule type="notContainsBlanks" priority="18" dxfId="0">
      <formula>LEN(TRIM(R5))&gt;0</formula>
    </cfRule>
    <cfRule type="containsBlanks" priority="19" dxfId="105">
      <formula>LEN(TRIM(R5))=0</formula>
    </cfRule>
  </conditionalFormatting>
  <conditionalFormatting sqref="K5:K39">
    <cfRule type="containsBlanks" priority="23" dxfId="105">
      <formula>LEN(TRIM(K5))=0</formula>
    </cfRule>
    <cfRule type="notContainsBlanks" priority="22" dxfId="0">
      <formula>LEN(TRIM(K5))&gt;0</formula>
    </cfRule>
  </conditionalFormatting>
  <conditionalFormatting sqref="M4:O4">
    <cfRule type="notContainsBlanks" priority="17" dxfId="0">
      <formula>LEN(TRIM(M4))&gt;0</formula>
    </cfRule>
  </conditionalFormatting>
  <conditionalFormatting sqref="B4:B33">
    <cfRule type="notContainsBlanks" priority="16" dxfId="0">
      <formula>LEN(TRIM(B4))&gt;0</formula>
    </cfRule>
  </conditionalFormatting>
  <conditionalFormatting sqref="D4:D33">
    <cfRule type="notContainsBlanks" priority="15" dxfId="0">
      <formula>LEN(TRIM(D4))&gt;0</formula>
    </cfRule>
  </conditionalFormatting>
  <conditionalFormatting sqref="C4:C33">
    <cfRule type="notContainsBlanks" priority="14" dxfId="0">
      <formula>LEN(TRIM(C4))&gt;0</formula>
    </cfRule>
  </conditionalFormatting>
  <conditionalFormatting sqref="P4:P33">
    <cfRule type="notContainsBlanks" priority="9" dxfId="0">
      <formula>LEN(TRIM(P4))&gt;0</formula>
    </cfRule>
  </conditionalFormatting>
  <conditionalFormatting sqref="Q4:Q33">
    <cfRule type="notContainsBlanks" priority="8" dxfId="0">
      <formula>LEN(TRIM(Q4))&gt;0</formula>
    </cfRule>
  </conditionalFormatting>
  <conditionalFormatting sqref="K4">
    <cfRule type="notContainsBlanks" priority="2" dxfId="0">
      <formula>LEN(TRIM(K4))&gt;0</formula>
    </cfRule>
    <cfRule type="notContainsBlanks" priority="3" dxfId="0">
      <formula>LEN(TRIM(K4))&gt;0</formula>
    </cfRule>
  </conditionalFormatting>
  <conditionalFormatting sqref="F4:I4">
    <cfRule type="notContainsBlanks" priority="7" dxfId="0">
      <formula>LEN(TRIM(F4))&gt;0</formula>
    </cfRule>
    <cfRule type="notContainsBlanks" priority="6" dxfId="0">
      <formula>LEN(TRIM(F4))&gt;0</formula>
    </cfRule>
  </conditionalFormatting>
  <conditionalFormatting sqref="J4">
    <cfRule type="notContainsBlanks" priority="5" dxfId="0">
      <formula>LEN(TRIM(J4))&gt;0</formula>
    </cfRule>
    <cfRule type="notContainsBlanks" priority="4" dxfId="0">
      <formula>LEN(TRIM(J4))&gt;0</formula>
    </cfRule>
  </conditionalFormatting>
  <conditionalFormatting sqref="W5">
    <cfRule type="notContainsBlanks" priority="1" dxfId="0">
      <formula>LEN(TRIM(W5))&gt;0</formula>
    </cfRule>
  </conditionalFormatting>
  <pageMargins left="0.7" right="0.7" top="0.75" bottom="0.75" header="0.3" footer="0.3"/>
  <pageSetup orientation="portrait" verticalDpi="0"/>
  <legacyDrawing xmlns:r="http://schemas.openxmlformats.org/officeDocument/2006/relationships" r:id="anysvml"/>
</worksheet>
</file>

<file path=xl/worksheets/sheet2.xml><?xml version="1.0" encoding="utf-8"?>
<worksheet xmlns="http://schemas.openxmlformats.org/spreadsheetml/2006/main">
  <sheetPr>
    <tabColor rgb="FFFFC000"/>
    <outlinePr summaryBelow="1" summaryRight="1"/>
    <pageSetUpPr/>
  </sheetPr>
  <dimension ref="A2:XFD309"/>
  <sheetViews>
    <sheetView showGridLines="0" tabSelected="1" zoomScale="53" zoomScaleNormal="53" workbookViewId="0">
      <selection activeCell="O287" sqref="O287:R287"/>
    </sheetView>
  </sheetViews>
  <sheetFormatPr baseColWidth="8" defaultColWidth="0" defaultRowHeight="19" customHeight="1" zeroHeight="1"/>
  <cols>
    <col width="6.7265625" customWidth="1" style="150" min="1" max="1"/>
    <col width="13.7265625" customWidth="1" style="80" min="2" max="2"/>
    <col width="16" customWidth="1" style="80" min="3" max="3"/>
    <col width="12.453125" customWidth="1" style="80" min="4" max="4"/>
    <col width="16" customWidth="1" style="80" min="5" max="5"/>
    <col width="14.36328125" customWidth="1" style="80" min="6" max="6"/>
    <col width="17" customWidth="1" style="80" min="7" max="7"/>
    <col width="15.36328125" customWidth="1" style="80" min="8" max="11"/>
    <col width="22" customWidth="1" style="80" min="12" max="12"/>
    <col width="16.26953125" customWidth="1" style="80" min="13" max="14"/>
    <col width="15.08984375" customWidth="1" style="80" min="15" max="16"/>
    <col width="21" customWidth="1" style="81" min="17" max="17"/>
    <col width="26.08984375" customWidth="1" style="81" min="18" max="18"/>
    <col width="22.7265625" customWidth="1" style="81" min="19" max="19"/>
    <col hidden="1" width="10.36328125" customWidth="1" style="74" min="20" max="20"/>
    <col hidden="1" width="43" customWidth="1" style="74" min="21" max="22"/>
    <col hidden="1" width="45.7265625" customWidth="1" style="74" min="23" max="25"/>
    <col hidden="1" width="11.6328125" customWidth="1" style="74" min="26" max="34"/>
    <col hidden="1" width="39.08984375" customWidth="1" style="74" min="35" max="35"/>
    <col hidden="1" width="70.90625" customWidth="1" style="74" min="36" max="36"/>
    <col hidden="1" width="11.6328125" customWidth="1" style="74" min="37" max="237"/>
    <col hidden="1" width="11.36328125" customWidth="1" style="69" min="238" max="16384"/>
  </cols>
  <sheetData>
    <row r="1" ht="19" customHeight="1" s="150"/>
    <row r="2" ht="20.25" customFormat="1" customHeight="1" s="17">
      <c r="A2" s="95" t="n"/>
      <c r="B2" s="95" t="n"/>
      <c r="C2" s="95" t="n"/>
      <c r="D2" s="95" t="n"/>
      <c r="E2" s="95" t="n"/>
      <c r="F2" s="224" t="inlineStr">
        <is>
          <t>PLAN DE ACCIÓN CORRECTIVA  PARA ATENDER LOS HALLAZGOS Y RECOMENDACIONES</t>
        </is>
      </c>
      <c r="Q2" s="95" t="n"/>
      <c r="R2" s="95" t="n"/>
      <c r="S2" s="95" t="n"/>
      <c r="T2" s="95" t="n"/>
      <c r="U2" s="95" t="n"/>
      <c r="V2" s="95" t="n"/>
      <c r="W2" s="95" t="n"/>
      <c r="X2" s="95" t="n"/>
      <c r="Y2" s="95" t="n"/>
      <c r="Z2" s="95" t="n"/>
      <c r="AA2" s="95" t="n"/>
      <c r="AB2" s="95" t="n"/>
      <c r="AC2" s="95" t="n"/>
      <c r="AD2" s="95" t="n"/>
      <c r="AE2" s="95" t="n"/>
      <c r="AF2" s="95" t="n"/>
      <c r="AG2" s="95" t="n"/>
      <c r="AH2" s="95" t="n"/>
      <c r="AI2" s="95" t="n"/>
      <c r="AJ2" s="95" t="n"/>
      <c r="AK2" s="95" t="n"/>
      <c r="AL2" s="95" t="n"/>
      <c r="AM2" s="95" t="n"/>
      <c r="AN2" s="95" t="n"/>
      <c r="AO2" s="95" t="n"/>
      <c r="AP2" s="95" t="n"/>
      <c r="AQ2" s="95" t="n"/>
      <c r="AR2" s="95" t="n"/>
      <c r="AS2" s="95" t="n"/>
      <c r="AT2" s="95" t="n"/>
      <c r="AU2" s="95" t="n"/>
      <c r="AV2" s="95" t="n"/>
      <c r="AW2" s="95" t="n"/>
      <c r="AX2" s="95" t="n"/>
      <c r="AY2" s="95" t="n"/>
      <c r="AZ2" s="95" t="n"/>
      <c r="BA2" s="95" t="n"/>
      <c r="BB2" s="95" t="n"/>
      <c r="BC2" s="95" t="n"/>
      <c r="BD2" s="95" t="n"/>
      <c r="BE2" s="95" t="n"/>
      <c r="BF2" s="95" t="n"/>
      <c r="BG2" s="95" t="n"/>
      <c r="BH2" s="95" t="n"/>
      <c r="BI2" s="95" t="n"/>
      <c r="BJ2" s="95" t="n"/>
      <c r="BK2" s="95" t="n"/>
      <c r="BL2" s="95" t="n"/>
      <c r="BM2" s="95" t="n"/>
      <c r="BN2" s="95" t="n"/>
      <c r="BO2" s="95" t="n"/>
      <c r="BP2" s="95" t="n"/>
      <c r="BQ2" s="95" t="n"/>
      <c r="BR2" s="95" t="n"/>
      <c r="BS2" s="95" t="n"/>
      <c r="BT2" s="95" t="n"/>
      <c r="BU2" s="95" t="n"/>
      <c r="BV2" s="95" t="n"/>
      <c r="BW2" s="95" t="n"/>
      <c r="BX2" s="95" t="n"/>
      <c r="BY2" s="95" t="n"/>
      <c r="BZ2" s="95" t="n"/>
      <c r="CA2" s="95" t="n"/>
      <c r="CB2" s="95" t="n"/>
      <c r="CC2" s="95" t="n"/>
      <c r="CD2" s="95" t="n"/>
      <c r="CE2" s="95" t="n"/>
      <c r="CF2" s="95" t="n"/>
      <c r="CG2" s="95" t="n"/>
      <c r="CH2" s="95" t="n"/>
      <c r="CI2" s="95" t="n"/>
      <c r="CJ2" s="95" t="n"/>
      <c r="CK2" s="95" t="n"/>
      <c r="CL2" s="95" t="n"/>
      <c r="CM2" s="95" t="n"/>
      <c r="CN2" s="95" t="n"/>
      <c r="CO2" s="95" t="n"/>
      <c r="CP2" s="95" t="n"/>
      <c r="CQ2" s="95" t="n"/>
      <c r="CR2" s="95" t="n"/>
      <c r="CS2" s="95" t="n"/>
      <c r="CT2" s="95" t="n"/>
      <c r="CU2" s="95" t="n"/>
      <c r="CV2" s="95" t="n"/>
      <c r="CW2" s="95" t="n"/>
      <c r="CX2" s="95" t="n"/>
      <c r="CY2" s="95" t="n"/>
      <c r="CZ2" s="95" t="n"/>
      <c r="DA2" s="95" t="n"/>
      <c r="DB2" s="95" t="n"/>
      <c r="DC2" s="95" t="n"/>
      <c r="DD2" s="95" t="n"/>
      <c r="DE2" s="95" t="n"/>
      <c r="DF2" s="95" t="n"/>
      <c r="DG2" s="95" t="n"/>
      <c r="DH2" s="95" t="n"/>
      <c r="DI2" s="95" t="n"/>
      <c r="DJ2" s="95" t="n"/>
      <c r="DK2" s="95" t="n"/>
      <c r="DL2" s="95" t="n"/>
      <c r="DM2" s="95" t="n"/>
      <c r="DN2" s="95" t="n"/>
      <c r="DO2" s="95" t="n"/>
      <c r="DP2" s="95" t="n"/>
      <c r="DQ2" s="95" t="n"/>
      <c r="DR2" s="95" t="n"/>
      <c r="DS2" s="95" t="n"/>
      <c r="DT2" s="95" t="n"/>
      <c r="DU2" s="95" t="n"/>
      <c r="DV2" s="95" t="n"/>
      <c r="DW2" s="95" t="n"/>
      <c r="DX2" s="95" t="n"/>
      <c r="DY2" s="95" t="n"/>
      <c r="DZ2" s="95" t="n"/>
      <c r="EA2" s="95" t="n"/>
      <c r="EB2" s="95" t="n"/>
      <c r="EC2" s="95" t="n"/>
      <c r="ED2" s="95" t="n"/>
      <c r="EE2" s="95" t="n"/>
      <c r="EF2" s="95" t="n"/>
      <c r="EG2" s="95" t="n"/>
      <c r="EH2" s="95" t="n"/>
      <c r="EI2" s="95" t="n"/>
      <c r="EJ2" s="95" t="n"/>
      <c r="EK2" s="95" t="n"/>
      <c r="EL2" s="95" t="n"/>
      <c r="EM2" s="95" t="n"/>
      <c r="EN2" s="95" t="n"/>
      <c r="EO2" s="95" t="n"/>
      <c r="EP2" s="95" t="n"/>
      <c r="EQ2" s="95" t="n"/>
      <c r="ER2" s="95" t="n"/>
      <c r="ES2" s="95" t="n"/>
      <c r="ET2" s="95" t="n"/>
      <c r="EU2" s="95" t="n"/>
      <c r="EV2" s="95" t="n"/>
      <c r="EW2" s="95" t="n"/>
      <c r="EX2" s="95" t="n"/>
      <c r="EY2" s="95" t="n"/>
      <c r="EZ2" s="95" t="n"/>
      <c r="FA2" s="95" t="n"/>
      <c r="FB2" s="95" t="n"/>
      <c r="FC2" s="95" t="n"/>
      <c r="FD2" s="95" t="n"/>
      <c r="FE2" s="95" t="n"/>
      <c r="FF2" s="95" t="n"/>
      <c r="FG2" s="95" t="n"/>
      <c r="FH2" s="95" t="n"/>
      <c r="FI2" s="95" t="n"/>
      <c r="FJ2" s="95" t="n"/>
      <c r="FK2" s="95" t="n"/>
      <c r="FL2" s="95" t="n"/>
      <c r="FM2" s="95" t="n"/>
      <c r="FN2" s="95" t="n"/>
      <c r="FO2" s="95" t="n"/>
      <c r="FP2" s="95" t="n"/>
      <c r="FQ2" s="95" t="n"/>
      <c r="FR2" s="95" t="n"/>
      <c r="FS2" s="95" t="n"/>
      <c r="FT2" s="95" t="n"/>
      <c r="FU2" s="95" t="n"/>
      <c r="FV2" s="95" t="n"/>
      <c r="FW2" s="95" t="n"/>
      <c r="FX2" s="95" t="n"/>
      <c r="FY2" s="95" t="n"/>
      <c r="FZ2" s="95" t="n"/>
      <c r="GA2" s="95" t="n"/>
      <c r="GB2" s="95" t="n"/>
      <c r="GC2" s="95" t="n"/>
      <c r="GD2" s="95" t="n"/>
      <c r="GE2" s="95" t="n"/>
      <c r="GF2" s="95" t="n"/>
      <c r="GG2" s="95" t="n"/>
      <c r="GH2" s="95" t="n"/>
      <c r="GI2" s="95" t="n"/>
      <c r="GJ2" s="95" t="n"/>
      <c r="GK2" s="95" t="n"/>
      <c r="GL2" s="95" t="n"/>
      <c r="GM2" s="95" t="n"/>
      <c r="GN2" s="95" t="n"/>
      <c r="GO2" s="95" t="n"/>
      <c r="GP2" s="95" t="n"/>
      <c r="GQ2" s="95" t="n"/>
      <c r="GR2" s="95" t="n"/>
      <c r="GS2" s="95" t="n"/>
      <c r="GT2" s="95" t="n"/>
      <c r="GU2" s="95" t="n"/>
      <c r="GV2" s="95" t="n"/>
      <c r="GW2" s="95" t="n"/>
      <c r="GX2" s="95" t="n"/>
      <c r="GY2" s="95" t="n"/>
      <c r="GZ2" s="95" t="n"/>
      <c r="HA2" s="95" t="n"/>
      <c r="HB2" s="95" t="n"/>
      <c r="HC2" s="95" t="n"/>
      <c r="HD2" s="95" t="n"/>
      <c r="HE2" s="95" t="n"/>
      <c r="HF2" s="95" t="n"/>
      <c r="HG2" s="95" t="n"/>
      <c r="HH2" s="95" t="n"/>
      <c r="HI2" s="95" t="n"/>
      <c r="HJ2" s="95" t="n"/>
      <c r="HK2" s="95" t="n"/>
      <c r="HL2" s="95" t="n"/>
      <c r="HM2" s="95" t="n"/>
      <c r="HN2" s="95" t="n"/>
      <c r="HO2" s="95" t="n"/>
      <c r="HP2" s="95" t="n"/>
      <c r="HQ2" s="95" t="n"/>
      <c r="HR2" s="95" t="n"/>
      <c r="HS2" s="95" t="n"/>
      <c r="HT2" s="95" t="n"/>
      <c r="HU2" s="95" t="n"/>
      <c r="HV2" s="95" t="n"/>
      <c r="HW2" s="95" t="n"/>
      <c r="HX2" s="95" t="n"/>
      <c r="HY2" s="95" t="n"/>
      <c r="HZ2" s="95" t="n"/>
      <c r="IA2" s="95" t="n"/>
      <c r="IB2" s="95" t="n"/>
      <c r="IC2" s="95" t="n"/>
      <c r="ID2" s="95" t="n"/>
      <c r="IE2" s="95" t="n"/>
      <c r="IF2" s="95" t="n"/>
      <c r="IG2" s="95" t="n"/>
      <c r="IH2" s="95" t="n"/>
      <c r="II2" s="95" t="n"/>
      <c r="IJ2" s="95" t="n"/>
      <c r="IK2" s="95" t="n"/>
      <c r="IL2" s="95" t="n"/>
      <c r="IM2" s="95" t="n"/>
      <c r="IN2" s="95" t="n"/>
      <c r="IO2" s="95" t="n"/>
      <c r="IP2" s="95" t="n"/>
      <c r="IQ2" s="95" t="n"/>
      <c r="IR2" s="95" t="n"/>
      <c r="IS2" s="95" t="n"/>
      <c r="IT2" s="95" t="n"/>
      <c r="IU2" s="95" t="n"/>
      <c r="IV2" s="95" t="n"/>
      <c r="IW2" s="95" t="n"/>
      <c r="IX2" s="95" t="n"/>
      <c r="IY2" s="95" t="n"/>
      <c r="IZ2" s="95" t="n"/>
      <c r="JA2" s="95" t="n"/>
      <c r="JB2" s="95" t="n"/>
      <c r="JC2" s="95" t="n"/>
      <c r="JD2" s="95" t="n"/>
      <c r="JE2" s="95" t="n"/>
      <c r="JF2" s="95" t="n"/>
      <c r="JG2" s="95" t="n"/>
      <c r="JH2" s="95" t="n"/>
      <c r="JI2" s="95" t="n"/>
      <c r="JJ2" s="95" t="n"/>
      <c r="JK2" s="95" t="n"/>
      <c r="JL2" s="95" t="n"/>
      <c r="JM2" s="95" t="n"/>
      <c r="JN2" s="95" t="n"/>
      <c r="JO2" s="95" t="n"/>
      <c r="JP2" s="95" t="n"/>
      <c r="JQ2" s="95" t="n"/>
      <c r="JR2" s="95" t="n"/>
      <c r="JS2" s="95" t="n"/>
      <c r="JT2" s="95" t="n"/>
      <c r="JU2" s="95" t="n"/>
      <c r="JV2" s="95" t="n"/>
      <c r="JW2" s="95" t="n"/>
      <c r="JX2" s="95" t="n"/>
      <c r="JY2" s="95" t="n"/>
      <c r="JZ2" s="95" t="n"/>
      <c r="KA2" s="95" t="n"/>
      <c r="KB2" s="95" t="n"/>
      <c r="KC2" s="95" t="n"/>
      <c r="KD2" s="95" t="n"/>
      <c r="KE2" s="95" t="n"/>
      <c r="KF2" s="95" t="n"/>
      <c r="KG2" s="95" t="n"/>
      <c r="KH2" s="95" t="n"/>
      <c r="KI2" s="95" t="n"/>
      <c r="KJ2" s="95" t="n"/>
      <c r="KK2" s="95" t="n"/>
      <c r="KL2" s="95" t="n"/>
      <c r="KM2" s="95" t="n"/>
      <c r="KN2" s="95" t="n"/>
      <c r="KO2" s="95" t="n"/>
      <c r="KP2" s="95" t="n"/>
      <c r="KQ2" s="95" t="n"/>
      <c r="KR2" s="95" t="n"/>
      <c r="KS2" s="95" t="n"/>
      <c r="KT2" s="95" t="n"/>
      <c r="KU2" s="95" t="n"/>
      <c r="KV2" s="95" t="n"/>
      <c r="KW2" s="95" t="n"/>
      <c r="KX2" s="95" t="n"/>
      <c r="KY2" s="95" t="n"/>
      <c r="KZ2" s="95" t="n"/>
      <c r="LA2" s="95" t="n"/>
      <c r="LB2" s="95" t="n"/>
      <c r="LC2" s="95" t="n"/>
      <c r="LD2" s="95" t="n"/>
      <c r="LE2" s="95" t="n"/>
      <c r="LF2" s="95" t="n"/>
      <c r="LG2" s="95" t="n"/>
      <c r="LH2" s="95" t="n"/>
      <c r="LI2" s="95" t="n"/>
      <c r="LJ2" s="95" t="n"/>
      <c r="LK2" s="95" t="n"/>
      <c r="LL2" s="95" t="n"/>
      <c r="LM2" s="95" t="n"/>
      <c r="LN2" s="95" t="n"/>
      <c r="LO2" s="95" t="n"/>
      <c r="LP2" s="95" t="n"/>
      <c r="LQ2" s="95" t="n"/>
      <c r="LR2" s="95" t="n"/>
      <c r="LS2" s="95" t="n"/>
      <c r="LT2" s="95" t="n"/>
      <c r="LU2" s="95" t="n"/>
      <c r="LV2" s="95" t="n"/>
      <c r="LW2" s="95" t="n"/>
      <c r="LX2" s="95" t="n"/>
      <c r="LY2" s="95" t="n"/>
      <c r="LZ2" s="95" t="n"/>
      <c r="MA2" s="95" t="n"/>
      <c r="MB2" s="95" t="n"/>
      <c r="MC2" s="95" t="n"/>
      <c r="MD2" s="95" t="n"/>
      <c r="ME2" s="95" t="n"/>
      <c r="MF2" s="95" t="n"/>
      <c r="MG2" s="95" t="n"/>
      <c r="MH2" s="95" t="n"/>
      <c r="MI2" s="95" t="n"/>
      <c r="MJ2" s="95" t="n"/>
      <c r="MK2" s="95" t="n"/>
      <c r="ML2" s="95" t="n"/>
      <c r="MM2" s="95" t="n"/>
      <c r="MN2" s="95" t="n"/>
      <c r="MO2" s="95" t="n"/>
      <c r="MP2" s="95" t="n"/>
      <c r="MQ2" s="95" t="n"/>
      <c r="MR2" s="95" t="n"/>
      <c r="MS2" s="95" t="n"/>
      <c r="MT2" s="95" t="n"/>
      <c r="MU2" s="95" t="n"/>
      <c r="MV2" s="95" t="n"/>
      <c r="MW2" s="95" t="n"/>
      <c r="MX2" s="95" t="n"/>
      <c r="MY2" s="95" t="n"/>
      <c r="MZ2" s="95" t="n"/>
      <c r="NA2" s="95" t="n"/>
      <c r="NB2" s="95" t="n"/>
      <c r="NC2" s="95" t="n"/>
      <c r="ND2" s="95" t="n"/>
      <c r="NE2" s="95" t="n"/>
      <c r="NF2" s="95" t="n"/>
      <c r="NG2" s="95" t="n"/>
      <c r="NH2" s="95" t="n"/>
      <c r="NI2" s="95" t="n"/>
      <c r="NJ2" s="95" t="n"/>
      <c r="NK2" s="95" t="n"/>
      <c r="NL2" s="95" t="n"/>
      <c r="NM2" s="95" t="n"/>
      <c r="NN2" s="95" t="n"/>
      <c r="NO2" s="95" t="n"/>
      <c r="NP2" s="95" t="n"/>
      <c r="NQ2" s="95" t="n"/>
      <c r="NR2" s="95" t="n"/>
      <c r="NS2" s="95" t="n"/>
      <c r="NT2" s="95" t="n"/>
      <c r="NU2" s="95" t="n"/>
      <c r="NV2" s="95" t="n"/>
      <c r="NW2" s="95" t="n"/>
      <c r="NX2" s="95" t="n"/>
      <c r="NY2" s="95" t="n"/>
      <c r="NZ2" s="95" t="n"/>
      <c r="OA2" s="95" t="n"/>
      <c r="OB2" s="95" t="n"/>
      <c r="OC2" s="95" t="n"/>
      <c r="OD2" s="95" t="n"/>
      <c r="OE2" s="95" t="n"/>
      <c r="OF2" s="95" t="n"/>
      <c r="OG2" s="95" t="n"/>
      <c r="OH2" s="95" t="n"/>
      <c r="OI2" s="95" t="n"/>
      <c r="OJ2" s="95" t="n"/>
      <c r="OK2" s="95" t="n"/>
      <c r="OL2" s="95" t="n"/>
      <c r="OM2" s="95" t="n"/>
      <c r="ON2" s="95" t="n"/>
      <c r="OO2" s="95" t="n"/>
      <c r="OP2" s="95" t="n"/>
      <c r="OQ2" s="95" t="n"/>
      <c r="OR2" s="95" t="n"/>
      <c r="OS2" s="95" t="n"/>
      <c r="OT2" s="95" t="n"/>
      <c r="OU2" s="95" t="n"/>
      <c r="OV2" s="95" t="n"/>
      <c r="OW2" s="95" t="n"/>
      <c r="OX2" s="95" t="n"/>
      <c r="OY2" s="95" t="n"/>
      <c r="OZ2" s="95" t="n"/>
      <c r="PA2" s="95" t="n"/>
      <c r="PB2" s="95" t="n"/>
      <c r="PC2" s="95" t="n"/>
      <c r="PD2" s="95" t="n"/>
      <c r="PE2" s="95" t="n"/>
      <c r="PF2" s="95" t="n"/>
      <c r="PG2" s="95" t="n"/>
      <c r="PH2" s="95" t="n"/>
      <c r="PI2" s="95" t="n"/>
      <c r="PJ2" s="95" t="n"/>
      <c r="PK2" s="95" t="n"/>
      <c r="PL2" s="95" t="n"/>
      <c r="PM2" s="95" t="n"/>
      <c r="PN2" s="95" t="n"/>
      <c r="PO2" s="95" t="n"/>
      <c r="PP2" s="95" t="n"/>
      <c r="PQ2" s="95" t="n"/>
      <c r="PR2" s="95" t="n"/>
      <c r="PS2" s="95" t="n"/>
      <c r="PT2" s="95" t="n"/>
      <c r="PU2" s="95" t="n"/>
      <c r="PV2" s="95" t="n"/>
      <c r="PW2" s="95" t="n"/>
      <c r="PX2" s="95" t="n"/>
      <c r="PY2" s="95" t="n"/>
      <c r="PZ2" s="95" t="n"/>
      <c r="QA2" s="95" t="n"/>
      <c r="QB2" s="95" t="n"/>
      <c r="QC2" s="95" t="n"/>
      <c r="QD2" s="95" t="n"/>
      <c r="QE2" s="95" t="n"/>
      <c r="QF2" s="95" t="n"/>
      <c r="QG2" s="95" t="n"/>
      <c r="QH2" s="95" t="n"/>
      <c r="QI2" s="95" t="n"/>
      <c r="QJ2" s="95" t="n"/>
      <c r="QK2" s="95" t="n"/>
      <c r="QL2" s="95" t="n"/>
      <c r="QM2" s="95" t="n"/>
      <c r="QN2" s="95" t="n"/>
      <c r="QO2" s="95" t="n"/>
      <c r="QP2" s="95" t="n"/>
      <c r="QQ2" s="95" t="n"/>
      <c r="QR2" s="95" t="n"/>
      <c r="QS2" s="95" t="n"/>
      <c r="QT2" s="95" t="n"/>
      <c r="QU2" s="95" t="n"/>
      <c r="QV2" s="95" t="n"/>
      <c r="QW2" s="95" t="n"/>
      <c r="QX2" s="95" t="n"/>
      <c r="QY2" s="95" t="n"/>
      <c r="QZ2" s="95" t="n"/>
      <c r="RA2" s="95" t="n"/>
      <c r="RB2" s="95" t="n"/>
      <c r="RC2" s="95" t="n"/>
      <c r="RD2" s="95" t="n"/>
      <c r="RE2" s="95" t="n"/>
      <c r="RF2" s="95" t="n"/>
      <c r="RG2" s="95" t="n"/>
      <c r="RH2" s="95" t="n"/>
      <c r="RI2" s="95" t="n"/>
      <c r="RJ2" s="95" t="n"/>
      <c r="RK2" s="95" t="n"/>
      <c r="RL2" s="95" t="n"/>
      <c r="RM2" s="95" t="n"/>
      <c r="RN2" s="95" t="n"/>
      <c r="RO2" s="95" t="n"/>
      <c r="RP2" s="95" t="n"/>
      <c r="RQ2" s="95" t="n"/>
      <c r="RR2" s="95" t="n"/>
      <c r="RS2" s="95" t="n"/>
      <c r="RT2" s="95" t="n"/>
      <c r="RU2" s="95" t="n"/>
      <c r="RV2" s="95" t="n"/>
      <c r="RW2" s="95" t="n"/>
      <c r="RX2" s="95" t="n"/>
      <c r="RY2" s="95" t="n"/>
      <c r="RZ2" s="95" t="n"/>
      <c r="SA2" s="95" t="n"/>
      <c r="SB2" s="95" t="n"/>
      <c r="SC2" s="95" t="n"/>
      <c r="SD2" s="95" t="n"/>
      <c r="SE2" s="95" t="n"/>
      <c r="SF2" s="95" t="n"/>
      <c r="SG2" s="95" t="n"/>
      <c r="SH2" s="95" t="n"/>
      <c r="SI2" s="95" t="n"/>
      <c r="SJ2" s="95" t="n"/>
      <c r="SK2" s="95" t="n"/>
      <c r="SL2" s="95" t="n"/>
      <c r="SM2" s="95" t="n"/>
      <c r="SN2" s="95" t="n"/>
      <c r="SO2" s="95" t="n"/>
      <c r="SP2" s="95" t="n"/>
      <c r="SQ2" s="95" t="n"/>
      <c r="SR2" s="95" t="n"/>
      <c r="SS2" s="95" t="n"/>
      <c r="ST2" s="95" t="n"/>
      <c r="SU2" s="95" t="n"/>
      <c r="SV2" s="95" t="n"/>
      <c r="SW2" s="95" t="n"/>
      <c r="SX2" s="95" t="n"/>
      <c r="SY2" s="95" t="n"/>
      <c r="SZ2" s="95" t="n"/>
      <c r="TA2" s="95" t="n"/>
      <c r="TB2" s="95" t="n"/>
      <c r="TC2" s="95" t="n"/>
      <c r="TD2" s="95" t="n"/>
      <c r="TE2" s="95" t="n"/>
      <c r="TF2" s="95" t="n"/>
      <c r="TG2" s="95" t="n"/>
      <c r="TH2" s="95" t="n"/>
      <c r="TI2" s="95" t="n"/>
      <c r="TJ2" s="95" t="n"/>
      <c r="TK2" s="95" t="n"/>
      <c r="TL2" s="95" t="n"/>
      <c r="TM2" s="95" t="n"/>
      <c r="TN2" s="95" t="n"/>
      <c r="TO2" s="95" t="n"/>
      <c r="TP2" s="95" t="n"/>
      <c r="TQ2" s="95" t="n"/>
      <c r="TR2" s="95" t="n"/>
      <c r="TS2" s="95" t="n"/>
      <c r="TT2" s="95" t="n"/>
      <c r="TU2" s="95" t="n"/>
      <c r="TV2" s="95" t="n"/>
      <c r="TW2" s="95" t="n"/>
      <c r="TX2" s="95" t="n"/>
      <c r="TY2" s="95" t="n"/>
      <c r="TZ2" s="95" t="n"/>
      <c r="UA2" s="95" t="n"/>
      <c r="UB2" s="95" t="n"/>
      <c r="UC2" s="95" t="n"/>
      <c r="UD2" s="95" t="n"/>
      <c r="UE2" s="95" t="n"/>
      <c r="UF2" s="95" t="n"/>
      <c r="UG2" s="95" t="n"/>
      <c r="UH2" s="95" t="n"/>
      <c r="UI2" s="95" t="n"/>
      <c r="UJ2" s="95" t="n"/>
      <c r="UK2" s="95" t="n"/>
      <c r="UL2" s="95" t="n"/>
      <c r="UM2" s="95" t="n"/>
      <c r="UN2" s="95" t="n"/>
      <c r="UO2" s="95" t="n"/>
      <c r="UP2" s="95" t="n"/>
      <c r="UQ2" s="95" t="n"/>
      <c r="UR2" s="95" t="n"/>
      <c r="US2" s="95" t="n"/>
      <c r="UT2" s="95" t="n"/>
      <c r="UU2" s="95" t="n"/>
      <c r="UV2" s="95" t="n"/>
      <c r="UW2" s="95" t="n"/>
      <c r="UX2" s="95" t="n"/>
      <c r="UY2" s="95" t="n"/>
      <c r="UZ2" s="95" t="n"/>
      <c r="VA2" s="95" t="n"/>
      <c r="VB2" s="95" t="n"/>
      <c r="VC2" s="95" t="n"/>
      <c r="VD2" s="95" t="n"/>
      <c r="VE2" s="95" t="n"/>
      <c r="VF2" s="95" t="n"/>
      <c r="VG2" s="95" t="n"/>
      <c r="VH2" s="95" t="n"/>
      <c r="VI2" s="95" t="n"/>
      <c r="VJ2" s="95" t="n"/>
      <c r="VK2" s="95" t="n"/>
      <c r="VL2" s="95" t="n"/>
      <c r="VM2" s="95" t="n"/>
      <c r="VN2" s="95" t="n"/>
      <c r="VO2" s="95" t="n"/>
      <c r="VP2" s="95" t="n"/>
      <c r="VQ2" s="95" t="n"/>
      <c r="VR2" s="95" t="n"/>
      <c r="VS2" s="95" t="n"/>
      <c r="VT2" s="95" t="n"/>
      <c r="VU2" s="95" t="n"/>
      <c r="VV2" s="95" t="n"/>
      <c r="VW2" s="95" t="n"/>
      <c r="VX2" s="95" t="n"/>
      <c r="VY2" s="95" t="n"/>
      <c r="VZ2" s="95" t="n"/>
      <c r="WA2" s="95" t="n"/>
      <c r="WB2" s="95" t="n"/>
      <c r="WC2" s="95" t="n"/>
      <c r="WD2" s="95" t="n"/>
      <c r="WE2" s="95" t="n"/>
      <c r="WF2" s="95" t="n"/>
      <c r="WG2" s="95" t="n"/>
      <c r="WH2" s="95" t="n"/>
      <c r="WI2" s="95" t="n"/>
      <c r="WJ2" s="95" t="n"/>
      <c r="WK2" s="95" t="n"/>
      <c r="WL2" s="95" t="n"/>
      <c r="WM2" s="95" t="n"/>
      <c r="WN2" s="95" t="n"/>
      <c r="WO2" s="95" t="n"/>
      <c r="WP2" s="95" t="n"/>
      <c r="WQ2" s="95" t="n"/>
      <c r="WR2" s="95" t="n"/>
      <c r="WS2" s="95" t="n"/>
      <c r="WT2" s="95" t="n"/>
      <c r="WU2" s="95" t="n"/>
      <c r="WV2" s="95" t="n"/>
      <c r="WW2" s="95" t="n"/>
      <c r="WX2" s="95" t="n"/>
      <c r="WY2" s="95" t="n"/>
      <c r="WZ2" s="95" t="n"/>
      <c r="XA2" s="95" t="n"/>
      <c r="XB2" s="95" t="n"/>
      <c r="XC2" s="95" t="n"/>
      <c r="XD2" s="95" t="n"/>
      <c r="XE2" s="95" t="n"/>
      <c r="XF2" s="95" t="n"/>
      <c r="XG2" s="95" t="n"/>
      <c r="XH2" s="95" t="n"/>
      <c r="XI2" s="95" t="n"/>
      <c r="XJ2" s="95" t="n"/>
      <c r="XK2" s="95" t="n"/>
      <c r="XL2" s="95" t="n"/>
      <c r="XM2" s="95" t="n"/>
      <c r="XN2" s="95" t="n"/>
      <c r="XO2" s="95" t="n"/>
      <c r="XP2" s="95" t="n"/>
      <c r="XQ2" s="95" t="n"/>
      <c r="XR2" s="95" t="n"/>
      <c r="XS2" s="95" t="n"/>
      <c r="XT2" s="95" t="n"/>
      <c r="XU2" s="95" t="n"/>
      <c r="XV2" s="95" t="n"/>
      <c r="XW2" s="95" t="n"/>
      <c r="XX2" s="95" t="n"/>
      <c r="XY2" s="95" t="n"/>
      <c r="XZ2" s="95" t="n"/>
      <c r="YA2" s="95" t="n"/>
      <c r="YB2" s="95" t="n"/>
      <c r="YC2" s="95" t="n"/>
      <c r="YD2" s="95" t="n"/>
      <c r="YE2" s="95" t="n"/>
      <c r="YF2" s="95" t="n"/>
      <c r="YG2" s="95" t="n"/>
      <c r="YH2" s="95" t="n"/>
      <c r="YI2" s="95" t="n"/>
      <c r="YJ2" s="95" t="n"/>
      <c r="YK2" s="95" t="n"/>
      <c r="YL2" s="95" t="n"/>
      <c r="YM2" s="95" t="n"/>
      <c r="YN2" s="95" t="n"/>
      <c r="YO2" s="95" t="n"/>
      <c r="YP2" s="95" t="n"/>
      <c r="YQ2" s="95" t="n"/>
      <c r="YR2" s="95" t="n"/>
      <c r="YS2" s="95" t="n"/>
      <c r="YT2" s="95" t="n"/>
      <c r="YU2" s="95" t="n"/>
      <c r="YV2" s="95" t="n"/>
      <c r="YW2" s="95" t="n"/>
      <c r="YX2" s="95" t="n"/>
      <c r="YY2" s="95" t="n"/>
      <c r="YZ2" s="95" t="n"/>
      <c r="ZA2" s="95" t="n"/>
      <c r="ZB2" s="95" t="n"/>
      <c r="ZC2" s="95" t="n"/>
      <c r="ZD2" s="95" t="n"/>
      <c r="ZE2" s="95" t="n"/>
      <c r="ZF2" s="95" t="n"/>
      <c r="ZG2" s="95" t="n"/>
      <c r="ZH2" s="95" t="n"/>
      <c r="ZI2" s="95" t="n"/>
      <c r="ZJ2" s="95" t="n"/>
      <c r="ZK2" s="95" t="n"/>
      <c r="ZL2" s="95" t="n"/>
      <c r="ZM2" s="95" t="n"/>
      <c r="ZN2" s="95" t="n"/>
      <c r="ZO2" s="95" t="n"/>
      <c r="ZP2" s="95" t="n"/>
      <c r="ZQ2" s="95" t="n"/>
      <c r="ZR2" s="95" t="n"/>
      <c r="ZS2" s="95" t="n"/>
      <c r="ZT2" s="95" t="n"/>
      <c r="ZU2" s="95" t="n"/>
      <c r="ZV2" s="95" t="n"/>
      <c r="ZW2" s="95" t="n"/>
      <c r="ZX2" s="95" t="n"/>
      <c r="ZY2" s="95" t="n"/>
      <c r="ZZ2" s="95" t="n"/>
      <c r="AAA2" s="95" t="n"/>
      <c r="AAB2" s="95" t="n"/>
      <c r="AAC2" s="95" t="n"/>
      <c r="AAD2" s="95" t="n"/>
      <c r="AAE2" s="95" t="n"/>
      <c r="AAF2" s="95" t="n"/>
      <c r="AAG2" s="95" t="n"/>
      <c r="AAH2" s="95" t="n"/>
      <c r="AAI2" s="95" t="n"/>
      <c r="AAJ2" s="95" t="n"/>
      <c r="AAK2" s="95" t="n"/>
      <c r="AAL2" s="95" t="n"/>
      <c r="AAM2" s="95" t="n"/>
      <c r="AAN2" s="95" t="n"/>
      <c r="AAO2" s="95" t="n"/>
      <c r="AAP2" s="95" t="n"/>
      <c r="AAQ2" s="95" t="n"/>
      <c r="AAR2" s="95" t="n"/>
      <c r="AAS2" s="95" t="n"/>
      <c r="AAT2" s="95" t="n"/>
      <c r="AAU2" s="95" t="n"/>
      <c r="AAV2" s="95" t="n"/>
      <c r="AAW2" s="95" t="n"/>
      <c r="AAX2" s="95" t="n"/>
      <c r="AAY2" s="95" t="n"/>
      <c r="AAZ2" s="95" t="n"/>
      <c r="ABA2" s="95" t="n"/>
      <c r="ABB2" s="95" t="n"/>
      <c r="ABC2" s="95" t="n"/>
      <c r="ABD2" s="95" t="n"/>
      <c r="ABE2" s="95" t="n"/>
      <c r="ABF2" s="95" t="n"/>
      <c r="ABG2" s="95" t="n"/>
      <c r="ABH2" s="95" t="n"/>
      <c r="ABI2" s="95" t="n"/>
      <c r="ABJ2" s="95" t="n"/>
      <c r="ABK2" s="95" t="n"/>
      <c r="ABL2" s="95" t="n"/>
      <c r="ABM2" s="95" t="n"/>
      <c r="ABN2" s="95" t="n"/>
      <c r="ABO2" s="95" t="n"/>
      <c r="ABP2" s="95" t="n"/>
      <c r="ABQ2" s="95" t="n"/>
      <c r="ABR2" s="95" t="n"/>
      <c r="ABS2" s="95" t="n"/>
      <c r="ABT2" s="95" t="n"/>
      <c r="ABU2" s="95" t="n"/>
      <c r="ABV2" s="95" t="n"/>
      <c r="ABW2" s="95" t="n"/>
      <c r="ABX2" s="95" t="n"/>
      <c r="ABY2" s="95" t="n"/>
      <c r="ABZ2" s="95" t="n"/>
      <c r="ACA2" s="95" t="n"/>
      <c r="ACB2" s="95" t="n"/>
      <c r="ACC2" s="95" t="n"/>
      <c r="ACD2" s="95" t="n"/>
      <c r="ACE2" s="95" t="n"/>
      <c r="ACF2" s="95" t="n"/>
      <c r="ACG2" s="95" t="n"/>
      <c r="ACH2" s="95" t="n"/>
      <c r="ACI2" s="95" t="n"/>
      <c r="ACJ2" s="95" t="n"/>
      <c r="ACK2" s="95" t="n"/>
      <c r="ACL2" s="95" t="n"/>
      <c r="ACM2" s="95" t="n"/>
      <c r="ACN2" s="95" t="n"/>
      <c r="ACO2" s="95" t="n"/>
      <c r="ACP2" s="95" t="n"/>
      <c r="ACQ2" s="95" t="n"/>
      <c r="ACR2" s="95" t="n"/>
      <c r="ACS2" s="95" t="n"/>
      <c r="ACT2" s="95" t="n"/>
      <c r="ACU2" s="95" t="n"/>
      <c r="ACV2" s="95" t="n"/>
      <c r="ACW2" s="95" t="n"/>
      <c r="ACX2" s="95" t="n"/>
      <c r="ACY2" s="95" t="n"/>
      <c r="ACZ2" s="95" t="n"/>
      <c r="ADA2" s="95" t="n"/>
      <c r="ADB2" s="95" t="n"/>
      <c r="ADC2" s="95" t="n"/>
      <c r="ADD2" s="95" t="n"/>
      <c r="ADE2" s="95" t="n"/>
      <c r="ADF2" s="95" t="n"/>
      <c r="ADG2" s="95" t="n"/>
      <c r="ADH2" s="95" t="n"/>
      <c r="ADI2" s="95" t="n"/>
      <c r="ADJ2" s="95" t="n"/>
      <c r="ADK2" s="95" t="n"/>
      <c r="ADL2" s="95" t="n"/>
      <c r="ADM2" s="95" t="n"/>
      <c r="ADN2" s="95" t="n"/>
      <c r="ADO2" s="95" t="n"/>
      <c r="ADP2" s="95" t="n"/>
      <c r="ADQ2" s="95" t="n"/>
      <c r="ADR2" s="95" t="n"/>
      <c r="ADS2" s="95" t="n"/>
      <c r="ADT2" s="95" t="n"/>
      <c r="ADU2" s="95" t="n"/>
      <c r="ADV2" s="95" t="n"/>
      <c r="ADW2" s="95" t="n"/>
      <c r="ADX2" s="95" t="n"/>
      <c r="ADY2" s="95" t="n"/>
      <c r="ADZ2" s="95" t="n"/>
      <c r="AEA2" s="95" t="n"/>
      <c r="AEB2" s="95" t="n"/>
      <c r="AEC2" s="95" t="n"/>
      <c r="AED2" s="95" t="n"/>
      <c r="AEE2" s="95" t="n"/>
      <c r="AEF2" s="95" t="n"/>
      <c r="AEG2" s="95" t="n"/>
      <c r="AEH2" s="95" t="n"/>
      <c r="AEI2" s="95" t="n"/>
      <c r="AEJ2" s="95" t="n"/>
      <c r="AEK2" s="95" t="n"/>
      <c r="AEL2" s="95" t="n"/>
      <c r="AEM2" s="95" t="n"/>
      <c r="AEN2" s="95" t="n"/>
      <c r="AEO2" s="95" t="n"/>
      <c r="AEP2" s="95" t="n"/>
      <c r="AEQ2" s="95" t="n"/>
      <c r="AER2" s="95" t="n"/>
      <c r="AES2" s="95" t="n"/>
      <c r="AET2" s="95" t="n"/>
      <c r="AEU2" s="95" t="n"/>
      <c r="AEV2" s="95" t="n"/>
      <c r="AEW2" s="95" t="n"/>
      <c r="AEX2" s="95" t="n"/>
      <c r="AEY2" s="95" t="n"/>
      <c r="AEZ2" s="95" t="n"/>
      <c r="AFA2" s="95" t="n"/>
      <c r="AFB2" s="95" t="n"/>
      <c r="AFC2" s="95" t="n"/>
      <c r="AFD2" s="95" t="n"/>
      <c r="AFE2" s="95" t="n"/>
      <c r="AFF2" s="95" t="n"/>
      <c r="AFG2" s="95" t="n"/>
      <c r="AFH2" s="95" t="n"/>
      <c r="AFI2" s="95" t="n"/>
      <c r="AFJ2" s="95" t="n"/>
      <c r="AFK2" s="95" t="n"/>
      <c r="AFL2" s="95" t="n"/>
      <c r="AFM2" s="95" t="n"/>
      <c r="AFN2" s="95" t="n"/>
      <c r="AFO2" s="95" t="n"/>
      <c r="AFP2" s="95" t="n"/>
      <c r="AFQ2" s="95" t="n"/>
      <c r="AFR2" s="95" t="n"/>
      <c r="AFS2" s="95" t="n"/>
      <c r="AFT2" s="95" t="n"/>
      <c r="AFU2" s="95" t="n"/>
      <c r="AFV2" s="95" t="n"/>
      <c r="AFW2" s="95" t="n"/>
      <c r="AFX2" s="95" t="n"/>
      <c r="AFY2" s="95" t="n"/>
      <c r="AFZ2" s="95" t="n"/>
      <c r="AGA2" s="95" t="n"/>
      <c r="AGB2" s="95" t="n"/>
      <c r="AGC2" s="95" t="n"/>
      <c r="AGD2" s="95" t="n"/>
      <c r="AGE2" s="95" t="n"/>
      <c r="AGF2" s="95" t="n"/>
      <c r="AGG2" s="95" t="n"/>
      <c r="AGH2" s="95" t="n"/>
      <c r="AGI2" s="95" t="n"/>
      <c r="AGJ2" s="95" t="n"/>
      <c r="AGK2" s="95" t="n"/>
      <c r="AGL2" s="95" t="n"/>
      <c r="AGM2" s="95" t="n"/>
      <c r="AGN2" s="95" t="n"/>
      <c r="AGO2" s="95" t="n"/>
      <c r="AGP2" s="95" t="n"/>
      <c r="AGQ2" s="95" t="n"/>
      <c r="AGR2" s="95" t="n"/>
      <c r="AGS2" s="95" t="n"/>
      <c r="AGT2" s="95" t="n"/>
      <c r="AGU2" s="95" t="n"/>
      <c r="AGV2" s="95" t="n"/>
      <c r="AGW2" s="95" t="n"/>
      <c r="AGX2" s="95" t="n"/>
      <c r="AGY2" s="95" t="n"/>
      <c r="AGZ2" s="95" t="n"/>
      <c r="AHA2" s="95" t="n"/>
      <c r="AHB2" s="95" t="n"/>
      <c r="AHC2" s="95" t="n"/>
      <c r="AHD2" s="95" t="n"/>
      <c r="AHE2" s="95" t="n"/>
      <c r="AHF2" s="95" t="n"/>
      <c r="AHG2" s="95" t="n"/>
      <c r="AHH2" s="95" t="n"/>
      <c r="AHI2" s="95" t="n"/>
      <c r="AHJ2" s="95" t="n"/>
      <c r="AHK2" s="95" t="n"/>
      <c r="AHL2" s="95" t="n"/>
      <c r="AHM2" s="95" t="n"/>
      <c r="AHN2" s="95" t="n"/>
      <c r="AHO2" s="95" t="n"/>
      <c r="AHP2" s="95" t="n"/>
      <c r="AHQ2" s="95" t="n"/>
      <c r="AHR2" s="95" t="n"/>
      <c r="AHS2" s="95" t="n"/>
      <c r="AHT2" s="95" t="n"/>
      <c r="AHU2" s="95" t="n"/>
      <c r="AHV2" s="95" t="n"/>
      <c r="AHW2" s="95" t="n"/>
      <c r="AHX2" s="95" t="n"/>
      <c r="AHY2" s="95" t="n"/>
      <c r="AHZ2" s="95" t="n"/>
      <c r="AIA2" s="95" t="n"/>
      <c r="AIB2" s="95" t="n"/>
      <c r="AIC2" s="95" t="n"/>
      <c r="AID2" s="95" t="n"/>
      <c r="AIE2" s="95" t="n"/>
      <c r="AIF2" s="95" t="n"/>
      <c r="AIG2" s="95" t="n"/>
      <c r="AIH2" s="95" t="n"/>
      <c r="AII2" s="95" t="n"/>
      <c r="AIJ2" s="95" t="n"/>
      <c r="AIK2" s="95" t="n"/>
      <c r="AIL2" s="95" t="n"/>
      <c r="AIM2" s="95" t="n"/>
      <c r="AIN2" s="95" t="n"/>
      <c r="AIO2" s="95" t="n"/>
      <c r="AIP2" s="95" t="n"/>
      <c r="AIQ2" s="95" t="n"/>
      <c r="AIR2" s="95" t="n"/>
      <c r="AIS2" s="95" t="n"/>
      <c r="AIT2" s="95" t="n"/>
      <c r="AIU2" s="95" t="n"/>
      <c r="AIV2" s="95" t="n"/>
      <c r="AIW2" s="95" t="n"/>
      <c r="AIX2" s="95" t="n"/>
      <c r="AIY2" s="95" t="n"/>
      <c r="AIZ2" s="95" t="n"/>
      <c r="AJA2" s="95" t="n"/>
      <c r="AJB2" s="95" t="n"/>
      <c r="AJC2" s="95" t="n"/>
      <c r="AJD2" s="95" t="n"/>
      <c r="AJE2" s="95" t="n"/>
      <c r="AJF2" s="95" t="n"/>
      <c r="AJG2" s="95" t="n"/>
      <c r="AJH2" s="95" t="n"/>
      <c r="AJI2" s="95" t="n"/>
      <c r="AJJ2" s="95" t="n"/>
      <c r="AJK2" s="95" t="n"/>
      <c r="AJL2" s="95" t="n"/>
      <c r="AJM2" s="95" t="n"/>
      <c r="AJN2" s="95" t="n"/>
      <c r="AJO2" s="95" t="n"/>
      <c r="AJP2" s="95" t="n"/>
      <c r="AJQ2" s="95" t="n"/>
      <c r="AJR2" s="95" t="n"/>
      <c r="AJS2" s="95" t="n"/>
      <c r="AJT2" s="95" t="n"/>
      <c r="AJU2" s="95" t="n"/>
      <c r="AJV2" s="95" t="n"/>
      <c r="AJW2" s="95" t="n"/>
      <c r="AJX2" s="95" t="n"/>
      <c r="AJY2" s="95" t="n"/>
      <c r="AJZ2" s="95" t="n"/>
      <c r="AKA2" s="95" t="n"/>
      <c r="AKB2" s="95" t="n"/>
      <c r="AKC2" s="95" t="n"/>
      <c r="AKD2" s="95" t="n"/>
      <c r="AKE2" s="95" t="n"/>
      <c r="AKF2" s="95" t="n"/>
      <c r="AKG2" s="95" t="n"/>
      <c r="AKH2" s="95" t="n"/>
      <c r="AKI2" s="95" t="n"/>
      <c r="AKJ2" s="95" t="n"/>
      <c r="AKK2" s="95" t="n"/>
      <c r="AKL2" s="95" t="n"/>
      <c r="AKM2" s="95" t="n"/>
      <c r="AKN2" s="95" t="n"/>
      <c r="AKO2" s="95" t="n"/>
      <c r="AKP2" s="95" t="n"/>
      <c r="AKQ2" s="95" t="n"/>
      <c r="AKR2" s="95" t="n"/>
      <c r="AKS2" s="95" t="n"/>
      <c r="AKT2" s="95" t="n"/>
      <c r="AKU2" s="95" t="n"/>
      <c r="AKV2" s="95" t="n"/>
      <c r="AKW2" s="95" t="n"/>
      <c r="AKX2" s="95" t="n"/>
      <c r="AKY2" s="95" t="n"/>
      <c r="AKZ2" s="95" t="n"/>
      <c r="ALA2" s="95" t="n"/>
      <c r="ALB2" s="95" t="n"/>
      <c r="ALC2" s="95" t="n"/>
      <c r="ALD2" s="95" t="n"/>
      <c r="ALE2" s="95" t="n"/>
      <c r="ALF2" s="95" t="n"/>
      <c r="ALG2" s="95" t="n"/>
      <c r="ALH2" s="95" t="n"/>
      <c r="ALI2" s="95" t="n"/>
      <c r="ALJ2" s="95" t="n"/>
      <c r="ALK2" s="95" t="n"/>
      <c r="ALL2" s="95" t="n"/>
      <c r="ALM2" s="95" t="n"/>
      <c r="ALN2" s="95" t="n"/>
      <c r="ALO2" s="95" t="n"/>
      <c r="ALP2" s="95" t="n"/>
      <c r="ALQ2" s="95" t="n"/>
      <c r="ALR2" s="95" t="n"/>
      <c r="ALS2" s="95" t="n"/>
      <c r="ALT2" s="95" t="n"/>
      <c r="ALU2" s="95" t="n"/>
      <c r="ALV2" s="95" t="n"/>
      <c r="ALW2" s="95" t="n"/>
      <c r="ALX2" s="95" t="n"/>
      <c r="ALY2" s="95" t="n"/>
      <c r="ALZ2" s="95" t="n"/>
      <c r="AMA2" s="95" t="n"/>
      <c r="AMB2" s="95" t="n"/>
      <c r="AMC2" s="95" t="n"/>
      <c r="AMD2" s="95" t="n"/>
      <c r="AME2" s="95" t="n"/>
      <c r="AMF2" s="95" t="n"/>
      <c r="AMG2" s="95" t="n"/>
      <c r="AMH2" s="95" t="n"/>
      <c r="AMI2" s="95" t="n"/>
      <c r="AMJ2" s="95" t="n"/>
      <c r="AMK2" s="95" t="n"/>
      <c r="AML2" s="95" t="n"/>
      <c r="AMM2" s="95" t="n"/>
      <c r="AMN2" s="95" t="n"/>
      <c r="AMO2" s="95" t="n"/>
      <c r="AMP2" s="95" t="n"/>
      <c r="AMQ2" s="95" t="n"/>
      <c r="AMR2" s="95" t="n"/>
      <c r="AMS2" s="95" t="n"/>
      <c r="AMT2" s="95" t="n"/>
      <c r="AMU2" s="95" t="n"/>
      <c r="AMV2" s="95" t="n"/>
      <c r="AMW2" s="95" t="n"/>
      <c r="AMX2" s="95" t="n"/>
      <c r="AMY2" s="95" t="n"/>
      <c r="AMZ2" s="95" t="n"/>
      <c r="ANA2" s="95" t="n"/>
      <c r="ANB2" s="95" t="n"/>
      <c r="ANC2" s="95" t="n"/>
      <c r="AND2" s="95" t="n"/>
      <c r="ANE2" s="95" t="n"/>
      <c r="ANF2" s="95" t="n"/>
      <c r="ANG2" s="95" t="n"/>
      <c r="ANH2" s="95" t="n"/>
      <c r="ANI2" s="95" t="n"/>
      <c r="ANJ2" s="95" t="n"/>
      <c r="ANK2" s="95" t="n"/>
      <c r="ANL2" s="95" t="n"/>
      <c r="ANM2" s="95" t="n"/>
      <c r="ANN2" s="95" t="n"/>
      <c r="ANO2" s="95" t="n"/>
      <c r="ANP2" s="95" t="n"/>
      <c r="ANQ2" s="95" t="n"/>
      <c r="ANR2" s="95" t="n"/>
      <c r="ANS2" s="95" t="n"/>
      <c r="ANT2" s="95" t="n"/>
      <c r="ANU2" s="95" t="n"/>
      <c r="ANV2" s="95" t="n"/>
      <c r="ANW2" s="95" t="n"/>
      <c r="ANX2" s="95" t="n"/>
      <c r="ANY2" s="95" t="n"/>
      <c r="ANZ2" s="95" t="n"/>
      <c r="AOA2" s="95" t="n"/>
      <c r="AOB2" s="95" t="n"/>
      <c r="AOC2" s="95" t="n"/>
      <c r="AOD2" s="95" t="n"/>
      <c r="AOE2" s="95" t="n"/>
      <c r="AOF2" s="95" t="n"/>
      <c r="AOG2" s="95" t="n"/>
      <c r="AOH2" s="95" t="n"/>
      <c r="AOI2" s="95" t="n"/>
      <c r="AOJ2" s="95" t="n"/>
      <c r="AOK2" s="95" t="n"/>
      <c r="AOL2" s="95" t="n"/>
      <c r="AOM2" s="95" t="n"/>
      <c r="AON2" s="95" t="n"/>
      <c r="AOO2" s="95" t="n"/>
      <c r="AOP2" s="95" t="n"/>
      <c r="AOQ2" s="95" t="n"/>
      <c r="AOR2" s="95" t="n"/>
      <c r="AOS2" s="95" t="n"/>
      <c r="AOT2" s="95" t="n"/>
      <c r="AOU2" s="95" t="n"/>
      <c r="AOV2" s="95" t="n"/>
      <c r="AOW2" s="95" t="n"/>
      <c r="AOX2" s="95" t="n"/>
      <c r="AOY2" s="95" t="n"/>
      <c r="AOZ2" s="95" t="n"/>
      <c r="APA2" s="95" t="n"/>
      <c r="APB2" s="95" t="n"/>
      <c r="APC2" s="95" t="n"/>
      <c r="APD2" s="95" t="n"/>
      <c r="APE2" s="95" t="n"/>
      <c r="APF2" s="95" t="n"/>
      <c r="APG2" s="95" t="n"/>
      <c r="APH2" s="95" t="n"/>
      <c r="API2" s="95" t="n"/>
      <c r="APJ2" s="95" t="n"/>
      <c r="APK2" s="95" t="n"/>
      <c r="APL2" s="95" t="n"/>
      <c r="APM2" s="95" t="n"/>
      <c r="APN2" s="95" t="n"/>
      <c r="APO2" s="95" t="n"/>
      <c r="APP2" s="95" t="n"/>
      <c r="APQ2" s="95" t="n"/>
      <c r="APR2" s="95" t="n"/>
      <c r="APS2" s="95" t="n"/>
      <c r="APT2" s="95" t="n"/>
      <c r="APU2" s="95" t="n"/>
      <c r="APV2" s="95" t="n"/>
      <c r="APW2" s="95" t="n"/>
      <c r="APX2" s="95" t="n"/>
      <c r="APY2" s="95" t="n"/>
      <c r="APZ2" s="95" t="n"/>
      <c r="AQA2" s="95" t="n"/>
      <c r="AQB2" s="95" t="n"/>
      <c r="AQC2" s="95" t="n"/>
      <c r="AQD2" s="95" t="n"/>
      <c r="AQE2" s="95" t="n"/>
      <c r="AQF2" s="95" t="n"/>
      <c r="AQG2" s="95" t="n"/>
      <c r="AQH2" s="95" t="n"/>
      <c r="AQI2" s="95" t="n"/>
      <c r="AQJ2" s="95" t="n"/>
      <c r="AQK2" s="95" t="n"/>
      <c r="AQL2" s="95" t="n"/>
      <c r="AQM2" s="95" t="n"/>
      <c r="AQN2" s="95" t="n"/>
      <c r="AQO2" s="95" t="n"/>
      <c r="AQP2" s="95" t="n"/>
      <c r="AQQ2" s="95" t="n"/>
      <c r="AQR2" s="95" t="n"/>
      <c r="AQS2" s="95" t="n"/>
      <c r="AQT2" s="95" t="n"/>
      <c r="AQU2" s="95" t="n"/>
      <c r="AQV2" s="95" t="n"/>
      <c r="AQW2" s="95" t="n"/>
      <c r="AQX2" s="95" t="n"/>
      <c r="AQY2" s="95" t="n"/>
      <c r="AQZ2" s="95" t="n"/>
      <c r="ARA2" s="95" t="n"/>
      <c r="ARB2" s="95" t="n"/>
      <c r="ARC2" s="95" t="n"/>
      <c r="ARD2" s="95" t="n"/>
      <c r="ARE2" s="95" t="n"/>
      <c r="ARF2" s="95" t="n"/>
      <c r="ARG2" s="95" t="n"/>
      <c r="ARH2" s="95" t="n"/>
      <c r="ARI2" s="95" t="n"/>
      <c r="ARJ2" s="95" t="n"/>
      <c r="ARK2" s="95" t="n"/>
      <c r="ARL2" s="95" t="n"/>
      <c r="ARM2" s="95" t="n"/>
      <c r="ARN2" s="95" t="n"/>
      <c r="ARO2" s="95" t="n"/>
      <c r="ARP2" s="95" t="n"/>
      <c r="ARQ2" s="95" t="n"/>
      <c r="ARR2" s="95" t="n"/>
      <c r="ARS2" s="95" t="n"/>
      <c r="ART2" s="95" t="n"/>
      <c r="ARU2" s="95" t="n"/>
      <c r="ARV2" s="95" t="n"/>
      <c r="ARW2" s="95" t="n"/>
      <c r="ARX2" s="95" t="n"/>
      <c r="ARY2" s="95" t="n"/>
      <c r="ARZ2" s="95" t="n"/>
      <c r="ASA2" s="95" t="n"/>
      <c r="ASB2" s="95" t="n"/>
      <c r="ASC2" s="95" t="n"/>
      <c r="ASD2" s="95" t="n"/>
      <c r="ASE2" s="95" t="n"/>
      <c r="ASF2" s="95" t="n"/>
      <c r="ASG2" s="95" t="n"/>
      <c r="ASH2" s="95" t="n"/>
      <c r="ASI2" s="95" t="n"/>
      <c r="ASJ2" s="95" t="n"/>
      <c r="ASK2" s="95" t="n"/>
      <c r="ASL2" s="95" t="n"/>
      <c r="ASM2" s="95" t="n"/>
      <c r="ASN2" s="95" t="n"/>
      <c r="ASO2" s="95" t="n"/>
      <c r="ASP2" s="95" t="n"/>
      <c r="ASQ2" s="95" t="n"/>
      <c r="ASR2" s="95" t="n"/>
      <c r="ASS2" s="95" t="n"/>
      <c r="AST2" s="95" t="n"/>
      <c r="ASU2" s="95" t="n"/>
      <c r="ASV2" s="95" t="n"/>
      <c r="ASW2" s="95" t="n"/>
      <c r="ASX2" s="95" t="n"/>
      <c r="ASY2" s="95" t="n"/>
      <c r="ASZ2" s="95" t="n"/>
      <c r="ATA2" s="95" t="n"/>
      <c r="ATB2" s="95" t="n"/>
      <c r="ATC2" s="95" t="n"/>
      <c r="ATD2" s="95" t="n"/>
      <c r="ATE2" s="95" t="n"/>
      <c r="ATF2" s="95" t="n"/>
      <c r="ATG2" s="95" t="n"/>
      <c r="ATH2" s="95" t="n"/>
      <c r="ATI2" s="95" t="n"/>
      <c r="ATJ2" s="95" t="n"/>
      <c r="ATK2" s="95" t="n"/>
      <c r="ATL2" s="95" t="n"/>
      <c r="ATM2" s="95" t="n"/>
      <c r="ATN2" s="95" t="n"/>
      <c r="ATO2" s="95" t="n"/>
      <c r="ATP2" s="95" t="n"/>
      <c r="ATQ2" s="95" t="n"/>
      <c r="ATR2" s="95" t="n"/>
      <c r="ATS2" s="95" t="n"/>
      <c r="ATT2" s="95" t="n"/>
      <c r="ATU2" s="95" t="n"/>
      <c r="ATV2" s="95" t="n"/>
      <c r="ATW2" s="95" t="n"/>
      <c r="ATX2" s="95" t="n"/>
      <c r="ATY2" s="95" t="n"/>
      <c r="ATZ2" s="95" t="n"/>
      <c r="AUA2" s="95" t="n"/>
      <c r="AUB2" s="95" t="n"/>
      <c r="AUC2" s="95" t="n"/>
      <c r="AUD2" s="95" t="n"/>
      <c r="AUE2" s="95" t="n"/>
      <c r="AUF2" s="95" t="n"/>
      <c r="AUG2" s="95" t="n"/>
      <c r="AUH2" s="95" t="n"/>
      <c r="AUI2" s="95" t="n"/>
      <c r="AUJ2" s="95" t="n"/>
      <c r="AUK2" s="95" t="n"/>
      <c r="AUL2" s="95" t="n"/>
      <c r="AUM2" s="95" t="n"/>
      <c r="AUN2" s="95" t="n"/>
      <c r="AUO2" s="95" t="n"/>
      <c r="AUP2" s="95" t="n"/>
      <c r="AUQ2" s="95" t="n"/>
      <c r="AUR2" s="95" t="n"/>
      <c r="AUS2" s="95" t="n"/>
      <c r="AUT2" s="95" t="n"/>
      <c r="AUU2" s="95" t="n"/>
      <c r="AUV2" s="95" t="n"/>
      <c r="AUW2" s="95" t="n"/>
      <c r="AUX2" s="95" t="n"/>
      <c r="AUY2" s="95" t="n"/>
      <c r="AUZ2" s="95" t="n"/>
      <c r="AVA2" s="95" t="n"/>
      <c r="AVB2" s="95" t="n"/>
      <c r="AVC2" s="95" t="n"/>
      <c r="AVD2" s="95" t="n"/>
      <c r="AVE2" s="95" t="n"/>
      <c r="AVF2" s="95" t="n"/>
      <c r="AVG2" s="95" t="n"/>
      <c r="AVH2" s="95" t="n"/>
      <c r="AVI2" s="95" t="n"/>
      <c r="AVJ2" s="95" t="n"/>
      <c r="AVK2" s="95" t="n"/>
      <c r="AVL2" s="95" t="n"/>
      <c r="AVM2" s="95" t="n"/>
      <c r="AVN2" s="95" t="n"/>
      <c r="AVO2" s="95" t="n"/>
      <c r="AVP2" s="95" t="n"/>
      <c r="AVQ2" s="95" t="n"/>
      <c r="AVR2" s="95" t="n"/>
      <c r="AVS2" s="95" t="n"/>
      <c r="AVT2" s="95" t="n"/>
      <c r="AVU2" s="95" t="n"/>
      <c r="AVV2" s="95" t="n"/>
      <c r="AVW2" s="95" t="n"/>
      <c r="AVX2" s="95" t="n"/>
      <c r="AVY2" s="95" t="n"/>
      <c r="AVZ2" s="95" t="n"/>
      <c r="AWA2" s="95" t="n"/>
      <c r="AWB2" s="95" t="n"/>
      <c r="AWC2" s="95" t="n"/>
      <c r="AWD2" s="95" t="n"/>
      <c r="AWE2" s="95" t="n"/>
      <c r="AWF2" s="95" t="n"/>
      <c r="AWG2" s="95" t="n"/>
      <c r="AWH2" s="95" t="n"/>
      <c r="AWI2" s="95" t="n"/>
      <c r="AWJ2" s="95" t="n"/>
      <c r="AWK2" s="95" t="n"/>
      <c r="AWL2" s="95" t="n"/>
      <c r="AWM2" s="95" t="n"/>
      <c r="AWN2" s="95" t="n"/>
      <c r="AWO2" s="95" t="n"/>
      <c r="AWP2" s="95" t="n"/>
      <c r="AWQ2" s="95" t="n"/>
      <c r="AWR2" s="95" t="n"/>
      <c r="AWS2" s="95" t="n"/>
      <c r="AWT2" s="95" t="n"/>
      <c r="AWU2" s="95" t="n"/>
      <c r="AWV2" s="95" t="n"/>
      <c r="AWW2" s="95" t="n"/>
      <c r="AWX2" s="95" t="n"/>
      <c r="AWY2" s="95" t="n"/>
      <c r="AWZ2" s="95" t="n"/>
      <c r="AXA2" s="95" t="n"/>
      <c r="AXB2" s="95" t="n"/>
      <c r="AXC2" s="95" t="n"/>
      <c r="AXD2" s="95" t="n"/>
      <c r="AXE2" s="95" t="n"/>
      <c r="AXF2" s="95" t="n"/>
      <c r="AXG2" s="95" t="n"/>
      <c r="AXH2" s="95" t="n"/>
      <c r="AXI2" s="95" t="n"/>
      <c r="AXJ2" s="95" t="n"/>
      <c r="AXK2" s="95" t="n"/>
      <c r="AXL2" s="95" t="n"/>
      <c r="AXM2" s="95" t="n"/>
      <c r="AXN2" s="95" t="n"/>
      <c r="AXO2" s="95" t="n"/>
      <c r="AXP2" s="95" t="n"/>
      <c r="AXQ2" s="95" t="n"/>
      <c r="AXR2" s="95" t="n"/>
      <c r="AXS2" s="95" t="n"/>
      <c r="AXT2" s="95" t="n"/>
      <c r="AXU2" s="95" t="n"/>
      <c r="AXV2" s="95" t="n"/>
      <c r="AXW2" s="95" t="n"/>
      <c r="AXX2" s="95" t="n"/>
      <c r="AXY2" s="95" t="n"/>
      <c r="AXZ2" s="95" t="n"/>
      <c r="AYA2" s="95" t="n"/>
      <c r="AYB2" s="95" t="n"/>
      <c r="AYC2" s="95" t="n"/>
      <c r="AYD2" s="95" t="n"/>
      <c r="AYE2" s="95" t="n"/>
      <c r="AYF2" s="95" t="n"/>
      <c r="AYG2" s="95" t="n"/>
      <c r="AYH2" s="95" t="n"/>
      <c r="AYI2" s="95" t="n"/>
      <c r="AYJ2" s="95" t="n"/>
      <c r="AYK2" s="95" t="n"/>
      <c r="AYL2" s="95" t="n"/>
      <c r="AYM2" s="95" t="n"/>
      <c r="AYN2" s="95" t="n"/>
      <c r="AYO2" s="95" t="n"/>
      <c r="AYP2" s="95" t="n"/>
      <c r="AYQ2" s="95" t="n"/>
      <c r="AYR2" s="95" t="n"/>
      <c r="AYS2" s="95" t="n"/>
      <c r="AYT2" s="95" t="n"/>
      <c r="AYU2" s="95" t="n"/>
      <c r="AYV2" s="95" t="n"/>
      <c r="AYW2" s="95" t="n"/>
      <c r="AYX2" s="95" t="n"/>
      <c r="AYY2" s="95" t="n"/>
      <c r="AYZ2" s="95" t="n"/>
      <c r="AZA2" s="95" t="n"/>
      <c r="AZB2" s="95" t="n"/>
      <c r="AZC2" s="95" t="n"/>
      <c r="AZD2" s="95" t="n"/>
      <c r="AZE2" s="95" t="n"/>
      <c r="AZF2" s="95" t="n"/>
      <c r="AZG2" s="95" t="n"/>
      <c r="AZH2" s="95" t="n"/>
      <c r="AZI2" s="95" t="n"/>
      <c r="AZJ2" s="95" t="n"/>
      <c r="AZK2" s="95" t="n"/>
      <c r="AZL2" s="95" t="n"/>
      <c r="AZM2" s="95" t="n"/>
      <c r="AZN2" s="95" t="n"/>
      <c r="AZO2" s="95" t="n"/>
      <c r="AZP2" s="95" t="n"/>
      <c r="AZQ2" s="95" t="n"/>
      <c r="AZR2" s="95" t="n"/>
      <c r="AZS2" s="95" t="n"/>
      <c r="AZT2" s="95" t="n"/>
      <c r="AZU2" s="95" t="n"/>
      <c r="AZV2" s="95" t="n"/>
      <c r="AZW2" s="95" t="n"/>
      <c r="AZX2" s="95" t="n"/>
      <c r="AZY2" s="95" t="n"/>
      <c r="AZZ2" s="95" t="n"/>
      <c r="BAA2" s="95" t="n"/>
      <c r="BAB2" s="95" t="n"/>
      <c r="BAC2" s="95" t="n"/>
      <c r="BAD2" s="95" t="n"/>
      <c r="BAE2" s="95" t="n"/>
      <c r="BAF2" s="95" t="n"/>
      <c r="BAG2" s="95" t="n"/>
      <c r="BAH2" s="95" t="n"/>
      <c r="BAI2" s="95" t="n"/>
      <c r="BAJ2" s="95" t="n"/>
      <c r="BAK2" s="95" t="n"/>
      <c r="BAL2" s="95" t="n"/>
      <c r="BAM2" s="95" t="n"/>
      <c r="BAN2" s="95" t="n"/>
      <c r="BAO2" s="95" t="n"/>
      <c r="BAP2" s="95" t="n"/>
      <c r="BAQ2" s="95" t="n"/>
      <c r="BAR2" s="95" t="n"/>
      <c r="BAS2" s="95" t="n"/>
      <c r="BAT2" s="95" t="n"/>
      <c r="BAU2" s="95" t="n"/>
      <c r="BAV2" s="95" t="n"/>
      <c r="BAW2" s="95" t="n"/>
      <c r="BAX2" s="95" t="n"/>
      <c r="BAY2" s="95" t="n"/>
      <c r="BAZ2" s="95" t="n"/>
      <c r="BBA2" s="95" t="n"/>
      <c r="BBB2" s="95" t="n"/>
      <c r="BBC2" s="95" t="n"/>
      <c r="BBD2" s="95" t="n"/>
      <c r="BBE2" s="95" t="n"/>
      <c r="BBF2" s="95" t="n"/>
      <c r="BBG2" s="95" t="n"/>
      <c r="BBH2" s="95" t="n"/>
      <c r="BBI2" s="95" t="n"/>
      <c r="BBJ2" s="95" t="n"/>
      <c r="BBK2" s="95" t="n"/>
      <c r="BBL2" s="95" t="n"/>
      <c r="BBM2" s="95" t="n"/>
      <c r="BBN2" s="95" t="n"/>
      <c r="BBO2" s="95" t="n"/>
      <c r="BBP2" s="95" t="n"/>
      <c r="BBQ2" s="95" t="n"/>
      <c r="BBR2" s="95" t="n"/>
      <c r="BBS2" s="95" t="n"/>
      <c r="BBT2" s="95" t="n"/>
      <c r="BBU2" s="95" t="n"/>
      <c r="BBV2" s="95" t="n"/>
      <c r="BBW2" s="95" t="n"/>
      <c r="BBX2" s="95" t="n"/>
      <c r="BBY2" s="95" t="n"/>
      <c r="BBZ2" s="95" t="n"/>
      <c r="BCA2" s="95" t="n"/>
      <c r="BCB2" s="95" t="n"/>
      <c r="BCC2" s="95" t="n"/>
      <c r="BCD2" s="95" t="n"/>
      <c r="BCE2" s="95" t="n"/>
      <c r="BCF2" s="95" t="n"/>
      <c r="BCG2" s="95" t="n"/>
      <c r="BCH2" s="95" t="n"/>
      <c r="BCI2" s="95" t="n"/>
      <c r="BCJ2" s="95" t="n"/>
      <c r="BCK2" s="95" t="n"/>
      <c r="BCL2" s="95" t="n"/>
      <c r="BCM2" s="95" t="n"/>
      <c r="BCN2" s="95" t="n"/>
      <c r="BCO2" s="95" t="n"/>
      <c r="BCP2" s="95" t="n"/>
      <c r="BCQ2" s="95" t="n"/>
      <c r="BCR2" s="95" t="n"/>
      <c r="BCS2" s="95" t="n"/>
      <c r="BCT2" s="95" t="n"/>
      <c r="BCU2" s="95" t="n"/>
      <c r="BCV2" s="95" t="n"/>
      <c r="BCW2" s="95" t="n"/>
      <c r="BCX2" s="95" t="n"/>
      <c r="BCY2" s="95" t="n"/>
      <c r="BCZ2" s="95" t="n"/>
      <c r="BDA2" s="95" t="n"/>
      <c r="BDB2" s="95" t="n"/>
      <c r="BDC2" s="95" t="n"/>
      <c r="BDD2" s="95" t="n"/>
      <c r="BDE2" s="95" t="n"/>
      <c r="BDF2" s="95" t="n"/>
      <c r="BDG2" s="95" t="n"/>
      <c r="BDH2" s="95" t="n"/>
      <c r="BDI2" s="95" t="n"/>
      <c r="BDJ2" s="95" t="n"/>
      <c r="BDK2" s="95" t="n"/>
      <c r="BDL2" s="95" t="n"/>
      <c r="BDM2" s="95" t="n"/>
      <c r="BDN2" s="95" t="n"/>
      <c r="BDO2" s="95" t="n"/>
      <c r="BDP2" s="95" t="n"/>
      <c r="BDQ2" s="95" t="n"/>
      <c r="BDR2" s="95" t="n"/>
      <c r="BDS2" s="95" t="n"/>
      <c r="BDT2" s="95" t="n"/>
      <c r="BDU2" s="95" t="n"/>
      <c r="BDV2" s="95" t="n"/>
      <c r="BDW2" s="95" t="n"/>
      <c r="BDX2" s="95" t="n"/>
      <c r="BDY2" s="95" t="n"/>
      <c r="BDZ2" s="95" t="n"/>
      <c r="BEA2" s="95" t="n"/>
      <c r="BEB2" s="95" t="n"/>
      <c r="BEC2" s="95" t="n"/>
      <c r="BED2" s="95" t="n"/>
      <c r="BEE2" s="95" t="n"/>
      <c r="BEF2" s="95" t="n"/>
      <c r="BEG2" s="95" t="n"/>
      <c r="BEH2" s="95" t="n"/>
      <c r="BEI2" s="95" t="n"/>
      <c r="BEJ2" s="95" t="n"/>
      <c r="BEK2" s="95" t="n"/>
      <c r="BEL2" s="95" t="n"/>
      <c r="BEM2" s="95" t="n"/>
      <c r="BEN2" s="95" t="n"/>
      <c r="BEO2" s="95" t="n"/>
      <c r="BEP2" s="95" t="n"/>
      <c r="BEQ2" s="95" t="n"/>
      <c r="BER2" s="95" t="n"/>
      <c r="BES2" s="95" t="n"/>
      <c r="BET2" s="95" t="n"/>
      <c r="BEU2" s="95" t="n"/>
      <c r="BEV2" s="95" t="n"/>
      <c r="BEW2" s="95" t="n"/>
      <c r="BEX2" s="95" t="n"/>
      <c r="BEY2" s="95" t="n"/>
      <c r="BEZ2" s="95" t="n"/>
      <c r="BFA2" s="95" t="n"/>
      <c r="BFB2" s="95" t="n"/>
      <c r="BFC2" s="95" t="n"/>
      <c r="BFD2" s="95" t="n"/>
      <c r="BFE2" s="95" t="n"/>
      <c r="BFF2" s="95" t="n"/>
      <c r="BFG2" s="95" t="n"/>
      <c r="BFH2" s="95" t="n"/>
      <c r="BFI2" s="95" t="n"/>
      <c r="BFJ2" s="95" t="n"/>
      <c r="BFK2" s="95" t="n"/>
      <c r="BFL2" s="95" t="n"/>
      <c r="BFM2" s="95" t="n"/>
      <c r="BFN2" s="95" t="n"/>
      <c r="BFO2" s="95" t="n"/>
      <c r="BFP2" s="95" t="n"/>
      <c r="BFQ2" s="95" t="n"/>
      <c r="BFR2" s="95" t="n"/>
      <c r="BFS2" s="95" t="n"/>
      <c r="BFT2" s="95" t="n"/>
      <c r="BFU2" s="95" t="n"/>
      <c r="BFV2" s="95" t="n"/>
      <c r="BFW2" s="95" t="n"/>
      <c r="BFX2" s="95" t="n"/>
      <c r="BFY2" s="95" t="n"/>
      <c r="BFZ2" s="95" t="n"/>
      <c r="BGA2" s="95" t="n"/>
      <c r="BGB2" s="95" t="n"/>
      <c r="BGC2" s="95" t="n"/>
      <c r="BGD2" s="95" t="n"/>
      <c r="BGE2" s="95" t="n"/>
      <c r="BGF2" s="95" t="n"/>
      <c r="BGG2" s="95" t="n"/>
      <c r="BGH2" s="95" t="n"/>
      <c r="BGI2" s="95" t="n"/>
      <c r="BGJ2" s="95" t="n"/>
      <c r="BGK2" s="95" t="n"/>
      <c r="BGL2" s="95" t="n"/>
      <c r="BGM2" s="95" t="n"/>
      <c r="BGN2" s="95" t="n"/>
      <c r="BGO2" s="95" t="n"/>
      <c r="BGP2" s="95" t="n"/>
      <c r="BGQ2" s="95" t="n"/>
      <c r="BGR2" s="95" t="n"/>
      <c r="BGS2" s="95" t="n"/>
      <c r="BGT2" s="95" t="n"/>
      <c r="BGU2" s="95" t="n"/>
      <c r="BGV2" s="95" t="n"/>
      <c r="BGW2" s="95" t="n"/>
      <c r="BGX2" s="95" t="n"/>
      <c r="BGY2" s="95" t="n"/>
      <c r="BGZ2" s="95" t="n"/>
      <c r="BHA2" s="95" t="n"/>
      <c r="BHB2" s="95" t="n"/>
      <c r="BHC2" s="95" t="n"/>
      <c r="BHD2" s="95" t="n"/>
      <c r="BHE2" s="95" t="n"/>
      <c r="BHF2" s="95" t="n"/>
      <c r="BHG2" s="95" t="n"/>
      <c r="BHH2" s="95" t="n"/>
      <c r="BHI2" s="95" t="n"/>
      <c r="BHJ2" s="95" t="n"/>
      <c r="BHK2" s="95" t="n"/>
      <c r="BHL2" s="95" t="n"/>
      <c r="BHM2" s="95" t="n"/>
      <c r="BHN2" s="95" t="n"/>
      <c r="BHO2" s="95" t="n"/>
      <c r="BHP2" s="95" t="n"/>
      <c r="BHQ2" s="95" t="n"/>
      <c r="BHR2" s="95" t="n"/>
      <c r="BHS2" s="95" t="n"/>
      <c r="BHT2" s="95" t="n"/>
      <c r="BHU2" s="95" t="n"/>
      <c r="BHV2" s="95" t="n"/>
      <c r="BHW2" s="95" t="n"/>
      <c r="BHX2" s="95" t="n"/>
      <c r="BHY2" s="95" t="n"/>
      <c r="BHZ2" s="95" t="n"/>
      <c r="BIA2" s="95" t="n"/>
      <c r="BIB2" s="95" t="n"/>
      <c r="BIC2" s="95" t="n"/>
      <c r="BID2" s="95" t="n"/>
      <c r="BIE2" s="95" t="n"/>
      <c r="BIF2" s="95" t="n"/>
      <c r="BIG2" s="95" t="n"/>
      <c r="BIH2" s="95" t="n"/>
      <c r="BII2" s="95" t="n"/>
      <c r="BIJ2" s="95" t="n"/>
      <c r="BIK2" s="95" t="n"/>
      <c r="BIL2" s="95" t="n"/>
      <c r="BIM2" s="95" t="n"/>
      <c r="BIN2" s="95" t="n"/>
      <c r="BIO2" s="95" t="n"/>
      <c r="BIP2" s="95" t="n"/>
      <c r="BIQ2" s="95" t="n"/>
      <c r="BIR2" s="95" t="n"/>
      <c r="BIS2" s="95" t="n"/>
      <c r="BIT2" s="95" t="n"/>
      <c r="BIU2" s="95" t="n"/>
      <c r="BIV2" s="95" t="n"/>
      <c r="BIW2" s="95" t="n"/>
      <c r="BIX2" s="95" t="n"/>
      <c r="BIY2" s="95" t="n"/>
      <c r="BIZ2" s="95" t="n"/>
      <c r="BJA2" s="95" t="n"/>
      <c r="BJB2" s="95" t="n"/>
      <c r="BJC2" s="95" t="n"/>
      <c r="BJD2" s="95" t="n"/>
      <c r="BJE2" s="95" t="n"/>
      <c r="BJF2" s="95" t="n"/>
      <c r="BJG2" s="95" t="n"/>
      <c r="BJH2" s="95" t="n"/>
      <c r="BJI2" s="95" t="n"/>
      <c r="BJJ2" s="95" t="n"/>
      <c r="BJK2" s="95" t="n"/>
      <c r="BJL2" s="95" t="n"/>
      <c r="BJM2" s="95" t="n"/>
      <c r="BJN2" s="95" t="n"/>
      <c r="BJO2" s="95" t="n"/>
      <c r="BJP2" s="95" t="n"/>
      <c r="BJQ2" s="95" t="n"/>
      <c r="BJR2" s="95" t="n"/>
      <c r="BJS2" s="95" t="n"/>
      <c r="BJT2" s="95" t="n"/>
      <c r="BJU2" s="95" t="n"/>
      <c r="BJV2" s="95" t="n"/>
      <c r="BJW2" s="95" t="n"/>
      <c r="BJX2" s="95" t="n"/>
      <c r="BJY2" s="95" t="n"/>
      <c r="BJZ2" s="95" t="n"/>
      <c r="BKA2" s="95" t="n"/>
      <c r="BKB2" s="95" t="n"/>
      <c r="BKC2" s="95" t="n"/>
      <c r="BKD2" s="95" t="n"/>
      <c r="BKE2" s="95" t="n"/>
      <c r="BKF2" s="95" t="n"/>
      <c r="BKG2" s="95" t="n"/>
      <c r="BKH2" s="95" t="n"/>
      <c r="BKI2" s="95" t="n"/>
      <c r="BKJ2" s="95" t="n"/>
      <c r="BKK2" s="95" t="n"/>
      <c r="BKL2" s="95" t="n"/>
      <c r="BKM2" s="95" t="n"/>
      <c r="BKN2" s="95" t="n"/>
      <c r="BKO2" s="95" t="n"/>
      <c r="BKP2" s="95" t="n"/>
      <c r="BKQ2" s="95" t="n"/>
      <c r="BKR2" s="95" t="n"/>
      <c r="BKS2" s="95" t="n"/>
      <c r="BKT2" s="95" t="n"/>
      <c r="BKU2" s="95" t="n"/>
      <c r="BKV2" s="95" t="n"/>
      <c r="BKW2" s="95" t="n"/>
      <c r="BKX2" s="95" t="n"/>
      <c r="BKY2" s="95" t="n"/>
      <c r="BKZ2" s="95" t="n"/>
      <c r="BLA2" s="95" t="n"/>
      <c r="BLB2" s="95" t="n"/>
      <c r="BLC2" s="95" t="n"/>
      <c r="BLD2" s="95" t="n"/>
      <c r="BLE2" s="95" t="n"/>
      <c r="BLF2" s="95" t="n"/>
      <c r="BLG2" s="95" t="n"/>
      <c r="BLH2" s="95" t="n"/>
      <c r="BLI2" s="95" t="n"/>
      <c r="BLJ2" s="95" t="n"/>
      <c r="BLK2" s="95" t="n"/>
      <c r="BLL2" s="95" t="n"/>
      <c r="BLM2" s="95" t="n"/>
      <c r="BLN2" s="95" t="n"/>
      <c r="BLO2" s="95" t="n"/>
      <c r="BLP2" s="95" t="n"/>
      <c r="BLQ2" s="95" t="n"/>
      <c r="BLR2" s="95" t="n"/>
      <c r="BLS2" s="95" t="n"/>
      <c r="BLT2" s="95" t="n"/>
      <c r="BLU2" s="95" t="n"/>
      <c r="BLV2" s="95" t="n"/>
      <c r="BLW2" s="95" t="n"/>
      <c r="BLX2" s="95" t="n"/>
      <c r="BLY2" s="95" t="n"/>
      <c r="BLZ2" s="95" t="n"/>
      <c r="BMA2" s="95" t="n"/>
      <c r="BMB2" s="95" t="n"/>
      <c r="BMC2" s="95" t="n"/>
      <c r="BMD2" s="95" t="n"/>
      <c r="BME2" s="95" t="n"/>
      <c r="BMF2" s="95" t="n"/>
      <c r="BMG2" s="95" t="n"/>
      <c r="BMH2" s="95" t="n"/>
      <c r="BMI2" s="95" t="n"/>
      <c r="BMJ2" s="95" t="n"/>
      <c r="BMK2" s="95" t="n"/>
      <c r="BML2" s="95" t="n"/>
      <c r="BMM2" s="95" t="n"/>
      <c r="BMN2" s="95" t="n"/>
      <c r="BMO2" s="95" t="n"/>
      <c r="BMP2" s="95" t="n"/>
      <c r="BMQ2" s="95" t="n"/>
      <c r="BMR2" s="95" t="n"/>
      <c r="BMS2" s="95" t="n"/>
      <c r="BMT2" s="95" t="n"/>
      <c r="BMU2" s="95" t="n"/>
      <c r="BMV2" s="95" t="n"/>
      <c r="BMW2" s="95" t="n"/>
      <c r="BMX2" s="95" t="n"/>
      <c r="BMY2" s="95" t="n"/>
      <c r="BMZ2" s="95" t="n"/>
      <c r="BNA2" s="95" t="n"/>
      <c r="BNB2" s="95" t="n"/>
      <c r="BNC2" s="95" t="n"/>
      <c r="BND2" s="95" t="n"/>
      <c r="BNE2" s="95" t="n"/>
      <c r="BNF2" s="95" t="n"/>
      <c r="BNG2" s="95" t="n"/>
      <c r="BNH2" s="95" t="n"/>
      <c r="BNI2" s="95" t="n"/>
      <c r="BNJ2" s="95" t="n"/>
      <c r="BNK2" s="95" t="n"/>
      <c r="BNL2" s="95" t="n"/>
      <c r="BNM2" s="95" t="n"/>
      <c r="BNN2" s="95" t="n"/>
      <c r="BNO2" s="95" t="n"/>
      <c r="BNP2" s="95" t="n"/>
      <c r="BNQ2" s="95" t="n"/>
      <c r="BNR2" s="95" t="n"/>
      <c r="BNS2" s="95" t="n"/>
      <c r="BNT2" s="95" t="n"/>
      <c r="BNU2" s="95" t="n"/>
      <c r="BNV2" s="95" t="n"/>
      <c r="BNW2" s="95" t="n"/>
      <c r="BNX2" s="95" t="n"/>
      <c r="BNY2" s="95" t="n"/>
      <c r="BNZ2" s="95" t="n"/>
      <c r="BOA2" s="95" t="n"/>
      <c r="BOB2" s="95" t="n"/>
      <c r="BOC2" s="95" t="n"/>
      <c r="BOD2" s="95" t="n"/>
      <c r="BOE2" s="95" t="n"/>
      <c r="BOF2" s="95" t="n"/>
      <c r="BOG2" s="95" t="n"/>
      <c r="BOH2" s="95" t="n"/>
      <c r="BOI2" s="95" t="n"/>
      <c r="BOJ2" s="95" t="n"/>
      <c r="BOK2" s="95" t="n"/>
      <c r="BOL2" s="95" t="n"/>
      <c r="BOM2" s="95" t="n"/>
      <c r="BON2" s="95" t="n"/>
      <c r="BOO2" s="95" t="n"/>
      <c r="BOP2" s="95" t="n"/>
      <c r="BOQ2" s="95" t="n"/>
      <c r="BOR2" s="95" t="n"/>
      <c r="BOS2" s="95" t="n"/>
      <c r="BOT2" s="95" t="n"/>
      <c r="BOU2" s="95" t="n"/>
      <c r="BOV2" s="95" t="n"/>
      <c r="BOW2" s="95" t="n"/>
      <c r="BOX2" s="95" t="n"/>
      <c r="BOY2" s="95" t="n"/>
      <c r="BOZ2" s="95" t="n"/>
      <c r="BPA2" s="95" t="n"/>
      <c r="BPB2" s="95" t="n"/>
      <c r="BPC2" s="95" t="n"/>
      <c r="BPD2" s="95" t="n"/>
      <c r="BPE2" s="95" t="n"/>
      <c r="BPF2" s="95" t="n"/>
      <c r="BPG2" s="95" t="n"/>
      <c r="BPH2" s="95" t="n"/>
      <c r="BPI2" s="95" t="n"/>
      <c r="BPJ2" s="95" t="n"/>
      <c r="BPK2" s="95" t="n"/>
      <c r="BPL2" s="95" t="n"/>
      <c r="BPM2" s="95" t="n"/>
      <c r="BPN2" s="95" t="n"/>
      <c r="BPO2" s="95" t="n"/>
      <c r="BPP2" s="95" t="n"/>
      <c r="BPQ2" s="95" t="n"/>
      <c r="BPR2" s="95" t="n"/>
      <c r="BPS2" s="95" t="n"/>
      <c r="BPT2" s="95" t="n"/>
      <c r="BPU2" s="95" t="n"/>
      <c r="BPV2" s="95" t="n"/>
      <c r="BPW2" s="95" t="n"/>
      <c r="BPX2" s="95" t="n"/>
      <c r="BPY2" s="95" t="n"/>
      <c r="BPZ2" s="95" t="n"/>
      <c r="BQA2" s="95" t="n"/>
      <c r="BQB2" s="95" t="n"/>
      <c r="BQC2" s="95" t="n"/>
      <c r="BQD2" s="95" t="n"/>
      <c r="BQE2" s="95" t="n"/>
      <c r="BQF2" s="95" t="n"/>
      <c r="BQG2" s="95" t="n"/>
      <c r="BQH2" s="95" t="n"/>
      <c r="BQI2" s="95" t="n"/>
      <c r="BQJ2" s="95" t="n"/>
      <c r="BQK2" s="95" t="n"/>
      <c r="BQL2" s="95" t="n"/>
      <c r="BQM2" s="95" t="n"/>
      <c r="BQN2" s="95" t="n"/>
      <c r="BQO2" s="95" t="n"/>
      <c r="BQP2" s="95" t="n"/>
      <c r="BQQ2" s="95" t="n"/>
      <c r="BQR2" s="95" t="n"/>
      <c r="BQS2" s="95" t="n"/>
      <c r="BQT2" s="95" t="n"/>
      <c r="BQU2" s="95" t="n"/>
      <c r="BQV2" s="95" t="n"/>
      <c r="BQW2" s="95" t="n"/>
      <c r="BQX2" s="95" t="n"/>
      <c r="BQY2" s="95" t="n"/>
      <c r="BQZ2" s="95" t="n"/>
      <c r="BRA2" s="95" t="n"/>
      <c r="BRB2" s="95" t="n"/>
      <c r="BRC2" s="95" t="n"/>
      <c r="BRD2" s="95" t="n"/>
      <c r="BRE2" s="95" t="n"/>
      <c r="BRF2" s="95" t="n"/>
      <c r="BRG2" s="95" t="n"/>
      <c r="BRH2" s="95" t="n"/>
      <c r="BRI2" s="95" t="n"/>
      <c r="BRJ2" s="95" t="n"/>
      <c r="BRK2" s="95" t="n"/>
      <c r="BRL2" s="95" t="n"/>
      <c r="BRM2" s="95" t="n"/>
      <c r="BRN2" s="95" t="n"/>
      <c r="BRO2" s="95" t="n"/>
      <c r="BRP2" s="95" t="n"/>
      <c r="BRQ2" s="95" t="n"/>
      <c r="BRR2" s="95" t="n"/>
      <c r="BRS2" s="95" t="n"/>
      <c r="BRT2" s="95" t="n"/>
      <c r="BRU2" s="95" t="n"/>
      <c r="BRV2" s="95" t="n"/>
      <c r="BRW2" s="95" t="n"/>
      <c r="BRX2" s="95" t="n"/>
      <c r="BRY2" s="95" t="n"/>
      <c r="BRZ2" s="95" t="n"/>
      <c r="BSA2" s="95" t="n"/>
      <c r="BSB2" s="95" t="n"/>
      <c r="BSC2" s="95" t="n"/>
      <c r="BSD2" s="95" t="n"/>
      <c r="BSE2" s="95" t="n"/>
      <c r="BSF2" s="95" t="n"/>
      <c r="BSG2" s="95" t="n"/>
      <c r="BSH2" s="95" t="n"/>
      <c r="BSI2" s="95" t="n"/>
      <c r="BSJ2" s="95" t="n"/>
      <c r="BSK2" s="95" t="n"/>
      <c r="BSL2" s="95" t="n"/>
      <c r="BSM2" s="95" t="n"/>
      <c r="BSN2" s="95" t="n"/>
      <c r="BSO2" s="95" t="n"/>
      <c r="BSP2" s="95" t="n"/>
      <c r="BSQ2" s="95" t="n"/>
      <c r="BSR2" s="95" t="n"/>
      <c r="BSS2" s="95" t="n"/>
      <c r="BST2" s="95" t="n"/>
      <c r="BSU2" s="95" t="n"/>
      <c r="BSV2" s="95" t="n"/>
      <c r="BSW2" s="95" t="n"/>
      <c r="BSX2" s="95" t="n"/>
      <c r="BSY2" s="95" t="n"/>
      <c r="BSZ2" s="95" t="n"/>
      <c r="BTA2" s="95" t="n"/>
      <c r="BTB2" s="95" t="n"/>
      <c r="BTC2" s="95" t="n"/>
      <c r="BTD2" s="95" t="n"/>
      <c r="BTE2" s="95" t="n"/>
      <c r="BTF2" s="95" t="n"/>
      <c r="BTG2" s="95" t="n"/>
      <c r="BTH2" s="95" t="n"/>
      <c r="BTI2" s="95" t="n"/>
      <c r="BTJ2" s="95" t="n"/>
      <c r="BTK2" s="95" t="n"/>
      <c r="BTL2" s="95" t="n"/>
      <c r="BTM2" s="95" t="n"/>
      <c r="BTN2" s="95" t="n"/>
      <c r="BTO2" s="95" t="n"/>
      <c r="BTP2" s="95" t="n"/>
      <c r="BTQ2" s="95" t="n"/>
      <c r="BTR2" s="95" t="n"/>
      <c r="BTS2" s="95" t="n"/>
      <c r="BTT2" s="95" t="n"/>
      <c r="BTU2" s="95" t="n"/>
      <c r="BTV2" s="95" t="n"/>
      <c r="BTW2" s="95" t="n"/>
      <c r="BTX2" s="95" t="n"/>
      <c r="BTY2" s="95" t="n"/>
      <c r="BTZ2" s="95" t="n"/>
      <c r="BUA2" s="95" t="n"/>
      <c r="BUB2" s="95" t="n"/>
      <c r="BUC2" s="95" t="n"/>
      <c r="BUD2" s="95" t="n"/>
      <c r="BUE2" s="95" t="n"/>
      <c r="BUF2" s="95" t="n"/>
      <c r="BUG2" s="95" t="n"/>
      <c r="BUH2" s="95" t="n"/>
      <c r="BUI2" s="95" t="n"/>
      <c r="BUJ2" s="95" t="n"/>
      <c r="BUK2" s="95" t="n"/>
      <c r="BUL2" s="95" t="n"/>
      <c r="BUM2" s="95" t="n"/>
      <c r="BUN2" s="95" t="n"/>
      <c r="BUO2" s="95" t="n"/>
      <c r="BUP2" s="95" t="n"/>
      <c r="BUQ2" s="95" t="n"/>
      <c r="BUR2" s="95" t="n"/>
      <c r="BUS2" s="95" t="n"/>
      <c r="BUT2" s="95" t="n"/>
      <c r="BUU2" s="95" t="n"/>
      <c r="BUV2" s="95" t="n"/>
      <c r="BUW2" s="95" t="n"/>
      <c r="BUX2" s="95" t="n"/>
      <c r="BUY2" s="95" t="n"/>
      <c r="BUZ2" s="95" t="n"/>
      <c r="BVA2" s="95" t="n"/>
      <c r="BVB2" s="95" t="n"/>
      <c r="BVC2" s="95" t="n"/>
      <c r="BVD2" s="95" t="n"/>
      <c r="BVE2" s="95" t="n"/>
      <c r="BVF2" s="95" t="n"/>
      <c r="BVG2" s="95" t="n"/>
      <c r="BVH2" s="95" t="n"/>
      <c r="BVI2" s="95" t="n"/>
      <c r="BVJ2" s="95" t="n"/>
      <c r="BVK2" s="95" t="n"/>
      <c r="BVL2" s="95" t="n"/>
      <c r="BVM2" s="95" t="n"/>
      <c r="BVN2" s="95" t="n"/>
      <c r="BVO2" s="95" t="n"/>
      <c r="BVP2" s="95" t="n"/>
      <c r="BVQ2" s="95" t="n"/>
      <c r="BVR2" s="95" t="n"/>
      <c r="BVS2" s="95" t="n"/>
      <c r="BVT2" s="95" t="n"/>
      <c r="BVU2" s="95" t="n"/>
      <c r="BVV2" s="95" t="n"/>
      <c r="BVW2" s="95" t="n"/>
      <c r="BVX2" s="95" t="n"/>
      <c r="BVY2" s="95" t="n"/>
      <c r="BVZ2" s="95" t="n"/>
      <c r="BWA2" s="95" t="n"/>
      <c r="BWB2" s="95" t="n"/>
      <c r="BWC2" s="95" t="n"/>
      <c r="BWD2" s="95" t="n"/>
      <c r="BWE2" s="95" t="n"/>
      <c r="BWF2" s="95" t="n"/>
      <c r="BWG2" s="95" t="n"/>
      <c r="BWH2" s="95" t="n"/>
      <c r="BWI2" s="95" t="n"/>
      <c r="BWJ2" s="95" t="n"/>
      <c r="BWK2" s="95" t="n"/>
      <c r="BWL2" s="95" t="n"/>
      <c r="BWM2" s="95" t="n"/>
      <c r="BWN2" s="95" t="n"/>
      <c r="BWO2" s="95" t="n"/>
      <c r="BWP2" s="95" t="n"/>
      <c r="BWQ2" s="95" t="n"/>
      <c r="BWR2" s="95" t="n"/>
      <c r="BWS2" s="95" t="n"/>
      <c r="BWT2" s="95" t="n"/>
      <c r="BWU2" s="95" t="n"/>
      <c r="BWV2" s="95" t="n"/>
      <c r="BWW2" s="95" t="n"/>
      <c r="BWX2" s="95" t="n"/>
      <c r="BWY2" s="95" t="n"/>
      <c r="BWZ2" s="95" t="n"/>
      <c r="BXA2" s="95" t="n"/>
      <c r="BXB2" s="95" t="n"/>
      <c r="BXC2" s="95" t="n"/>
      <c r="BXD2" s="95" t="n"/>
      <c r="BXE2" s="95" t="n"/>
      <c r="BXF2" s="95" t="n"/>
      <c r="BXG2" s="95" t="n"/>
      <c r="BXH2" s="95" t="n"/>
      <c r="BXI2" s="95" t="n"/>
      <c r="BXJ2" s="95" t="n"/>
      <c r="BXK2" s="95" t="n"/>
      <c r="BXL2" s="95" t="n"/>
      <c r="BXM2" s="95" t="n"/>
      <c r="BXN2" s="95" t="n"/>
      <c r="BXO2" s="95" t="n"/>
      <c r="BXP2" s="95" t="n"/>
      <c r="BXQ2" s="95" t="n"/>
      <c r="BXR2" s="95" t="n"/>
      <c r="BXS2" s="95" t="n"/>
      <c r="BXT2" s="95" t="n"/>
      <c r="BXU2" s="95" t="n"/>
      <c r="BXV2" s="95" t="n"/>
      <c r="BXW2" s="95" t="n"/>
      <c r="BXX2" s="95" t="n"/>
      <c r="BXY2" s="95" t="n"/>
      <c r="BXZ2" s="95" t="n"/>
      <c r="BYA2" s="95" t="n"/>
      <c r="BYB2" s="95" t="n"/>
      <c r="BYC2" s="95" t="n"/>
      <c r="BYD2" s="95" t="n"/>
      <c r="BYE2" s="95" t="n"/>
      <c r="BYF2" s="95" t="n"/>
      <c r="BYG2" s="95" t="n"/>
      <c r="BYH2" s="95" t="n"/>
      <c r="BYI2" s="95" t="n"/>
      <c r="BYJ2" s="95" t="n"/>
      <c r="BYK2" s="95" t="n"/>
      <c r="BYL2" s="95" t="n"/>
      <c r="BYM2" s="95" t="n"/>
      <c r="BYN2" s="95" t="n"/>
      <c r="BYO2" s="95" t="n"/>
      <c r="BYP2" s="95" t="n"/>
      <c r="BYQ2" s="95" t="n"/>
      <c r="BYR2" s="95" t="n"/>
      <c r="BYS2" s="95" t="n"/>
      <c r="BYT2" s="95" t="n"/>
      <c r="BYU2" s="95" t="n"/>
      <c r="BYV2" s="95" t="n"/>
      <c r="BYW2" s="95" t="n"/>
      <c r="BYX2" s="95" t="n"/>
      <c r="BYY2" s="95" t="n"/>
      <c r="BYZ2" s="95" t="n"/>
      <c r="BZA2" s="95" t="n"/>
      <c r="BZB2" s="95" t="n"/>
      <c r="BZC2" s="95" t="n"/>
      <c r="BZD2" s="95" t="n"/>
      <c r="BZE2" s="95" t="n"/>
      <c r="BZF2" s="95" t="n"/>
      <c r="BZG2" s="95" t="n"/>
      <c r="BZH2" s="95" t="n"/>
      <c r="BZI2" s="95" t="n"/>
      <c r="BZJ2" s="95" t="n"/>
      <c r="BZK2" s="95" t="n"/>
      <c r="BZL2" s="95" t="n"/>
      <c r="BZM2" s="95" t="n"/>
      <c r="BZN2" s="95" t="n"/>
      <c r="BZO2" s="95" t="n"/>
      <c r="BZP2" s="95" t="n"/>
      <c r="BZQ2" s="95" t="n"/>
      <c r="BZR2" s="95" t="n"/>
      <c r="BZS2" s="95" t="n"/>
      <c r="BZT2" s="95" t="n"/>
      <c r="BZU2" s="95" t="n"/>
      <c r="BZV2" s="95" t="n"/>
      <c r="BZW2" s="95" t="n"/>
      <c r="BZX2" s="95" t="n"/>
      <c r="BZY2" s="95" t="n"/>
      <c r="BZZ2" s="95" t="n"/>
      <c r="CAA2" s="95" t="n"/>
      <c r="CAB2" s="95" t="n"/>
      <c r="CAC2" s="95" t="n"/>
      <c r="CAD2" s="95" t="n"/>
      <c r="CAE2" s="95" t="n"/>
      <c r="CAF2" s="95" t="n"/>
      <c r="CAG2" s="95" t="n"/>
      <c r="CAH2" s="95" t="n"/>
      <c r="CAI2" s="95" t="n"/>
      <c r="CAJ2" s="95" t="n"/>
      <c r="CAK2" s="95" t="n"/>
      <c r="CAL2" s="95" t="n"/>
      <c r="CAM2" s="95" t="n"/>
      <c r="CAN2" s="95" t="n"/>
      <c r="CAO2" s="95" t="n"/>
      <c r="CAP2" s="95" t="n"/>
      <c r="CAQ2" s="95" t="n"/>
      <c r="CAR2" s="95" t="n"/>
      <c r="CAS2" s="95" t="n"/>
      <c r="CAT2" s="95" t="n"/>
      <c r="CAU2" s="95" t="n"/>
      <c r="CAV2" s="95" t="n"/>
      <c r="CAW2" s="95" t="n"/>
      <c r="CAX2" s="95" t="n"/>
      <c r="CAY2" s="95" t="n"/>
      <c r="CAZ2" s="95" t="n"/>
      <c r="CBA2" s="95" t="n"/>
      <c r="CBB2" s="95" t="n"/>
      <c r="CBC2" s="95" t="n"/>
      <c r="CBD2" s="95" t="n"/>
      <c r="CBE2" s="95" t="n"/>
      <c r="CBF2" s="95" t="n"/>
      <c r="CBG2" s="95" t="n"/>
      <c r="CBH2" s="95" t="n"/>
      <c r="CBI2" s="95" t="n"/>
      <c r="CBJ2" s="95" t="n"/>
      <c r="CBK2" s="95" t="n"/>
      <c r="CBL2" s="95" t="n"/>
      <c r="CBM2" s="95" t="n"/>
      <c r="CBN2" s="95" t="n"/>
      <c r="CBO2" s="95" t="n"/>
      <c r="CBP2" s="95" t="n"/>
      <c r="CBQ2" s="95" t="n"/>
      <c r="CBR2" s="95" t="n"/>
      <c r="CBS2" s="95" t="n"/>
      <c r="CBT2" s="95" t="n"/>
      <c r="CBU2" s="95" t="n"/>
      <c r="CBV2" s="95" t="n"/>
      <c r="CBW2" s="95" t="n"/>
      <c r="CBX2" s="95" t="n"/>
      <c r="CBY2" s="95" t="n"/>
      <c r="CBZ2" s="95" t="n"/>
      <c r="CCA2" s="95" t="n"/>
      <c r="CCB2" s="95" t="n"/>
      <c r="CCC2" s="95" t="n"/>
      <c r="CCD2" s="95" t="n"/>
      <c r="CCE2" s="95" t="n"/>
      <c r="CCF2" s="95" t="n"/>
      <c r="CCG2" s="95" t="n"/>
      <c r="CCH2" s="95" t="n"/>
      <c r="CCI2" s="95" t="n"/>
      <c r="CCJ2" s="95" t="n"/>
      <c r="CCK2" s="95" t="n"/>
      <c r="CCL2" s="95" t="n"/>
      <c r="CCM2" s="95" t="n"/>
      <c r="CCN2" s="95" t="n"/>
      <c r="CCO2" s="95" t="n"/>
      <c r="CCP2" s="95" t="n"/>
      <c r="CCQ2" s="95" t="n"/>
      <c r="CCR2" s="95" t="n"/>
      <c r="CCS2" s="95" t="n"/>
      <c r="CCT2" s="95" t="n"/>
      <c r="CCU2" s="95" t="n"/>
      <c r="CCV2" s="95" t="n"/>
      <c r="CCW2" s="95" t="n"/>
      <c r="CCX2" s="95" t="n"/>
      <c r="CCY2" s="95" t="n"/>
      <c r="CCZ2" s="95" t="n"/>
      <c r="CDA2" s="95" t="n"/>
      <c r="CDB2" s="95" t="n"/>
      <c r="CDC2" s="95" t="n"/>
      <c r="CDD2" s="95" t="n"/>
      <c r="CDE2" s="95" t="n"/>
      <c r="CDF2" s="95" t="n"/>
      <c r="CDG2" s="95" t="n"/>
      <c r="CDH2" s="95" t="n"/>
      <c r="CDI2" s="95" t="n"/>
      <c r="CDJ2" s="95" t="n"/>
      <c r="CDK2" s="95" t="n"/>
      <c r="CDL2" s="95" t="n"/>
      <c r="CDM2" s="95" t="n"/>
      <c r="CDN2" s="95" t="n"/>
      <c r="CDO2" s="95" t="n"/>
      <c r="CDP2" s="95" t="n"/>
      <c r="CDQ2" s="95" t="n"/>
      <c r="CDR2" s="95" t="n"/>
      <c r="CDS2" s="95" t="n"/>
      <c r="CDT2" s="95" t="n"/>
      <c r="CDU2" s="95" t="n"/>
      <c r="CDV2" s="95" t="n"/>
      <c r="CDW2" s="95" t="n"/>
      <c r="CDX2" s="95" t="n"/>
      <c r="CDY2" s="95" t="n"/>
      <c r="CDZ2" s="95" t="n"/>
      <c r="CEA2" s="95" t="n"/>
      <c r="CEB2" s="95" t="n"/>
      <c r="CEC2" s="95" t="n"/>
      <c r="CED2" s="95" t="n"/>
      <c r="CEE2" s="95" t="n"/>
      <c r="CEF2" s="95" t="n"/>
      <c r="CEG2" s="95" t="n"/>
      <c r="CEH2" s="95" t="n"/>
      <c r="CEI2" s="95" t="n"/>
      <c r="CEJ2" s="95" t="n"/>
      <c r="CEK2" s="95" t="n"/>
      <c r="CEL2" s="95" t="n"/>
      <c r="CEM2" s="95" t="n"/>
      <c r="CEN2" s="95" t="n"/>
      <c r="CEO2" s="95" t="n"/>
      <c r="CEP2" s="95" t="n"/>
      <c r="CEQ2" s="95" t="n"/>
      <c r="CER2" s="95" t="n"/>
      <c r="CES2" s="95" t="n"/>
      <c r="CET2" s="95" t="n"/>
      <c r="CEU2" s="95" t="n"/>
      <c r="CEV2" s="95" t="n"/>
      <c r="CEW2" s="95" t="n"/>
      <c r="CEX2" s="95" t="n"/>
      <c r="CEY2" s="95" t="n"/>
      <c r="CEZ2" s="95" t="n"/>
      <c r="CFA2" s="95" t="n"/>
      <c r="CFB2" s="95" t="n"/>
      <c r="CFC2" s="95" t="n"/>
      <c r="CFD2" s="95" t="n"/>
      <c r="CFE2" s="95" t="n"/>
      <c r="CFF2" s="95" t="n"/>
      <c r="CFG2" s="95" t="n"/>
      <c r="CFH2" s="95" t="n"/>
      <c r="CFI2" s="95" t="n"/>
      <c r="CFJ2" s="95" t="n"/>
      <c r="CFK2" s="95" t="n"/>
      <c r="CFL2" s="95" t="n"/>
      <c r="CFM2" s="95" t="n"/>
      <c r="CFN2" s="95" t="n"/>
      <c r="CFO2" s="95" t="n"/>
      <c r="CFP2" s="95" t="n"/>
      <c r="CFQ2" s="95" t="n"/>
      <c r="CFR2" s="95" t="n"/>
      <c r="CFS2" s="95" t="n"/>
      <c r="CFT2" s="95" t="n"/>
      <c r="CFU2" s="95" t="n"/>
      <c r="CFV2" s="95" t="n"/>
      <c r="CFW2" s="95" t="n"/>
      <c r="CFX2" s="95" t="n"/>
      <c r="CFY2" s="95" t="n"/>
      <c r="CFZ2" s="95" t="n"/>
      <c r="CGA2" s="95" t="n"/>
      <c r="CGB2" s="95" t="n"/>
      <c r="CGC2" s="95" t="n"/>
      <c r="CGD2" s="95" t="n"/>
      <c r="CGE2" s="95" t="n"/>
      <c r="CGF2" s="95" t="n"/>
      <c r="CGG2" s="95" t="n"/>
      <c r="CGH2" s="95" t="n"/>
      <c r="CGI2" s="95" t="n"/>
      <c r="CGJ2" s="95" t="n"/>
      <c r="CGK2" s="95" t="n"/>
      <c r="CGL2" s="95" t="n"/>
      <c r="CGM2" s="95" t="n"/>
      <c r="CGN2" s="95" t="n"/>
      <c r="CGO2" s="95" t="n"/>
      <c r="CGP2" s="95" t="n"/>
      <c r="CGQ2" s="95" t="n"/>
      <c r="CGR2" s="95" t="n"/>
      <c r="CGS2" s="95" t="n"/>
      <c r="CGT2" s="95" t="n"/>
      <c r="CGU2" s="95" t="n"/>
      <c r="CGV2" s="95" t="n"/>
      <c r="CGW2" s="95" t="n"/>
      <c r="CGX2" s="95" t="n"/>
      <c r="CGY2" s="95" t="n"/>
      <c r="CGZ2" s="95" t="n"/>
      <c r="CHA2" s="95" t="n"/>
      <c r="CHB2" s="95" t="n"/>
      <c r="CHC2" s="95" t="n"/>
      <c r="CHD2" s="95" t="n"/>
      <c r="CHE2" s="95" t="n"/>
      <c r="CHF2" s="95" t="n"/>
      <c r="CHG2" s="95" t="n"/>
      <c r="CHH2" s="95" t="n"/>
      <c r="CHI2" s="95" t="n"/>
      <c r="CHJ2" s="95" t="n"/>
      <c r="CHK2" s="95" t="n"/>
      <c r="CHL2" s="95" t="n"/>
      <c r="CHM2" s="95" t="n"/>
      <c r="CHN2" s="95" t="n"/>
      <c r="CHO2" s="95" t="n"/>
      <c r="CHP2" s="95" t="n"/>
      <c r="CHQ2" s="95" t="n"/>
      <c r="CHR2" s="95" t="n"/>
      <c r="CHS2" s="95" t="n"/>
      <c r="CHT2" s="95" t="n"/>
      <c r="CHU2" s="95" t="n"/>
      <c r="CHV2" s="95" t="n"/>
      <c r="CHW2" s="95" t="n"/>
      <c r="CHX2" s="95" t="n"/>
      <c r="CHY2" s="95" t="n"/>
      <c r="CHZ2" s="95" t="n"/>
      <c r="CIA2" s="95" t="n"/>
      <c r="CIB2" s="95" t="n"/>
      <c r="CIC2" s="95" t="n"/>
      <c r="CID2" s="95" t="n"/>
      <c r="CIE2" s="95" t="n"/>
      <c r="CIF2" s="95" t="n"/>
      <c r="CIG2" s="95" t="n"/>
      <c r="CIH2" s="95" t="n"/>
      <c r="CII2" s="95" t="n"/>
      <c r="CIJ2" s="95" t="n"/>
      <c r="CIK2" s="95" t="n"/>
      <c r="CIL2" s="95" t="n"/>
      <c r="CIM2" s="95" t="n"/>
      <c r="CIN2" s="95" t="n"/>
      <c r="CIO2" s="95" t="n"/>
      <c r="CIP2" s="95" t="n"/>
      <c r="CIQ2" s="95" t="n"/>
      <c r="CIR2" s="95" t="n"/>
      <c r="CIS2" s="95" t="n"/>
      <c r="CIT2" s="95" t="n"/>
      <c r="CIU2" s="95" t="n"/>
      <c r="CIV2" s="95" t="n"/>
      <c r="CIW2" s="95" t="n"/>
      <c r="CIX2" s="95" t="n"/>
      <c r="CIY2" s="95" t="n"/>
      <c r="CIZ2" s="95" t="n"/>
      <c r="CJA2" s="95" t="n"/>
      <c r="CJB2" s="95" t="n"/>
      <c r="CJC2" s="95" t="n"/>
      <c r="CJD2" s="95" t="n"/>
      <c r="CJE2" s="95" t="n"/>
      <c r="CJF2" s="95" t="n"/>
      <c r="CJG2" s="95" t="n"/>
      <c r="CJH2" s="95" t="n"/>
      <c r="CJI2" s="95" t="n"/>
      <c r="CJJ2" s="95" t="n"/>
      <c r="CJK2" s="95" t="n"/>
      <c r="CJL2" s="95" t="n"/>
      <c r="CJM2" s="95" t="n"/>
      <c r="CJN2" s="95" t="n"/>
      <c r="CJO2" s="95" t="n"/>
      <c r="CJP2" s="95" t="n"/>
      <c r="CJQ2" s="95" t="n"/>
      <c r="CJR2" s="95" t="n"/>
      <c r="CJS2" s="95" t="n"/>
      <c r="CJT2" s="95" t="n"/>
      <c r="CJU2" s="95" t="n"/>
      <c r="CJV2" s="95" t="n"/>
      <c r="CJW2" s="95" t="n"/>
      <c r="CJX2" s="95" t="n"/>
      <c r="CJY2" s="95" t="n"/>
      <c r="CJZ2" s="95" t="n"/>
      <c r="CKA2" s="95" t="n"/>
      <c r="CKB2" s="95" t="n"/>
      <c r="CKC2" s="95" t="n"/>
      <c r="CKD2" s="95" t="n"/>
      <c r="CKE2" s="95" t="n"/>
      <c r="CKF2" s="95" t="n"/>
      <c r="CKG2" s="95" t="n"/>
      <c r="CKH2" s="95" t="n"/>
      <c r="CKI2" s="95" t="n"/>
      <c r="CKJ2" s="95" t="n"/>
      <c r="CKK2" s="95" t="n"/>
      <c r="CKL2" s="95" t="n"/>
      <c r="CKM2" s="95" t="n"/>
      <c r="CKN2" s="95" t="n"/>
      <c r="CKO2" s="95" t="n"/>
      <c r="CKP2" s="95" t="n"/>
      <c r="CKQ2" s="95" t="n"/>
      <c r="CKR2" s="95" t="n"/>
      <c r="CKS2" s="95" t="n"/>
      <c r="CKT2" s="95" t="n"/>
      <c r="CKU2" s="95" t="n"/>
      <c r="CKV2" s="95" t="n"/>
      <c r="CKW2" s="95" t="n"/>
      <c r="CKX2" s="95" t="n"/>
      <c r="CKY2" s="95" t="n"/>
      <c r="CKZ2" s="95" t="n"/>
      <c r="CLA2" s="95" t="n"/>
      <c r="CLB2" s="95" t="n"/>
      <c r="CLC2" s="95" t="n"/>
      <c r="CLD2" s="95" t="n"/>
      <c r="CLE2" s="95" t="n"/>
      <c r="CLF2" s="95" t="n"/>
      <c r="CLG2" s="95" t="n"/>
      <c r="CLH2" s="95" t="n"/>
      <c r="CLI2" s="95" t="n"/>
      <c r="CLJ2" s="95" t="n"/>
      <c r="CLK2" s="95" t="n"/>
      <c r="CLL2" s="95" t="n"/>
      <c r="CLM2" s="95" t="n"/>
      <c r="CLN2" s="95" t="n"/>
      <c r="CLO2" s="95" t="n"/>
      <c r="CLP2" s="95" t="n"/>
      <c r="CLQ2" s="95" t="n"/>
      <c r="CLR2" s="95" t="n"/>
      <c r="CLS2" s="95" t="n"/>
      <c r="CLT2" s="95" t="n"/>
      <c r="CLU2" s="95" t="n"/>
      <c r="CLV2" s="95" t="n"/>
      <c r="CLW2" s="95" t="n"/>
      <c r="CLX2" s="95" t="n"/>
      <c r="CLY2" s="95" t="n"/>
      <c r="CLZ2" s="95" t="n"/>
      <c r="CMA2" s="95" t="n"/>
      <c r="CMB2" s="95" t="n"/>
      <c r="CMC2" s="95" t="n"/>
      <c r="CMD2" s="95" t="n"/>
      <c r="CME2" s="95" t="n"/>
      <c r="CMF2" s="95" t="n"/>
      <c r="CMG2" s="95" t="n"/>
      <c r="CMH2" s="95" t="n"/>
      <c r="CMI2" s="95" t="n"/>
      <c r="CMJ2" s="95" t="n"/>
      <c r="CMK2" s="95" t="n"/>
      <c r="CML2" s="95" t="n"/>
      <c r="CMM2" s="95" t="n"/>
      <c r="CMN2" s="95" t="n"/>
      <c r="CMO2" s="95" t="n"/>
      <c r="CMP2" s="95" t="n"/>
      <c r="CMQ2" s="95" t="n"/>
      <c r="CMR2" s="95" t="n"/>
      <c r="CMS2" s="95" t="n"/>
      <c r="CMT2" s="95" t="n"/>
      <c r="CMU2" s="95" t="n"/>
      <c r="CMV2" s="95" t="n"/>
      <c r="CMW2" s="95" t="n"/>
      <c r="CMX2" s="95" t="n"/>
      <c r="CMY2" s="95" t="n"/>
      <c r="CMZ2" s="95" t="n"/>
      <c r="CNA2" s="95" t="n"/>
      <c r="CNB2" s="95" t="n"/>
      <c r="CNC2" s="95" t="n"/>
      <c r="CND2" s="95" t="n"/>
      <c r="CNE2" s="95" t="n"/>
      <c r="CNF2" s="95" t="n"/>
      <c r="CNG2" s="95" t="n"/>
      <c r="CNH2" s="95" t="n"/>
      <c r="CNI2" s="95" t="n"/>
      <c r="CNJ2" s="95" t="n"/>
      <c r="CNK2" s="95" t="n"/>
      <c r="CNL2" s="95" t="n"/>
      <c r="CNM2" s="95" t="n"/>
      <c r="CNN2" s="95" t="n"/>
      <c r="CNO2" s="95" t="n"/>
      <c r="CNP2" s="95" t="n"/>
      <c r="CNQ2" s="95" t="n"/>
      <c r="CNR2" s="95" t="n"/>
      <c r="CNS2" s="95" t="n"/>
      <c r="CNT2" s="95" t="n"/>
      <c r="CNU2" s="95" t="n"/>
      <c r="CNV2" s="95" t="n"/>
      <c r="CNW2" s="95" t="n"/>
      <c r="CNX2" s="95" t="n"/>
      <c r="CNY2" s="95" t="n"/>
      <c r="CNZ2" s="95" t="n"/>
      <c r="COA2" s="95" t="n"/>
      <c r="COB2" s="95" t="n"/>
      <c r="COC2" s="95" t="n"/>
      <c r="COD2" s="95" t="n"/>
      <c r="COE2" s="95" t="n"/>
      <c r="COF2" s="95" t="n"/>
      <c r="COG2" s="95" t="n"/>
      <c r="COH2" s="95" t="n"/>
      <c r="COI2" s="95" t="n"/>
      <c r="COJ2" s="95" t="n"/>
      <c r="COK2" s="95" t="n"/>
      <c r="COL2" s="95" t="n"/>
      <c r="COM2" s="95" t="n"/>
      <c r="CON2" s="95" t="n"/>
      <c r="COO2" s="95" t="n"/>
      <c r="COP2" s="95" t="n"/>
      <c r="COQ2" s="95" t="n"/>
      <c r="COR2" s="95" t="n"/>
      <c r="COS2" s="95" t="n"/>
      <c r="COT2" s="95" t="n"/>
      <c r="COU2" s="95" t="n"/>
      <c r="COV2" s="95" t="n"/>
      <c r="COW2" s="95" t="n"/>
      <c r="COX2" s="95" t="n"/>
      <c r="COY2" s="95" t="n"/>
      <c r="COZ2" s="95" t="n"/>
      <c r="CPA2" s="95" t="n"/>
      <c r="CPB2" s="95" t="n"/>
      <c r="CPC2" s="95" t="n"/>
      <c r="CPD2" s="95" t="n"/>
      <c r="CPE2" s="95" t="n"/>
      <c r="CPF2" s="95" t="n"/>
      <c r="CPG2" s="95" t="n"/>
      <c r="CPH2" s="95" t="n"/>
      <c r="CPI2" s="95" t="n"/>
      <c r="CPJ2" s="95" t="n"/>
      <c r="CPK2" s="95" t="n"/>
      <c r="CPL2" s="95" t="n"/>
      <c r="CPM2" s="95" t="n"/>
      <c r="CPN2" s="95" t="n"/>
      <c r="CPO2" s="95" t="n"/>
      <c r="CPP2" s="95" t="n"/>
      <c r="CPQ2" s="95" t="n"/>
      <c r="CPR2" s="95" t="n"/>
      <c r="CPS2" s="95" t="n"/>
      <c r="CPT2" s="95" t="n"/>
      <c r="CPU2" s="95" t="n"/>
      <c r="CPV2" s="95" t="n"/>
      <c r="CPW2" s="95" t="n"/>
      <c r="CPX2" s="95" t="n"/>
      <c r="CPY2" s="95" t="n"/>
      <c r="CPZ2" s="95" t="n"/>
      <c r="CQA2" s="95" t="n"/>
      <c r="CQB2" s="95" t="n"/>
      <c r="CQC2" s="95" t="n"/>
      <c r="CQD2" s="95" t="n"/>
      <c r="CQE2" s="95" t="n"/>
      <c r="CQF2" s="95" t="n"/>
      <c r="CQG2" s="95" t="n"/>
      <c r="CQH2" s="95" t="n"/>
      <c r="CQI2" s="95" t="n"/>
      <c r="CQJ2" s="95" t="n"/>
      <c r="CQK2" s="95" t="n"/>
      <c r="CQL2" s="95" t="n"/>
      <c r="CQM2" s="95" t="n"/>
      <c r="CQN2" s="95" t="n"/>
      <c r="CQO2" s="95" t="n"/>
      <c r="CQP2" s="95" t="n"/>
      <c r="CQQ2" s="95" t="n"/>
      <c r="CQR2" s="95" t="n"/>
      <c r="CQS2" s="95" t="n"/>
      <c r="CQT2" s="95" t="n"/>
      <c r="CQU2" s="95" t="n"/>
      <c r="CQV2" s="95" t="n"/>
      <c r="CQW2" s="95" t="n"/>
      <c r="CQX2" s="95" t="n"/>
      <c r="CQY2" s="95" t="n"/>
      <c r="CQZ2" s="95" t="n"/>
      <c r="CRA2" s="95" t="n"/>
      <c r="CRB2" s="95" t="n"/>
      <c r="CRC2" s="95" t="n"/>
      <c r="CRD2" s="95" t="n"/>
      <c r="CRE2" s="95" t="n"/>
      <c r="CRF2" s="95" t="n"/>
      <c r="CRG2" s="95" t="n"/>
      <c r="CRH2" s="95" t="n"/>
      <c r="CRI2" s="95" t="n"/>
      <c r="CRJ2" s="95" t="n"/>
      <c r="CRK2" s="95" t="n"/>
      <c r="CRL2" s="95" t="n"/>
      <c r="CRM2" s="95" t="n"/>
      <c r="CRN2" s="95" t="n"/>
      <c r="CRO2" s="95" t="n"/>
      <c r="CRP2" s="95" t="n"/>
      <c r="CRQ2" s="95" t="n"/>
      <c r="CRR2" s="95" t="n"/>
      <c r="CRS2" s="95" t="n"/>
      <c r="CRT2" s="95" t="n"/>
      <c r="CRU2" s="95" t="n"/>
      <c r="CRV2" s="95" t="n"/>
      <c r="CRW2" s="95" t="n"/>
      <c r="CRX2" s="95" t="n"/>
      <c r="CRY2" s="95" t="n"/>
      <c r="CRZ2" s="95" t="n"/>
      <c r="CSA2" s="95" t="n"/>
      <c r="CSB2" s="95" t="n"/>
      <c r="CSC2" s="95" t="n"/>
      <c r="CSD2" s="95" t="n"/>
      <c r="CSE2" s="95" t="n"/>
      <c r="CSF2" s="95" t="n"/>
      <c r="CSG2" s="95" t="n"/>
      <c r="CSH2" s="95" t="n"/>
      <c r="CSI2" s="95" t="n"/>
      <c r="CSJ2" s="95" t="n"/>
      <c r="CSK2" s="95" t="n"/>
      <c r="CSL2" s="95" t="n"/>
      <c r="CSM2" s="95" t="n"/>
      <c r="CSN2" s="95" t="n"/>
      <c r="CSO2" s="95" t="n"/>
      <c r="CSP2" s="95" t="n"/>
      <c r="CSQ2" s="95" t="n"/>
      <c r="CSR2" s="95" t="n"/>
      <c r="CSS2" s="95" t="n"/>
      <c r="CST2" s="95" t="n"/>
      <c r="CSU2" s="95" t="n"/>
      <c r="CSV2" s="95" t="n"/>
      <c r="CSW2" s="95" t="n"/>
      <c r="CSX2" s="95" t="n"/>
      <c r="CSY2" s="95" t="n"/>
      <c r="CSZ2" s="95" t="n"/>
      <c r="CTA2" s="95" t="n"/>
      <c r="CTB2" s="95" t="n"/>
      <c r="CTC2" s="95" t="n"/>
      <c r="CTD2" s="95" t="n"/>
      <c r="CTE2" s="95" t="n"/>
      <c r="CTF2" s="95" t="n"/>
      <c r="CTG2" s="95" t="n"/>
      <c r="CTH2" s="95" t="n"/>
      <c r="CTI2" s="95" t="n"/>
      <c r="CTJ2" s="95" t="n"/>
      <c r="CTK2" s="95" t="n"/>
      <c r="CTL2" s="95" t="n"/>
      <c r="CTM2" s="95" t="n"/>
      <c r="CTN2" s="95" t="n"/>
      <c r="CTO2" s="95" t="n"/>
      <c r="CTP2" s="95" t="n"/>
      <c r="CTQ2" s="95" t="n"/>
      <c r="CTR2" s="95" t="n"/>
      <c r="CTS2" s="95" t="n"/>
      <c r="CTT2" s="95" t="n"/>
      <c r="CTU2" s="95" t="n"/>
      <c r="CTV2" s="95" t="n"/>
      <c r="CTW2" s="95" t="n"/>
      <c r="CTX2" s="95" t="n"/>
      <c r="CTY2" s="95" t="n"/>
      <c r="CTZ2" s="95" t="n"/>
      <c r="CUA2" s="95" t="n"/>
      <c r="CUB2" s="95" t="n"/>
      <c r="CUC2" s="95" t="n"/>
      <c r="CUD2" s="95" t="n"/>
      <c r="CUE2" s="95" t="n"/>
      <c r="CUF2" s="95" t="n"/>
      <c r="CUG2" s="95" t="n"/>
      <c r="CUH2" s="95" t="n"/>
      <c r="CUI2" s="95" t="n"/>
      <c r="CUJ2" s="95" t="n"/>
      <c r="CUK2" s="95" t="n"/>
      <c r="CUL2" s="95" t="n"/>
      <c r="CUM2" s="95" t="n"/>
      <c r="CUN2" s="95" t="n"/>
      <c r="CUO2" s="95" t="n"/>
      <c r="CUP2" s="95" t="n"/>
      <c r="CUQ2" s="95" t="n"/>
      <c r="CUR2" s="95" t="n"/>
      <c r="CUS2" s="95" t="n"/>
      <c r="CUT2" s="95" t="n"/>
      <c r="CUU2" s="95" t="n"/>
      <c r="CUV2" s="95" t="n"/>
      <c r="CUW2" s="95" t="n"/>
      <c r="CUX2" s="95" t="n"/>
      <c r="CUY2" s="95" t="n"/>
      <c r="CUZ2" s="95" t="n"/>
      <c r="CVA2" s="95" t="n"/>
      <c r="CVB2" s="95" t="n"/>
      <c r="CVC2" s="95" t="n"/>
      <c r="CVD2" s="95" t="n"/>
      <c r="CVE2" s="95" t="n"/>
      <c r="CVF2" s="95" t="n"/>
      <c r="CVG2" s="95" t="n"/>
      <c r="CVH2" s="95" t="n"/>
      <c r="CVI2" s="95" t="n"/>
      <c r="CVJ2" s="95" t="n"/>
      <c r="CVK2" s="95" t="n"/>
      <c r="CVL2" s="95" t="n"/>
      <c r="CVM2" s="95" t="n"/>
      <c r="CVN2" s="95" t="n"/>
      <c r="CVO2" s="95" t="n"/>
      <c r="CVP2" s="95" t="n"/>
      <c r="CVQ2" s="95" t="n"/>
      <c r="CVR2" s="95" t="n"/>
      <c r="CVS2" s="95" t="n"/>
      <c r="CVT2" s="95" t="n"/>
      <c r="CVU2" s="95" t="n"/>
      <c r="CVV2" s="95" t="n"/>
      <c r="CVW2" s="95" t="n"/>
      <c r="CVX2" s="95" t="n"/>
      <c r="CVY2" s="95" t="n"/>
      <c r="CVZ2" s="95" t="n"/>
      <c r="CWA2" s="95" t="n"/>
      <c r="CWB2" s="95" t="n"/>
      <c r="CWC2" s="95" t="n"/>
      <c r="CWD2" s="95" t="n"/>
      <c r="CWE2" s="95" t="n"/>
      <c r="CWF2" s="95" t="n"/>
      <c r="CWG2" s="95" t="n"/>
      <c r="CWH2" s="95" t="n"/>
      <c r="CWI2" s="95" t="n"/>
      <c r="CWJ2" s="95" t="n"/>
      <c r="CWK2" s="95" t="n"/>
      <c r="CWL2" s="95" t="n"/>
      <c r="CWM2" s="95" t="n"/>
      <c r="CWN2" s="95" t="n"/>
      <c r="CWO2" s="95" t="n"/>
      <c r="CWP2" s="95" t="n"/>
      <c r="CWQ2" s="95" t="n"/>
      <c r="CWR2" s="95" t="n"/>
      <c r="CWS2" s="95" t="n"/>
      <c r="CWT2" s="95" t="n"/>
      <c r="CWU2" s="95" t="n"/>
      <c r="CWV2" s="95" t="n"/>
      <c r="CWW2" s="95" t="n"/>
      <c r="CWX2" s="95" t="n"/>
      <c r="CWY2" s="95" t="n"/>
      <c r="CWZ2" s="95" t="n"/>
      <c r="CXA2" s="95" t="n"/>
      <c r="CXB2" s="95" t="n"/>
      <c r="CXC2" s="95" t="n"/>
      <c r="CXD2" s="95" t="n"/>
      <c r="CXE2" s="95" t="n"/>
      <c r="CXF2" s="95" t="n"/>
      <c r="CXG2" s="95" t="n"/>
      <c r="CXH2" s="95" t="n"/>
      <c r="CXI2" s="95" t="n"/>
      <c r="CXJ2" s="95" t="n"/>
      <c r="CXK2" s="95" t="n"/>
      <c r="CXL2" s="95" t="n"/>
      <c r="CXM2" s="95" t="n"/>
      <c r="CXN2" s="95" t="n"/>
      <c r="CXO2" s="95" t="n"/>
      <c r="CXP2" s="95" t="n"/>
      <c r="CXQ2" s="95" t="n"/>
      <c r="CXR2" s="95" t="n"/>
      <c r="CXS2" s="95" t="n"/>
      <c r="CXT2" s="95" t="n"/>
      <c r="CXU2" s="95" t="n"/>
      <c r="CXV2" s="95" t="n"/>
      <c r="CXW2" s="95" t="n"/>
      <c r="CXX2" s="95" t="n"/>
      <c r="CXY2" s="95" t="n"/>
      <c r="CXZ2" s="95" t="n"/>
      <c r="CYA2" s="95" t="n"/>
      <c r="CYB2" s="95" t="n"/>
      <c r="CYC2" s="95" t="n"/>
      <c r="CYD2" s="95" t="n"/>
      <c r="CYE2" s="95" t="n"/>
      <c r="CYF2" s="95" t="n"/>
      <c r="CYG2" s="95" t="n"/>
      <c r="CYH2" s="95" t="n"/>
      <c r="CYI2" s="95" t="n"/>
      <c r="CYJ2" s="95" t="n"/>
      <c r="CYK2" s="95" t="n"/>
      <c r="CYL2" s="95" t="n"/>
      <c r="CYM2" s="95" t="n"/>
      <c r="CYN2" s="95" t="n"/>
      <c r="CYO2" s="95" t="n"/>
      <c r="CYP2" s="95" t="n"/>
      <c r="CYQ2" s="95" t="n"/>
      <c r="CYR2" s="95" t="n"/>
      <c r="CYS2" s="95" t="n"/>
      <c r="CYT2" s="95" t="n"/>
      <c r="CYU2" s="95" t="n"/>
      <c r="CYV2" s="95" t="n"/>
      <c r="CYW2" s="95" t="n"/>
      <c r="CYX2" s="95" t="n"/>
      <c r="CYY2" s="95" t="n"/>
      <c r="CYZ2" s="95" t="n"/>
      <c r="CZA2" s="95" t="n"/>
      <c r="CZB2" s="95" t="n"/>
      <c r="CZC2" s="95" t="n"/>
      <c r="CZD2" s="95" t="n"/>
      <c r="CZE2" s="95" t="n"/>
      <c r="CZF2" s="95" t="n"/>
      <c r="CZG2" s="95" t="n"/>
      <c r="CZH2" s="95" t="n"/>
      <c r="CZI2" s="95" t="n"/>
      <c r="CZJ2" s="95" t="n"/>
      <c r="CZK2" s="95" t="n"/>
      <c r="CZL2" s="95" t="n"/>
      <c r="CZM2" s="95" t="n"/>
      <c r="CZN2" s="95" t="n"/>
      <c r="CZO2" s="95" t="n"/>
      <c r="CZP2" s="95" t="n"/>
      <c r="CZQ2" s="95" t="n"/>
      <c r="CZR2" s="95" t="n"/>
      <c r="CZS2" s="95" t="n"/>
      <c r="CZT2" s="95" t="n"/>
      <c r="CZU2" s="95" t="n"/>
      <c r="CZV2" s="95" t="n"/>
      <c r="CZW2" s="95" t="n"/>
      <c r="CZX2" s="95" t="n"/>
      <c r="CZY2" s="95" t="n"/>
      <c r="CZZ2" s="95" t="n"/>
      <c r="DAA2" s="95" t="n"/>
      <c r="DAB2" s="95" t="n"/>
      <c r="DAC2" s="95" t="n"/>
      <c r="DAD2" s="95" t="n"/>
      <c r="DAE2" s="95" t="n"/>
      <c r="DAF2" s="95" t="n"/>
      <c r="DAG2" s="95" t="n"/>
      <c r="DAH2" s="95" t="n"/>
      <c r="DAI2" s="95" t="n"/>
      <c r="DAJ2" s="95" t="n"/>
      <c r="DAK2" s="95" t="n"/>
      <c r="DAL2" s="95" t="n"/>
      <c r="DAM2" s="95" t="n"/>
      <c r="DAN2" s="95" t="n"/>
      <c r="DAO2" s="95" t="n"/>
      <c r="DAP2" s="95" t="n"/>
      <c r="DAQ2" s="95" t="n"/>
      <c r="DAR2" s="95" t="n"/>
      <c r="DAS2" s="95" t="n"/>
      <c r="DAT2" s="95" t="n"/>
      <c r="DAU2" s="95" t="n"/>
      <c r="DAV2" s="95" t="n"/>
      <c r="DAW2" s="95" t="n"/>
      <c r="DAX2" s="95" t="n"/>
      <c r="DAY2" s="95" t="n"/>
      <c r="DAZ2" s="95" t="n"/>
      <c r="DBA2" s="95" t="n"/>
      <c r="DBB2" s="95" t="n"/>
      <c r="DBC2" s="95" t="n"/>
      <c r="DBD2" s="95" t="n"/>
      <c r="DBE2" s="95" t="n"/>
      <c r="DBF2" s="95" t="n"/>
      <c r="DBG2" s="95" t="n"/>
      <c r="DBH2" s="95" t="n"/>
      <c r="DBI2" s="95" t="n"/>
      <c r="DBJ2" s="95" t="n"/>
      <c r="DBK2" s="95" t="n"/>
      <c r="DBL2" s="95" t="n"/>
      <c r="DBM2" s="95" t="n"/>
      <c r="DBN2" s="95" t="n"/>
      <c r="DBO2" s="95" t="n"/>
      <c r="DBP2" s="95" t="n"/>
      <c r="DBQ2" s="95" t="n"/>
      <c r="DBR2" s="95" t="n"/>
      <c r="DBS2" s="95" t="n"/>
      <c r="DBT2" s="95" t="n"/>
      <c r="DBU2" s="95" t="n"/>
      <c r="DBV2" s="95" t="n"/>
      <c r="DBW2" s="95" t="n"/>
      <c r="DBX2" s="95" t="n"/>
      <c r="DBY2" s="95" t="n"/>
      <c r="DBZ2" s="95" t="n"/>
      <c r="DCA2" s="95" t="n"/>
      <c r="DCB2" s="95" t="n"/>
      <c r="DCC2" s="95" t="n"/>
      <c r="DCD2" s="95" t="n"/>
      <c r="DCE2" s="95" t="n"/>
      <c r="DCF2" s="95" t="n"/>
      <c r="DCG2" s="95" t="n"/>
      <c r="DCH2" s="95" t="n"/>
      <c r="DCI2" s="95" t="n"/>
      <c r="DCJ2" s="95" t="n"/>
      <c r="DCK2" s="95" t="n"/>
      <c r="DCL2" s="95" t="n"/>
      <c r="DCM2" s="95" t="n"/>
      <c r="DCN2" s="95" t="n"/>
      <c r="DCO2" s="95" t="n"/>
      <c r="DCP2" s="95" t="n"/>
      <c r="DCQ2" s="95" t="n"/>
      <c r="DCR2" s="95" t="n"/>
      <c r="DCS2" s="95" t="n"/>
      <c r="DCT2" s="95" t="n"/>
      <c r="DCU2" s="95" t="n"/>
      <c r="DCV2" s="95" t="n"/>
      <c r="DCW2" s="95" t="n"/>
      <c r="DCX2" s="95" t="n"/>
      <c r="DCY2" s="95" t="n"/>
      <c r="DCZ2" s="95" t="n"/>
      <c r="DDA2" s="95" t="n"/>
      <c r="DDB2" s="95" t="n"/>
      <c r="DDC2" s="95" t="n"/>
      <c r="DDD2" s="95" t="n"/>
      <c r="DDE2" s="95" t="n"/>
      <c r="DDF2" s="95" t="n"/>
      <c r="DDG2" s="95" t="n"/>
      <c r="DDH2" s="95" t="n"/>
      <c r="DDI2" s="95" t="n"/>
      <c r="DDJ2" s="95" t="n"/>
      <c r="DDK2" s="95" t="n"/>
      <c r="DDL2" s="95" t="n"/>
      <c r="DDM2" s="95" t="n"/>
      <c r="DDN2" s="95" t="n"/>
      <c r="DDO2" s="95" t="n"/>
      <c r="DDP2" s="95" t="n"/>
      <c r="DDQ2" s="95" t="n"/>
      <c r="DDR2" s="95" t="n"/>
      <c r="DDS2" s="95" t="n"/>
      <c r="DDT2" s="95" t="n"/>
      <c r="DDU2" s="95" t="n"/>
      <c r="DDV2" s="95" t="n"/>
      <c r="DDW2" s="95" t="n"/>
      <c r="DDX2" s="95" t="n"/>
      <c r="DDY2" s="95" t="n"/>
      <c r="DDZ2" s="95" t="n"/>
      <c r="DEA2" s="95" t="n"/>
      <c r="DEB2" s="95" t="n"/>
      <c r="DEC2" s="95" t="n"/>
      <c r="DED2" s="95" t="n"/>
      <c r="DEE2" s="95" t="n"/>
      <c r="DEF2" s="95" t="n"/>
      <c r="DEG2" s="95" t="n"/>
      <c r="DEH2" s="95" t="n"/>
      <c r="DEI2" s="95" t="n"/>
      <c r="DEJ2" s="95" t="n"/>
      <c r="DEK2" s="95" t="n"/>
      <c r="DEL2" s="95" t="n"/>
      <c r="DEM2" s="95" t="n"/>
      <c r="DEN2" s="95" t="n"/>
      <c r="DEO2" s="95" t="n"/>
      <c r="DEP2" s="95" t="n"/>
      <c r="DEQ2" s="95" t="n"/>
      <c r="DER2" s="95" t="n"/>
      <c r="DES2" s="95" t="n"/>
      <c r="DET2" s="95" t="n"/>
      <c r="DEU2" s="95" t="n"/>
      <c r="DEV2" s="95" t="n"/>
      <c r="DEW2" s="95" t="n"/>
      <c r="DEX2" s="95" t="n"/>
      <c r="DEY2" s="95" t="n"/>
      <c r="DEZ2" s="95" t="n"/>
      <c r="DFA2" s="95" t="n"/>
      <c r="DFB2" s="95" t="n"/>
      <c r="DFC2" s="95" t="n"/>
      <c r="DFD2" s="95" t="n"/>
      <c r="DFE2" s="95" t="n"/>
      <c r="DFF2" s="95" t="n"/>
      <c r="DFG2" s="95" t="n"/>
      <c r="DFH2" s="95" t="n"/>
      <c r="DFI2" s="95" t="n"/>
      <c r="DFJ2" s="95" t="n"/>
      <c r="DFK2" s="95" t="n"/>
      <c r="DFL2" s="95" t="n"/>
      <c r="DFM2" s="95" t="n"/>
      <c r="DFN2" s="95" t="n"/>
      <c r="DFO2" s="95" t="n"/>
      <c r="DFP2" s="95" t="n"/>
      <c r="DFQ2" s="95" t="n"/>
      <c r="DFR2" s="95" t="n"/>
      <c r="DFS2" s="95" t="n"/>
      <c r="DFT2" s="95" t="n"/>
      <c r="DFU2" s="95" t="n"/>
      <c r="DFV2" s="95" t="n"/>
      <c r="DFW2" s="95" t="n"/>
      <c r="DFX2" s="95" t="n"/>
      <c r="DFY2" s="95" t="n"/>
      <c r="DFZ2" s="95" t="n"/>
      <c r="DGA2" s="95" t="n"/>
      <c r="DGB2" s="95" t="n"/>
      <c r="DGC2" s="95" t="n"/>
      <c r="DGD2" s="95" t="n"/>
      <c r="DGE2" s="95" t="n"/>
      <c r="DGF2" s="95" t="n"/>
      <c r="DGG2" s="95" t="n"/>
      <c r="DGH2" s="95" t="n"/>
      <c r="DGI2" s="95" t="n"/>
      <c r="DGJ2" s="95" t="n"/>
      <c r="DGK2" s="95" t="n"/>
      <c r="DGL2" s="95" t="n"/>
      <c r="DGM2" s="95" t="n"/>
      <c r="DGN2" s="95" t="n"/>
      <c r="DGO2" s="95" t="n"/>
      <c r="DGP2" s="95" t="n"/>
      <c r="DGQ2" s="95" t="n"/>
      <c r="DGR2" s="95" t="n"/>
      <c r="DGS2" s="95" t="n"/>
      <c r="DGT2" s="95" t="n"/>
      <c r="DGU2" s="95" t="n"/>
      <c r="DGV2" s="95" t="n"/>
      <c r="DGW2" s="95" t="n"/>
      <c r="DGX2" s="95" t="n"/>
      <c r="DGY2" s="95" t="n"/>
      <c r="DGZ2" s="95" t="n"/>
      <c r="DHA2" s="95" t="n"/>
      <c r="DHB2" s="95" t="n"/>
      <c r="DHC2" s="95" t="n"/>
      <c r="DHD2" s="95" t="n"/>
      <c r="DHE2" s="95" t="n"/>
      <c r="DHF2" s="95" t="n"/>
      <c r="DHG2" s="95" t="n"/>
      <c r="DHH2" s="95" t="n"/>
      <c r="DHI2" s="95" t="n"/>
      <c r="DHJ2" s="95" t="n"/>
      <c r="DHK2" s="95" t="n"/>
      <c r="DHL2" s="95" t="n"/>
      <c r="DHM2" s="95" t="n"/>
      <c r="DHN2" s="95" t="n"/>
      <c r="DHO2" s="95" t="n"/>
      <c r="DHP2" s="95" t="n"/>
      <c r="DHQ2" s="95" t="n"/>
      <c r="DHR2" s="95" t="n"/>
      <c r="DHS2" s="95" t="n"/>
      <c r="DHT2" s="95" t="n"/>
      <c r="DHU2" s="95" t="n"/>
      <c r="DHV2" s="95" t="n"/>
      <c r="DHW2" s="95" t="n"/>
      <c r="DHX2" s="95" t="n"/>
      <c r="DHY2" s="95" t="n"/>
      <c r="DHZ2" s="95" t="n"/>
      <c r="DIA2" s="95" t="n"/>
      <c r="DIB2" s="95" t="n"/>
      <c r="DIC2" s="95" t="n"/>
      <c r="DID2" s="95" t="n"/>
      <c r="DIE2" s="95" t="n"/>
      <c r="DIF2" s="95" t="n"/>
      <c r="DIG2" s="95" t="n"/>
      <c r="DIH2" s="95" t="n"/>
      <c r="DII2" s="95" t="n"/>
      <c r="DIJ2" s="95" t="n"/>
      <c r="DIK2" s="95" t="n"/>
      <c r="DIL2" s="95" t="n"/>
      <c r="DIM2" s="95" t="n"/>
      <c r="DIN2" s="95" t="n"/>
      <c r="DIO2" s="95" t="n"/>
      <c r="DIP2" s="95" t="n"/>
      <c r="DIQ2" s="95" t="n"/>
      <c r="DIR2" s="95" t="n"/>
      <c r="DIS2" s="95" t="n"/>
      <c r="DIT2" s="95" t="n"/>
      <c r="DIU2" s="95" t="n"/>
      <c r="DIV2" s="95" t="n"/>
      <c r="DIW2" s="95" t="n"/>
      <c r="DIX2" s="95" t="n"/>
      <c r="DIY2" s="95" t="n"/>
      <c r="DIZ2" s="95" t="n"/>
      <c r="DJA2" s="95" t="n"/>
      <c r="DJB2" s="95" t="n"/>
      <c r="DJC2" s="95" t="n"/>
      <c r="DJD2" s="95" t="n"/>
      <c r="DJE2" s="95" t="n"/>
      <c r="DJF2" s="95" t="n"/>
      <c r="DJG2" s="95" t="n"/>
      <c r="DJH2" s="95" t="n"/>
      <c r="DJI2" s="95" t="n"/>
      <c r="DJJ2" s="95" t="n"/>
      <c r="DJK2" s="95" t="n"/>
      <c r="DJL2" s="95" t="n"/>
      <c r="DJM2" s="95" t="n"/>
      <c r="DJN2" s="95" t="n"/>
      <c r="DJO2" s="95" t="n"/>
      <c r="DJP2" s="95" t="n"/>
      <c r="DJQ2" s="95" t="n"/>
      <c r="DJR2" s="95" t="n"/>
      <c r="DJS2" s="95" t="n"/>
      <c r="DJT2" s="95" t="n"/>
      <c r="DJU2" s="95" t="n"/>
      <c r="DJV2" s="95" t="n"/>
      <c r="DJW2" s="95" t="n"/>
      <c r="DJX2" s="95" t="n"/>
      <c r="DJY2" s="95" t="n"/>
      <c r="DJZ2" s="95" t="n"/>
      <c r="DKA2" s="95" t="n"/>
      <c r="DKB2" s="95" t="n"/>
      <c r="DKC2" s="95" t="n"/>
      <c r="DKD2" s="95" t="n"/>
      <c r="DKE2" s="95" t="n"/>
      <c r="DKF2" s="95" t="n"/>
      <c r="DKG2" s="95" t="n"/>
      <c r="DKH2" s="95" t="n"/>
      <c r="DKI2" s="95" t="n"/>
      <c r="DKJ2" s="95" t="n"/>
      <c r="DKK2" s="95" t="n"/>
      <c r="DKL2" s="95" t="n"/>
      <c r="DKM2" s="95" t="n"/>
      <c r="DKN2" s="95" t="n"/>
      <c r="DKO2" s="95" t="n"/>
      <c r="DKP2" s="95" t="n"/>
      <c r="DKQ2" s="95" t="n"/>
      <c r="DKR2" s="95" t="n"/>
      <c r="DKS2" s="95" t="n"/>
      <c r="DKT2" s="95" t="n"/>
      <c r="DKU2" s="95" t="n"/>
      <c r="DKV2" s="95" t="n"/>
      <c r="DKW2" s="95" t="n"/>
      <c r="DKX2" s="95" t="n"/>
      <c r="DKY2" s="95" t="n"/>
      <c r="DKZ2" s="95" t="n"/>
      <c r="DLA2" s="95" t="n"/>
      <c r="DLB2" s="95" t="n"/>
      <c r="DLC2" s="95" t="n"/>
      <c r="DLD2" s="95" t="n"/>
      <c r="DLE2" s="95" t="n"/>
      <c r="DLF2" s="95" t="n"/>
      <c r="DLG2" s="95" t="n"/>
      <c r="DLH2" s="95" t="n"/>
      <c r="DLI2" s="95" t="n"/>
      <c r="DLJ2" s="95" t="n"/>
      <c r="DLK2" s="95" t="n"/>
      <c r="DLL2" s="95" t="n"/>
      <c r="DLM2" s="95" t="n"/>
      <c r="DLN2" s="95" t="n"/>
      <c r="DLO2" s="95" t="n"/>
      <c r="DLP2" s="95" t="n"/>
      <c r="DLQ2" s="95" t="n"/>
      <c r="DLR2" s="95" t="n"/>
      <c r="DLS2" s="95" t="n"/>
      <c r="DLT2" s="95" t="n"/>
      <c r="DLU2" s="95" t="n"/>
      <c r="DLV2" s="95" t="n"/>
      <c r="DLW2" s="95" t="n"/>
      <c r="DLX2" s="95" t="n"/>
      <c r="DLY2" s="95" t="n"/>
      <c r="DLZ2" s="95" t="n"/>
      <c r="DMA2" s="95" t="n"/>
      <c r="DMB2" s="95" t="n"/>
      <c r="DMC2" s="95" t="n"/>
      <c r="DMD2" s="95" t="n"/>
      <c r="DME2" s="95" t="n"/>
      <c r="DMF2" s="95" t="n"/>
      <c r="DMG2" s="95" t="n"/>
      <c r="DMH2" s="95" t="n"/>
      <c r="DMI2" s="95" t="n"/>
      <c r="DMJ2" s="95" t="n"/>
      <c r="DMK2" s="95" t="n"/>
      <c r="DML2" s="95" t="n"/>
      <c r="DMM2" s="95" t="n"/>
      <c r="DMN2" s="95" t="n"/>
      <c r="DMO2" s="95" t="n"/>
      <c r="DMP2" s="95" t="n"/>
      <c r="DMQ2" s="95" t="n"/>
      <c r="DMR2" s="95" t="n"/>
      <c r="DMS2" s="95" t="n"/>
      <c r="DMT2" s="95" t="n"/>
      <c r="DMU2" s="95" t="n"/>
      <c r="DMV2" s="95" t="n"/>
      <c r="DMW2" s="95" t="n"/>
      <c r="DMX2" s="95" t="n"/>
      <c r="DMY2" s="95" t="n"/>
      <c r="DMZ2" s="95" t="n"/>
      <c r="DNA2" s="95" t="n"/>
      <c r="DNB2" s="95" t="n"/>
      <c r="DNC2" s="95" t="n"/>
      <c r="DND2" s="95" t="n"/>
      <c r="DNE2" s="95" t="n"/>
      <c r="DNF2" s="95" t="n"/>
      <c r="DNG2" s="95" t="n"/>
      <c r="DNH2" s="95" t="n"/>
      <c r="DNI2" s="95" t="n"/>
      <c r="DNJ2" s="95" t="n"/>
      <c r="DNK2" s="95" t="n"/>
      <c r="DNL2" s="95" t="n"/>
      <c r="DNM2" s="95" t="n"/>
      <c r="DNN2" s="95" t="n"/>
      <c r="DNO2" s="95" t="n"/>
      <c r="DNP2" s="95" t="n"/>
      <c r="DNQ2" s="95" t="n"/>
      <c r="DNR2" s="95" t="n"/>
      <c r="DNS2" s="95" t="n"/>
      <c r="DNT2" s="95" t="n"/>
      <c r="DNU2" s="95" t="n"/>
      <c r="DNV2" s="95" t="n"/>
      <c r="DNW2" s="95" t="n"/>
      <c r="DNX2" s="95" t="n"/>
      <c r="DNY2" s="95" t="n"/>
      <c r="DNZ2" s="95" t="n"/>
      <c r="DOA2" s="95" t="n"/>
      <c r="DOB2" s="95" t="n"/>
      <c r="DOC2" s="95" t="n"/>
      <c r="DOD2" s="95" t="n"/>
      <c r="DOE2" s="95" t="n"/>
      <c r="DOF2" s="95" t="n"/>
      <c r="DOG2" s="95" t="n"/>
      <c r="DOH2" s="95" t="n"/>
      <c r="DOI2" s="95" t="n"/>
      <c r="DOJ2" s="95" t="n"/>
      <c r="DOK2" s="95" t="n"/>
      <c r="DOL2" s="95" t="n"/>
      <c r="DOM2" s="95" t="n"/>
      <c r="DON2" s="95" t="n"/>
      <c r="DOO2" s="95" t="n"/>
      <c r="DOP2" s="95" t="n"/>
      <c r="DOQ2" s="95" t="n"/>
      <c r="DOR2" s="95" t="n"/>
      <c r="DOS2" s="95" t="n"/>
      <c r="DOT2" s="95" t="n"/>
      <c r="DOU2" s="95" t="n"/>
      <c r="DOV2" s="95" t="n"/>
      <c r="DOW2" s="95" t="n"/>
      <c r="DOX2" s="95" t="n"/>
      <c r="DOY2" s="95" t="n"/>
      <c r="DOZ2" s="95" t="n"/>
      <c r="DPA2" s="95" t="n"/>
      <c r="DPB2" s="95" t="n"/>
      <c r="DPC2" s="95" t="n"/>
      <c r="DPD2" s="95" t="n"/>
      <c r="DPE2" s="95" t="n"/>
      <c r="DPF2" s="95" t="n"/>
      <c r="DPG2" s="95" t="n"/>
      <c r="DPH2" s="95" t="n"/>
      <c r="DPI2" s="95" t="n"/>
      <c r="DPJ2" s="95" t="n"/>
      <c r="DPK2" s="95" t="n"/>
      <c r="DPL2" s="95" t="n"/>
      <c r="DPM2" s="95" t="n"/>
      <c r="DPN2" s="95" t="n"/>
      <c r="DPO2" s="95" t="n"/>
      <c r="DPP2" s="95" t="n"/>
      <c r="DPQ2" s="95" t="n"/>
      <c r="DPR2" s="95" t="n"/>
      <c r="DPS2" s="95" t="n"/>
      <c r="DPT2" s="95" t="n"/>
      <c r="DPU2" s="95" t="n"/>
      <c r="DPV2" s="95" t="n"/>
      <c r="DPW2" s="95" t="n"/>
      <c r="DPX2" s="95" t="n"/>
      <c r="DPY2" s="95" t="n"/>
      <c r="DPZ2" s="95" t="n"/>
      <c r="DQA2" s="95" t="n"/>
      <c r="DQB2" s="95" t="n"/>
      <c r="DQC2" s="95" t="n"/>
      <c r="DQD2" s="95" t="n"/>
      <c r="DQE2" s="95" t="n"/>
      <c r="DQF2" s="95" t="n"/>
      <c r="DQG2" s="95" t="n"/>
      <c r="DQH2" s="95" t="n"/>
      <c r="DQI2" s="95" t="n"/>
      <c r="DQJ2" s="95" t="n"/>
      <c r="DQK2" s="95" t="n"/>
      <c r="DQL2" s="95" t="n"/>
      <c r="DQM2" s="95" t="n"/>
      <c r="DQN2" s="95" t="n"/>
      <c r="DQO2" s="95" t="n"/>
      <c r="DQP2" s="95" t="n"/>
      <c r="DQQ2" s="95" t="n"/>
      <c r="DQR2" s="95" t="n"/>
      <c r="DQS2" s="95" t="n"/>
      <c r="DQT2" s="95" t="n"/>
      <c r="DQU2" s="95" t="n"/>
      <c r="DQV2" s="95" t="n"/>
      <c r="DQW2" s="95" t="n"/>
      <c r="DQX2" s="95" t="n"/>
      <c r="DQY2" s="95" t="n"/>
      <c r="DQZ2" s="95" t="n"/>
      <c r="DRA2" s="95" t="n"/>
      <c r="DRB2" s="95" t="n"/>
      <c r="DRC2" s="95" t="n"/>
      <c r="DRD2" s="95" t="n"/>
      <c r="DRE2" s="95" t="n"/>
      <c r="DRF2" s="95" t="n"/>
      <c r="DRG2" s="95" t="n"/>
      <c r="DRH2" s="95" t="n"/>
      <c r="DRI2" s="95" t="n"/>
      <c r="DRJ2" s="95" t="n"/>
      <c r="DRK2" s="95" t="n"/>
      <c r="DRL2" s="95" t="n"/>
      <c r="DRM2" s="95" t="n"/>
      <c r="DRN2" s="95" t="n"/>
      <c r="DRO2" s="95" t="n"/>
      <c r="DRP2" s="95" t="n"/>
      <c r="DRQ2" s="95" t="n"/>
      <c r="DRR2" s="95" t="n"/>
      <c r="DRS2" s="95" t="n"/>
      <c r="DRT2" s="95" t="n"/>
      <c r="DRU2" s="95" t="n"/>
      <c r="DRV2" s="95" t="n"/>
      <c r="DRW2" s="95" t="n"/>
      <c r="DRX2" s="95" t="n"/>
      <c r="DRY2" s="95" t="n"/>
      <c r="DRZ2" s="95" t="n"/>
      <c r="DSA2" s="95" t="n"/>
      <c r="DSB2" s="95" t="n"/>
      <c r="DSC2" s="95" t="n"/>
      <c r="DSD2" s="95" t="n"/>
      <c r="DSE2" s="95" t="n"/>
      <c r="DSF2" s="95" t="n"/>
      <c r="DSG2" s="95" t="n"/>
      <c r="DSH2" s="95" t="n"/>
      <c r="DSI2" s="95" t="n"/>
      <c r="DSJ2" s="95" t="n"/>
      <c r="DSK2" s="95" t="n"/>
      <c r="DSL2" s="95" t="n"/>
      <c r="DSM2" s="95" t="n"/>
      <c r="DSN2" s="95" t="n"/>
      <c r="DSO2" s="95" t="n"/>
      <c r="DSP2" s="95" t="n"/>
      <c r="DSQ2" s="95" t="n"/>
      <c r="DSR2" s="95" t="n"/>
      <c r="DSS2" s="95" t="n"/>
      <c r="DST2" s="95" t="n"/>
      <c r="DSU2" s="95" t="n"/>
      <c r="DSV2" s="95" t="n"/>
      <c r="DSW2" s="95" t="n"/>
      <c r="DSX2" s="95" t="n"/>
      <c r="DSY2" s="95" t="n"/>
      <c r="DSZ2" s="95" t="n"/>
      <c r="DTA2" s="95" t="n"/>
      <c r="DTB2" s="95" t="n"/>
      <c r="DTC2" s="95" t="n"/>
      <c r="DTD2" s="95" t="n"/>
      <c r="DTE2" s="95" t="n"/>
      <c r="DTF2" s="95" t="n"/>
      <c r="DTG2" s="95" t="n"/>
      <c r="DTH2" s="95" t="n"/>
      <c r="DTI2" s="95" t="n"/>
      <c r="DTJ2" s="95" t="n"/>
      <c r="DTK2" s="95" t="n"/>
      <c r="DTL2" s="95" t="n"/>
      <c r="DTM2" s="95" t="n"/>
      <c r="DTN2" s="95" t="n"/>
      <c r="DTO2" s="95" t="n"/>
      <c r="DTP2" s="95" t="n"/>
      <c r="DTQ2" s="95" t="n"/>
      <c r="DTR2" s="95" t="n"/>
      <c r="DTS2" s="95" t="n"/>
      <c r="DTT2" s="95" t="n"/>
      <c r="DTU2" s="95" t="n"/>
      <c r="DTV2" s="95" t="n"/>
      <c r="DTW2" s="95" t="n"/>
      <c r="DTX2" s="95" t="n"/>
      <c r="DTY2" s="95" t="n"/>
      <c r="DTZ2" s="95" t="n"/>
      <c r="DUA2" s="95" t="n"/>
      <c r="DUB2" s="95" t="n"/>
      <c r="DUC2" s="95" t="n"/>
      <c r="DUD2" s="95" t="n"/>
      <c r="DUE2" s="95" t="n"/>
      <c r="DUF2" s="95" t="n"/>
      <c r="DUG2" s="95" t="n"/>
      <c r="DUH2" s="95" t="n"/>
      <c r="DUI2" s="95" t="n"/>
      <c r="DUJ2" s="95" t="n"/>
      <c r="DUK2" s="95" t="n"/>
      <c r="DUL2" s="95" t="n"/>
      <c r="DUM2" s="95" t="n"/>
      <c r="DUN2" s="95" t="n"/>
      <c r="DUO2" s="95" t="n"/>
      <c r="DUP2" s="95" t="n"/>
      <c r="DUQ2" s="95" t="n"/>
      <c r="DUR2" s="95" t="n"/>
      <c r="DUS2" s="95" t="n"/>
      <c r="DUT2" s="95" t="n"/>
      <c r="DUU2" s="95" t="n"/>
      <c r="DUV2" s="95" t="n"/>
      <c r="DUW2" s="95" t="n"/>
      <c r="DUX2" s="95" t="n"/>
      <c r="DUY2" s="95" t="n"/>
      <c r="DUZ2" s="95" t="n"/>
      <c r="DVA2" s="95" t="n"/>
      <c r="DVB2" s="95" t="n"/>
      <c r="DVC2" s="95" t="n"/>
      <c r="DVD2" s="95" t="n"/>
      <c r="DVE2" s="95" t="n"/>
      <c r="DVF2" s="95" t="n"/>
      <c r="DVG2" s="95" t="n"/>
      <c r="DVH2" s="95" t="n"/>
      <c r="DVI2" s="95" t="n"/>
      <c r="DVJ2" s="95" t="n"/>
      <c r="DVK2" s="95" t="n"/>
      <c r="DVL2" s="95" t="n"/>
      <c r="DVM2" s="95" t="n"/>
      <c r="DVN2" s="95" t="n"/>
      <c r="DVO2" s="95" t="n"/>
      <c r="DVP2" s="95" t="n"/>
      <c r="DVQ2" s="95" t="n"/>
      <c r="DVR2" s="95" t="n"/>
      <c r="DVS2" s="95" t="n"/>
      <c r="DVT2" s="95" t="n"/>
      <c r="DVU2" s="95" t="n"/>
      <c r="DVV2" s="95" t="n"/>
      <c r="DVW2" s="95" t="n"/>
      <c r="DVX2" s="95" t="n"/>
      <c r="DVY2" s="95" t="n"/>
      <c r="DVZ2" s="95" t="n"/>
      <c r="DWA2" s="95" t="n"/>
      <c r="DWB2" s="95" t="n"/>
      <c r="DWC2" s="95" t="n"/>
      <c r="DWD2" s="95" t="n"/>
      <c r="DWE2" s="95" t="n"/>
      <c r="DWF2" s="95" t="n"/>
      <c r="DWG2" s="95" t="n"/>
      <c r="DWH2" s="95" t="n"/>
      <c r="DWI2" s="95" t="n"/>
      <c r="DWJ2" s="95" t="n"/>
      <c r="DWK2" s="95" t="n"/>
      <c r="DWL2" s="95" t="n"/>
      <c r="DWM2" s="95" t="n"/>
      <c r="DWN2" s="95" t="n"/>
      <c r="DWO2" s="95" t="n"/>
      <c r="DWP2" s="95" t="n"/>
      <c r="DWQ2" s="95" t="n"/>
      <c r="DWR2" s="95" t="n"/>
      <c r="DWS2" s="95" t="n"/>
      <c r="DWT2" s="95" t="n"/>
      <c r="DWU2" s="95" t="n"/>
      <c r="DWV2" s="95" t="n"/>
      <c r="DWW2" s="95" t="n"/>
      <c r="DWX2" s="95" t="n"/>
      <c r="DWY2" s="95" t="n"/>
      <c r="DWZ2" s="95" t="n"/>
      <c r="DXA2" s="95" t="n"/>
      <c r="DXB2" s="95" t="n"/>
      <c r="DXC2" s="95" t="n"/>
      <c r="DXD2" s="95" t="n"/>
      <c r="DXE2" s="95" t="n"/>
      <c r="DXF2" s="95" t="n"/>
      <c r="DXG2" s="95" t="n"/>
      <c r="DXH2" s="95" t="n"/>
      <c r="DXI2" s="95" t="n"/>
      <c r="DXJ2" s="95" t="n"/>
      <c r="DXK2" s="95" t="n"/>
      <c r="DXL2" s="95" t="n"/>
      <c r="DXM2" s="95" t="n"/>
      <c r="DXN2" s="95" t="n"/>
      <c r="DXO2" s="95" t="n"/>
      <c r="DXP2" s="95" t="n"/>
      <c r="DXQ2" s="95" t="n"/>
      <c r="DXR2" s="95" t="n"/>
      <c r="DXS2" s="95" t="n"/>
      <c r="DXT2" s="95" t="n"/>
      <c r="DXU2" s="95" t="n"/>
      <c r="DXV2" s="95" t="n"/>
      <c r="DXW2" s="95" t="n"/>
      <c r="DXX2" s="95" t="n"/>
      <c r="DXY2" s="95" t="n"/>
      <c r="DXZ2" s="95" t="n"/>
      <c r="DYA2" s="95" t="n"/>
      <c r="DYB2" s="95" t="n"/>
      <c r="DYC2" s="95" t="n"/>
      <c r="DYD2" s="95" t="n"/>
      <c r="DYE2" s="95" t="n"/>
      <c r="DYF2" s="95" t="n"/>
      <c r="DYG2" s="95" t="n"/>
      <c r="DYH2" s="95" t="n"/>
      <c r="DYI2" s="95" t="n"/>
      <c r="DYJ2" s="95" t="n"/>
      <c r="DYK2" s="95" t="n"/>
      <c r="DYL2" s="95" t="n"/>
      <c r="DYM2" s="95" t="n"/>
      <c r="DYN2" s="95" t="n"/>
      <c r="DYO2" s="95" t="n"/>
      <c r="DYP2" s="95" t="n"/>
      <c r="DYQ2" s="95" t="n"/>
      <c r="DYR2" s="95" t="n"/>
      <c r="DYS2" s="95" t="n"/>
      <c r="DYT2" s="95" t="n"/>
      <c r="DYU2" s="95" t="n"/>
      <c r="DYV2" s="95" t="n"/>
      <c r="DYW2" s="95" t="n"/>
      <c r="DYX2" s="95" t="n"/>
      <c r="DYY2" s="95" t="n"/>
      <c r="DYZ2" s="95" t="n"/>
      <c r="DZA2" s="95" t="n"/>
      <c r="DZB2" s="95" t="n"/>
      <c r="DZC2" s="95" t="n"/>
      <c r="DZD2" s="95" t="n"/>
      <c r="DZE2" s="95" t="n"/>
      <c r="DZF2" s="95" t="n"/>
      <c r="DZG2" s="95" t="n"/>
      <c r="DZH2" s="95" t="n"/>
      <c r="DZI2" s="95" t="n"/>
      <c r="DZJ2" s="95" t="n"/>
      <c r="DZK2" s="95" t="n"/>
      <c r="DZL2" s="95" t="n"/>
      <c r="DZM2" s="95" t="n"/>
      <c r="DZN2" s="95" t="n"/>
      <c r="DZO2" s="95" t="n"/>
      <c r="DZP2" s="95" t="n"/>
      <c r="DZQ2" s="95" t="n"/>
      <c r="DZR2" s="95" t="n"/>
      <c r="DZS2" s="95" t="n"/>
      <c r="DZT2" s="95" t="n"/>
      <c r="DZU2" s="95" t="n"/>
      <c r="DZV2" s="95" t="n"/>
      <c r="DZW2" s="95" t="n"/>
      <c r="DZX2" s="95" t="n"/>
      <c r="DZY2" s="95" t="n"/>
      <c r="DZZ2" s="95" t="n"/>
      <c r="EAA2" s="95" t="n"/>
      <c r="EAB2" s="95" t="n"/>
      <c r="EAC2" s="95" t="n"/>
      <c r="EAD2" s="95" t="n"/>
      <c r="EAE2" s="95" t="n"/>
      <c r="EAF2" s="95" t="n"/>
      <c r="EAG2" s="95" t="n"/>
      <c r="EAH2" s="95" t="n"/>
      <c r="EAI2" s="95" t="n"/>
      <c r="EAJ2" s="95" t="n"/>
      <c r="EAK2" s="95" t="n"/>
      <c r="EAL2" s="95" t="n"/>
      <c r="EAM2" s="95" t="n"/>
      <c r="EAN2" s="95" t="n"/>
      <c r="EAO2" s="95" t="n"/>
      <c r="EAP2" s="95" t="n"/>
      <c r="EAQ2" s="95" t="n"/>
      <c r="EAR2" s="95" t="n"/>
      <c r="EAS2" s="95" t="n"/>
      <c r="EAT2" s="95" t="n"/>
      <c r="EAU2" s="95" t="n"/>
      <c r="EAV2" s="95" t="n"/>
      <c r="EAW2" s="95" t="n"/>
      <c r="EAX2" s="95" t="n"/>
      <c r="EAY2" s="95" t="n"/>
      <c r="EAZ2" s="95" t="n"/>
      <c r="EBA2" s="95" t="n"/>
      <c r="EBB2" s="95" t="n"/>
      <c r="EBC2" s="95" t="n"/>
      <c r="EBD2" s="95" t="n"/>
      <c r="EBE2" s="95" t="n"/>
      <c r="EBF2" s="95" t="n"/>
      <c r="EBG2" s="95" t="n"/>
      <c r="EBH2" s="95" t="n"/>
      <c r="EBI2" s="95" t="n"/>
      <c r="EBJ2" s="95" t="n"/>
      <c r="EBK2" s="95" t="n"/>
      <c r="EBL2" s="95" t="n"/>
      <c r="EBM2" s="95" t="n"/>
      <c r="EBN2" s="95" t="n"/>
      <c r="EBO2" s="95" t="n"/>
      <c r="EBP2" s="95" t="n"/>
      <c r="EBQ2" s="95" t="n"/>
      <c r="EBR2" s="95" t="n"/>
      <c r="EBS2" s="95" t="n"/>
      <c r="EBT2" s="95" t="n"/>
      <c r="EBU2" s="95" t="n"/>
      <c r="EBV2" s="95" t="n"/>
      <c r="EBW2" s="95" t="n"/>
      <c r="EBX2" s="95" t="n"/>
      <c r="EBY2" s="95" t="n"/>
      <c r="EBZ2" s="95" t="n"/>
      <c r="ECA2" s="95" t="n"/>
      <c r="ECB2" s="95" t="n"/>
      <c r="ECC2" s="95" t="n"/>
      <c r="ECD2" s="95" t="n"/>
      <c r="ECE2" s="95" t="n"/>
      <c r="ECF2" s="95" t="n"/>
      <c r="ECG2" s="95" t="n"/>
      <c r="ECH2" s="95" t="n"/>
      <c r="ECI2" s="95" t="n"/>
      <c r="ECJ2" s="95" t="n"/>
      <c r="ECK2" s="95" t="n"/>
      <c r="ECL2" s="95" t="n"/>
      <c r="ECM2" s="95" t="n"/>
      <c r="ECN2" s="95" t="n"/>
      <c r="ECO2" s="95" t="n"/>
      <c r="ECP2" s="95" t="n"/>
      <c r="ECQ2" s="95" t="n"/>
      <c r="ECR2" s="95" t="n"/>
      <c r="ECS2" s="95" t="n"/>
      <c r="ECT2" s="95" t="n"/>
      <c r="ECU2" s="95" t="n"/>
      <c r="ECV2" s="95" t="n"/>
      <c r="ECW2" s="95" t="n"/>
      <c r="ECX2" s="95" t="n"/>
      <c r="ECY2" s="95" t="n"/>
      <c r="ECZ2" s="95" t="n"/>
      <c r="EDA2" s="95" t="n"/>
      <c r="EDB2" s="95" t="n"/>
      <c r="EDC2" s="95" t="n"/>
      <c r="EDD2" s="95" t="n"/>
      <c r="EDE2" s="95" t="n"/>
      <c r="EDF2" s="95" t="n"/>
      <c r="EDG2" s="95" t="n"/>
      <c r="EDH2" s="95" t="n"/>
      <c r="EDI2" s="95" t="n"/>
      <c r="EDJ2" s="95" t="n"/>
      <c r="EDK2" s="95" t="n"/>
      <c r="EDL2" s="95" t="n"/>
      <c r="EDM2" s="95" t="n"/>
      <c r="EDN2" s="95" t="n"/>
      <c r="EDO2" s="95" t="n"/>
      <c r="EDP2" s="95" t="n"/>
      <c r="EDQ2" s="95" t="n"/>
      <c r="EDR2" s="95" t="n"/>
      <c r="EDS2" s="95" t="n"/>
      <c r="EDT2" s="95" t="n"/>
      <c r="EDU2" s="95" t="n"/>
      <c r="EDV2" s="95" t="n"/>
      <c r="EDW2" s="95" t="n"/>
      <c r="EDX2" s="95" t="n"/>
      <c r="EDY2" s="95" t="n"/>
      <c r="EDZ2" s="95" t="n"/>
      <c r="EEA2" s="95" t="n"/>
      <c r="EEB2" s="95" t="n"/>
      <c r="EEC2" s="95" t="n"/>
      <c r="EED2" s="95" t="n"/>
      <c r="EEE2" s="95" t="n"/>
      <c r="EEF2" s="95" t="n"/>
      <c r="EEG2" s="95" t="n"/>
      <c r="EEH2" s="95" t="n"/>
      <c r="EEI2" s="95" t="n"/>
      <c r="EEJ2" s="95" t="n"/>
      <c r="EEK2" s="95" t="n"/>
      <c r="EEL2" s="95" t="n"/>
      <c r="EEM2" s="95" t="n"/>
      <c r="EEN2" s="95" t="n"/>
      <c r="EEO2" s="95" t="n"/>
      <c r="EEP2" s="95" t="n"/>
      <c r="EEQ2" s="95" t="n"/>
      <c r="EER2" s="95" t="n"/>
      <c r="EES2" s="95" t="n"/>
      <c r="EET2" s="95" t="n"/>
      <c r="EEU2" s="95" t="n"/>
      <c r="EEV2" s="95" t="n"/>
      <c r="EEW2" s="95" t="n"/>
      <c r="EEX2" s="95" t="n"/>
      <c r="EEY2" s="95" t="n"/>
      <c r="EEZ2" s="95" t="n"/>
      <c r="EFA2" s="95" t="n"/>
      <c r="EFB2" s="95" t="n"/>
      <c r="EFC2" s="95" t="n"/>
      <c r="EFD2" s="95" t="n"/>
      <c r="EFE2" s="95" t="n"/>
      <c r="EFF2" s="95" t="n"/>
      <c r="EFG2" s="95" t="n"/>
      <c r="EFH2" s="95" t="n"/>
      <c r="EFI2" s="95" t="n"/>
      <c r="EFJ2" s="95" t="n"/>
      <c r="EFK2" s="95" t="n"/>
      <c r="EFL2" s="95" t="n"/>
      <c r="EFM2" s="95" t="n"/>
      <c r="EFN2" s="95" t="n"/>
      <c r="EFO2" s="95" t="n"/>
      <c r="EFP2" s="95" t="n"/>
      <c r="EFQ2" s="95" t="n"/>
      <c r="EFR2" s="95" t="n"/>
      <c r="EFS2" s="95" t="n"/>
      <c r="EFT2" s="95" t="n"/>
      <c r="EFU2" s="95" t="n"/>
      <c r="EFV2" s="95" t="n"/>
      <c r="EFW2" s="95" t="n"/>
      <c r="EFX2" s="95" t="n"/>
      <c r="EFY2" s="95" t="n"/>
      <c r="EFZ2" s="95" t="n"/>
      <c r="EGA2" s="95" t="n"/>
      <c r="EGB2" s="95" t="n"/>
      <c r="EGC2" s="95" t="n"/>
      <c r="EGD2" s="95" t="n"/>
      <c r="EGE2" s="95" t="n"/>
      <c r="EGF2" s="95" t="n"/>
      <c r="EGG2" s="95" t="n"/>
      <c r="EGH2" s="95" t="n"/>
      <c r="EGI2" s="95" t="n"/>
      <c r="EGJ2" s="95" t="n"/>
      <c r="EGK2" s="95" t="n"/>
      <c r="EGL2" s="95" t="n"/>
      <c r="EGM2" s="95" t="n"/>
      <c r="EGN2" s="95" t="n"/>
      <c r="EGO2" s="95" t="n"/>
      <c r="EGP2" s="95" t="n"/>
      <c r="EGQ2" s="95" t="n"/>
      <c r="EGR2" s="95" t="n"/>
      <c r="EGS2" s="95" t="n"/>
      <c r="EGT2" s="95" t="n"/>
      <c r="EGU2" s="95" t="n"/>
      <c r="EGV2" s="95" t="n"/>
      <c r="EGW2" s="95" t="n"/>
      <c r="EGX2" s="95" t="n"/>
      <c r="EGY2" s="95" t="n"/>
      <c r="EGZ2" s="95" t="n"/>
      <c r="EHA2" s="95" t="n"/>
      <c r="EHB2" s="95" t="n"/>
      <c r="EHC2" s="95" t="n"/>
      <c r="EHD2" s="95" t="n"/>
      <c r="EHE2" s="95" t="n"/>
      <c r="EHF2" s="95" t="n"/>
      <c r="EHG2" s="95" t="n"/>
      <c r="EHH2" s="95" t="n"/>
      <c r="EHI2" s="95" t="n"/>
      <c r="EHJ2" s="95" t="n"/>
      <c r="EHK2" s="95" t="n"/>
      <c r="EHL2" s="95" t="n"/>
      <c r="EHM2" s="95" t="n"/>
      <c r="EHN2" s="95" t="n"/>
      <c r="EHO2" s="95" t="n"/>
      <c r="EHP2" s="95" t="n"/>
      <c r="EHQ2" s="95" t="n"/>
      <c r="EHR2" s="95" t="n"/>
      <c r="EHS2" s="95" t="n"/>
      <c r="EHT2" s="95" t="n"/>
      <c r="EHU2" s="95" t="n"/>
      <c r="EHV2" s="95" t="n"/>
      <c r="EHW2" s="95" t="n"/>
      <c r="EHX2" s="95" t="n"/>
      <c r="EHY2" s="95" t="n"/>
      <c r="EHZ2" s="95" t="n"/>
      <c r="EIA2" s="95" t="n"/>
      <c r="EIB2" s="95" t="n"/>
      <c r="EIC2" s="95" t="n"/>
      <c r="EID2" s="95" t="n"/>
      <c r="EIE2" s="95" t="n"/>
      <c r="EIF2" s="95" t="n"/>
      <c r="EIG2" s="95" t="n"/>
      <c r="EIH2" s="95" t="n"/>
      <c r="EII2" s="95" t="n"/>
      <c r="EIJ2" s="95" t="n"/>
      <c r="EIK2" s="95" t="n"/>
      <c r="EIL2" s="95" t="n"/>
      <c r="EIM2" s="95" t="n"/>
      <c r="EIN2" s="95" t="n"/>
      <c r="EIO2" s="95" t="n"/>
      <c r="EIP2" s="95" t="n"/>
      <c r="EIQ2" s="95" t="n"/>
      <c r="EIR2" s="95" t="n"/>
      <c r="EIS2" s="95" t="n"/>
      <c r="EIT2" s="95" t="n"/>
      <c r="EIU2" s="95" t="n"/>
      <c r="EIV2" s="95" t="n"/>
      <c r="EIW2" s="95" t="n"/>
      <c r="EIX2" s="95" t="n"/>
      <c r="EIY2" s="95" t="n"/>
      <c r="EIZ2" s="95" t="n"/>
      <c r="EJA2" s="95" t="n"/>
      <c r="EJB2" s="95" t="n"/>
      <c r="EJC2" s="95" t="n"/>
      <c r="EJD2" s="95" t="n"/>
      <c r="EJE2" s="95" t="n"/>
      <c r="EJF2" s="95" t="n"/>
      <c r="EJG2" s="95" t="n"/>
      <c r="EJH2" s="95" t="n"/>
      <c r="EJI2" s="95" t="n"/>
      <c r="EJJ2" s="95" t="n"/>
      <c r="EJK2" s="95" t="n"/>
      <c r="EJL2" s="95" t="n"/>
      <c r="EJM2" s="95" t="n"/>
      <c r="EJN2" s="95" t="n"/>
      <c r="EJO2" s="95" t="n"/>
      <c r="EJP2" s="95" t="n"/>
      <c r="EJQ2" s="95" t="n"/>
      <c r="EJR2" s="95" t="n"/>
      <c r="EJS2" s="95" t="n"/>
      <c r="EJT2" s="95" t="n"/>
      <c r="EJU2" s="95" t="n"/>
      <c r="EJV2" s="95" t="n"/>
      <c r="EJW2" s="95" t="n"/>
      <c r="EJX2" s="95" t="n"/>
      <c r="EJY2" s="95" t="n"/>
      <c r="EJZ2" s="95" t="n"/>
      <c r="EKA2" s="95" t="n"/>
      <c r="EKB2" s="95" t="n"/>
      <c r="EKC2" s="95" t="n"/>
      <c r="EKD2" s="95" t="n"/>
      <c r="EKE2" s="95" t="n"/>
      <c r="EKF2" s="95" t="n"/>
      <c r="EKG2" s="95" t="n"/>
      <c r="EKH2" s="95" t="n"/>
      <c r="EKI2" s="95" t="n"/>
      <c r="EKJ2" s="95" t="n"/>
      <c r="EKK2" s="95" t="n"/>
      <c r="EKL2" s="95" t="n"/>
      <c r="EKM2" s="95" t="n"/>
      <c r="EKN2" s="95" t="n"/>
      <c r="EKO2" s="95" t="n"/>
      <c r="EKP2" s="95" t="n"/>
      <c r="EKQ2" s="95" t="n"/>
      <c r="EKR2" s="95" t="n"/>
      <c r="EKS2" s="95" t="n"/>
      <c r="EKT2" s="95" t="n"/>
      <c r="EKU2" s="95" t="n"/>
      <c r="EKV2" s="95" t="n"/>
      <c r="EKW2" s="95" t="n"/>
      <c r="EKX2" s="95" t="n"/>
      <c r="EKY2" s="95" t="n"/>
      <c r="EKZ2" s="95" t="n"/>
      <c r="ELA2" s="95" t="n"/>
      <c r="ELB2" s="95" t="n"/>
      <c r="ELC2" s="95" t="n"/>
      <c r="ELD2" s="95" t="n"/>
      <c r="ELE2" s="95" t="n"/>
      <c r="ELF2" s="95" t="n"/>
      <c r="ELG2" s="95" t="n"/>
      <c r="ELH2" s="95" t="n"/>
      <c r="ELI2" s="95" t="n"/>
      <c r="ELJ2" s="95" t="n"/>
      <c r="ELK2" s="95" t="n"/>
      <c r="ELL2" s="95" t="n"/>
      <c r="ELM2" s="95" t="n"/>
      <c r="ELN2" s="95" t="n"/>
      <c r="ELO2" s="95" t="n"/>
      <c r="ELP2" s="95" t="n"/>
      <c r="ELQ2" s="95" t="n"/>
      <c r="ELR2" s="95" t="n"/>
      <c r="ELS2" s="95" t="n"/>
      <c r="ELT2" s="95" t="n"/>
      <c r="ELU2" s="95" t="n"/>
      <c r="ELV2" s="95" t="n"/>
      <c r="ELW2" s="95" t="n"/>
      <c r="ELX2" s="95" t="n"/>
      <c r="ELY2" s="95" t="n"/>
      <c r="ELZ2" s="95" t="n"/>
      <c r="EMA2" s="95" t="n"/>
      <c r="EMB2" s="95" t="n"/>
      <c r="EMC2" s="95" t="n"/>
      <c r="EMD2" s="95" t="n"/>
      <c r="EME2" s="95" t="n"/>
      <c r="EMF2" s="95" t="n"/>
      <c r="EMG2" s="95" t="n"/>
      <c r="EMH2" s="95" t="n"/>
      <c r="EMI2" s="95" t="n"/>
      <c r="EMJ2" s="95" t="n"/>
      <c r="EMK2" s="95" t="n"/>
      <c r="EML2" s="95" t="n"/>
      <c r="EMM2" s="95" t="n"/>
      <c r="EMN2" s="95" t="n"/>
      <c r="EMO2" s="95" t="n"/>
      <c r="EMP2" s="95" t="n"/>
      <c r="EMQ2" s="95" t="n"/>
      <c r="EMR2" s="95" t="n"/>
      <c r="EMS2" s="95" t="n"/>
      <c r="EMT2" s="95" t="n"/>
      <c r="EMU2" s="95" t="n"/>
      <c r="EMV2" s="95" t="n"/>
      <c r="EMW2" s="95" t="n"/>
      <c r="EMX2" s="95" t="n"/>
      <c r="EMY2" s="95" t="n"/>
      <c r="EMZ2" s="95" t="n"/>
      <c r="ENA2" s="95" t="n"/>
      <c r="ENB2" s="95" t="n"/>
      <c r="ENC2" s="95" t="n"/>
      <c r="END2" s="95" t="n"/>
      <c r="ENE2" s="95" t="n"/>
      <c r="ENF2" s="95" t="n"/>
      <c r="ENG2" s="95" t="n"/>
      <c r="ENH2" s="95" t="n"/>
      <c r="ENI2" s="95" t="n"/>
      <c r="ENJ2" s="95" t="n"/>
      <c r="ENK2" s="95" t="n"/>
      <c r="ENL2" s="95" t="n"/>
      <c r="ENM2" s="95" t="n"/>
      <c r="ENN2" s="95" t="n"/>
      <c r="ENO2" s="95" t="n"/>
      <c r="ENP2" s="95" t="n"/>
      <c r="ENQ2" s="95" t="n"/>
      <c r="ENR2" s="95" t="n"/>
      <c r="ENS2" s="95" t="n"/>
      <c r="ENT2" s="95" t="n"/>
      <c r="ENU2" s="95" t="n"/>
      <c r="ENV2" s="95" t="n"/>
      <c r="ENW2" s="95" t="n"/>
      <c r="ENX2" s="95" t="n"/>
      <c r="ENY2" s="95" t="n"/>
      <c r="ENZ2" s="95" t="n"/>
      <c r="EOA2" s="95" t="n"/>
      <c r="EOB2" s="95" t="n"/>
      <c r="EOC2" s="95" t="n"/>
      <c r="EOD2" s="95" t="n"/>
      <c r="EOE2" s="95" t="n"/>
      <c r="EOF2" s="95" t="n"/>
      <c r="EOG2" s="95" t="n"/>
      <c r="EOH2" s="95" t="n"/>
      <c r="EOI2" s="95" t="n"/>
      <c r="EOJ2" s="95" t="n"/>
      <c r="EOK2" s="95" t="n"/>
      <c r="EOL2" s="95" t="n"/>
      <c r="EOM2" s="95" t="n"/>
      <c r="EON2" s="95" t="n"/>
      <c r="EOO2" s="95" t="n"/>
      <c r="EOP2" s="95" t="n"/>
      <c r="EOQ2" s="95" t="n"/>
      <c r="EOR2" s="95" t="n"/>
      <c r="EOS2" s="95" t="n"/>
      <c r="EOT2" s="95" t="n"/>
      <c r="EOU2" s="95" t="n"/>
      <c r="EOV2" s="95" t="n"/>
      <c r="EOW2" s="95" t="n"/>
      <c r="EOX2" s="95" t="n"/>
      <c r="EOY2" s="95" t="n"/>
      <c r="EOZ2" s="95" t="n"/>
      <c r="EPA2" s="95" t="n"/>
      <c r="EPB2" s="95" t="n"/>
      <c r="EPC2" s="95" t="n"/>
      <c r="EPD2" s="95" t="n"/>
      <c r="EPE2" s="95" t="n"/>
      <c r="EPF2" s="95" t="n"/>
      <c r="EPG2" s="95" t="n"/>
      <c r="EPH2" s="95" t="n"/>
      <c r="EPI2" s="95" t="n"/>
      <c r="EPJ2" s="95" t="n"/>
      <c r="EPK2" s="95" t="n"/>
      <c r="EPL2" s="95" t="n"/>
      <c r="EPM2" s="95" t="n"/>
      <c r="EPN2" s="95" t="n"/>
      <c r="EPO2" s="95" t="n"/>
      <c r="EPP2" s="95" t="n"/>
      <c r="EPQ2" s="95" t="n"/>
      <c r="EPR2" s="95" t="n"/>
      <c r="EPS2" s="95" t="n"/>
      <c r="EPT2" s="95" t="n"/>
      <c r="EPU2" s="95" t="n"/>
      <c r="EPV2" s="95" t="n"/>
      <c r="EPW2" s="95" t="n"/>
      <c r="EPX2" s="95" t="n"/>
      <c r="EPY2" s="95" t="n"/>
      <c r="EPZ2" s="95" t="n"/>
      <c r="EQA2" s="95" t="n"/>
      <c r="EQB2" s="95" t="n"/>
      <c r="EQC2" s="95" t="n"/>
      <c r="EQD2" s="95" t="n"/>
      <c r="EQE2" s="95" t="n"/>
      <c r="EQF2" s="95" t="n"/>
      <c r="EQG2" s="95" t="n"/>
      <c r="EQH2" s="95" t="n"/>
      <c r="EQI2" s="95" t="n"/>
      <c r="EQJ2" s="95" t="n"/>
      <c r="EQK2" s="95" t="n"/>
      <c r="EQL2" s="95" t="n"/>
      <c r="EQM2" s="95" t="n"/>
      <c r="EQN2" s="95" t="n"/>
      <c r="EQO2" s="95" t="n"/>
      <c r="EQP2" s="95" t="n"/>
      <c r="EQQ2" s="95" t="n"/>
      <c r="EQR2" s="95" t="n"/>
      <c r="EQS2" s="95" t="n"/>
      <c r="EQT2" s="95" t="n"/>
      <c r="EQU2" s="95" t="n"/>
      <c r="EQV2" s="95" t="n"/>
      <c r="EQW2" s="95" t="n"/>
      <c r="EQX2" s="95" t="n"/>
      <c r="EQY2" s="95" t="n"/>
      <c r="EQZ2" s="95" t="n"/>
      <c r="ERA2" s="95" t="n"/>
      <c r="ERB2" s="95" t="n"/>
      <c r="ERC2" s="95" t="n"/>
      <c r="ERD2" s="95" t="n"/>
      <c r="ERE2" s="95" t="n"/>
      <c r="ERF2" s="95" t="n"/>
      <c r="ERG2" s="95" t="n"/>
      <c r="ERH2" s="95" t="n"/>
      <c r="ERI2" s="95" t="n"/>
      <c r="ERJ2" s="95" t="n"/>
      <c r="ERK2" s="95" t="n"/>
      <c r="ERL2" s="95" t="n"/>
      <c r="ERM2" s="95" t="n"/>
      <c r="ERN2" s="95" t="n"/>
      <c r="ERO2" s="95" t="n"/>
      <c r="ERP2" s="95" t="n"/>
      <c r="ERQ2" s="95" t="n"/>
      <c r="ERR2" s="95" t="n"/>
      <c r="ERS2" s="95" t="n"/>
      <c r="ERT2" s="95" t="n"/>
      <c r="ERU2" s="95" t="n"/>
      <c r="ERV2" s="95" t="n"/>
      <c r="ERW2" s="95" t="n"/>
      <c r="ERX2" s="95" t="n"/>
      <c r="ERY2" s="95" t="n"/>
      <c r="ERZ2" s="95" t="n"/>
      <c r="ESA2" s="95" t="n"/>
      <c r="ESB2" s="95" t="n"/>
      <c r="ESC2" s="95" t="n"/>
      <c r="ESD2" s="95" t="n"/>
      <c r="ESE2" s="95" t="n"/>
      <c r="ESF2" s="95" t="n"/>
      <c r="ESG2" s="95" t="n"/>
      <c r="ESH2" s="95" t="n"/>
      <c r="ESI2" s="95" t="n"/>
      <c r="ESJ2" s="95" t="n"/>
      <c r="ESK2" s="95" t="n"/>
      <c r="ESL2" s="95" t="n"/>
      <c r="ESM2" s="95" t="n"/>
      <c r="ESN2" s="95" t="n"/>
      <c r="ESO2" s="95" t="n"/>
      <c r="ESP2" s="95" t="n"/>
      <c r="ESQ2" s="95" t="n"/>
      <c r="ESR2" s="95" t="n"/>
      <c r="ESS2" s="95" t="n"/>
      <c r="EST2" s="95" t="n"/>
      <c r="ESU2" s="95" t="n"/>
      <c r="ESV2" s="95" t="n"/>
      <c r="ESW2" s="95" t="n"/>
      <c r="ESX2" s="95" t="n"/>
      <c r="ESY2" s="95" t="n"/>
      <c r="ESZ2" s="95" t="n"/>
      <c r="ETA2" s="95" t="n"/>
      <c r="ETB2" s="95" t="n"/>
      <c r="ETC2" s="95" t="n"/>
      <c r="ETD2" s="95" t="n"/>
      <c r="ETE2" s="95" t="n"/>
      <c r="ETF2" s="95" t="n"/>
      <c r="ETG2" s="95" t="n"/>
      <c r="ETH2" s="95" t="n"/>
      <c r="ETI2" s="95" t="n"/>
      <c r="ETJ2" s="95" t="n"/>
      <c r="ETK2" s="95" t="n"/>
      <c r="ETL2" s="95" t="n"/>
      <c r="ETM2" s="95" t="n"/>
      <c r="ETN2" s="95" t="n"/>
      <c r="ETO2" s="95" t="n"/>
      <c r="ETP2" s="95" t="n"/>
      <c r="ETQ2" s="95" t="n"/>
      <c r="ETR2" s="95" t="n"/>
      <c r="ETS2" s="95" t="n"/>
      <c r="ETT2" s="95" t="n"/>
      <c r="ETU2" s="95" t="n"/>
      <c r="ETV2" s="95" t="n"/>
      <c r="ETW2" s="95" t="n"/>
      <c r="ETX2" s="95" t="n"/>
      <c r="ETY2" s="95" t="n"/>
      <c r="ETZ2" s="95" t="n"/>
      <c r="EUA2" s="95" t="n"/>
      <c r="EUB2" s="95" t="n"/>
      <c r="EUC2" s="95" t="n"/>
      <c r="EUD2" s="95" t="n"/>
      <c r="EUE2" s="95" t="n"/>
      <c r="EUF2" s="95" t="n"/>
      <c r="EUG2" s="95" t="n"/>
      <c r="EUH2" s="95" t="n"/>
      <c r="EUI2" s="95" t="n"/>
      <c r="EUJ2" s="95" t="n"/>
      <c r="EUK2" s="95" t="n"/>
      <c r="EUL2" s="95" t="n"/>
      <c r="EUM2" s="95" t="n"/>
      <c r="EUN2" s="95" t="n"/>
      <c r="EUO2" s="95" t="n"/>
      <c r="EUP2" s="95" t="n"/>
      <c r="EUQ2" s="95" t="n"/>
      <c r="EUR2" s="95" t="n"/>
      <c r="EUS2" s="95" t="n"/>
      <c r="EUT2" s="95" t="n"/>
      <c r="EUU2" s="95" t="n"/>
      <c r="EUV2" s="95" t="n"/>
      <c r="EUW2" s="95" t="n"/>
      <c r="EUX2" s="95" t="n"/>
      <c r="EUY2" s="95" t="n"/>
      <c r="EUZ2" s="95" t="n"/>
      <c r="EVA2" s="95" t="n"/>
      <c r="EVB2" s="95" t="n"/>
      <c r="EVC2" s="95" t="n"/>
      <c r="EVD2" s="95" t="n"/>
      <c r="EVE2" s="95" t="n"/>
      <c r="EVF2" s="95" t="n"/>
      <c r="EVG2" s="95" t="n"/>
      <c r="EVH2" s="95" t="n"/>
      <c r="EVI2" s="95" t="n"/>
      <c r="EVJ2" s="95" t="n"/>
      <c r="EVK2" s="95" t="n"/>
      <c r="EVL2" s="95" t="n"/>
      <c r="EVM2" s="95" t="n"/>
      <c r="EVN2" s="95" t="n"/>
      <c r="EVO2" s="95" t="n"/>
      <c r="EVP2" s="95" t="n"/>
      <c r="EVQ2" s="95" t="n"/>
      <c r="EVR2" s="95" t="n"/>
      <c r="EVS2" s="95" t="n"/>
      <c r="EVT2" s="95" t="n"/>
      <c r="EVU2" s="95" t="n"/>
      <c r="EVV2" s="95" t="n"/>
      <c r="EVW2" s="95" t="n"/>
      <c r="EVX2" s="95" t="n"/>
      <c r="EVY2" s="95" t="n"/>
      <c r="EVZ2" s="95" t="n"/>
      <c r="EWA2" s="95" t="n"/>
      <c r="EWB2" s="95" t="n"/>
      <c r="EWC2" s="95" t="n"/>
      <c r="EWD2" s="95" t="n"/>
      <c r="EWE2" s="95" t="n"/>
      <c r="EWF2" s="95" t="n"/>
      <c r="EWG2" s="95" t="n"/>
      <c r="EWH2" s="95" t="n"/>
      <c r="EWI2" s="95" t="n"/>
      <c r="EWJ2" s="95" t="n"/>
      <c r="EWK2" s="95" t="n"/>
      <c r="EWL2" s="95" t="n"/>
      <c r="EWM2" s="95" t="n"/>
      <c r="EWN2" s="95" t="n"/>
      <c r="EWO2" s="95" t="n"/>
      <c r="EWP2" s="95" t="n"/>
      <c r="EWQ2" s="95" t="n"/>
      <c r="EWR2" s="95" t="n"/>
      <c r="EWS2" s="95" t="n"/>
      <c r="EWT2" s="95" t="n"/>
      <c r="EWU2" s="95" t="n"/>
      <c r="EWV2" s="95" t="n"/>
      <c r="EWW2" s="95" t="n"/>
      <c r="EWX2" s="95" t="n"/>
      <c r="EWY2" s="95" t="n"/>
      <c r="EWZ2" s="95" t="n"/>
      <c r="EXA2" s="95" t="n"/>
      <c r="EXB2" s="95" t="n"/>
      <c r="EXC2" s="95" t="n"/>
      <c r="EXD2" s="95" t="n"/>
      <c r="EXE2" s="95" t="n"/>
      <c r="EXF2" s="95" t="n"/>
      <c r="EXG2" s="95" t="n"/>
      <c r="EXH2" s="95" t="n"/>
      <c r="EXI2" s="95" t="n"/>
      <c r="EXJ2" s="95" t="n"/>
      <c r="EXK2" s="95" t="n"/>
      <c r="EXL2" s="95" t="n"/>
      <c r="EXM2" s="95" t="n"/>
      <c r="EXN2" s="95" t="n"/>
      <c r="EXO2" s="95" t="n"/>
      <c r="EXP2" s="95" t="n"/>
      <c r="EXQ2" s="95" t="n"/>
      <c r="EXR2" s="95" t="n"/>
      <c r="EXS2" s="95" t="n"/>
      <c r="EXT2" s="95" t="n"/>
      <c r="EXU2" s="95" t="n"/>
      <c r="EXV2" s="95" t="n"/>
      <c r="EXW2" s="95" t="n"/>
      <c r="EXX2" s="95" t="n"/>
      <c r="EXY2" s="95" t="n"/>
      <c r="EXZ2" s="95" t="n"/>
      <c r="EYA2" s="95" t="n"/>
      <c r="EYB2" s="95" t="n"/>
      <c r="EYC2" s="95" t="n"/>
      <c r="EYD2" s="95" t="n"/>
      <c r="EYE2" s="95" t="n"/>
      <c r="EYF2" s="95" t="n"/>
      <c r="EYG2" s="95" t="n"/>
      <c r="EYH2" s="95" t="n"/>
      <c r="EYI2" s="95" t="n"/>
      <c r="EYJ2" s="95" t="n"/>
      <c r="EYK2" s="95" t="n"/>
      <c r="EYL2" s="95" t="n"/>
      <c r="EYM2" s="95" t="n"/>
      <c r="EYN2" s="95" t="n"/>
      <c r="EYO2" s="95" t="n"/>
      <c r="EYP2" s="95" t="n"/>
      <c r="EYQ2" s="95" t="n"/>
      <c r="EYR2" s="95" t="n"/>
      <c r="EYS2" s="95" t="n"/>
      <c r="EYT2" s="95" t="n"/>
      <c r="EYU2" s="95" t="n"/>
      <c r="EYV2" s="95" t="n"/>
      <c r="EYW2" s="95" t="n"/>
      <c r="EYX2" s="95" t="n"/>
      <c r="EYY2" s="95" t="n"/>
      <c r="EYZ2" s="95" t="n"/>
      <c r="EZA2" s="95" t="n"/>
      <c r="EZB2" s="95" t="n"/>
      <c r="EZC2" s="95" t="n"/>
      <c r="EZD2" s="95" t="n"/>
      <c r="EZE2" s="95" t="n"/>
      <c r="EZF2" s="95" t="n"/>
      <c r="EZG2" s="95" t="n"/>
      <c r="EZH2" s="95" t="n"/>
      <c r="EZI2" s="95" t="n"/>
      <c r="EZJ2" s="95" t="n"/>
      <c r="EZK2" s="95" t="n"/>
      <c r="EZL2" s="95" t="n"/>
      <c r="EZM2" s="95" t="n"/>
      <c r="EZN2" s="95" t="n"/>
      <c r="EZO2" s="95" t="n"/>
      <c r="EZP2" s="95" t="n"/>
      <c r="EZQ2" s="95" t="n"/>
      <c r="EZR2" s="95" t="n"/>
      <c r="EZS2" s="95" t="n"/>
      <c r="EZT2" s="95" t="n"/>
      <c r="EZU2" s="95" t="n"/>
      <c r="EZV2" s="95" t="n"/>
      <c r="EZW2" s="95" t="n"/>
      <c r="EZX2" s="95" t="n"/>
      <c r="EZY2" s="95" t="n"/>
      <c r="EZZ2" s="95" t="n"/>
      <c r="FAA2" s="95" t="n"/>
      <c r="FAB2" s="95" t="n"/>
      <c r="FAC2" s="95" t="n"/>
      <c r="FAD2" s="95" t="n"/>
      <c r="FAE2" s="95" t="n"/>
      <c r="FAF2" s="95" t="n"/>
      <c r="FAG2" s="95" t="n"/>
      <c r="FAH2" s="95" t="n"/>
      <c r="FAI2" s="95" t="n"/>
      <c r="FAJ2" s="95" t="n"/>
      <c r="FAK2" s="95" t="n"/>
      <c r="FAL2" s="95" t="n"/>
      <c r="FAM2" s="95" t="n"/>
      <c r="FAN2" s="95" t="n"/>
      <c r="FAO2" s="95" t="n"/>
      <c r="FAP2" s="95" t="n"/>
      <c r="FAQ2" s="95" t="n"/>
      <c r="FAR2" s="95" t="n"/>
      <c r="FAS2" s="95" t="n"/>
      <c r="FAT2" s="95" t="n"/>
      <c r="FAU2" s="95" t="n"/>
      <c r="FAV2" s="95" t="n"/>
      <c r="FAW2" s="95" t="n"/>
      <c r="FAX2" s="95" t="n"/>
      <c r="FAY2" s="95" t="n"/>
      <c r="FAZ2" s="95" t="n"/>
      <c r="FBA2" s="95" t="n"/>
      <c r="FBB2" s="95" t="n"/>
      <c r="FBC2" s="95" t="n"/>
      <c r="FBD2" s="95" t="n"/>
      <c r="FBE2" s="95" t="n"/>
      <c r="FBF2" s="95" t="n"/>
      <c r="FBG2" s="95" t="n"/>
      <c r="FBH2" s="95" t="n"/>
      <c r="FBI2" s="95" t="n"/>
      <c r="FBJ2" s="95" t="n"/>
      <c r="FBK2" s="95" t="n"/>
      <c r="FBL2" s="95" t="n"/>
      <c r="FBM2" s="95" t="n"/>
      <c r="FBN2" s="95" t="n"/>
      <c r="FBO2" s="95" t="n"/>
      <c r="FBP2" s="95" t="n"/>
      <c r="FBQ2" s="95" t="n"/>
      <c r="FBR2" s="95" t="n"/>
      <c r="FBS2" s="95" t="n"/>
      <c r="FBT2" s="95" t="n"/>
      <c r="FBU2" s="95" t="n"/>
      <c r="FBV2" s="95" t="n"/>
      <c r="FBW2" s="95" t="n"/>
      <c r="FBX2" s="95" t="n"/>
      <c r="FBY2" s="95" t="n"/>
      <c r="FBZ2" s="95" t="n"/>
      <c r="FCA2" s="95" t="n"/>
      <c r="FCB2" s="95" t="n"/>
      <c r="FCC2" s="95" t="n"/>
      <c r="FCD2" s="95" t="n"/>
      <c r="FCE2" s="95" t="n"/>
      <c r="FCF2" s="95" t="n"/>
      <c r="FCG2" s="95" t="n"/>
      <c r="FCH2" s="95" t="n"/>
      <c r="FCI2" s="95" t="n"/>
      <c r="FCJ2" s="95" t="n"/>
      <c r="FCK2" s="95" t="n"/>
      <c r="FCL2" s="95" t="n"/>
      <c r="FCM2" s="95" t="n"/>
      <c r="FCN2" s="95" t="n"/>
      <c r="FCO2" s="95" t="n"/>
      <c r="FCP2" s="95" t="n"/>
      <c r="FCQ2" s="95" t="n"/>
      <c r="FCR2" s="95" t="n"/>
      <c r="FCS2" s="95" t="n"/>
      <c r="FCT2" s="95" t="n"/>
      <c r="FCU2" s="95" t="n"/>
      <c r="FCV2" s="95" t="n"/>
      <c r="FCW2" s="95" t="n"/>
      <c r="FCX2" s="95" t="n"/>
      <c r="FCY2" s="95" t="n"/>
      <c r="FCZ2" s="95" t="n"/>
      <c r="FDA2" s="95" t="n"/>
      <c r="FDB2" s="95" t="n"/>
      <c r="FDC2" s="95" t="n"/>
      <c r="FDD2" s="95" t="n"/>
      <c r="FDE2" s="95" t="n"/>
      <c r="FDF2" s="95" t="n"/>
      <c r="FDG2" s="95" t="n"/>
      <c r="FDH2" s="95" t="n"/>
      <c r="FDI2" s="95" t="n"/>
      <c r="FDJ2" s="95" t="n"/>
      <c r="FDK2" s="95" t="n"/>
      <c r="FDL2" s="95" t="n"/>
      <c r="FDM2" s="95" t="n"/>
      <c r="FDN2" s="95" t="n"/>
      <c r="FDO2" s="95" t="n"/>
      <c r="FDP2" s="95" t="n"/>
      <c r="FDQ2" s="95" t="n"/>
      <c r="FDR2" s="95" t="n"/>
      <c r="FDS2" s="95" t="n"/>
      <c r="FDT2" s="95" t="n"/>
      <c r="FDU2" s="95" t="n"/>
      <c r="FDV2" s="95" t="n"/>
      <c r="FDW2" s="95" t="n"/>
      <c r="FDX2" s="95" t="n"/>
      <c r="FDY2" s="95" t="n"/>
      <c r="FDZ2" s="95" t="n"/>
      <c r="FEA2" s="95" t="n"/>
      <c r="FEB2" s="95" t="n"/>
      <c r="FEC2" s="95" t="n"/>
      <c r="FED2" s="95" t="n"/>
      <c r="FEE2" s="95" t="n"/>
      <c r="FEF2" s="95" t="n"/>
      <c r="FEG2" s="95" t="n"/>
      <c r="FEH2" s="95" t="n"/>
      <c r="FEI2" s="95" t="n"/>
      <c r="FEJ2" s="95" t="n"/>
      <c r="FEK2" s="95" t="n"/>
      <c r="FEL2" s="95" t="n"/>
      <c r="FEM2" s="95" t="n"/>
      <c r="FEN2" s="95" t="n"/>
      <c r="FEO2" s="95" t="n"/>
      <c r="FEP2" s="95" t="n"/>
      <c r="FEQ2" s="95" t="n"/>
      <c r="FER2" s="95" t="n"/>
      <c r="FES2" s="95" t="n"/>
      <c r="FET2" s="95" t="n"/>
      <c r="FEU2" s="95" t="n"/>
      <c r="FEV2" s="95" t="n"/>
      <c r="FEW2" s="95" t="n"/>
      <c r="FEX2" s="95" t="n"/>
      <c r="FEY2" s="95" t="n"/>
      <c r="FEZ2" s="95" t="n"/>
      <c r="FFA2" s="95" t="n"/>
      <c r="FFB2" s="95" t="n"/>
      <c r="FFC2" s="95" t="n"/>
      <c r="FFD2" s="95" t="n"/>
      <c r="FFE2" s="95" t="n"/>
      <c r="FFF2" s="95" t="n"/>
      <c r="FFG2" s="95" t="n"/>
      <c r="FFH2" s="95" t="n"/>
      <c r="FFI2" s="95" t="n"/>
      <c r="FFJ2" s="95" t="n"/>
      <c r="FFK2" s="95" t="n"/>
      <c r="FFL2" s="95" t="n"/>
      <c r="FFM2" s="95" t="n"/>
      <c r="FFN2" s="95" t="n"/>
      <c r="FFO2" s="95" t="n"/>
      <c r="FFP2" s="95" t="n"/>
      <c r="FFQ2" s="95" t="n"/>
      <c r="FFR2" s="95" t="n"/>
      <c r="FFS2" s="95" t="n"/>
      <c r="FFT2" s="95" t="n"/>
      <c r="FFU2" s="95" t="n"/>
      <c r="FFV2" s="95" t="n"/>
      <c r="FFW2" s="95" t="n"/>
      <c r="FFX2" s="95" t="n"/>
      <c r="FFY2" s="95" t="n"/>
      <c r="FFZ2" s="95" t="n"/>
      <c r="FGA2" s="95" t="n"/>
      <c r="FGB2" s="95" t="n"/>
      <c r="FGC2" s="95" t="n"/>
      <c r="FGD2" s="95" t="n"/>
      <c r="FGE2" s="95" t="n"/>
      <c r="FGF2" s="95" t="n"/>
      <c r="FGG2" s="95" t="n"/>
      <c r="FGH2" s="95" t="n"/>
      <c r="FGI2" s="95" t="n"/>
      <c r="FGJ2" s="95" t="n"/>
      <c r="FGK2" s="95" t="n"/>
      <c r="FGL2" s="95" t="n"/>
      <c r="FGM2" s="95" t="n"/>
      <c r="FGN2" s="95" t="n"/>
      <c r="FGO2" s="95" t="n"/>
      <c r="FGP2" s="95" t="n"/>
      <c r="FGQ2" s="95" t="n"/>
      <c r="FGR2" s="95" t="n"/>
      <c r="FGS2" s="95" t="n"/>
      <c r="FGT2" s="95" t="n"/>
      <c r="FGU2" s="95" t="n"/>
      <c r="FGV2" s="95" t="n"/>
      <c r="FGW2" s="95" t="n"/>
      <c r="FGX2" s="95" t="n"/>
      <c r="FGY2" s="95" t="n"/>
      <c r="FGZ2" s="95" t="n"/>
      <c r="FHA2" s="95" t="n"/>
      <c r="FHB2" s="95" t="n"/>
      <c r="FHC2" s="95" t="n"/>
      <c r="FHD2" s="95" t="n"/>
      <c r="FHE2" s="95" t="n"/>
      <c r="FHF2" s="95" t="n"/>
      <c r="FHG2" s="95" t="n"/>
      <c r="FHH2" s="95" t="n"/>
      <c r="FHI2" s="95" t="n"/>
      <c r="FHJ2" s="95" t="n"/>
      <c r="FHK2" s="95" t="n"/>
      <c r="FHL2" s="95" t="n"/>
      <c r="FHM2" s="95" t="n"/>
      <c r="FHN2" s="95" t="n"/>
      <c r="FHO2" s="95" t="n"/>
      <c r="FHP2" s="95" t="n"/>
      <c r="FHQ2" s="95" t="n"/>
      <c r="FHR2" s="95" t="n"/>
      <c r="FHS2" s="95" t="n"/>
      <c r="FHT2" s="95" t="n"/>
      <c r="FHU2" s="95" t="n"/>
      <c r="FHV2" s="95" t="n"/>
      <c r="FHW2" s="95" t="n"/>
      <c r="FHX2" s="95" t="n"/>
      <c r="FHY2" s="95" t="n"/>
      <c r="FHZ2" s="95" t="n"/>
      <c r="FIA2" s="95" t="n"/>
      <c r="FIB2" s="95" t="n"/>
      <c r="FIC2" s="95" t="n"/>
      <c r="FID2" s="95" t="n"/>
      <c r="FIE2" s="95" t="n"/>
      <c r="FIF2" s="95" t="n"/>
      <c r="FIG2" s="95" t="n"/>
      <c r="FIH2" s="95" t="n"/>
      <c r="FII2" s="95" t="n"/>
      <c r="FIJ2" s="95" t="n"/>
      <c r="FIK2" s="95" t="n"/>
      <c r="FIL2" s="95" t="n"/>
      <c r="FIM2" s="95" t="n"/>
      <c r="FIN2" s="95" t="n"/>
      <c r="FIO2" s="95" t="n"/>
      <c r="FIP2" s="95" t="n"/>
      <c r="FIQ2" s="95" t="n"/>
      <c r="FIR2" s="95" t="n"/>
      <c r="FIS2" s="95" t="n"/>
      <c r="FIT2" s="95" t="n"/>
      <c r="FIU2" s="95" t="n"/>
      <c r="FIV2" s="95" t="n"/>
      <c r="FIW2" s="95" t="n"/>
      <c r="FIX2" s="95" t="n"/>
      <c r="FIY2" s="95" t="n"/>
      <c r="FIZ2" s="95" t="n"/>
      <c r="FJA2" s="95" t="n"/>
      <c r="FJB2" s="95" t="n"/>
      <c r="FJC2" s="95" t="n"/>
      <c r="FJD2" s="95" t="n"/>
      <c r="FJE2" s="95" t="n"/>
      <c r="FJF2" s="95" t="n"/>
      <c r="FJG2" s="95" t="n"/>
      <c r="FJH2" s="95" t="n"/>
      <c r="FJI2" s="95" t="n"/>
      <c r="FJJ2" s="95" t="n"/>
      <c r="FJK2" s="95" t="n"/>
      <c r="FJL2" s="95" t="n"/>
      <c r="FJM2" s="95" t="n"/>
      <c r="FJN2" s="95" t="n"/>
      <c r="FJO2" s="95" t="n"/>
      <c r="FJP2" s="95" t="n"/>
      <c r="FJQ2" s="95" t="n"/>
      <c r="FJR2" s="95" t="n"/>
      <c r="FJS2" s="95" t="n"/>
      <c r="FJT2" s="95" t="n"/>
      <c r="FJU2" s="95" t="n"/>
      <c r="FJV2" s="95" t="n"/>
      <c r="FJW2" s="95" t="n"/>
      <c r="FJX2" s="95" t="n"/>
      <c r="FJY2" s="95" t="n"/>
      <c r="FJZ2" s="95" t="n"/>
      <c r="FKA2" s="95" t="n"/>
      <c r="FKB2" s="95" t="n"/>
      <c r="FKC2" s="95" t="n"/>
      <c r="FKD2" s="95" t="n"/>
      <c r="FKE2" s="95" t="n"/>
      <c r="FKF2" s="95" t="n"/>
      <c r="FKG2" s="95" t="n"/>
      <c r="FKH2" s="95" t="n"/>
      <c r="FKI2" s="95" t="n"/>
      <c r="FKJ2" s="95" t="n"/>
      <c r="FKK2" s="95" t="n"/>
      <c r="FKL2" s="95" t="n"/>
      <c r="FKM2" s="95" t="n"/>
      <c r="FKN2" s="95" t="n"/>
      <c r="FKO2" s="95" t="n"/>
      <c r="FKP2" s="95" t="n"/>
      <c r="FKQ2" s="95" t="n"/>
      <c r="FKR2" s="95" t="n"/>
      <c r="FKS2" s="95" t="n"/>
      <c r="FKT2" s="95" t="n"/>
      <c r="FKU2" s="95" t="n"/>
      <c r="FKV2" s="95" t="n"/>
      <c r="FKW2" s="95" t="n"/>
      <c r="FKX2" s="95" t="n"/>
      <c r="FKY2" s="95" t="n"/>
      <c r="FKZ2" s="95" t="n"/>
      <c r="FLA2" s="95" t="n"/>
      <c r="FLB2" s="95" t="n"/>
      <c r="FLC2" s="95" t="n"/>
      <c r="FLD2" s="95" t="n"/>
      <c r="FLE2" s="95" t="n"/>
      <c r="FLF2" s="95" t="n"/>
      <c r="FLG2" s="95" t="n"/>
      <c r="FLH2" s="95" t="n"/>
      <c r="FLI2" s="95" t="n"/>
      <c r="FLJ2" s="95" t="n"/>
      <c r="FLK2" s="95" t="n"/>
      <c r="FLL2" s="95" t="n"/>
      <c r="FLM2" s="95" t="n"/>
      <c r="FLN2" s="95" t="n"/>
      <c r="FLO2" s="95" t="n"/>
      <c r="FLP2" s="95" t="n"/>
      <c r="FLQ2" s="95" t="n"/>
      <c r="FLR2" s="95" t="n"/>
      <c r="FLS2" s="95" t="n"/>
      <c r="FLT2" s="95" t="n"/>
      <c r="FLU2" s="95" t="n"/>
      <c r="FLV2" s="95" t="n"/>
      <c r="FLW2" s="95" t="n"/>
      <c r="FLX2" s="95" t="n"/>
      <c r="FLY2" s="95" t="n"/>
      <c r="FLZ2" s="95" t="n"/>
      <c r="FMA2" s="95" t="n"/>
      <c r="FMB2" s="95" t="n"/>
      <c r="FMC2" s="95" t="n"/>
      <c r="FMD2" s="95" t="n"/>
      <c r="FME2" s="95" t="n"/>
      <c r="FMF2" s="95" t="n"/>
      <c r="FMG2" s="95" t="n"/>
      <c r="FMH2" s="95" t="n"/>
      <c r="FMI2" s="95" t="n"/>
      <c r="FMJ2" s="95" t="n"/>
      <c r="FMK2" s="95" t="n"/>
      <c r="FML2" s="95" t="n"/>
      <c r="FMM2" s="95" t="n"/>
      <c r="FMN2" s="95" t="n"/>
      <c r="FMO2" s="95" t="n"/>
      <c r="FMP2" s="95" t="n"/>
      <c r="FMQ2" s="95" t="n"/>
      <c r="FMR2" s="95" t="n"/>
      <c r="FMS2" s="95" t="n"/>
      <c r="FMT2" s="95" t="n"/>
      <c r="FMU2" s="95" t="n"/>
      <c r="FMV2" s="95" t="n"/>
      <c r="FMW2" s="95" t="n"/>
      <c r="FMX2" s="95" t="n"/>
      <c r="FMY2" s="95" t="n"/>
      <c r="FMZ2" s="95" t="n"/>
      <c r="FNA2" s="95" t="n"/>
      <c r="FNB2" s="95" t="n"/>
      <c r="FNC2" s="95" t="n"/>
      <c r="FND2" s="95" t="n"/>
      <c r="FNE2" s="95" t="n"/>
      <c r="FNF2" s="95" t="n"/>
      <c r="FNG2" s="95" t="n"/>
      <c r="FNH2" s="95" t="n"/>
      <c r="FNI2" s="95" t="n"/>
      <c r="FNJ2" s="95" t="n"/>
      <c r="FNK2" s="95" t="n"/>
      <c r="FNL2" s="95" t="n"/>
      <c r="FNM2" s="95" t="n"/>
      <c r="FNN2" s="95" t="n"/>
      <c r="FNO2" s="95" t="n"/>
      <c r="FNP2" s="95" t="n"/>
      <c r="FNQ2" s="95" t="n"/>
      <c r="FNR2" s="95" t="n"/>
      <c r="FNS2" s="95" t="n"/>
      <c r="FNT2" s="95" t="n"/>
      <c r="FNU2" s="95" t="n"/>
      <c r="FNV2" s="95" t="n"/>
      <c r="FNW2" s="95" t="n"/>
      <c r="FNX2" s="95" t="n"/>
      <c r="FNY2" s="95" t="n"/>
      <c r="FNZ2" s="95" t="n"/>
      <c r="FOA2" s="95" t="n"/>
      <c r="FOB2" s="95" t="n"/>
      <c r="FOC2" s="95" t="n"/>
      <c r="FOD2" s="95" t="n"/>
      <c r="FOE2" s="95" t="n"/>
      <c r="FOF2" s="95" t="n"/>
      <c r="FOG2" s="95" t="n"/>
      <c r="FOH2" s="95" t="n"/>
      <c r="FOI2" s="95" t="n"/>
      <c r="FOJ2" s="95" t="n"/>
      <c r="FOK2" s="95" t="n"/>
      <c r="FOL2" s="95" t="n"/>
      <c r="FOM2" s="95" t="n"/>
      <c r="FON2" s="95" t="n"/>
      <c r="FOO2" s="95" t="n"/>
      <c r="FOP2" s="95" t="n"/>
      <c r="FOQ2" s="95" t="n"/>
      <c r="FOR2" s="95" t="n"/>
      <c r="FOS2" s="95" t="n"/>
      <c r="FOT2" s="95" t="n"/>
      <c r="FOU2" s="95" t="n"/>
      <c r="FOV2" s="95" t="n"/>
      <c r="FOW2" s="95" t="n"/>
      <c r="FOX2" s="95" t="n"/>
      <c r="FOY2" s="95" t="n"/>
      <c r="FOZ2" s="95" t="n"/>
      <c r="FPA2" s="95" t="n"/>
      <c r="FPB2" s="95" t="n"/>
      <c r="FPC2" s="95" t="n"/>
      <c r="FPD2" s="95" t="n"/>
      <c r="FPE2" s="95" t="n"/>
      <c r="FPF2" s="95" t="n"/>
      <c r="FPG2" s="95" t="n"/>
      <c r="FPH2" s="95" t="n"/>
      <c r="FPI2" s="95" t="n"/>
      <c r="FPJ2" s="95" t="n"/>
      <c r="FPK2" s="95" t="n"/>
      <c r="FPL2" s="95" t="n"/>
      <c r="FPM2" s="95" t="n"/>
      <c r="FPN2" s="95" t="n"/>
      <c r="FPO2" s="95" t="n"/>
      <c r="FPP2" s="95" t="n"/>
      <c r="FPQ2" s="95" t="n"/>
      <c r="FPR2" s="95" t="n"/>
      <c r="FPS2" s="95" t="n"/>
      <c r="FPT2" s="95" t="n"/>
      <c r="FPU2" s="95" t="n"/>
      <c r="FPV2" s="95" t="n"/>
      <c r="FPW2" s="95" t="n"/>
      <c r="FPX2" s="95" t="n"/>
      <c r="FPY2" s="95" t="n"/>
      <c r="FPZ2" s="95" t="n"/>
      <c r="FQA2" s="95" t="n"/>
      <c r="FQB2" s="95" t="n"/>
      <c r="FQC2" s="95" t="n"/>
      <c r="FQD2" s="95" t="n"/>
      <c r="FQE2" s="95" t="n"/>
      <c r="FQF2" s="95" t="n"/>
      <c r="FQG2" s="95" t="n"/>
      <c r="FQH2" s="95" t="n"/>
      <c r="FQI2" s="95" t="n"/>
      <c r="FQJ2" s="95" t="n"/>
      <c r="FQK2" s="95" t="n"/>
      <c r="FQL2" s="95" t="n"/>
      <c r="FQM2" s="95" t="n"/>
      <c r="FQN2" s="95" t="n"/>
      <c r="FQO2" s="95" t="n"/>
      <c r="FQP2" s="95" t="n"/>
      <c r="FQQ2" s="95" t="n"/>
      <c r="FQR2" s="95" t="n"/>
      <c r="FQS2" s="95" t="n"/>
      <c r="FQT2" s="95" t="n"/>
      <c r="FQU2" s="95" t="n"/>
      <c r="FQV2" s="95" t="n"/>
      <c r="FQW2" s="95" t="n"/>
      <c r="FQX2" s="95" t="n"/>
      <c r="FQY2" s="95" t="n"/>
      <c r="FQZ2" s="95" t="n"/>
      <c r="FRA2" s="95" t="n"/>
      <c r="FRB2" s="95" t="n"/>
      <c r="FRC2" s="95" t="n"/>
      <c r="FRD2" s="95" t="n"/>
      <c r="FRE2" s="95" t="n"/>
      <c r="FRF2" s="95" t="n"/>
      <c r="FRG2" s="95" t="n"/>
      <c r="FRH2" s="95" t="n"/>
      <c r="FRI2" s="95" t="n"/>
      <c r="FRJ2" s="95" t="n"/>
      <c r="FRK2" s="95" t="n"/>
      <c r="FRL2" s="95" t="n"/>
      <c r="FRM2" s="95" t="n"/>
      <c r="FRN2" s="95" t="n"/>
      <c r="FRO2" s="95" t="n"/>
      <c r="FRP2" s="95" t="n"/>
      <c r="FRQ2" s="95" t="n"/>
      <c r="FRR2" s="95" t="n"/>
      <c r="FRS2" s="95" t="n"/>
      <c r="FRT2" s="95" t="n"/>
      <c r="FRU2" s="95" t="n"/>
      <c r="FRV2" s="95" t="n"/>
      <c r="FRW2" s="95" t="n"/>
      <c r="FRX2" s="95" t="n"/>
      <c r="FRY2" s="95" t="n"/>
      <c r="FRZ2" s="95" t="n"/>
      <c r="FSA2" s="95" t="n"/>
      <c r="FSB2" s="95" t="n"/>
      <c r="FSC2" s="95" t="n"/>
      <c r="FSD2" s="95" t="n"/>
      <c r="FSE2" s="95" t="n"/>
      <c r="FSF2" s="95" t="n"/>
      <c r="FSG2" s="95" t="n"/>
      <c r="FSH2" s="95" t="n"/>
      <c r="FSI2" s="95" t="n"/>
      <c r="FSJ2" s="95" t="n"/>
      <c r="FSK2" s="95" t="n"/>
      <c r="FSL2" s="95" t="n"/>
      <c r="FSM2" s="95" t="n"/>
      <c r="FSN2" s="95" t="n"/>
      <c r="FSO2" s="95" t="n"/>
      <c r="FSP2" s="95" t="n"/>
      <c r="FSQ2" s="95" t="n"/>
      <c r="FSR2" s="95" t="n"/>
      <c r="FSS2" s="95" t="n"/>
      <c r="FST2" s="95" t="n"/>
      <c r="FSU2" s="95" t="n"/>
      <c r="FSV2" s="95" t="n"/>
      <c r="FSW2" s="95" t="n"/>
      <c r="FSX2" s="95" t="n"/>
      <c r="FSY2" s="95" t="n"/>
      <c r="FSZ2" s="95" t="n"/>
      <c r="FTA2" s="95" t="n"/>
      <c r="FTB2" s="95" t="n"/>
      <c r="FTC2" s="95" t="n"/>
      <c r="FTD2" s="95" t="n"/>
      <c r="FTE2" s="95" t="n"/>
      <c r="FTF2" s="95" t="n"/>
      <c r="FTG2" s="95" t="n"/>
      <c r="FTH2" s="95" t="n"/>
      <c r="FTI2" s="95" t="n"/>
      <c r="FTJ2" s="95" t="n"/>
      <c r="FTK2" s="95" t="n"/>
      <c r="FTL2" s="95" t="n"/>
      <c r="FTM2" s="95" t="n"/>
      <c r="FTN2" s="95" t="n"/>
      <c r="FTO2" s="95" t="n"/>
      <c r="FTP2" s="95" t="n"/>
      <c r="FTQ2" s="95" t="n"/>
      <c r="FTR2" s="95" t="n"/>
      <c r="FTS2" s="95" t="n"/>
      <c r="FTT2" s="95" t="n"/>
      <c r="FTU2" s="95" t="n"/>
      <c r="FTV2" s="95" t="n"/>
      <c r="FTW2" s="95" t="n"/>
      <c r="FTX2" s="95" t="n"/>
      <c r="FTY2" s="95" t="n"/>
      <c r="FTZ2" s="95" t="n"/>
      <c r="FUA2" s="95" t="n"/>
      <c r="FUB2" s="95" t="n"/>
      <c r="FUC2" s="95" t="n"/>
      <c r="FUD2" s="95" t="n"/>
      <c r="FUE2" s="95" t="n"/>
      <c r="FUF2" s="95" t="n"/>
      <c r="FUG2" s="95" t="n"/>
      <c r="FUH2" s="95" t="n"/>
      <c r="FUI2" s="95" t="n"/>
      <c r="FUJ2" s="95" t="n"/>
      <c r="FUK2" s="95" t="n"/>
      <c r="FUL2" s="95" t="n"/>
      <c r="FUM2" s="95" t="n"/>
      <c r="FUN2" s="95" t="n"/>
      <c r="FUO2" s="95" t="n"/>
      <c r="FUP2" s="95" t="n"/>
      <c r="FUQ2" s="95" t="n"/>
      <c r="FUR2" s="95" t="n"/>
      <c r="FUS2" s="95" t="n"/>
      <c r="FUT2" s="95" t="n"/>
      <c r="FUU2" s="95" t="n"/>
      <c r="FUV2" s="95" t="n"/>
      <c r="FUW2" s="95" t="n"/>
      <c r="FUX2" s="95" t="n"/>
      <c r="FUY2" s="95" t="n"/>
      <c r="FUZ2" s="95" t="n"/>
      <c r="FVA2" s="95" t="n"/>
      <c r="FVB2" s="95" t="n"/>
      <c r="FVC2" s="95" t="n"/>
      <c r="FVD2" s="95" t="n"/>
      <c r="FVE2" s="95" t="n"/>
      <c r="FVF2" s="95" t="n"/>
      <c r="FVG2" s="95" t="n"/>
      <c r="FVH2" s="95" t="n"/>
      <c r="FVI2" s="95" t="n"/>
      <c r="FVJ2" s="95" t="n"/>
      <c r="FVK2" s="95" t="n"/>
      <c r="FVL2" s="95" t="n"/>
      <c r="FVM2" s="95" t="n"/>
      <c r="FVN2" s="95" t="n"/>
      <c r="FVO2" s="95" t="n"/>
      <c r="FVP2" s="95" t="n"/>
      <c r="FVQ2" s="95" t="n"/>
      <c r="FVR2" s="95" t="n"/>
      <c r="FVS2" s="95" t="n"/>
      <c r="FVT2" s="95" t="n"/>
      <c r="FVU2" s="95" t="n"/>
      <c r="FVV2" s="95" t="n"/>
      <c r="FVW2" s="95" t="n"/>
      <c r="FVX2" s="95" t="n"/>
      <c r="FVY2" s="95" t="n"/>
      <c r="FVZ2" s="95" t="n"/>
      <c r="FWA2" s="95" t="n"/>
      <c r="FWB2" s="95" t="n"/>
      <c r="FWC2" s="95" t="n"/>
      <c r="FWD2" s="95" t="n"/>
      <c r="FWE2" s="95" t="n"/>
      <c r="FWF2" s="95" t="n"/>
      <c r="FWG2" s="95" t="n"/>
      <c r="FWH2" s="95" t="n"/>
      <c r="FWI2" s="95" t="n"/>
      <c r="FWJ2" s="95" t="n"/>
      <c r="FWK2" s="95" t="n"/>
      <c r="FWL2" s="95" t="n"/>
      <c r="FWM2" s="95" t="n"/>
      <c r="FWN2" s="95" t="n"/>
      <c r="FWO2" s="95" t="n"/>
      <c r="FWP2" s="95" t="n"/>
      <c r="FWQ2" s="95" t="n"/>
      <c r="FWR2" s="95" t="n"/>
      <c r="FWS2" s="95" t="n"/>
      <c r="FWT2" s="95" t="n"/>
      <c r="FWU2" s="95" t="n"/>
      <c r="FWV2" s="95" t="n"/>
      <c r="FWW2" s="95" t="n"/>
      <c r="FWX2" s="95" t="n"/>
      <c r="FWY2" s="95" t="n"/>
      <c r="FWZ2" s="95" t="n"/>
      <c r="FXA2" s="95" t="n"/>
      <c r="FXB2" s="95" t="n"/>
      <c r="FXC2" s="95" t="n"/>
      <c r="FXD2" s="95" t="n"/>
      <c r="FXE2" s="95" t="n"/>
      <c r="FXF2" s="95" t="n"/>
      <c r="FXG2" s="95" t="n"/>
      <c r="FXH2" s="95" t="n"/>
      <c r="FXI2" s="95" t="n"/>
      <c r="FXJ2" s="95" t="n"/>
      <c r="FXK2" s="95" t="n"/>
      <c r="FXL2" s="95" t="n"/>
      <c r="FXM2" s="95" t="n"/>
      <c r="FXN2" s="95" t="n"/>
      <c r="FXO2" s="95" t="n"/>
      <c r="FXP2" s="95" t="n"/>
      <c r="FXQ2" s="95" t="n"/>
      <c r="FXR2" s="95" t="n"/>
      <c r="FXS2" s="95" t="n"/>
      <c r="FXT2" s="95" t="n"/>
      <c r="FXU2" s="95" t="n"/>
      <c r="FXV2" s="95" t="n"/>
      <c r="FXW2" s="95" t="n"/>
      <c r="FXX2" s="95" t="n"/>
      <c r="FXY2" s="95" t="n"/>
      <c r="FXZ2" s="95" t="n"/>
      <c r="FYA2" s="95" t="n"/>
      <c r="FYB2" s="95" t="n"/>
      <c r="FYC2" s="95" t="n"/>
      <c r="FYD2" s="95" t="n"/>
      <c r="FYE2" s="95" t="n"/>
      <c r="FYF2" s="95" t="n"/>
      <c r="FYG2" s="95" t="n"/>
      <c r="FYH2" s="95" t="n"/>
      <c r="FYI2" s="95" t="n"/>
      <c r="FYJ2" s="95" t="n"/>
      <c r="FYK2" s="95" t="n"/>
      <c r="FYL2" s="95" t="n"/>
      <c r="FYM2" s="95" t="n"/>
      <c r="FYN2" s="95" t="n"/>
      <c r="FYO2" s="95" t="n"/>
      <c r="FYP2" s="95" t="n"/>
      <c r="FYQ2" s="95" t="n"/>
      <c r="FYR2" s="95" t="n"/>
      <c r="FYS2" s="95" t="n"/>
      <c r="FYT2" s="95" t="n"/>
      <c r="FYU2" s="95" t="n"/>
      <c r="FYV2" s="95" t="n"/>
      <c r="FYW2" s="95" t="n"/>
      <c r="FYX2" s="95" t="n"/>
      <c r="FYY2" s="95" t="n"/>
      <c r="FYZ2" s="95" t="n"/>
      <c r="FZA2" s="95" t="n"/>
      <c r="FZB2" s="95" t="n"/>
      <c r="FZC2" s="95" t="n"/>
      <c r="FZD2" s="95" t="n"/>
      <c r="FZE2" s="95" t="n"/>
      <c r="FZF2" s="95" t="n"/>
      <c r="FZG2" s="95" t="n"/>
      <c r="FZH2" s="95" t="n"/>
      <c r="FZI2" s="95" t="n"/>
      <c r="FZJ2" s="95" t="n"/>
      <c r="FZK2" s="95" t="n"/>
      <c r="FZL2" s="95" t="n"/>
      <c r="FZM2" s="95" t="n"/>
      <c r="FZN2" s="95" t="n"/>
      <c r="FZO2" s="95" t="n"/>
      <c r="FZP2" s="95" t="n"/>
      <c r="FZQ2" s="95" t="n"/>
      <c r="FZR2" s="95" t="n"/>
      <c r="FZS2" s="95" t="n"/>
      <c r="FZT2" s="95" t="n"/>
      <c r="FZU2" s="95" t="n"/>
      <c r="FZV2" s="95" t="n"/>
      <c r="FZW2" s="95" t="n"/>
      <c r="FZX2" s="95" t="n"/>
      <c r="FZY2" s="95" t="n"/>
      <c r="FZZ2" s="95" t="n"/>
      <c r="GAA2" s="95" t="n"/>
      <c r="GAB2" s="95" t="n"/>
      <c r="GAC2" s="95" t="n"/>
      <c r="GAD2" s="95" t="n"/>
      <c r="GAE2" s="95" t="n"/>
      <c r="GAF2" s="95" t="n"/>
      <c r="GAG2" s="95" t="n"/>
      <c r="GAH2" s="95" t="n"/>
      <c r="GAI2" s="95" t="n"/>
      <c r="GAJ2" s="95" t="n"/>
      <c r="GAK2" s="95" t="n"/>
      <c r="GAL2" s="95" t="n"/>
      <c r="GAM2" s="95" t="n"/>
      <c r="GAN2" s="95" t="n"/>
      <c r="GAO2" s="95" t="n"/>
      <c r="GAP2" s="95" t="n"/>
      <c r="GAQ2" s="95" t="n"/>
      <c r="GAR2" s="95" t="n"/>
      <c r="GAS2" s="95" t="n"/>
      <c r="GAT2" s="95" t="n"/>
      <c r="GAU2" s="95" t="n"/>
      <c r="GAV2" s="95" t="n"/>
      <c r="GAW2" s="95" t="n"/>
      <c r="GAX2" s="95" t="n"/>
      <c r="GAY2" s="95" t="n"/>
      <c r="GAZ2" s="95" t="n"/>
      <c r="GBA2" s="95" t="n"/>
      <c r="GBB2" s="95" t="n"/>
      <c r="GBC2" s="95" t="n"/>
      <c r="GBD2" s="95" t="n"/>
      <c r="GBE2" s="95" t="n"/>
      <c r="GBF2" s="95" t="n"/>
      <c r="GBG2" s="95" t="n"/>
      <c r="GBH2" s="95" t="n"/>
      <c r="GBI2" s="95" t="n"/>
      <c r="GBJ2" s="95" t="n"/>
      <c r="GBK2" s="95" t="n"/>
      <c r="GBL2" s="95" t="n"/>
      <c r="GBM2" s="95" t="n"/>
      <c r="GBN2" s="95" t="n"/>
      <c r="GBO2" s="95" t="n"/>
      <c r="GBP2" s="95" t="n"/>
      <c r="GBQ2" s="95" t="n"/>
      <c r="GBR2" s="95" t="n"/>
      <c r="GBS2" s="95" t="n"/>
      <c r="GBT2" s="95" t="n"/>
      <c r="GBU2" s="95" t="n"/>
      <c r="GBV2" s="95" t="n"/>
      <c r="GBW2" s="95" t="n"/>
      <c r="GBX2" s="95" t="n"/>
      <c r="GBY2" s="95" t="n"/>
      <c r="GBZ2" s="95" t="n"/>
      <c r="GCA2" s="95" t="n"/>
      <c r="GCB2" s="95" t="n"/>
      <c r="GCC2" s="95" t="n"/>
      <c r="GCD2" s="95" t="n"/>
      <c r="GCE2" s="95" t="n"/>
      <c r="GCF2" s="95" t="n"/>
      <c r="GCG2" s="95" t="n"/>
      <c r="GCH2" s="95" t="n"/>
      <c r="GCI2" s="95" t="n"/>
      <c r="GCJ2" s="95" t="n"/>
      <c r="GCK2" s="95" t="n"/>
      <c r="GCL2" s="95" t="n"/>
      <c r="GCM2" s="95" t="n"/>
      <c r="GCN2" s="95" t="n"/>
      <c r="GCO2" s="95" t="n"/>
      <c r="GCP2" s="95" t="n"/>
      <c r="GCQ2" s="95" t="n"/>
      <c r="GCR2" s="95" t="n"/>
      <c r="GCS2" s="95" t="n"/>
      <c r="GCT2" s="95" t="n"/>
      <c r="GCU2" s="95" t="n"/>
      <c r="GCV2" s="95" t="n"/>
      <c r="GCW2" s="95" t="n"/>
      <c r="GCX2" s="95" t="n"/>
      <c r="GCY2" s="95" t="n"/>
      <c r="GCZ2" s="95" t="n"/>
      <c r="GDA2" s="95" t="n"/>
      <c r="GDB2" s="95" t="n"/>
      <c r="GDC2" s="95" t="n"/>
      <c r="GDD2" s="95" t="n"/>
      <c r="GDE2" s="95" t="n"/>
      <c r="GDF2" s="95" t="n"/>
      <c r="GDG2" s="95" t="n"/>
      <c r="GDH2" s="95" t="n"/>
      <c r="GDI2" s="95" t="n"/>
      <c r="GDJ2" s="95" t="n"/>
      <c r="GDK2" s="95" t="n"/>
      <c r="GDL2" s="95" t="n"/>
      <c r="GDM2" s="95" t="n"/>
      <c r="GDN2" s="95" t="n"/>
      <c r="GDO2" s="95" t="n"/>
      <c r="GDP2" s="95" t="n"/>
      <c r="GDQ2" s="95" t="n"/>
      <c r="GDR2" s="95" t="n"/>
      <c r="GDS2" s="95" t="n"/>
      <c r="GDT2" s="95" t="n"/>
      <c r="GDU2" s="95" t="n"/>
      <c r="GDV2" s="95" t="n"/>
      <c r="GDW2" s="95" t="n"/>
      <c r="GDX2" s="95" t="n"/>
      <c r="GDY2" s="95" t="n"/>
      <c r="GDZ2" s="95" t="n"/>
      <c r="GEA2" s="95" t="n"/>
      <c r="GEB2" s="95" t="n"/>
      <c r="GEC2" s="95" t="n"/>
      <c r="GED2" s="95" t="n"/>
      <c r="GEE2" s="95" t="n"/>
      <c r="GEF2" s="95" t="n"/>
      <c r="GEG2" s="95" t="n"/>
      <c r="GEH2" s="95" t="n"/>
      <c r="GEI2" s="95" t="n"/>
      <c r="GEJ2" s="95" t="n"/>
      <c r="GEK2" s="95" t="n"/>
      <c r="GEL2" s="95" t="n"/>
      <c r="GEM2" s="95" t="n"/>
      <c r="GEN2" s="95" t="n"/>
      <c r="GEO2" s="95" t="n"/>
      <c r="GEP2" s="95" t="n"/>
      <c r="GEQ2" s="95" t="n"/>
      <c r="GER2" s="95" t="n"/>
      <c r="GES2" s="95" t="n"/>
      <c r="GET2" s="95" t="n"/>
      <c r="GEU2" s="95" t="n"/>
      <c r="GEV2" s="95" t="n"/>
      <c r="GEW2" s="95" t="n"/>
      <c r="GEX2" s="95" t="n"/>
      <c r="GEY2" s="95" t="n"/>
      <c r="GEZ2" s="95" t="n"/>
      <c r="GFA2" s="95" t="n"/>
      <c r="GFB2" s="95" t="n"/>
      <c r="GFC2" s="95" t="n"/>
      <c r="GFD2" s="95" t="n"/>
      <c r="GFE2" s="95" t="n"/>
      <c r="GFF2" s="95" t="n"/>
      <c r="GFG2" s="95" t="n"/>
      <c r="GFH2" s="95" t="n"/>
      <c r="GFI2" s="95" t="n"/>
      <c r="GFJ2" s="95" t="n"/>
      <c r="GFK2" s="95" t="n"/>
      <c r="GFL2" s="95" t="n"/>
      <c r="GFM2" s="95" t="n"/>
      <c r="GFN2" s="95" t="n"/>
      <c r="GFO2" s="95" t="n"/>
      <c r="GFP2" s="95" t="n"/>
      <c r="GFQ2" s="95" t="n"/>
      <c r="GFR2" s="95" t="n"/>
      <c r="GFS2" s="95" t="n"/>
      <c r="GFT2" s="95" t="n"/>
      <c r="GFU2" s="95" t="n"/>
      <c r="GFV2" s="95" t="n"/>
      <c r="GFW2" s="95" t="n"/>
      <c r="GFX2" s="95" t="n"/>
      <c r="GFY2" s="95" t="n"/>
      <c r="GFZ2" s="95" t="n"/>
      <c r="GGA2" s="95" t="n"/>
      <c r="GGB2" s="95" t="n"/>
      <c r="GGC2" s="95" t="n"/>
      <c r="GGD2" s="95" t="n"/>
      <c r="GGE2" s="95" t="n"/>
      <c r="GGF2" s="95" t="n"/>
      <c r="GGG2" s="95" t="n"/>
      <c r="GGH2" s="95" t="n"/>
      <c r="GGI2" s="95" t="n"/>
      <c r="GGJ2" s="95" t="n"/>
      <c r="GGK2" s="95" t="n"/>
      <c r="GGL2" s="95" t="n"/>
      <c r="GGM2" s="95" t="n"/>
      <c r="GGN2" s="95" t="n"/>
      <c r="GGO2" s="95" t="n"/>
      <c r="GGP2" s="95" t="n"/>
      <c r="GGQ2" s="95" t="n"/>
      <c r="GGR2" s="95" t="n"/>
      <c r="GGS2" s="95" t="n"/>
      <c r="GGT2" s="95" t="n"/>
      <c r="GGU2" s="95" t="n"/>
      <c r="GGV2" s="95" t="n"/>
      <c r="GGW2" s="95" t="n"/>
      <c r="GGX2" s="95" t="n"/>
      <c r="GGY2" s="95" t="n"/>
      <c r="GGZ2" s="95" t="n"/>
      <c r="GHA2" s="95" t="n"/>
      <c r="GHB2" s="95" t="n"/>
      <c r="GHC2" s="95" t="n"/>
      <c r="GHD2" s="95" t="n"/>
      <c r="GHE2" s="95" t="n"/>
      <c r="GHF2" s="95" t="n"/>
      <c r="GHG2" s="95" t="n"/>
      <c r="GHH2" s="95" t="n"/>
      <c r="GHI2" s="95" t="n"/>
      <c r="GHJ2" s="95" t="n"/>
      <c r="GHK2" s="95" t="n"/>
      <c r="GHL2" s="95" t="n"/>
      <c r="GHM2" s="95" t="n"/>
      <c r="GHN2" s="95" t="n"/>
      <c r="GHO2" s="95" t="n"/>
      <c r="GHP2" s="95" t="n"/>
      <c r="GHQ2" s="95" t="n"/>
      <c r="GHR2" s="95" t="n"/>
      <c r="GHS2" s="95" t="n"/>
      <c r="GHT2" s="95" t="n"/>
      <c r="GHU2" s="95" t="n"/>
      <c r="GHV2" s="95" t="n"/>
      <c r="GHW2" s="95" t="n"/>
      <c r="GHX2" s="95" t="n"/>
      <c r="GHY2" s="95" t="n"/>
      <c r="GHZ2" s="95" t="n"/>
      <c r="GIA2" s="95" t="n"/>
      <c r="GIB2" s="95" t="n"/>
      <c r="GIC2" s="95" t="n"/>
      <c r="GID2" s="95" t="n"/>
      <c r="GIE2" s="95" t="n"/>
      <c r="GIF2" s="95" t="n"/>
      <c r="GIG2" s="95" t="n"/>
      <c r="GIH2" s="95" t="n"/>
      <c r="GII2" s="95" t="n"/>
      <c r="GIJ2" s="95" t="n"/>
      <c r="GIK2" s="95" t="n"/>
      <c r="GIL2" s="95" t="n"/>
      <c r="GIM2" s="95" t="n"/>
      <c r="GIN2" s="95" t="n"/>
      <c r="GIO2" s="95" t="n"/>
      <c r="GIP2" s="95" t="n"/>
      <c r="GIQ2" s="95" t="n"/>
      <c r="GIR2" s="95" t="n"/>
      <c r="GIS2" s="95" t="n"/>
      <c r="GIT2" s="95" t="n"/>
      <c r="GIU2" s="95" t="n"/>
      <c r="GIV2" s="95" t="n"/>
      <c r="GIW2" s="95" t="n"/>
      <c r="GIX2" s="95" t="n"/>
      <c r="GIY2" s="95" t="n"/>
      <c r="GIZ2" s="95" t="n"/>
      <c r="GJA2" s="95" t="n"/>
      <c r="GJB2" s="95" t="n"/>
      <c r="GJC2" s="95" t="n"/>
      <c r="GJD2" s="95" t="n"/>
      <c r="GJE2" s="95" t="n"/>
      <c r="GJF2" s="95" t="n"/>
      <c r="GJG2" s="95" t="n"/>
      <c r="GJH2" s="95" t="n"/>
      <c r="GJI2" s="95" t="n"/>
      <c r="GJJ2" s="95" t="n"/>
      <c r="GJK2" s="95" t="n"/>
      <c r="GJL2" s="95" t="n"/>
      <c r="GJM2" s="95" t="n"/>
      <c r="GJN2" s="95" t="n"/>
      <c r="GJO2" s="95" t="n"/>
      <c r="GJP2" s="95" t="n"/>
      <c r="GJQ2" s="95" t="n"/>
      <c r="GJR2" s="95" t="n"/>
      <c r="GJS2" s="95" t="n"/>
      <c r="GJT2" s="95" t="n"/>
      <c r="GJU2" s="95" t="n"/>
      <c r="GJV2" s="95" t="n"/>
      <c r="GJW2" s="95" t="n"/>
      <c r="GJX2" s="95" t="n"/>
      <c r="GJY2" s="95" t="n"/>
      <c r="GJZ2" s="95" t="n"/>
      <c r="GKA2" s="95" t="n"/>
      <c r="GKB2" s="95" t="n"/>
      <c r="GKC2" s="95" t="n"/>
      <c r="GKD2" s="95" t="n"/>
      <c r="GKE2" s="95" t="n"/>
      <c r="GKF2" s="95" t="n"/>
      <c r="GKG2" s="95" t="n"/>
      <c r="GKH2" s="95" t="n"/>
      <c r="GKI2" s="95" t="n"/>
      <c r="GKJ2" s="95" t="n"/>
      <c r="GKK2" s="95" t="n"/>
      <c r="GKL2" s="95" t="n"/>
      <c r="GKM2" s="95" t="n"/>
      <c r="GKN2" s="95" t="n"/>
      <c r="GKO2" s="95" t="n"/>
      <c r="GKP2" s="95" t="n"/>
      <c r="GKQ2" s="95" t="n"/>
      <c r="GKR2" s="95" t="n"/>
      <c r="GKS2" s="95" t="n"/>
      <c r="GKT2" s="95" t="n"/>
      <c r="GKU2" s="95" t="n"/>
      <c r="GKV2" s="95" t="n"/>
      <c r="GKW2" s="95" t="n"/>
      <c r="GKX2" s="95" t="n"/>
      <c r="GKY2" s="95" t="n"/>
      <c r="GKZ2" s="95" t="n"/>
      <c r="GLA2" s="95" t="n"/>
      <c r="GLB2" s="95" t="n"/>
      <c r="GLC2" s="95" t="n"/>
      <c r="GLD2" s="95" t="n"/>
      <c r="GLE2" s="95" t="n"/>
      <c r="GLF2" s="95" t="n"/>
      <c r="GLG2" s="95" t="n"/>
      <c r="GLH2" s="95" t="n"/>
      <c r="GLI2" s="95" t="n"/>
      <c r="GLJ2" s="95" t="n"/>
      <c r="GLK2" s="95" t="n"/>
      <c r="GLL2" s="95" t="n"/>
      <c r="GLM2" s="95" t="n"/>
      <c r="GLN2" s="95" t="n"/>
      <c r="GLO2" s="95" t="n"/>
      <c r="GLP2" s="95" t="n"/>
      <c r="GLQ2" s="95" t="n"/>
      <c r="GLR2" s="95" t="n"/>
      <c r="GLS2" s="95" t="n"/>
      <c r="GLT2" s="95" t="n"/>
      <c r="GLU2" s="95" t="n"/>
      <c r="GLV2" s="95" t="n"/>
      <c r="GLW2" s="95" t="n"/>
      <c r="GLX2" s="95" t="n"/>
      <c r="GLY2" s="95" t="n"/>
      <c r="GLZ2" s="95" t="n"/>
      <c r="GMA2" s="95" t="n"/>
      <c r="GMB2" s="95" t="n"/>
      <c r="GMC2" s="95" t="n"/>
      <c r="GMD2" s="95" t="n"/>
      <c r="GME2" s="95" t="n"/>
      <c r="GMF2" s="95" t="n"/>
      <c r="GMG2" s="95" t="n"/>
      <c r="GMH2" s="95" t="n"/>
      <c r="GMI2" s="95" t="n"/>
      <c r="GMJ2" s="95" t="n"/>
      <c r="GMK2" s="95" t="n"/>
      <c r="GML2" s="95" t="n"/>
      <c r="GMM2" s="95" t="n"/>
      <c r="GMN2" s="95" t="n"/>
      <c r="GMO2" s="95" t="n"/>
      <c r="GMP2" s="95" t="n"/>
      <c r="GMQ2" s="95" t="n"/>
      <c r="GMR2" s="95" t="n"/>
      <c r="GMS2" s="95" t="n"/>
      <c r="GMT2" s="95" t="n"/>
      <c r="GMU2" s="95" t="n"/>
      <c r="GMV2" s="95" t="n"/>
      <c r="GMW2" s="95" t="n"/>
      <c r="GMX2" s="95" t="n"/>
      <c r="GMY2" s="95" t="n"/>
      <c r="GMZ2" s="95" t="n"/>
      <c r="GNA2" s="95" t="n"/>
      <c r="GNB2" s="95" t="n"/>
      <c r="GNC2" s="95" t="n"/>
      <c r="GND2" s="95" t="n"/>
      <c r="GNE2" s="95" t="n"/>
      <c r="GNF2" s="95" t="n"/>
      <c r="GNG2" s="95" t="n"/>
      <c r="GNH2" s="95" t="n"/>
      <c r="GNI2" s="95" t="n"/>
      <c r="GNJ2" s="95" t="n"/>
      <c r="GNK2" s="95" t="n"/>
      <c r="GNL2" s="95" t="n"/>
      <c r="GNM2" s="95" t="n"/>
      <c r="GNN2" s="95" t="n"/>
      <c r="GNO2" s="95" t="n"/>
      <c r="GNP2" s="95" t="n"/>
      <c r="GNQ2" s="95" t="n"/>
      <c r="GNR2" s="95" t="n"/>
      <c r="GNS2" s="95" t="n"/>
      <c r="GNT2" s="95" t="n"/>
      <c r="GNU2" s="95" t="n"/>
      <c r="GNV2" s="95" t="n"/>
      <c r="GNW2" s="95" t="n"/>
      <c r="GNX2" s="95" t="n"/>
      <c r="GNY2" s="95" t="n"/>
      <c r="GNZ2" s="95" t="n"/>
      <c r="GOA2" s="95" t="n"/>
      <c r="GOB2" s="95" t="n"/>
      <c r="GOC2" s="95" t="n"/>
      <c r="GOD2" s="95" t="n"/>
      <c r="GOE2" s="95" t="n"/>
      <c r="GOF2" s="95" t="n"/>
      <c r="GOG2" s="95" t="n"/>
      <c r="GOH2" s="95" t="n"/>
      <c r="GOI2" s="95" t="n"/>
      <c r="GOJ2" s="95" t="n"/>
      <c r="GOK2" s="95" t="n"/>
      <c r="GOL2" s="95" t="n"/>
      <c r="GOM2" s="95" t="n"/>
      <c r="GON2" s="95" t="n"/>
      <c r="GOO2" s="95" t="n"/>
      <c r="GOP2" s="95" t="n"/>
      <c r="GOQ2" s="95" t="n"/>
      <c r="GOR2" s="95" t="n"/>
      <c r="GOS2" s="95" t="n"/>
      <c r="GOT2" s="95" t="n"/>
      <c r="GOU2" s="95" t="n"/>
      <c r="GOV2" s="95" t="n"/>
      <c r="GOW2" s="95" t="n"/>
      <c r="GOX2" s="95" t="n"/>
      <c r="GOY2" s="95" t="n"/>
      <c r="GOZ2" s="95" t="n"/>
      <c r="GPA2" s="95" t="n"/>
      <c r="GPB2" s="95" t="n"/>
      <c r="GPC2" s="95" t="n"/>
      <c r="GPD2" s="95" t="n"/>
      <c r="GPE2" s="95" t="n"/>
      <c r="GPF2" s="95" t="n"/>
      <c r="GPG2" s="95" t="n"/>
      <c r="GPH2" s="95" t="n"/>
      <c r="GPI2" s="95" t="n"/>
      <c r="GPJ2" s="95" t="n"/>
      <c r="GPK2" s="95" t="n"/>
      <c r="GPL2" s="95" t="n"/>
      <c r="GPM2" s="95" t="n"/>
      <c r="GPN2" s="95" t="n"/>
      <c r="GPO2" s="95" t="n"/>
      <c r="GPP2" s="95" t="n"/>
      <c r="GPQ2" s="95" t="n"/>
      <c r="GPR2" s="95" t="n"/>
      <c r="GPS2" s="95" t="n"/>
      <c r="GPT2" s="95" t="n"/>
      <c r="GPU2" s="95" t="n"/>
      <c r="GPV2" s="95" t="n"/>
      <c r="GPW2" s="95" t="n"/>
      <c r="GPX2" s="95" t="n"/>
      <c r="GPY2" s="95" t="n"/>
      <c r="GPZ2" s="95" t="n"/>
      <c r="GQA2" s="95" t="n"/>
      <c r="GQB2" s="95" t="n"/>
      <c r="GQC2" s="95" t="n"/>
      <c r="GQD2" s="95" t="n"/>
      <c r="GQE2" s="95" t="n"/>
      <c r="GQF2" s="95" t="n"/>
      <c r="GQG2" s="95" t="n"/>
      <c r="GQH2" s="95" t="n"/>
      <c r="GQI2" s="95" t="n"/>
      <c r="GQJ2" s="95" t="n"/>
      <c r="GQK2" s="95" t="n"/>
      <c r="GQL2" s="95" t="n"/>
      <c r="GQM2" s="95" t="n"/>
      <c r="GQN2" s="95" t="n"/>
      <c r="GQO2" s="95" t="n"/>
      <c r="GQP2" s="95" t="n"/>
      <c r="GQQ2" s="95" t="n"/>
      <c r="GQR2" s="95" t="n"/>
      <c r="GQS2" s="95" t="n"/>
      <c r="GQT2" s="95" t="n"/>
      <c r="GQU2" s="95" t="n"/>
      <c r="GQV2" s="95" t="n"/>
      <c r="GQW2" s="95" t="n"/>
      <c r="GQX2" s="95" t="n"/>
      <c r="GQY2" s="95" t="n"/>
      <c r="GQZ2" s="95" t="n"/>
      <c r="GRA2" s="95" t="n"/>
      <c r="GRB2" s="95" t="n"/>
      <c r="GRC2" s="95" t="n"/>
      <c r="GRD2" s="95" t="n"/>
      <c r="GRE2" s="95" t="n"/>
      <c r="GRF2" s="95" t="n"/>
      <c r="GRG2" s="95" t="n"/>
      <c r="GRH2" s="95" t="n"/>
      <c r="GRI2" s="95" t="n"/>
      <c r="GRJ2" s="95" t="n"/>
      <c r="GRK2" s="95" t="n"/>
      <c r="GRL2" s="95" t="n"/>
      <c r="GRM2" s="95" t="n"/>
      <c r="GRN2" s="95" t="n"/>
      <c r="GRO2" s="95" t="n"/>
      <c r="GRP2" s="95" t="n"/>
      <c r="GRQ2" s="95" t="n"/>
      <c r="GRR2" s="95" t="n"/>
      <c r="GRS2" s="95" t="n"/>
      <c r="GRT2" s="95" t="n"/>
      <c r="GRU2" s="95" t="n"/>
      <c r="GRV2" s="95" t="n"/>
      <c r="GRW2" s="95" t="n"/>
      <c r="GRX2" s="95" t="n"/>
      <c r="GRY2" s="95" t="n"/>
      <c r="GRZ2" s="95" t="n"/>
      <c r="GSA2" s="95" t="n"/>
      <c r="GSB2" s="95" t="n"/>
      <c r="GSC2" s="95" t="n"/>
      <c r="GSD2" s="95" t="n"/>
      <c r="GSE2" s="95" t="n"/>
      <c r="GSF2" s="95" t="n"/>
      <c r="GSG2" s="95" t="n"/>
      <c r="GSH2" s="95" t="n"/>
      <c r="GSI2" s="95" t="n"/>
      <c r="GSJ2" s="95" t="n"/>
      <c r="GSK2" s="95" t="n"/>
      <c r="GSL2" s="95" t="n"/>
      <c r="GSM2" s="95" t="n"/>
      <c r="GSN2" s="95" t="n"/>
      <c r="GSO2" s="95" t="n"/>
      <c r="GSP2" s="95" t="n"/>
      <c r="GSQ2" s="95" t="n"/>
      <c r="GSR2" s="95" t="n"/>
      <c r="GSS2" s="95" t="n"/>
      <c r="GST2" s="95" t="n"/>
      <c r="GSU2" s="95" t="n"/>
      <c r="GSV2" s="95" t="n"/>
      <c r="GSW2" s="95" t="n"/>
      <c r="GSX2" s="95" t="n"/>
      <c r="GSY2" s="95" t="n"/>
      <c r="GSZ2" s="95" t="n"/>
      <c r="GTA2" s="95" t="n"/>
      <c r="GTB2" s="95" t="n"/>
      <c r="GTC2" s="95" t="n"/>
      <c r="GTD2" s="95" t="n"/>
      <c r="GTE2" s="95" t="n"/>
      <c r="GTF2" s="95" t="n"/>
      <c r="GTG2" s="95" t="n"/>
      <c r="GTH2" s="95" t="n"/>
      <c r="GTI2" s="95" t="n"/>
      <c r="GTJ2" s="95" t="n"/>
      <c r="GTK2" s="95" t="n"/>
      <c r="GTL2" s="95" t="n"/>
      <c r="GTM2" s="95" t="n"/>
      <c r="GTN2" s="95" t="n"/>
      <c r="GTO2" s="95" t="n"/>
      <c r="GTP2" s="95" t="n"/>
      <c r="GTQ2" s="95" t="n"/>
      <c r="GTR2" s="95" t="n"/>
      <c r="GTS2" s="95" t="n"/>
      <c r="GTT2" s="95" t="n"/>
      <c r="GTU2" s="95" t="n"/>
      <c r="GTV2" s="95" t="n"/>
      <c r="GTW2" s="95" t="n"/>
      <c r="GTX2" s="95" t="n"/>
      <c r="GTY2" s="95" t="n"/>
      <c r="GTZ2" s="95" t="n"/>
      <c r="GUA2" s="95" t="n"/>
      <c r="GUB2" s="95" t="n"/>
      <c r="GUC2" s="95" t="n"/>
      <c r="GUD2" s="95" t="n"/>
      <c r="GUE2" s="95" t="n"/>
      <c r="GUF2" s="95" t="n"/>
      <c r="GUG2" s="95" t="n"/>
      <c r="GUH2" s="95" t="n"/>
      <c r="GUI2" s="95" t="n"/>
      <c r="GUJ2" s="95" t="n"/>
      <c r="GUK2" s="95" t="n"/>
      <c r="GUL2" s="95" t="n"/>
      <c r="GUM2" s="95" t="n"/>
      <c r="GUN2" s="95" t="n"/>
      <c r="GUO2" s="95" t="n"/>
      <c r="GUP2" s="95" t="n"/>
      <c r="GUQ2" s="95" t="n"/>
      <c r="GUR2" s="95" t="n"/>
      <c r="GUS2" s="95" t="n"/>
      <c r="GUT2" s="95" t="n"/>
      <c r="GUU2" s="95" t="n"/>
      <c r="GUV2" s="95" t="n"/>
      <c r="GUW2" s="95" t="n"/>
      <c r="GUX2" s="95" t="n"/>
      <c r="GUY2" s="95" t="n"/>
      <c r="GUZ2" s="95" t="n"/>
      <c r="GVA2" s="95" t="n"/>
      <c r="GVB2" s="95" t="n"/>
      <c r="GVC2" s="95" t="n"/>
      <c r="GVD2" s="95" t="n"/>
      <c r="GVE2" s="95" t="n"/>
      <c r="GVF2" s="95" t="n"/>
      <c r="GVG2" s="95" t="n"/>
      <c r="GVH2" s="95" t="n"/>
      <c r="GVI2" s="95" t="n"/>
      <c r="GVJ2" s="95" t="n"/>
      <c r="GVK2" s="95" t="n"/>
      <c r="GVL2" s="95" t="n"/>
      <c r="GVM2" s="95" t="n"/>
      <c r="GVN2" s="95" t="n"/>
      <c r="GVO2" s="95" t="n"/>
      <c r="GVP2" s="95" t="n"/>
      <c r="GVQ2" s="95" t="n"/>
      <c r="GVR2" s="95" t="n"/>
      <c r="GVS2" s="95" t="n"/>
      <c r="GVT2" s="95" t="n"/>
      <c r="GVU2" s="95" t="n"/>
      <c r="GVV2" s="95" t="n"/>
      <c r="GVW2" s="95" t="n"/>
      <c r="GVX2" s="95" t="n"/>
      <c r="GVY2" s="95" t="n"/>
      <c r="GVZ2" s="95" t="n"/>
      <c r="GWA2" s="95" t="n"/>
      <c r="GWB2" s="95" t="n"/>
      <c r="GWC2" s="95" t="n"/>
      <c r="GWD2" s="95" t="n"/>
      <c r="GWE2" s="95" t="n"/>
      <c r="GWF2" s="95" t="n"/>
      <c r="GWG2" s="95" t="n"/>
      <c r="GWH2" s="95" t="n"/>
      <c r="GWI2" s="95" t="n"/>
      <c r="GWJ2" s="95" t="n"/>
      <c r="GWK2" s="95" t="n"/>
      <c r="GWL2" s="95" t="n"/>
      <c r="GWM2" s="95" t="n"/>
      <c r="GWN2" s="95" t="n"/>
      <c r="GWO2" s="95" t="n"/>
      <c r="GWP2" s="95" t="n"/>
      <c r="GWQ2" s="95" t="n"/>
      <c r="GWR2" s="95" t="n"/>
      <c r="GWS2" s="95" t="n"/>
      <c r="GWT2" s="95" t="n"/>
      <c r="GWU2" s="95" t="n"/>
      <c r="GWV2" s="95" t="n"/>
      <c r="GWW2" s="95" t="n"/>
      <c r="GWX2" s="95" t="n"/>
      <c r="GWY2" s="95" t="n"/>
      <c r="GWZ2" s="95" t="n"/>
      <c r="GXA2" s="95" t="n"/>
      <c r="GXB2" s="95" t="n"/>
      <c r="GXC2" s="95" t="n"/>
      <c r="GXD2" s="95" t="n"/>
      <c r="GXE2" s="95" t="n"/>
      <c r="GXF2" s="95" t="n"/>
      <c r="GXG2" s="95" t="n"/>
      <c r="GXH2" s="95" t="n"/>
      <c r="GXI2" s="95" t="n"/>
      <c r="GXJ2" s="95" t="n"/>
      <c r="GXK2" s="95" t="n"/>
      <c r="GXL2" s="95" t="n"/>
      <c r="GXM2" s="95" t="n"/>
      <c r="GXN2" s="95" t="n"/>
      <c r="GXO2" s="95" t="n"/>
      <c r="GXP2" s="95" t="n"/>
      <c r="GXQ2" s="95" t="n"/>
      <c r="GXR2" s="95" t="n"/>
      <c r="GXS2" s="95" t="n"/>
      <c r="GXT2" s="95" t="n"/>
      <c r="GXU2" s="95" t="n"/>
      <c r="GXV2" s="95" t="n"/>
      <c r="GXW2" s="95" t="n"/>
      <c r="GXX2" s="95" t="n"/>
      <c r="GXY2" s="95" t="n"/>
      <c r="GXZ2" s="95" t="n"/>
      <c r="GYA2" s="95" t="n"/>
      <c r="GYB2" s="95" t="n"/>
      <c r="GYC2" s="95" t="n"/>
      <c r="GYD2" s="95" t="n"/>
      <c r="GYE2" s="95" t="n"/>
      <c r="GYF2" s="95" t="n"/>
      <c r="GYG2" s="95" t="n"/>
      <c r="GYH2" s="95" t="n"/>
      <c r="GYI2" s="95" t="n"/>
      <c r="GYJ2" s="95" t="n"/>
      <c r="GYK2" s="95" t="n"/>
      <c r="GYL2" s="95" t="n"/>
      <c r="GYM2" s="95" t="n"/>
      <c r="GYN2" s="95" t="n"/>
      <c r="GYO2" s="95" t="n"/>
      <c r="GYP2" s="95" t="n"/>
      <c r="GYQ2" s="95" t="n"/>
      <c r="GYR2" s="95" t="n"/>
      <c r="GYS2" s="95" t="n"/>
      <c r="GYT2" s="95" t="n"/>
      <c r="GYU2" s="95" t="n"/>
      <c r="GYV2" s="95" t="n"/>
      <c r="GYW2" s="95" t="n"/>
      <c r="GYX2" s="95" t="n"/>
      <c r="GYY2" s="95" t="n"/>
      <c r="GYZ2" s="95" t="n"/>
      <c r="GZA2" s="95" t="n"/>
      <c r="GZB2" s="95" t="n"/>
      <c r="GZC2" s="95" t="n"/>
      <c r="GZD2" s="95" t="n"/>
      <c r="GZE2" s="95" t="n"/>
      <c r="GZF2" s="95" t="n"/>
      <c r="GZG2" s="95" t="n"/>
      <c r="GZH2" s="95" t="n"/>
      <c r="GZI2" s="95" t="n"/>
      <c r="GZJ2" s="95" t="n"/>
      <c r="GZK2" s="95" t="n"/>
      <c r="GZL2" s="95" t="n"/>
      <c r="GZM2" s="95" t="n"/>
      <c r="GZN2" s="95" t="n"/>
      <c r="GZO2" s="95" t="n"/>
      <c r="GZP2" s="95" t="n"/>
      <c r="GZQ2" s="95" t="n"/>
      <c r="GZR2" s="95" t="n"/>
      <c r="GZS2" s="95" t="n"/>
      <c r="GZT2" s="95" t="n"/>
      <c r="GZU2" s="95" t="n"/>
      <c r="GZV2" s="95" t="n"/>
      <c r="GZW2" s="95" t="n"/>
      <c r="GZX2" s="95" t="n"/>
      <c r="GZY2" s="95" t="n"/>
      <c r="GZZ2" s="95" t="n"/>
      <c r="HAA2" s="95" t="n"/>
      <c r="HAB2" s="95" t="n"/>
      <c r="HAC2" s="95" t="n"/>
      <c r="HAD2" s="95" t="n"/>
      <c r="HAE2" s="95" t="n"/>
      <c r="HAF2" s="95" t="n"/>
      <c r="HAG2" s="95" t="n"/>
      <c r="HAH2" s="95" t="n"/>
      <c r="HAI2" s="95" t="n"/>
      <c r="HAJ2" s="95" t="n"/>
      <c r="HAK2" s="95" t="n"/>
      <c r="HAL2" s="95" t="n"/>
      <c r="HAM2" s="95" t="n"/>
      <c r="HAN2" s="95" t="n"/>
      <c r="HAO2" s="95" t="n"/>
      <c r="HAP2" s="95" t="n"/>
      <c r="HAQ2" s="95" t="n"/>
      <c r="HAR2" s="95" t="n"/>
      <c r="HAS2" s="95" t="n"/>
      <c r="HAT2" s="95" t="n"/>
      <c r="HAU2" s="95" t="n"/>
      <c r="HAV2" s="95" t="n"/>
      <c r="HAW2" s="95" t="n"/>
      <c r="HAX2" s="95" t="n"/>
      <c r="HAY2" s="95" t="n"/>
      <c r="HAZ2" s="95" t="n"/>
      <c r="HBA2" s="95" t="n"/>
      <c r="HBB2" s="95" t="n"/>
      <c r="HBC2" s="95" t="n"/>
      <c r="HBD2" s="95" t="n"/>
      <c r="HBE2" s="95" t="n"/>
      <c r="HBF2" s="95" t="n"/>
      <c r="HBG2" s="95" t="n"/>
      <c r="HBH2" s="95" t="n"/>
      <c r="HBI2" s="95" t="n"/>
      <c r="HBJ2" s="95" t="n"/>
      <c r="HBK2" s="95" t="n"/>
      <c r="HBL2" s="95" t="n"/>
      <c r="HBM2" s="95" t="n"/>
      <c r="HBN2" s="95" t="n"/>
      <c r="HBO2" s="95" t="n"/>
      <c r="HBP2" s="95" t="n"/>
      <c r="HBQ2" s="95" t="n"/>
      <c r="HBR2" s="95" t="n"/>
      <c r="HBS2" s="95" t="n"/>
      <c r="HBT2" s="95" t="n"/>
      <c r="HBU2" s="95" t="n"/>
      <c r="HBV2" s="95" t="n"/>
      <c r="HBW2" s="95" t="n"/>
      <c r="HBX2" s="95" t="n"/>
      <c r="HBY2" s="95" t="n"/>
      <c r="HBZ2" s="95" t="n"/>
      <c r="HCA2" s="95" t="n"/>
      <c r="HCB2" s="95" t="n"/>
      <c r="HCC2" s="95" t="n"/>
      <c r="HCD2" s="95" t="n"/>
      <c r="HCE2" s="95" t="n"/>
      <c r="HCF2" s="95" t="n"/>
      <c r="HCG2" s="95" t="n"/>
      <c r="HCH2" s="95" t="n"/>
      <c r="HCI2" s="95" t="n"/>
      <c r="HCJ2" s="95" t="n"/>
      <c r="HCK2" s="95" t="n"/>
      <c r="HCL2" s="95" t="n"/>
      <c r="HCM2" s="95" t="n"/>
      <c r="HCN2" s="95" t="n"/>
      <c r="HCO2" s="95" t="n"/>
      <c r="HCP2" s="95" t="n"/>
      <c r="HCQ2" s="95" t="n"/>
      <c r="HCR2" s="95" t="n"/>
      <c r="HCS2" s="95" t="n"/>
      <c r="HCT2" s="95" t="n"/>
      <c r="HCU2" s="95" t="n"/>
      <c r="HCV2" s="95" t="n"/>
      <c r="HCW2" s="95" t="n"/>
      <c r="HCX2" s="95" t="n"/>
      <c r="HCY2" s="95" t="n"/>
      <c r="HCZ2" s="95" t="n"/>
      <c r="HDA2" s="95" t="n"/>
      <c r="HDB2" s="95" t="n"/>
      <c r="HDC2" s="95" t="n"/>
      <c r="HDD2" s="95" t="n"/>
      <c r="HDE2" s="95" t="n"/>
      <c r="HDF2" s="95" t="n"/>
      <c r="HDG2" s="95" t="n"/>
      <c r="HDH2" s="95" t="n"/>
      <c r="HDI2" s="95" t="n"/>
      <c r="HDJ2" s="95" t="n"/>
      <c r="HDK2" s="95" t="n"/>
      <c r="HDL2" s="95" t="n"/>
      <c r="HDM2" s="95" t="n"/>
      <c r="HDN2" s="95" t="n"/>
      <c r="HDO2" s="95" t="n"/>
      <c r="HDP2" s="95" t="n"/>
      <c r="HDQ2" s="95" t="n"/>
      <c r="HDR2" s="95" t="n"/>
      <c r="HDS2" s="95" t="n"/>
      <c r="HDT2" s="95" t="n"/>
      <c r="HDU2" s="95" t="n"/>
      <c r="HDV2" s="95" t="n"/>
      <c r="HDW2" s="95" t="n"/>
      <c r="HDX2" s="95" t="n"/>
      <c r="HDY2" s="95" t="n"/>
      <c r="HDZ2" s="95" t="n"/>
      <c r="HEA2" s="95" t="n"/>
      <c r="HEB2" s="95" t="n"/>
      <c r="HEC2" s="95" t="n"/>
      <c r="HED2" s="95" t="n"/>
      <c r="HEE2" s="95" t="n"/>
      <c r="HEF2" s="95" t="n"/>
      <c r="HEG2" s="95" t="n"/>
      <c r="HEH2" s="95" t="n"/>
      <c r="HEI2" s="95" t="n"/>
      <c r="HEJ2" s="95" t="n"/>
      <c r="HEK2" s="95" t="n"/>
      <c r="HEL2" s="95" t="n"/>
      <c r="HEM2" s="95" t="n"/>
      <c r="HEN2" s="95" t="n"/>
      <c r="HEO2" s="95" t="n"/>
      <c r="HEP2" s="95" t="n"/>
      <c r="HEQ2" s="95" t="n"/>
      <c r="HER2" s="95" t="n"/>
      <c r="HES2" s="95" t="n"/>
      <c r="HET2" s="95" t="n"/>
      <c r="HEU2" s="95" t="n"/>
      <c r="HEV2" s="95" t="n"/>
      <c r="HEW2" s="95" t="n"/>
      <c r="HEX2" s="95" t="n"/>
      <c r="HEY2" s="95" t="n"/>
      <c r="HEZ2" s="95" t="n"/>
      <c r="HFA2" s="95" t="n"/>
      <c r="HFB2" s="95" t="n"/>
      <c r="HFC2" s="95" t="n"/>
      <c r="HFD2" s="95" t="n"/>
      <c r="HFE2" s="95" t="n"/>
      <c r="HFF2" s="95" t="n"/>
      <c r="HFG2" s="95" t="n"/>
      <c r="HFH2" s="95" t="n"/>
      <c r="HFI2" s="95" t="n"/>
      <c r="HFJ2" s="95" t="n"/>
      <c r="HFK2" s="95" t="n"/>
      <c r="HFL2" s="95" t="n"/>
      <c r="HFM2" s="95" t="n"/>
      <c r="HFN2" s="95" t="n"/>
      <c r="HFO2" s="95" t="n"/>
      <c r="HFP2" s="95" t="n"/>
      <c r="HFQ2" s="95" t="n"/>
      <c r="HFR2" s="95" t="n"/>
      <c r="HFS2" s="95" t="n"/>
      <c r="HFT2" s="95" t="n"/>
      <c r="HFU2" s="95" t="n"/>
      <c r="HFV2" s="95" t="n"/>
      <c r="HFW2" s="95" t="n"/>
      <c r="HFX2" s="95" t="n"/>
      <c r="HFY2" s="95" t="n"/>
      <c r="HFZ2" s="95" t="n"/>
      <c r="HGA2" s="95" t="n"/>
      <c r="HGB2" s="95" t="n"/>
      <c r="HGC2" s="95" t="n"/>
      <c r="HGD2" s="95" t="n"/>
      <c r="HGE2" s="95" t="n"/>
      <c r="HGF2" s="95" t="n"/>
      <c r="HGG2" s="95" t="n"/>
      <c r="HGH2" s="95" t="n"/>
      <c r="HGI2" s="95" t="n"/>
      <c r="HGJ2" s="95" t="n"/>
      <c r="HGK2" s="95" t="n"/>
      <c r="HGL2" s="95" t="n"/>
      <c r="HGM2" s="95" t="n"/>
      <c r="HGN2" s="95" t="n"/>
      <c r="HGO2" s="95" t="n"/>
      <c r="HGP2" s="95" t="n"/>
      <c r="HGQ2" s="95" t="n"/>
      <c r="HGR2" s="95" t="n"/>
      <c r="HGS2" s="95" t="n"/>
      <c r="HGT2" s="95" t="n"/>
      <c r="HGU2" s="95" t="n"/>
      <c r="HGV2" s="95" t="n"/>
      <c r="HGW2" s="95" t="n"/>
      <c r="HGX2" s="95" t="n"/>
      <c r="HGY2" s="95" t="n"/>
      <c r="HGZ2" s="95" t="n"/>
      <c r="HHA2" s="95" t="n"/>
      <c r="HHB2" s="95" t="n"/>
      <c r="HHC2" s="95" t="n"/>
      <c r="HHD2" s="95" t="n"/>
      <c r="HHE2" s="95" t="n"/>
      <c r="HHF2" s="95" t="n"/>
      <c r="HHG2" s="95" t="n"/>
      <c r="HHH2" s="95" t="n"/>
      <c r="HHI2" s="95" t="n"/>
      <c r="HHJ2" s="95" t="n"/>
      <c r="HHK2" s="95" t="n"/>
      <c r="HHL2" s="95" t="n"/>
      <c r="HHM2" s="95" t="n"/>
      <c r="HHN2" s="95" t="n"/>
      <c r="HHO2" s="95" t="n"/>
      <c r="HHP2" s="95" t="n"/>
      <c r="HHQ2" s="95" t="n"/>
      <c r="HHR2" s="95" t="n"/>
      <c r="HHS2" s="95" t="n"/>
      <c r="HHT2" s="95" t="n"/>
      <c r="HHU2" s="95" t="n"/>
      <c r="HHV2" s="95" t="n"/>
      <c r="HHW2" s="95" t="n"/>
      <c r="HHX2" s="95" t="n"/>
      <c r="HHY2" s="95" t="n"/>
      <c r="HHZ2" s="95" t="n"/>
      <c r="HIA2" s="95" t="n"/>
      <c r="HIB2" s="95" t="n"/>
      <c r="HIC2" s="95" t="n"/>
      <c r="HID2" s="95" t="n"/>
      <c r="HIE2" s="95" t="n"/>
      <c r="HIF2" s="95" t="n"/>
      <c r="HIG2" s="95" t="n"/>
      <c r="HIH2" s="95" t="n"/>
      <c r="HII2" s="95" t="n"/>
      <c r="HIJ2" s="95" t="n"/>
      <c r="HIK2" s="95" t="n"/>
      <c r="HIL2" s="95" t="n"/>
      <c r="HIM2" s="95" t="n"/>
      <c r="HIN2" s="95" t="n"/>
      <c r="HIO2" s="95" t="n"/>
      <c r="HIP2" s="95" t="n"/>
      <c r="HIQ2" s="95" t="n"/>
      <c r="HIR2" s="95" t="n"/>
      <c r="HIS2" s="95" t="n"/>
      <c r="HIT2" s="95" t="n"/>
      <c r="HIU2" s="95" t="n"/>
      <c r="HIV2" s="95" t="n"/>
      <c r="HIW2" s="95" t="n"/>
      <c r="HIX2" s="95" t="n"/>
      <c r="HIY2" s="95" t="n"/>
      <c r="HIZ2" s="95" t="n"/>
      <c r="HJA2" s="95" t="n"/>
      <c r="HJB2" s="95" t="n"/>
      <c r="HJC2" s="95" t="n"/>
      <c r="HJD2" s="95" t="n"/>
      <c r="HJE2" s="95" t="n"/>
      <c r="HJF2" s="95" t="n"/>
      <c r="HJG2" s="95" t="n"/>
      <c r="HJH2" s="95" t="n"/>
      <c r="HJI2" s="95" t="n"/>
      <c r="HJJ2" s="95" t="n"/>
      <c r="HJK2" s="95" t="n"/>
      <c r="HJL2" s="95" t="n"/>
      <c r="HJM2" s="95" t="n"/>
      <c r="HJN2" s="95" t="n"/>
      <c r="HJO2" s="95" t="n"/>
      <c r="HJP2" s="95" t="n"/>
      <c r="HJQ2" s="95" t="n"/>
      <c r="HJR2" s="95" t="n"/>
      <c r="HJS2" s="95" t="n"/>
      <c r="HJT2" s="95" t="n"/>
      <c r="HJU2" s="95" t="n"/>
      <c r="HJV2" s="95" t="n"/>
      <c r="HJW2" s="95" t="n"/>
      <c r="HJX2" s="95" t="n"/>
      <c r="HJY2" s="95" t="n"/>
      <c r="HJZ2" s="95" t="n"/>
      <c r="HKA2" s="95" t="n"/>
      <c r="HKB2" s="95" t="n"/>
      <c r="HKC2" s="95" t="n"/>
      <c r="HKD2" s="95" t="n"/>
      <c r="HKE2" s="95" t="n"/>
      <c r="HKF2" s="95" t="n"/>
      <c r="HKG2" s="95" t="n"/>
      <c r="HKH2" s="95" t="n"/>
      <c r="HKI2" s="95" t="n"/>
      <c r="HKJ2" s="95" t="n"/>
      <c r="HKK2" s="95" t="n"/>
      <c r="HKL2" s="95" t="n"/>
      <c r="HKM2" s="95" t="n"/>
      <c r="HKN2" s="95" t="n"/>
      <c r="HKO2" s="95" t="n"/>
      <c r="HKP2" s="95" t="n"/>
      <c r="HKQ2" s="95" t="n"/>
      <c r="HKR2" s="95" t="n"/>
      <c r="HKS2" s="95" t="n"/>
      <c r="HKT2" s="95" t="n"/>
      <c r="HKU2" s="95" t="n"/>
      <c r="HKV2" s="95" t="n"/>
      <c r="HKW2" s="95" t="n"/>
      <c r="HKX2" s="95" t="n"/>
      <c r="HKY2" s="95" t="n"/>
      <c r="HKZ2" s="95" t="n"/>
      <c r="HLA2" s="95" t="n"/>
      <c r="HLB2" s="95" t="n"/>
      <c r="HLC2" s="95" t="n"/>
      <c r="HLD2" s="95" t="n"/>
      <c r="HLE2" s="95" t="n"/>
      <c r="HLF2" s="95" t="n"/>
      <c r="HLG2" s="95" t="n"/>
      <c r="HLH2" s="95" t="n"/>
      <c r="HLI2" s="95" t="n"/>
      <c r="HLJ2" s="95" t="n"/>
      <c r="HLK2" s="95" t="n"/>
      <c r="HLL2" s="95" t="n"/>
      <c r="HLM2" s="95" t="n"/>
      <c r="HLN2" s="95" t="n"/>
      <c r="HLO2" s="95" t="n"/>
      <c r="HLP2" s="95" t="n"/>
      <c r="HLQ2" s="95" t="n"/>
      <c r="HLR2" s="95" t="n"/>
      <c r="HLS2" s="95" t="n"/>
      <c r="HLT2" s="95" t="n"/>
      <c r="HLU2" s="95" t="n"/>
      <c r="HLV2" s="95" t="n"/>
      <c r="HLW2" s="95" t="n"/>
      <c r="HLX2" s="95" t="n"/>
      <c r="HLY2" s="95" t="n"/>
      <c r="HLZ2" s="95" t="n"/>
      <c r="HMA2" s="95" t="n"/>
      <c r="HMB2" s="95" t="n"/>
      <c r="HMC2" s="95" t="n"/>
      <c r="HMD2" s="95" t="n"/>
      <c r="HME2" s="95" t="n"/>
      <c r="HMF2" s="95" t="n"/>
      <c r="HMG2" s="95" t="n"/>
      <c r="HMH2" s="95" t="n"/>
      <c r="HMI2" s="95" t="n"/>
      <c r="HMJ2" s="95" t="n"/>
      <c r="HMK2" s="95" t="n"/>
      <c r="HML2" s="95" t="n"/>
      <c r="HMM2" s="95" t="n"/>
      <c r="HMN2" s="95" t="n"/>
      <c r="HMO2" s="95" t="n"/>
      <c r="HMP2" s="95" t="n"/>
      <c r="HMQ2" s="95" t="n"/>
      <c r="HMR2" s="95" t="n"/>
      <c r="HMS2" s="95" t="n"/>
      <c r="HMT2" s="95" t="n"/>
      <c r="HMU2" s="95" t="n"/>
      <c r="HMV2" s="95" t="n"/>
      <c r="HMW2" s="95" t="n"/>
      <c r="HMX2" s="95" t="n"/>
      <c r="HMY2" s="95" t="n"/>
      <c r="HMZ2" s="95" t="n"/>
      <c r="HNA2" s="95" t="n"/>
      <c r="HNB2" s="95" t="n"/>
      <c r="HNC2" s="95" t="n"/>
      <c r="HND2" s="95" t="n"/>
      <c r="HNE2" s="95" t="n"/>
      <c r="HNF2" s="95" t="n"/>
      <c r="HNG2" s="95" t="n"/>
      <c r="HNH2" s="95" t="n"/>
      <c r="HNI2" s="95" t="n"/>
      <c r="HNJ2" s="95" t="n"/>
      <c r="HNK2" s="95" t="n"/>
      <c r="HNL2" s="95" t="n"/>
      <c r="HNM2" s="95" t="n"/>
      <c r="HNN2" s="95" t="n"/>
      <c r="HNO2" s="95" t="n"/>
      <c r="HNP2" s="95" t="n"/>
      <c r="HNQ2" s="95" t="n"/>
      <c r="HNR2" s="95" t="n"/>
      <c r="HNS2" s="95" t="n"/>
      <c r="HNT2" s="95" t="n"/>
      <c r="HNU2" s="95" t="n"/>
      <c r="HNV2" s="95" t="n"/>
      <c r="HNW2" s="95" t="n"/>
      <c r="HNX2" s="95" t="n"/>
      <c r="HNY2" s="95" t="n"/>
      <c r="HNZ2" s="95" t="n"/>
      <c r="HOA2" s="95" t="n"/>
      <c r="HOB2" s="95" t="n"/>
      <c r="HOC2" s="95" t="n"/>
      <c r="HOD2" s="95" t="n"/>
      <c r="HOE2" s="95" t="n"/>
      <c r="HOF2" s="95" t="n"/>
      <c r="HOG2" s="95" t="n"/>
      <c r="HOH2" s="95" t="n"/>
      <c r="HOI2" s="95" t="n"/>
      <c r="HOJ2" s="95" t="n"/>
      <c r="HOK2" s="95" t="n"/>
      <c r="HOL2" s="95" t="n"/>
      <c r="HOM2" s="95" t="n"/>
      <c r="HON2" s="95" t="n"/>
      <c r="HOO2" s="95" t="n"/>
      <c r="HOP2" s="95" t="n"/>
      <c r="HOQ2" s="95" t="n"/>
      <c r="HOR2" s="95" t="n"/>
      <c r="HOS2" s="95" t="n"/>
      <c r="HOT2" s="95" t="n"/>
      <c r="HOU2" s="95" t="n"/>
      <c r="HOV2" s="95" t="n"/>
      <c r="HOW2" s="95" t="n"/>
      <c r="HOX2" s="95" t="n"/>
      <c r="HOY2" s="95" t="n"/>
      <c r="HOZ2" s="95" t="n"/>
      <c r="HPA2" s="95" t="n"/>
      <c r="HPB2" s="95" t="n"/>
      <c r="HPC2" s="95" t="n"/>
      <c r="HPD2" s="95" t="n"/>
      <c r="HPE2" s="95" t="n"/>
      <c r="HPF2" s="95" t="n"/>
      <c r="HPG2" s="95" t="n"/>
      <c r="HPH2" s="95" t="n"/>
      <c r="HPI2" s="95" t="n"/>
      <c r="HPJ2" s="95" t="n"/>
      <c r="HPK2" s="95" t="n"/>
      <c r="HPL2" s="95" t="n"/>
      <c r="HPM2" s="95" t="n"/>
      <c r="HPN2" s="95" t="n"/>
      <c r="HPO2" s="95" t="n"/>
      <c r="HPP2" s="95" t="n"/>
      <c r="HPQ2" s="95" t="n"/>
      <c r="HPR2" s="95" t="n"/>
      <c r="HPS2" s="95" t="n"/>
      <c r="HPT2" s="95" t="n"/>
      <c r="HPU2" s="95" t="n"/>
      <c r="HPV2" s="95" t="n"/>
      <c r="HPW2" s="95" t="n"/>
      <c r="HPX2" s="95" t="n"/>
      <c r="HPY2" s="95" t="n"/>
      <c r="HPZ2" s="95" t="n"/>
      <c r="HQA2" s="95" t="n"/>
      <c r="HQB2" s="95" t="n"/>
      <c r="HQC2" s="95" t="n"/>
      <c r="HQD2" s="95" t="n"/>
      <c r="HQE2" s="95" t="n"/>
      <c r="HQF2" s="95" t="n"/>
      <c r="HQG2" s="95" t="n"/>
      <c r="HQH2" s="95" t="n"/>
      <c r="HQI2" s="95" t="n"/>
      <c r="HQJ2" s="95" t="n"/>
      <c r="HQK2" s="95" t="n"/>
      <c r="HQL2" s="95" t="n"/>
      <c r="HQM2" s="95" t="n"/>
      <c r="HQN2" s="95" t="n"/>
      <c r="HQO2" s="95" t="n"/>
      <c r="HQP2" s="95" t="n"/>
      <c r="HQQ2" s="95" t="n"/>
      <c r="HQR2" s="95" t="n"/>
      <c r="HQS2" s="95" t="n"/>
      <c r="HQT2" s="95" t="n"/>
      <c r="HQU2" s="95" t="n"/>
      <c r="HQV2" s="95" t="n"/>
      <c r="HQW2" s="95" t="n"/>
      <c r="HQX2" s="95" t="n"/>
      <c r="HQY2" s="95" t="n"/>
      <c r="HQZ2" s="95" t="n"/>
      <c r="HRA2" s="95" t="n"/>
      <c r="HRB2" s="95" t="n"/>
      <c r="HRC2" s="95" t="n"/>
      <c r="HRD2" s="95" t="n"/>
      <c r="HRE2" s="95" t="n"/>
      <c r="HRF2" s="95" t="n"/>
      <c r="HRG2" s="95" t="n"/>
      <c r="HRH2" s="95" t="n"/>
      <c r="HRI2" s="95" t="n"/>
      <c r="HRJ2" s="95" t="n"/>
      <c r="HRK2" s="95" t="n"/>
      <c r="HRL2" s="95" t="n"/>
      <c r="HRM2" s="95" t="n"/>
      <c r="HRN2" s="95" t="n"/>
      <c r="HRO2" s="95" t="n"/>
      <c r="HRP2" s="95" t="n"/>
      <c r="HRQ2" s="95" t="n"/>
      <c r="HRR2" s="95" t="n"/>
      <c r="HRS2" s="95" t="n"/>
      <c r="HRT2" s="95" t="n"/>
      <c r="HRU2" s="95" t="n"/>
      <c r="HRV2" s="95" t="n"/>
      <c r="HRW2" s="95" t="n"/>
      <c r="HRX2" s="95" t="n"/>
      <c r="HRY2" s="95" t="n"/>
      <c r="HRZ2" s="95" t="n"/>
      <c r="HSA2" s="95" t="n"/>
      <c r="HSB2" s="95" t="n"/>
      <c r="HSC2" s="95" t="n"/>
      <c r="HSD2" s="95" t="n"/>
      <c r="HSE2" s="95" t="n"/>
      <c r="HSF2" s="95" t="n"/>
      <c r="HSG2" s="95" t="n"/>
      <c r="HSH2" s="95" t="n"/>
      <c r="HSI2" s="95" t="n"/>
      <c r="HSJ2" s="95" t="n"/>
      <c r="HSK2" s="95" t="n"/>
      <c r="HSL2" s="95" t="n"/>
      <c r="HSM2" s="95" t="n"/>
      <c r="HSN2" s="95" t="n"/>
      <c r="HSO2" s="95" t="n"/>
      <c r="HSP2" s="95" t="n"/>
      <c r="HSQ2" s="95" t="n"/>
      <c r="HSR2" s="95" t="n"/>
      <c r="HSS2" s="95" t="n"/>
      <c r="HST2" s="95" t="n"/>
      <c r="HSU2" s="95" t="n"/>
      <c r="HSV2" s="95" t="n"/>
      <c r="HSW2" s="95" t="n"/>
      <c r="HSX2" s="95" t="n"/>
      <c r="HSY2" s="95" t="n"/>
      <c r="HSZ2" s="95" t="n"/>
      <c r="HTA2" s="95" t="n"/>
      <c r="HTB2" s="95" t="n"/>
      <c r="HTC2" s="95" t="n"/>
      <c r="HTD2" s="95" t="n"/>
      <c r="HTE2" s="95" t="n"/>
      <c r="HTF2" s="95" t="n"/>
      <c r="HTG2" s="95" t="n"/>
      <c r="HTH2" s="95" t="n"/>
      <c r="HTI2" s="95" t="n"/>
      <c r="HTJ2" s="95" t="n"/>
      <c r="HTK2" s="95" t="n"/>
      <c r="HTL2" s="95" t="n"/>
      <c r="HTM2" s="95" t="n"/>
      <c r="HTN2" s="95" t="n"/>
      <c r="HTO2" s="95" t="n"/>
      <c r="HTP2" s="95" t="n"/>
      <c r="HTQ2" s="95" t="n"/>
      <c r="HTR2" s="95" t="n"/>
      <c r="HTS2" s="95" t="n"/>
      <c r="HTT2" s="95" t="n"/>
      <c r="HTU2" s="95" t="n"/>
      <c r="HTV2" s="95" t="n"/>
      <c r="HTW2" s="95" t="n"/>
      <c r="HTX2" s="95" t="n"/>
      <c r="HTY2" s="95" t="n"/>
      <c r="HTZ2" s="95" t="n"/>
      <c r="HUA2" s="95" t="n"/>
      <c r="HUB2" s="95" t="n"/>
      <c r="HUC2" s="95" t="n"/>
      <c r="HUD2" s="95" t="n"/>
      <c r="HUE2" s="95" t="n"/>
      <c r="HUF2" s="95" t="n"/>
      <c r="HUG2" s="95" t="n"/>
      <c r="HUH2" s="95" t="n"/>
      <c r="HUI2" s="95" t="n"/>
      <c r="HUJ2" s="95" t="n"/>
      <c r="HUK2" s="95" t="n"/>
      <c r="HUL2" s="95" t="n"/>
      <c r="HUM2" s="95" t="n"/>
      <c r="HUN2" s="95" t="n"/>
      <c r="HUO2" s="95" t="n"/>
      <c r="HUP2" s="95" t="n"/>
      <c r="HUQ2" s="95" t="n"/>
      <c r="HUR2" s="95" t="n"/>
      <c r="HUS2" s="95" t="n"/>
      <c r="HUT2" s="95" t="n"/>
      <c r="HUU2" s="95" t="n"/>
      <c r="HUV2" s="95" t="n"/>
      <c r="HUW2" s="95" t="n"/>
      <c r="HUX2" s="95" t="n"/>
      <c r="HUY2" s="95" t="n"/>
      <c r="HUZ2" s="95" t="n"/>
      <c r="HVA2" s="95" t="n"/>
      <c r="HVB2" s="95" t="n"/>
      <c r="HVC2" s="95" t="n"/>
      <c r="HVD2" s="95" t="n"/>
      <c r="HVE2" s="95" t="n"/>
      <c r="HVF2" s="95" t="n"/>
      <c r="HVG2" s="95" t="n"/>
      <c r="HVH2" s="95" t="n"/>
      <c r="HVI2" s="95" t="n"/>
      <c r="HVJ2" s="95" t="n"/>
      <c r="HVK2" s="95" t="n"/>
      <c r="HVL2" s="95" t="n"/>
      <c r="HVM2" s="95" t="n"/>
      <c r="HVN2" s="95" t="n"/>
      <c r="HVO2" s="95" t="n"/>
      <c r="HVP2" s="95" t="n"/>
      <c r="HVQ2" s="95" t="n"/>
      <c r="HVR2" s="95" t="n"/>
      <c r="HVS2" s="95" t="n"/>
      <c r="HVT2" s="95" t="n"/>
      <c r="HVU2" s="95" t="n"/>
      <c r="HVV2" s="95" t="n"/>
      <c r="HVW2" s="95" t="n"/>
      <c r="HVX2" s="95" t="n"/>
      <c r="HVY2" s="95" t="n"/>
      <c r="HVZ2" s="95" t="n"/>
      <c r="HWA2" s="95" t="n"/>
      <c r="HWB2" s="95" t="n"/>
      <c r="HWC2" s="95" t="n"/>
      <c r="HWD2" s="95" t="n"/>
      <c r="HWE2" s="95" t="n"/>
      <c r="HWF2" s="95" t="n"/>
      <c r="HWG2" s="95" t="n"/>
      <c r="HWH2" s="95" t="n"/>
      <c r="HWI2" s="95" t="n"/>
      <c r="HWJ2" s="95" t="n"/>
      <c r="HWK2" s="95" t="n"/>
      <c r="HWL2" s="95" t="n"/>
      <c r="HWM2" s="95" t="n"/>
      <c r="HWN2" s="95" t="n"/>
      <c r="HWO2" s="95" t="n"/>
      <c r="HWP2" s="95" t="n"/>
      <c r="HWQ2" s="95" t="n"/>
      <c r="HWR2" s="95" t="n"/>
      <c r="HWS2" s="95" t="n"/>
      <c r="HWT2" s="95" t="n"/>
      <c r="HWU2" s="95" t="n"/>
      <c r="HWV2" s="95" t="n"/>
      <c r="HWW2" s="95" t="n"/>
      <c r="HWX2" s="95" t="n"/>
      <c r="HWY2" s="95" t="n"/>
      <c r="HWZ2" s="95" t="n"/>
      <c r="HXA2" s="95" t="n"/>
      <c r="HXB2" s="95" t="n"/>
      <c r="HXC2" s="95" t="n"/>
      <c r="HXD2" s="95" t="n"/>
      <c r="HXE2" s="95" t="n"/>
      <c r="HXF2" s="95" t="n"/>
      <c r="HXG2" s="95" t="n"/>
      <c r="HXH2" s="95" t="n"/>
      <c r="HXI2" s="95" t="n"/>
      <c r="HXJ2" s="95" t="n"/>
      <c r="HXK2" s="95" t="n"/>
      <c r="HXL2" s="95" t="n"/>
      <c r="HXM2" s="95" t="n"/>
      <c r="HXN2" s="95" t="n"/>
      <c r="HXO2" s="95" t="n"/>
      <c r="HXP2" s="95" t="n"/>
      <c r="HXQ2" s="95" t="n"/>
      <c r="HXR2" s="95" t="n"/>
      <c r="HXS2" s="95" t="n"/>
      <c r="HXT2" s="95" t="n"/>
      <c r="HXU2" s="95" t="n"/>
      <c r="HXV2" s="95" t="n"/>
      <c r="HXW2" s="95" t="n"/>
      <c r="HXX2" s="95" t="n"/>
      <c r="HXY2" s="95" t="n"/>
      <c r="HXZ2" s="95" t="n"/>
      <c r="HYA2" s="95" t="n"/>
      <c r="HYB2" s="95" t="n"/>
      <c r="HYC2" s="95" t="n"/>
      <c r="HYD2" s="95" t="n"/>
      <c r="HYE2" s="95" t="n"/>
      <c r="HYF2" s="95" t="n"/>
      <c r="HYG2" s="95" t="n"/>
      <c r="HYH2" s="95" t="n"/>
      <c r="HYI2" s="95" t="n"/>
      <c r="HYJ2" s="95" t="n"/>
      <c r="HYK2" s="95" t="n"/>
      <c r="HYL2" s="95" t="n"/>
      <c r="HYM2" s="95" t="n"/>
      <c r="HYN2" s="95" t="n"/>
      <c r="HYO2" s="95" t="n"/>
      <c r="HYP2" s="95" t="n"/>
      <c r="HYQ2" s="95" t="n"/>
      <c r="HYR2" s="95" t="n"/>
      <c r="HYS2" s="95" t="n"/>
      <c r="HYT2" s="95" t="n"/>
      <c r="HYU2" s="95" t="n"/>
      <c r="HYV2" s="95" t="n"/>
      <c r="HYW2" s="95" t="n"/>
      <c r="HYX2" s="95" t="n"/>
      <c r="HYY2" s="95" t="n"/>
      <c r="HYZ2" s="95" t="n"/>
      <c r="HZA2" s="95" t="n"/>
      <c r="HZB2" s="95" t="n"/>
      <c r="HZC2" s="95" t="n"/>
      <c r="HZD2" s="95" t="n"/>
      <c r="HZE2" s="95" t="n"/>
      <c r="HZF2" s="95" t="n"/>
      <c r="HZG2" s="95" t="n"/>
      <c r="HZH2" s="95" t="n"/>
      <c r="HZI2" s="95" t="n"/>
      <c r="HZJ2" s="95" t="n"/>
      <c r="HZK2" s="95" t="n"/>
      <c r="HZL2" s="95" t="n"/>
      <c r="HZM2" s="95" t="n"/>
      <c r="HZN2" s="95" t="n"/>
      <c r="HZO2" s="95" t="n"/>
      <c r="HZP2" s="95" t="n"/>
      <c r="HZQ2" s="95" t="n"/>
      <c r="HZR2" s="95" t="n"/>
      <c r="HZS2" s="95" t="n"/>
      <c r="HZT2" s="95" t="n"/>
      <c r="HZU2" s="95" t="n"/>
      <c r="HZV2" s="95" t="n"/>
      <c r="HZW2" s="95" t="n"/>
      <c r="HZX2" s="95" t="n"/>
      <c r="HZY2" s="95" t="n"/>
      <c r="HZZ2" s="95" t="n"/>
      <c r="IAA2" s="95" t="n"/>
      <c r="IAB2" s="95" t="n"/>
      <c r="IAC2" s="95" t="n"/>
      <c r="IAD2" s="95" t="n"/>
      <c r="IAE2" s="95" t="n"/>
      <c r="IAF2" s="95" t="n"/>
      <c r="IAG2" s="95" t="n"/>
      <c r="IAH2" s="95" t="n"/>
      <c r="IAI2" s="95" t="n"/>
      <c r="IAJ2" s="95" t="n"/>
      <c r="IAK2" s="95" t="n"/>
      <c r="IAL2" s="95" t="n"/>
      <c r="IAM2" s="95" t="n"/>
      <c r="IAN2" s="95" t="n"/>
      <c r="IAO2" s="95" t="n"/>
      <c r="IAP2" s="95" t="n"/>
      <c r="IAQ2" s="95" t="n"/>
      <c r="IAR2" s="95" t="n"/>
      <c r="IAS2" s="95" t="n"/>
      <c r="IAT2" s="95" t="n"/>
      <c r="IAU2" s="95" t="n"/>
      <c r="IAV2" s="95" t="n"/>
      <c r="IAW2" s="95" t="n"/>
      <c r="IAX2" s="95" t="n"/>
      <c r="IAY2" s="95" t="n"/>
      <c r="IAZ2" s="95" t="n"/>
      <c r="IBA2" s="95" t="n"/>
      <c r="IBB2" s="95" t="n"/>
      <c r="IBC2" s="95" t="n"/>
      <c r="IBD2" s="95" t="n"/>
      <c r="IBE2" s="95" t="n"/>
      <c r="IBF2" s="95" t="n"/>
      <c r="IBG2" s="95" t="n"/>
      <c r="IBH2" s="95" t="n"/>
      <c r="IBI2" s="95" t="n"/>
      <c r="IBJ2" s="95" t="n"/>
      <c r="IBK2" s="95" t="n"/>
      <c r="IBL2" s="95" t="n"/>
      <c r="IBM2" s="95" t="n"/>
      <c r="IBN2" s="95" t="n"/>
      <c r="IBO2" s="95" t="n"/>
      <c r="IBP2" s="95" t="n"/>
      <c r="IBQ2" s="95" t="n"/>
      <c r="IBR2" s="95" t="n"/>
      <c r="IBS2" s="95" t="n"/>
      <c r="IBT2" s="95" t="n"/>
      <c r="IBU2" s="95" t="n"/>
      <c r="IBV2" s="95" t="n"/>
      <c r="IBW2" s="95" t="n"/>
      <c r="IBX2" s="95" t="n"/>
      <c r="IBY2" s="95" t="n"/>
      <c r="IBZ2" s="95" t="n"/>
      <c r="ICA2" s="95" t="n"/>
      <c r="ICB2" s="95" t="n"/>
      <c r="ICC2" s="95" t="n"/>
      <c r="ICD2" s="95" t="n"/>
      <c r="ICE2" s="95" t="n"/>
      <c r="ICF2" s="95" t="n"/>
      <c r="ICG2" s="95" t="n"/>
      <c r="ICH2" s="95" t="n"/>
      <c r="ICI2" s="95" t="n"/>
      <c r="ICJ2" s="95" t="n"/>
      <c r="ICK2" s="95" t="n"/>
      <c r="ICL2" s="95" t="n"/>
      <c r="ICM2" s="95" t="n"/>
      <c r="ICN2" s="95" t="n"/>
      <c r="ICO2" s="95" t="n"/>
      <c r="ICP2" s="95" t="n"/>
      <c r="ICQ2" s="95" t="n"/>
      <c r="ICR2" s="95" t="n"/>
      <c r="ICS2" s="95" t="n"/>
      <c r="ICT2" s="95" t="n"/>
      <c r="ICU2" s="95" t="n"/>
      <c r="ICV2" s="95" t="n"/>
      <c r="ICW2" s="95" t="n"/>
      <c r="ICX2" s="95" t="n"/>
      <c r="ICY2" s="95" t="n"/>
      <c r="ICZ2" s="95" t="n"/>
      <c r="IDA2" s="95" t="n"/>
      <c r="IDB2" s="95" t="n"/>
      <c r="IDC2" s="95" t="n"/>
      <c r="IDD2" s="95" t="n"/>
      <c r="IDE2" s="95" t="n"/>
      <c r="IDF2" s="95" t="n"/>
      <c r="IDG2" s="95" t="n"/>
      <c r="IDH2" s="95" t="n"/>
      <c r="IDI2" s="95" t="n"/>
      <c r="IDJ2" s="95" t="n"/>
      <c r="IDK2" s="95" t="n"/>
      <c r="IDL2" s="95" t="n"/>
      <c r="IDM2" s="95" t="n"/>
      <c r="IDN2" s="95" t="n"/>
      <c r="IDO2" s="95" t="n"/>
      <c r="IDP2" s="95" t="n"/>
      <c r="IDQ2" s="95" t="n"/>
      <c r="IDR2" s="95" t="n"/>
      <c r="IDS2" s="95" t="n"/>
      <c r="IDT2" s="95" t="n"/>
      <c r="IDU2" s="95" t="n"/>
      <c r="IDV2" s="95" t="n"/>
      <c r="IDW2" s="95" t="n"/>
      <c r="IDX2" s="95" t="n"/>
      <c r="IDY2" s="95" t="n"/>
      <c r="IDZ2" s="95" t="n"/>
      <c r="IEA2" s="95" t="n"/>
      <c r="IEB2" s="95" t="n"/>
      <c r="IEC2" s="95" t="n"/>
      <c r="IED2" s="95" t="n"/>
      <c r="IEE2" s="95" t="n"/>
      <c r="IEF2" s="95" t="n"/>
      <c r="IEG2" s="95" t="n"/>
      <c r="IEH2" s="95" t="n"/>
      <c r="IEI2" s="95" t="n"/>
      <c r="IEJ2" s="95" t="n"/>
      <c r="IEK2" s="95" t="n"/>
      <c r="IEL2" s="95" t="n"/>
      <c r="IEM2" s="95" t="n"/>
      <c r="IEN2" s="95" t="n"/>
      <c r="IEO2" s="95" t="n"/>
      <c r="IEP2" s="95" t="n"/>
      <c r="IEQ2" s="95" t="n"/>
      <c r="IER2" s="95" t="n"/>
      <c r="IES2" s="95" t="n"/>
      <c r="IET2" s="95" t="n"/>
      <c r="IEU2" s="95" t="n"/>
      <c r="IEV2" s="95" t="n"/>
      <c r="IEW2" s="95" t="n"/>
      <c r="IEX2" s="95" t="n"/>
      <c r="IEY2" s="95" t="n"/>
      <c r="IEZ2" s="95" t="n"/>
      <c r="IFA2" s="95" t="n"/>
      <c r="IFB2" s="95" t="n"/>
      <c r="IFC2" s="95" t="n"/>
      <c r="IFD2" s="95" t="n"/>
      <c r="IFE2" s="95" t="n"/>
      <c r="IFF2" s="95" t="n"/>
      <c r="IFG2" s="95" t="n"/>
      <c r="IFH2" s="95" t="n"/>
      <c r="IFI2" s="95" t="n"/>
      <c r="IFJ2" s="95" t="n"/>
      <c r="IFK2" s="95" t="n"/>
      <c r="IFL2" s="95" t="n"/>
      <c r="IFM2" s="95" t="n"/>
      <c r="IFN2" s="95" t="n"/>
      <c r="IFO2" s="95" t="n"/>
      <c r="IFP2" s="95" t="n"/>
      <c r="IFQ2" s="95" t="n"/>
      <c r="IFR2" s="95" t="n"/>
      <c r="IFS2" s="95" t="n"/>
      <c r="IFT2" s="95" t="n"/>
      <c r="IFU2" s="95" t="n"/>
      <c r="IFV2" s="95" t="n"/>
      <c r="IFW2" s="95" t="n"/>
      <c r="IFX2" s="95" t="n"/>
      <c r="IFY2" s="95" t="n"/>
      <c r="IFZ2" s="95" t="n"/>
      <c r="IGA2" s="95" t="n"/>
      <c r="IGB2" s="95" t="n"/>
      <c r="IGC2" s="95" t="n"/>
      <c r="IGD2" s="95" t="n"/>
      <c r="IGE2" s="95" t="n"/>
      <c r="IGF2" s="95" t="n"/>
      <c r="IGG2" s="95" t="n"/>
      <c r="IGH2" s="95" t="n"/>
      <c r="IGI2" s="95" t="n"/>
      <c r="IGJ2" s="95" t="n"/>
      <c r="IGK2" s="95" t="n"/>
      <c r="IGL2" s="95" t="n"/>
      <c r="IGM2" s="95" t="n"/>
      <c r="IGN2" s="95" t="n"/>
      <c r="IGO2" s="95" t="n"/>
      <c r="IGP2" s="95" t="n"/>
      <c r="IGQ2" s="95" t="n"/>
      <c r="IGR2" s="95" t="n"/>
      <c r="IGS2" s="95" t="n"/>
      <c r="IGT2" s="95" t="n"/>
      <c r="IGU2" s="95" t="n"/>
      <c r="IGV2" s="95" t="n"/>
      <c r="IGW2" s="95" t="n"/>
      <c r="IGX2" s="95" t="n"/>
      <c r="IGY2" s="95" t="n"/>
      <c r="IGZ2" s="95" t="n"/>
      <c r="IHA2" s="95" t="n"/>
      <c r="IHB2" s="95" t="n"/>
      <c r="IHC2" s="95" t="n"/>
      <c r="IHD2" s="95" t="n"/>
      <c r="IHE2" s="95" t="n"/>
      <c r="IHF2" s="95" t="n"/>
      <c r="IHG2" s="95" t="n"/>
      <c r="IHH2" s="95" t="n"/>
      <c r="IHI2" s="95" t="n"/>
      <c r="IHJ2" s="95" t="n"/>
      <c r="IHK2" s="95" t="n"/>
      <c r="IHL2" s="95" t="n"/>
      <c r="IHM2" s="95" t="n"/>
      <c r="IHN2" s="95" t="n"/>
      <c r="IHO2" s="95" t="n"/>
      <c r="IHP2" s="95" t="n"/>
      <c r="IHQ2" s="95" t="n"/>
      <c r="IHR2" s="95" t="n"/>
      <c r="IHS2" s="95" t="n"/>
      <c r="IHT2" s="95" t="n"/>
      <c r="IHU2" s="95" t="n"/>
      <c r="IHV2" s="95" t="n"/>
      <c r="IHW2" s="95" t="n"/>
      <c r="IHX2" s="95" t="n"/>
      <c r="IHY2" s="95" t="n"/>
      <c r="IHZ2" s="95" t="n"/>
      <c r="IIA2" s="95" t="n"/>
      <c r="IIB2" s="95" t="n"/>
      <c r="IIC2" s="95" t="n"/>
      <c r="IID2" s="95" t="n"/>
      <c r="IIE2" s="95" t="n"/>
      <c r="IIF2" s="95" t="n"/>
      <c r="IIG2" s="95" t="n"/>
      <c r="IIH2" s="95" t="n"/>
      <c r="III2" s="95" t="n"/>
      <c r="IIJ2" s="95" t="n"/>
      <c r="IIK2" s="95" t="n"/>
      <c r="IIL2" s="95" t="n"/>
      <c r="IIM2" s="95" t="n"/>
      <c r="IIN2" s="95" t="n"/>
      <c r="IIO2" s="95" t="n"/>
      <c r="IIP2" s="95" t="n"/>
      <c r="IIQ2" s="95" t="n"/>
      <c r="IIR2" s="95" t="n"/>
      <c r="IIS2" s="95" t="n"/>
      <c r="IIT2" s="95" t="n"/>
      <c r="IIU2" s="95" t="n"/>
      <c r="IIV2" s="95" t="n"/>
      <c r="IIW2" s="95" t="n"/>
      <c r="IIX2" s="95" t="n"/>
      <c r="IIY2" s="95" t="n"/>
      <c r="IIZ2" s="95" t="n"/>
      <c r="IJA2" s="95" t="n"/>
      <c r="IJB2" s="95" t="n"/>
      <c r="IJC2" s="95" t="n"/>
      <c r="IJD2" s="95" t="n"/>
      <c r="IJE2" s="95" t="n"/>
      <c r="IJF2" s="95" t="n"/>
      <c r="IJG2" s="95" t="n"/>
      <c r="IJH2" s="95" t="n"/>
      <c r="IJI2" s="95" t="n"/>
      <c r="IJJ2" s="95" t="n"/>
      <c r="IJK2" s="95" t="n"/>
      <c r="IJL2" s="95" t="n"/>
      <c r="IJM2" s="95" t="n"/>
      <c r="IJN2" s="95" t="n"/>
      <c r="IJO2" s="95" t="n"/>
      <c r="IJP2" s="95" t="n"/>
      <c r="IJQ2" s="95" t="n"/>
      <c r="IJR2" s="95" t="n"/>
      <c r="IJS2" s="95" t="n"/>
      <c r="IJT2" s="95" t="n"/>
      <c r="IJU2" s="95" t="n"/>
      <c r="IJV2" s="95" t="n"/>
      <c r="IJW2" s="95" t="n"/>
      <c r="IJX2" s="95" t="n"/>
      <c r="IJY2" s="95" t="n"/>
      <c r="IJZ2" s="95" t="n"/>
      <c r="IKA2" s="95" t="n"/>
      <c r="IKB2" s="95" t="n"/>
      <c r="IKC2" s="95" t="n"/>
      <c r="IKD2" s="95" t="n"/>
      <c r="IKE2" s="95" t="n"/>
      <c r="IKF2" s="95" t="n"/>
      <c r="IKG2" s="95" t="n"/>
      <c r="IKH2" s="95" t="n"/>
      <c r="IKI2" s="95" t="n"/>
      <c r="IKJ2" s="95" t="n"/>
      <c r="IKK2" s="95" t="n"/>
      <c r="IKL2" s="95" t="n"/>
      <c r="IKM2" s="95" t="n"/>
      <c r="IKN2" s="95" t="n"/>
      <c r="IKO2" s="95" t="n"/>
      <c r="IKP2" s="95" t="n"/>
      <c r="IKQ2" s="95" t="n"/>
      <c r="IKR2" s="95" t="n"/>
      <c r="IKS2" s="95" t="n"/>
      <c r="IKT2" s="95" t="n"/>
      <c r="IKU2" s="95" t="n"/>
      <c r="IKV2" s="95" t="n"/>
      <c r="IKW2" s="95" t="n"/>
      <c r="IKX2" s="95" t="n"/>
      <c r="IKY2" s="95" t="n"/>
      <c r="IKZ2" s="95" t="n"/>
      <c r="ILA2" s="95" t="n"/>
      <c r="ILB2" s="95" t="n"/>
      <c r="ILC2" s="95" t="n"/>
      <c r="ILD2" s="95" t="n"/>
      <c r="ILE2" s="95" t="n"/>
      <c r="ILF2" s="95" t="n"/>
      <c r="ILG2" s="95" t="n"/>
      <c r="ILH2" s="95" t="n"/>
      <c r="ILI2" s="95" t="n"/>
      <c r="ILJ2" s="95" t="n"/>
      <c r="ILK2" s="95" t="n"/>
      <c r="ILL2" s="95" t="n"/>
      <c r="ILM2" s="95" t="n"/>
      <c r="ILN2" s="95" t="n"/>
      <c r="ILO2" s="95" t="n"/>
      <c r="ILP2" s="95" t="n"/>
      <c r="ILQ2" s="95" t="n"/>
      <c r="ILR2" s="95" t="n"/>
      <c r="ILS2" s="95" t="n"/>
      <c r="ILT2" s="95" t="n"/>
      <c r="ILU2" s="95" t="n"/>
      <c r="ILV2" s="95" t="n"/>
      <c r="ILW2" s="95" t="n"/>
      <c r="ILX2" s="95" t="n"/>
      <c r="ILY2" s="95" t="n"/>
      <c r="ILZ2" s="95" t="n"/>
      <c r="IMA2" s="95" t="n"/>
      <c r="IMB2" s="95" t="n"/>
      <c r="IMC2" s="95" t="n"/>
      <c r="IMD2" s="95" t="n"/>
      <c r="IME2" s="95" t="n"/>
      <c r="IMF2" s="95" t="n"/>
      <c r="IMG2" s="95" t="n"/>
      <c r="IMH2" s="95" t="n"/>
      <c r="IMI2" s="95" t="n"/>
      <c r="IMJ2" s="95" t="n"/>
      <c r="IMK2" s="95" t="n"/>
      <c r="IML2" s="95" t="n"/>
      <c r="IMM2" s="95" t="n"/>
      <c r="IMN2" s="95" t="n"/>
      <c r="IMO2" s="95" t="n"/>
      <c r="IMP2" s="95" t="n"/>
      <c r="IMQ2" s="95" t="n"/>
      <c r="IMR2" s="95" t="n"/>
      <c r="IMS2" s="95" t="n"/>
      <c r="IMT2" s="95" t="n"/>
      <c r="IMU2" s="95" t="n"/>
      <c r="IMV2" s="95" t="n"/>
      <c r="IMW2" s="95" t="n"/>
      <c r="IMX2" s="95" t="n"/>
      <c r="IMY2" s="95" t="n"/>
      <c r="IMZ2" s="95" t="n"/>
      <c r="INA2" s="95" t="n"/>
      <c r="INB2" s="95" t="n"/>
      <c r="INC2" s="95" t="n"/>
      <c r="IND2" s="95" t="n"/>
      <c r="INE2" s="95" t="n"/>
      <c r="INF2" s="95" t="n"/>
      <c r="ING2" s="95" t="n"/>
      <c r="INH2" s="95" t="n"/>
      <c r="INI2" s="95" t="n"/>
      <c r="INJ2" s="95" t="n"/>
      <c r="INK2" s="95" t="n"/>
      <c r="INL2" s="95" t="n"/>
      <c r="INM2" s="95" t="n"/>
      <c r="INN2" s="95" t="n"/>
      <c r="INO2" s="95" t="n"/>
      <c r="INP2" s="95" t="n"/>
      <c r="INQ2" s="95" t="n"/>
      <c r="INR2" s="95" t="n"/>
      <c r="INS2" s="95" t="n"/>
      <c r="INT2" s="95" t="n"/>
      <c r="INU2" s="95" t="n"/>
      <c r="INV2" s="95" t="n"/>
      <c r="INW2" s="95" t="n"/>
      <c r="INX2" s="95" t="n"/>
      <c r="INY2" s="95" t="n"/>
      <c r="INZ2" s="95" t="n"/>
      <c r="IOA2" s="95" t="n"/>
      <c r="IOB2" s="95" t="n"/>
      <c r="IOC2" s="95" t="n"/>
      <c r="IOD2" s="95" t="n"/>
      <c r="IOE2" s="95" t="n"/>
      <c r="IOF2" s="95" t="n"/>
      <c r="IOG2" s="95" t="n"/>
      <c r="IOH2" s="95" t="n"/>
      <c r="IOI2" s="95" t="n"/>
      <c r="IOJ2" s="95" t="n"/>
      <c r="IOK2" s="95" t="n"/>
      <c r="IOL2" s="95" t="n"/>
      <c r="IOM2" s="95" t="n"/>
      <c r="ION2" s="95" t="n"/>
      <c r="IOO2" s="95" t="n"/>
      <c r="IOP2" s="95" t="n"/>
      <c r="IOQ2" s="95" t="n"/>
      <c r="IOR2" s="95" t="n"/>
      <c r="IOS2" s="95" t="n"/>
      <c r="IOT2" s="95" t="n"/>
      <c r="IOU2" s="95" t="n"/>
      <c r="IOV2" s="95" t="n"/>
      <c r="IOW2" s="95" t="n"/>
      <c r="IOX2" s="95" t="n"/>
      <c r="IOY2" s="95" t="n"/>
      <c r="IOZ2" s="95" t="n"/>
      <c r="IPA2" s="95" t="n"/>
      <c r="IPB2" s="95" t="n"/>
      <c r="IPC2" s="95" t="n"/>
      <c r="IPD2" s="95" t="n"/>
      <c r="IPE2" s="95" t="n"/>
      <c r="IPF2" s="95" t="n"/>
      <c r="IPG2" s="95" t="n"/>
      <c r="IPH2" s="95" t="n"/>
      <c r="IPI2" s="95" t="n"/>
      <c r="IPJ2" s="95" t="n"/>
      <c r="IPK2" s="95" t="n"/>
      <c r="IPL2" s="95" t="n"/>
      <c r="IPM2" s="95" t="n"/>
      <c r="IPN2" s="95" t="n"/>
      <c r="IPO2" s="95" t="n"/>
      <c r="IPP2" s="95" t="n"/>
      <c r="IPQ2" s="95" t="n"/>
      <c r="IPR2" s="95" t="n"/>
      <c r="IPS2" s="95" t="n"/>
      <c r="IPT2" s="95" t="n"/>
      <c r="IPU2" s="95" t="n"/>
      <c r="IPV2" s="95" t="n"/>
      <c r="IPW2" s="95" t="n"/>
      <c r="IPX2" s="95" t="n"/>
      <c r="IPY2" s="95" t="n"/>
      <c r="IPZ2" s="95" t="n"/>
      <c r="IQA2" s="95" t="n"/>
      <c r="IQB2" s="95" t="n"/>
      <c r="IQC2" s="95" t="n"/>
      <c r="IQD2" s="95" t="n"/>
      <c r="IQE2" s="95" t="n"/>
      <c r="IQF2" s="95" t="n"/>
      <c r="IQG2" s="95" t="n"/>
      <c r="IQH2" s="95" t="n"/>
      <c r="IQI2" s="95" t="n"/>
      <c r="IQJ2" s="95" t="n"/>
      <c r="IQK2" s="95" t="n"/>
      <c r="IQL2" s="95" t="n"/>
      <c r="IQM2" s="95" t="n"/>
      <c r="IQN2" s="95" t="n"/>
      <c r="IQO2" s="95" t="n"/>
      <c r="IQP2" s="95" t="n"/>
      <c r="IQQ2" s="95" t="n"/>
      <c r="IQR2" s="95" t="n"/>
      <c r="IQS2" s="95" t="n"/>
      <c r="IQT2" s="95" t="n"/>
      <c r="IQU2" s="95" t="n"/>
      <c r="IQV2" s="95" t="n"/>
      <c r="IQW2" s="95" t="n"/>
      <c r="IQX2" s="95" t="n"/>
      <c r="IQY2" s="95" t="n"/>
      <c r="IQZ2" s="95" t="n"/>
      <c r="IRA2" s="95" t="n"/>
      <c r="IRB2" s="95" t="n"/>
      <c r="IRC2" s="95" t="n"/>
      <c r="IRD2" s="95" t="n"/>
      <c r="IRE2" s="95" t="n"/>
      <c r="IRF2" s="95" t="n"/>
      <c r="IRG2" s="95" t="n"/>
      <c r="IRH2" s="95" t="n"/>
      <c r="IRI2" s="95" t="n"/>
      <c r="IRJ2" s="95" t="n"/>
      <c r="IRK2" s="95" t="n"/>
      <c r="IRL2" s="95" t="n"/>
      <c r="IRM2" s="95" t="n"/>
      <c r="IRN2" s="95" t="n"/>
      <c r="IRO2" s="95" t="n"/>
      <c r="IRP2" s="95" t="n"/>
      <c r="IRQ2" s="95" t="n"/>
      <c r="IRR2" s="95" t="n"/>
      <c r="IRS2" s="95" t="n"/>
      <c r="IRT2" s="95" t="n"/>
      <c r="IRU2" s="95" t="n"/>
      <c r="IRV2" s="95" t="n"/>
      <c r="IRW2" s="95" t="n"/>
      <c r="IRX2" s="95" t="n"/>
      <c r="IRY2" s="95" t="n"/>
      <c r="IRZ2" s="95" t="n"/>
      <c r="ISA2" s="95" t="n"/>
      <c r="ISB2" s="95" t="n"/>
      <c r="ISC2" s="95" t="n"/>
      <c r="ISD2" s="95" t="n"/>
      <c r="ISE2" s="95" t="n"/>
      <c r="ISF2" s="95" t="n"/>
      <c r="ISG2" s="95" t="n"/>
      <c r="ISH2" s="95" t="n"/>
      <c r="ISI2" s="95" t="n"/>
      <c r="ISJ2" s="95" t="n"/>
      <c r="ISK2" s="95" t="n"/>
      <c r="ISL2" s="95" t="n"/>
      <c r="ISM2" s="95" t="n"/>
      <c r="ISN2" s="95" t="n"/>
      <c r="ISO2" s="95" t="n"/>
      <c r="ISP2" s="95" t="n"/>
      <c r="ISQ2" s="95" t="n"/>
      <c r="ISR2" s="95" t="n"/>
      <c r="ISS2" s="95" t="n"/>
      <c r="IST2" s="95" t="n"/>
      <c r="ISU2" s="95" t="n"/>
      <c r="ISV2" s="95" t="n"/>
      <c r="ISW2" s="95" t="n"/>
      <c r="ISX2" s="95" t="n"/>
      <c r="ISY2" s="95" t="n"/>
      <c r="ISZ2" s="95" t="n"/>
      <c r="ITA2" s="95" t="n"/>
      <c r="ITB2" s="95" t="n"/>
      <c r="ITC2" s="95" t="n"/>
      <c r="ITD2" s="95" t="n"/>
      <c r="ITE2" s="95" t="n"/>
      <c r="ITF2" s="95" t="n"/>
      <c r="ITG2" s="95" t="n"/>
      <c r="ITH2" s="95" t="n"/>
      <c r="ITI2" s="95" t="n"/>
      <c r="ITJ2" s="95" t="n"/>
      <c r="ITK2" s="95" t="n"/>
      <c r="ITL2" s="95" t="n"/>
      <c r="ITM2" s="95" t="n"/>
      <c r="ITN2" s="95" t="n"/>
      <c r="ITO2" s="95" t="n"/>
      <c r="ITP2" s="95" t="n"/>
      <c r="ITQ2" s="95" t="n"/>
      <c r="ITR2" s="95" t="n"/>
      <c r="ITS2" s="95" t="n"/>
      <c r="ITT2" s="95" t="n"/>
      <c r="ITU2" s="95" t="n"/>
      <c r="ITV2" s="95" t="n"/>
      <c r="ITW2" s="95" t="n"/>
      <c r="ITX2" s="95" t="n"/>
      <c r="ITY2" s="95" t="n"/>
      <c r="ITZ2" s="95" t="n"/>
      <c r="IUA2" s="95" t="n"/>
      <c r="IUB2" s="95" t="n"/>
      <c r="IUC2" s="95" t="n"/>
      <c r="IUD2" s="95" t="n"/>
      <c r="IUE2" s="95" t="n"/>
      <c r="IUF2" s="95" t="n"/>
      <c r="IUG2" s="95" t="n"/>
      <c r="IUH2" s="95" t="n"/>
      <c r="IUI2" s="95" t="n"/>
      <c r="IUJ2" s="95" t="n"/>
      <c r="IUK2" s="95" t="n"/>
      <c r="IUL2" s="95" t="n"/>
      <c r="IUM2" s="95" t="n"/>
      <c r="IUN2" s="95" t="n"/>
      <c r="IUO2" s="95" t="n"/>
      <c r="IUP2" s="95" t="n"/>
      <c r="IUQ2" s="95" t="n"/>
      <c r="IUR2" s="95" t="n"/>
      <c r="IUS2" s="95" t="n"/>
      <c r="IUT2" s="95" t="n"/>
      <c r="IUU2" s="95" t="n"/>
      <c r="IUV2" s="95" t="n"/>
      <c r="IUW2" s="95" t="n"/>
      <c r="IUX2" s="95" t="n"/>
      <c r="IUY2" s="95" t="n"/>
      <c r="IUZ2" s="95" t="n"/>
      <c r="IVA2" s="95" t="n"/>
      <c r="IVB2" s="95" t="n"/>
      <c r="IVC2" s="95" t="n"/>
      <c r="IVD2" s="95" t="n"/>
      <c r="IVE2" s="95" t="n"/>
      <c r="IVF2" s="95" t="n"/>
      <c r="IVG2" s="95" t="n"/>
      <c r="IVH2" s="95" t="n"/>
      <c r="IVI2" s="95" t="n"/>
      <c r="IVJ2" s="95" t="n"/>
      <c r="IVK2" s="95" t="n"/>
      <c r="IVL2" s="95" t="n"/>
      <c r="IVM2" s="95" t="n"/>
      <c r="IVN2" s="95" t="n"/>
      <c r="IVO2" s="95" t="n"/>
      <c r="IVP2" s="95" t="n"/>
      <c r="IVQ2" s="95" t="n"/>
      <c r="IVR2" s="95" t="n"/>
      <c r="IVS2" s="95" t="n"/>
      <c r="IVT2" s="95" t="n"/>
      <c r="IVU2" s="95" t="n"/>
      <c r="IVV2" s="95" t="n"/>
      <c r="IVW2" s="95" t="n"/>
      <c r="IVX2" s="95" t="n"/>
      <c r="IVY2" s="95" t="n"/>
      <c r="IVZ2" s="95" t="n"/>
      <c r="IWA2" s="95" t="n"/>
      <c r="IWB2" s="95" t="n"/>
      <c r="IWC2" s="95" t="n"/>
      <c r="IWD2" s="95" t="n"/>
      <c r="IWE2" s="95" t="n"/>
      <c r="IWF2" s="95" t="n"/>
      <c r="IWG2" s="95" t="n"/>
      <c r="IWH2" s="95" t="n"/>
      <c r="IWI2" s="95" t="n"/>
      <c r="IWJ2" s="95" t="n"/>
      <c r="IWK2" s="95" t="n"/>
      <c r="IWL2" s="95" t="n"/>
      <c r="IWM2" s="95" t="n"/>
      <c r="IWN2" s="95" t="n"/>
      <c r="IWO2" s="95" t="n"/>
      <c r="IWP2" s="95" t="n"/>
      <c r="IWQ2" s="95" t="n"/>
      <c r="IWR2" s="95" t="n"/>
      <c r="IWS2" s="95" t="n"/>
      <c r="IWT2" s="95" t="n"/>
      <c r="IWU2" s="95" t="n"/>
      <c r="IWV2" s="95" t="n"/>
      <c r="IWW2" s="95" t="n"/>
      <c r="IWX2" s="95" t="n"/>
      <c r="IWY2" s="95" t="n"/>
      <c r="IWZ2" s="95" t="n"/>
      <c r="IXA2" s="95" t="n"/>
      <c r="IXB2" s="95" t="n"/>
      <c r="IXC2" s="95" t="n"/>
      <c r="IXD2" s="95" t="n"/>
      <c r="IXE2" s="95" t="n"/>
      <c r="IXF2" s="95" t="n"/>
      <c r="IXG2" s="95" t="n"/>
      <c r="IXH2" s="95" t="n"/>
      <c r="IXI2" s="95" t="n"/>
      <c r="IXJ2" s="95" t="n"/>
      <c r="IXK2" s="95" t="n"/>
      <c r="IXL2" s="95" t="n"/>
      <c r="IXM2" s="95" t="n"/>
      <c r="IXN2" s="95" t="n"/>
      <c r="IXO2" s="95" t="n"/>
      <c r="IXP2" s="95" t="n"/>
      <c r="IXQ2" s="95" t="n"/>
      <c r="IXR2" s="95" t="n"/>
      <c r="IXS2" s="95" t="n"/>
      <c r="IXT2" s="95" t="n"/>
      <c r="IXU2" s="95" t="n"/>
      <c r="IXV2" s="95" t="n"/>
      <c r="IXW2" s="95" t="n"/>
      <c r="IXX2" s="95" t="n"/>
      <c r="IXY2" s="95" t="n"/>
      <c r="IXZ2" s="95" t="n"/>
      <c r="IYA2" s="95" t="n"/>
      <c r="IYB2" s="95" t="n"/>
      <c r="IYC2" s="95" t="n"/>
      <c r="IYD2" s="95" t="n"/>
      <c r="IYE2" s="95" t="n"/>
      <c r="IYF2" s="95" t="n"/>
      <c r="IYG2" s="95" t="n"/>
      <c r="IYH2" s="95" t="n"/>
      <c r="IYI2" s="95" t="n"/>
      <c r="IYJ2" s="95" t="n"/>
      <c r="IYK2" s="95" t="n"/>
      <c r="IYL2" s="95" t="n"/>
      <c r="IYM2" s="95" t="n"/>
      <c r="IYN2" s="95" t="n"/>
      <c r="IYO2" s="95" t="n"/>
      <c r="IYP2" s="95" t="n"/>
      <c r="IYQ2" s="95" t="n"/>
      <c r="IYR2" s="95" t="n"/>
      <c r="IYS2" s="95" t="n"/>
      <c r="IYT2" s="95" t="n"/>
      <c r="IYU2" s="95" t="n"/>
      <c r="IYV2" s="95" t="n"/>
      <c r="IYW2" s="95" t="n"/>
      <c r="IYX2" s="95" t="n"/>
      <c r="IYY2" s="95" t="n"/>
      <c r="IYZ2" s="95" t="n"/>
      <c r="IZA2" s="95" t="n"/>
      <c r="IZB2" s="95" t="n"/>
      <c r="IZC2" s="95" t="n"/>
      <c r="IZD2" s="95" t="n"/>
      <c r="IZE2" s="95" t="n"/>
      <c r="IZF2" s="95" t="n"/>
      <c r="IZG2" s="95" t="n"/>
      <c r="IZH2" s="95" t="n"/>
      <c r="IZI2" s="95" t="n"/>
      <c r="IZJ2" s="95" t="n"/>
      <c r="IZK2" s="95" t="n"/>
      <c r="IZL2" s="95" t="n"/>
      <c r="IZM2" s="95" t="n"/>
      <c r="IZN2" s="95" t="n"/>
      <c r="IZO2" s="95" t="n"/>
      <c r="IZP2" s="95" t="n"/>
      <c r="IZQ2" s="95" t="n"/>
      <c r="IZR2" s="95" t="n"/>
      <c r="IZS2" s="95" t="n"/>
      <c r="IZT2" s="95" t="n"/>
      <c r="IZU2" s="95" t="n"/>
      <c r="IZV2" s="95" t="n"/>
      <c r="IZW2" s="95" t="n"/>
      <c r="IZX2" s="95" t="n"/>
      <c r="IZY2" s="95" t="n"/>
      <c r="IZZ2" s="95" t="n"/>
      <c r="JAA2" s="95" t="n"/>
      <c r="JAB2" s="95" t="n"/>
      <c r="JAC2" s="95" t="n"/>
      <c r="JAD2" s="95" t="n"/>
      <c r="JAE2" s="95" t="n"/>
      <c r="JAF2" s="95" t="n"/>
      <c r="JAG2" s="95" t="n"/>
      <c r="JAH2" s="95" t="n"/>
      <c r="JAI2" s="95" t="n"/>
      <c r="JAJ2" s="95" t="n"/>
      <c r="JAK2" s="95" t="n"/>
      <c r="JAL2" s="95" t="n"/>
      <c r="JAM2" s="95" t="n"/>
      <c r="JAN2" s="95" t="n"/>
      <c r="JAO2" s="95" t="n"/>
      <c r="JAP2" s="95" t="n"/>
      <c r="JAQ2" s="95" t="n"/>
      <c r="JAR2" s="95" t="n"/>
      <c r="JAS2" s="95" t="n"/>
      <c r="JAT2" s="95" t="n"/>
      <c r="JAU2" s="95" t="n"/>
      <c r="JAV2" s="95" t="n"/>
      <c r="JAW2" s="95" t="n"/>
      <c r="JAX2" s="95" t="n"/>
      <c r="JAY2" s="95" t="n"/>
      <c r="JAZ2" s="95" t="n"/>
      <c r="JBA2" s="95" t="n"/>
      <c r="JBB2" s="95" t="n"/>
      <c r="JBC2" s="95" t="n"/>
      <c r="JBD2" s="95" t="n"/>
      <c r="JBE2" s="95" t="n"/>
      <c r="JBF2" s="95" t="n"/>
      <c r="JBG2" s="95" t="n"/>
      <c r="JBH2" s="95" t="n"/>
      <c r="JBI2" s="95" t="n"/>
      <c r="JBJ2" s="95" t="n"/>
      <c r="JBK2" s="95" t="n"/>
      <c r="JBL2" s="95" t="n"/>
      <c r="JBM2" s="95" t="n"/>
      <c r="JBN2" s="95" t="n"/>
      <c r="JBO2" s="95" t="n"/>
      <c r="JBP2" s="95" t="n"/>
      <c r="JBQ2" s="95" t="n"/>
      <c r="JBR2" s="95" t="n"/>
      <c r="JBS2" s="95" t="n"/>
      <c r="JBT2" s="95" t="n"/>
      <c r="JBU2" s="95" t="n"/>
      <c r="JBV2" s="95" t="n"/>
      <c r="JBW2" s="95" t="n"/>
      <c r="JBX2" s="95" t="n"/>
      <c r="JBY2" s="95" t="n"/>
      <c r="JBZ2" s="95" t="n"/>
      <c r="JCA2" s="95" t="n"/>
      <c r="JCB2" s="95" t="n"/>
      <c r="JCC2" s="95" t="n"/>
      <c r="JCD2" s="95" t="n"/>
      <c r="JCE2" s="95" t="n"/>
      <c r="JCF2" s="95" t="n"/>
      <c r="JCG2" s="95" t="n"/>
      <c r="JCH2" s="95" t="n"/>
      <c r="JCI2" s="95" t="n"/>
      <c r="JCJ2" s="95" t="n"/>
      <c r="JCK2" s="95" t="n"/>
      <c r="JCL2" s="95" t="n"/>
      <c r="JCM2" s="95" t="n"/>
      <c r="JCN2" s="95" t="n"/>
      <c r="JCO2" s="95" t="n"/>
      <c r="JCP2" s="95" t="n"/>
      <c r="JCQ2" s="95" t="n"/>
      <c r="JCR2" s="95" t="n"/>
      <c r="JCS2" s="95" t="n"/>
      <c r="JCT2" s="95" t="n"/>
      <c r="JCU2" s="95" t="n"/>
      <c r="JCV2" s="95" t="n"/>
      <c r="JCW2" s="95" t="n"/>
      <c r="JCX2" s="95" t="n"/>
      <c r="JCY2" s="95" t="n"/>
      <c r="JCZ2" s="95" t="n"/>
      <c r="JDA2" s="95" t="n"/>
      <c r="JDB2" s="95" t="n"/>
      <c r="JDC2" s="95" t="n"/>
      <c r="JDD2" s="95" t="n"/>
      <c r="JDE2" s="95" t="n"/>
      <c r="JDF2" s="95" t="n"/>
      <c r="JDG2" s="95" t="n"/>
      <c r="JDH2" s="95" t="n"/>
      <c r="JDI2" s="95" t="n"/>
      <c r="JDJ2" s="95" t="n"/>
      <c r="JDK2" s="95" t="n"/>
      <c r="JDL2" s="95" t="n"/>
      <c r="JDM2" s="95" t="n"/>
      <c r="JDN2" s="95" t="n"/>
      <c r="JDO2" s="95" t="n"/>
      <c r="JDP2" s="95" t="n"/>
      <c r="JDQ2" s="95" t="n"/>
      <c r="JDR2" s="95" t="n"/>
      <c r="JDS2" s="95" t="n"/>
      <c r="JDT2" s="95" t="n"/>
      <c r="JDU2" s="95" t="n"/>
      <c r="JDV2" s="95" t="n"/>
      <c r="JDW2" s="95" t="n"/>
      <c r="JDX2" s="95" t="n"/>
      <c r="JDY2" s="95" t="n"/>
      <c r="JDZ2" s="95" t="n"/>
      <c r="JEA2" s="95" t="n"/>
      <c r="JEB2" s="95" t="n"/>
      <c r="JEC2" s="95" t="n"/>
      <c r="JED2" s="95" t="n"/>
      <c r="JEE2" s="95" t="n"/>
      <c r="JEF2" s="95" t="n"/>
      <c r="JEG2" s="95" t="n"/>
      <c r="JEH2" s="95" t="n"/>
      <c r="JEI2" s="95" t="n"/>
      <c r="JEJ2" s="95" t="n"/>
      <c r="JEK2" s="95" t="n"/>
      <c r="JEL2" s="95" t="n"/>
      <c r="JEM2" s="95" t="n"/>
      <c r="JEN2" s="95" t="n"/>
      <c r="JEO2" s="95" t="n"/>
      <c r="JEP2" s="95" t="n"/>
      <c r="JEQ2" s="95" t="n"/>
      <c r="JER2" s="95" t="n"/>
      <c r="JES2" s="95" t="n"/>
      <c r="JET2" s="95" t="n"/>
      <c r="JEU2" s="95" t="n"/>
      <c r="JEV2" s="95" t="n"/>
      <c r="JEW2" s="95" t="n"/>
      <c r="JEX2" s="95" t="n"/>
      <c r="JEY2" s="95" t="n"/>
      <c r="JEZ2" s="95" t="n"/>
      <c r="JFA2" s="95" t="n"/>
      <c r="JFB2" s="95" t="n"/>
      <c r="JFC2" s="95" t="n"/>
      <c r="JFD2" s="95" t="n"/>
      <c r="JFE2" s="95" t="n"/>
      <c r="JFF2" s="95" t="n"/>
      <c r="JFG2" s="95" t="n"/>
      <c r="JFH2" s="95" t="n"/>
      <c r="JFI2" s="95" t="n"/>
      <c r="JFJ2" s="95" t="n"/>
      <c r="JFK2" s="95" t="n"/>
      <c r="JFL2" s="95" t="n"/>
      <c r="JFM2" s="95" t="n"/>
      <c r="JFN2" s="95" t="n"/>
      <c r="JFO2" s="95" t="n"/>
      <c r="JFP2" s="95" t="n"/>
      <c r="JFQ2" s="95" t="n"/>
      <c r="JFR2" s="95" t="n"/>
      <c r="JFS2" s="95" t="n"/>
      <c r="JFT2" s="95" t="n"/>
      <c r="JFU2" s="95" t="n"/>
      <c r="JFV2" s="95" t="n"/>
      <c r="JFW2" s="95" t="n"/>
      <c r="JFX2" s="95" t="n"/>
      <c r="JFY2" s="95" t="n"/>
      <c r="JFZ2" s="95" t="n"/>
      <c r="JGA2" s="95" t="n"/>
      <c r="JGB2" s="95" t="n"/>
      <c r="JGC2" s="95" t="n"/>
      <c r="JGD2" s="95" t="n"/>
      <c r="JGE2" s="95" t="n"/>
      <c r="JGF2" s="95" t="n"/>
      <c r="JGG2" s="95" t="n"/>
      <c r="JGH2" s="95" t="n"/>
      <c r="JGI2" s="95" t="n"/>
      <c r="JGJ2" s="95" t="n"/>
      <c r="JGK2" s="95" t="n"/>
      <c r="JGL2" s="95" t="n"/>
      <c r="JGM2" s="95" t="n"/>
      <c r="JGN2" s="95" t="n"/>
      <c r="JGO2" s="95" t="n"/>
      <c r="JGP2" s="95" t="n"/>
      <c r="JGQ2" s="95" t="n"/>
      <c r="JGR2" s="95" t="n"/>
      <c r="JGS2" s="95" t="n"/>
      <c r="JGT2" s="95" t="n"/>
      <c r="JGU2" s="95" t="n"/>
      <c r="JGV2" s="95" t="n"/>
      <c r="JGW2" s="95" t="n"/>
      <c r="JGX2" s="95" t="n"/>
      <c r="JGY2" s="95" t="n"/>
      <c r="JGZ2" s="95" t="n"/>
      <c r="JHA2" s="95" t="n"/>
      <c r="JHB2" s="95" t="n"/>
      <c r="JHC2" s="95" t="n"/>
      <c r="JHD2" s="95" t="n"/>
      <c r="JHE2" s="95" t="n"/>
      <c r="JHF2" s="95" t="n"/>
      <c r="JHG2" s="95" t="n"/>
      <c r="JHH2" s="95" t="n"/>
      <c r="JHI2" s="95" t="n"/>
      <c r="JHJ2" s="95" t="n"/>
      <c r="JHK2" s="95" t="n"/>
      <c r="JHL2" s="95" t="n"/>
      <c r="JHM2" s="95" t="n"/>
      <c r="JHN2" s="95" t="n"/>
      <c r="JHO2" s="95" t="n"/>
      <c r="JHP2" s="95" t="n"/>
      <c r="JHQ2" s="95" t="n"/>
      <c r="JHR2" s="95" t="n"/>
      <c r="JHS2" s="95" t="n"/>
      <c r="JHT2" s="95" t="n"/>
      <c r="JHU2" s="95" t="n"/>
      <c r="JHV2" s="95" t="n"/>
      <c r="JHW2" s="95" t="n"/>
      <c r="JHX2" s="95" t="n"/>
      <c r="JHY2" s="95" t="n"/>
      <c r="JHZ2" s="95" t="n"/>
      <c r="JIA2" s="95" t="n"/>
      <c r="JIB2" s="95" t="n"/>
      <c r="JIC2" s="95" t="n"/>
      <c r="JID2" s="95" t="n"/>
      <c r="JIE2" s="95" t="n"/>
      <c r="JIF2" s="95" t="n"/>
      <c r="JIG2" s="95" t="n"/>
      <c r="JIH2" s="95" t="n"/>
      <c r="JII2" s="95" t="n"/>
      <c r="JIJ2" s="95" t="n"/>
      <c r="JIK2" s="95" t="n"/>
      <c r="JIL2" s="95" t="n"/>
      <c r="JIM2" s="95" t="n"/>
      <c r="JIN2" s="95" t="n"/>
      <c r="JIO2" s="95" t="n"/>
      <c r="JIP2" s="95" t="n"/>
      <c r="JIQ2" s="95" t="n"/>
      <c r="JIR2" s="95" t="n"/>
      <c r="JIS2" s="95" t="n"/>
      <c r="JIT2" s="95" t="n"/>
      <c r="JIU2" s="95" t="n"/>
      <c r="JIV2" s="95" t="n"/>
      <c r="JIW2" s="95" t="n"/>
      <c r="JIX2" s="95" t="n"/>
      <c r="JIY2" s="95" t="n"/>
      <c r="JIZ2" s="95" t="n"/>
      <c r="JJA2" s="95" t="n"/>
      <c r="JJB2" s="95" t="n"/>
      <c r="JJC2" s="95" t="n"/>
      <c r="JJD2" s="95" t="n"/>
      <c r="JJE2" s="95" t="n"/>
      <c r="JJF2" s="95" t="n"/>
      <c r="JJG2" s="95" t="n"/>
      <c r="JJH2" s="95" t="n"/>
      <c r="JJI2" s="95" t="n"/>
      <c r="JJJ2" s="95" t="n"/>
      <c r="JJK2" s="95" t="n"/>
      <c r="JJL2" s="95" t="n"/>
      <c r="JJM2" s="95" t="n"/>
      <c r="JJN2" s="95" t="n"/>
      <c r="JJO2" s="95" t="n"/>
      <c r="JJP2" s="95" t="n"/>
      <c r="JJQ2" s="95" t="n"/>
      <c r="JJR2" s="95" t="n"/>
      <c r="JJS2" s="95" t="n"/>
      <c r="JJT2" s="95" t="n"/>
      <c r="JJU2" s="95" t="n"/>
      <c r="JJV2" s="95" t="n"/>
      <c r="JJW2" s="95" t="n"/>
      <c r="JJX2" s="95" t="n"/>
      <c r="JJY2" s="95" t="n"/>
      <c r="JJZ2" s="95" t="n"/>
      <c r="JKA2" s="95" t="n"/>
      <c r="JKB2" s="95" t="n"/>
      <c r="JKC2" s="95" t="n"/>
      <c r="JKD2" s="95" t="n"/>
      <c r="JKE2" s="95" t="n"/>
      <c r="JKF2" s="95" t="n"/>
      <c r="JKG2" s="95" t="n"/>
      <c r="JKH2" s="95" t="n"/>
      <c r="JKI2" s="95" t="n"/>
      <c r="JKJ2" s="95" t="n"/>
      <c r="JKK2" s="95" t="n"/>
      <c r="JKL2" s="95" t="n"/>
      <c r="JKM2" s="95" t="n"/>
      <c r="JKN2" s="95" t="n"/>
      <c r="JKO2" s="95" t="n"/>
      <c r="JKP2" s="95" t="n"/>
      <c r="JKQ2" s="95" t="n"/>
      <c r="JKR2" s="95" t="n"/>
      <c r="JKS2" s="95" t="n"/>
      <c r="JKT2" s="95" t="n"/>
      <c r="JKU2" s="95" t="n"/>
      <c r="JKV2" s="95" t="n"/>
      <c r="JKW2" s="95" t="n"/>
      <c r="JKX2" s="95" t="n"/>
      <c r="JKY2" s="95" t="n"/>
      <c r="JKZ2" s="95" t="n"/>
      <c r="JLA2" s="95" t="n"/>
      <c r="JLB2" s="95" t="n"/>
      <c r="JLC2" s="95" t="n"/>
      <c r="JLD2" s="95" t="n"/>
      <c r="JLE2" s="95" t="n"/>
      <c r="JLF2" s="95" t="n"/>
      <c r="JLG2" s="95" t="n"/>
      <c r="JLH2" s="95" t="n"/>
      <c r="JLI2" s="95" t="n"/>
      <c r="JLJ2" s="95" t="n"/>
      <c r="JLK2" s="95" t="n"/>
      <c r="JLL2" s="95" t="n"/>
      <c r="JLM2" s="95" t="n"/>
      <c r="JLN2" s="95" t="n"/>
      <c r="JLO2" s="95" t="n"/>
      <c r="JLP2" s="95" t="n"/>
      <c r="JLQ2" s="95" t="n"/>
      <c r="JLR2" s="95" t="n"/>
      <c r="JLS2" s="95" t="n"/>
      <c r="JLT2" s="95" t="n"/>
      <c r="JLU2" s="95" t="n"/>
      <c r="JLV2" s="95" t="n"/>
      <c r="JLW2" s="95" t="n"/>
      <c r="JLX2" s="95" t="n"/>
      <c r="JLY2" s="95" t="n"/>
      <c r="JLZ2" s="95" t="n"/>
      <c r="JMA2" s="95" t="n"/>
      <c r="JMB2" s="95" t="n"/>
      <c r="JMC2" s="95" t="n"/>
      <c r="JMD2" s="95" t="n"/>
      <c r="JME2" s="95" t="n"/>
      <c r="JMF2" s="95" t="n"/>
      <c r="JMG2" s="95" t="n"/>
      <c r="JMH2" s="95" t="n"/>
      <c r="JMI2" s="95" t="n"/>
      <c r="JMJ2" s="95" t="n"/>
      <c r="JMK2" s="95" t="n"/>
      <c r="JML2" s="95" t="n"/>
      <c r="JMM2" s="95" t="n"/>
      <c r="JMN2" s="95" t="n"/>
      <c r="JMO2" s="95" t="n"/>
      <c r="JMP2" s="95" t="n"/>
      <c r="JMQ2" s="95" t="n"/>
      <c r="JMR2" s="95" t="n"/>
      <c r="JMS2" s="95" t="n"/>
      <c r="JMT2" s="95" t="n"/>
      <c r="JMU2" s="95" t="n"/>
      <c r="JMV2" s="95" t="n"/>
      <c r="JMW2" s="95" t="n"/>
      <c r="JMX2" s="95" t="n"/>
      <c r="JMY2" s="95" t="n"/>
      <c r="JMZ2" s="95" t="n"/>
      <c r="JNA2" s="95" t="n"/>
      <c r="JNB2" s="95" t="n"/>
      <c r="JNC2" s="95" t="n"/>
      <c r="JND2" s="95" t="n"/>
      <c r="JNE2" s="95" t="n"/>
      <c r="JNF2" s="95" t="n"/>
      <c r="JNG2" s="95" t="n"/>
      <c r="JNH2" s="95" t="n"/>
      <c r="JNI2" s="95" t="n"/>
      <c r="JNJ2" s="95" t="n"/>
      <c r="JNK2" s="95" t="n"/>
      <c r="JNL2" s="95" t="n"/>
      <c r="JNM2" s="95" t="n"/>
      <c r="JNN2" s="95" t="n"/>
      <c r="JNO2" s="95" t="n"/>
      <c r="JNP2" s="95" t="n"/>
      <c r="JNQ2" s="95" t="n"/>
      <c r="JNR2" s="95" t="n"/>
      <c r="JNS2" s="95" t="n"/>
      <c r="JNT2" s="95" t="n"/>
      <c r="JNU2" s="95" t="n"/>
      <c r="JNV2" s="95" t="n"/>
      <c r="JNW2" s="95" t="n"/>
      <c r="JNX2" s="95" t="n"/>
      <c r="JNY2" s="95" t="n"/>
      <c r="JNZ2" s="95" t="n"/>
      <c r="JOA2" s="95" t="n"/>
      <c r="JOB2" s="95" t="n"/>
      <c r="JOC2" s="95" t="n"/>
      <c r="JOD2" s="95" t="n"/>
      <c r="JOE2" s="95" t="n"/>
      <c r="JOF2" s="95" t="n"/>
      <c r="JOG2" s="95" t="n"/>
      <c r="JOH2" s="95" t="n"/>
      <c r="JOI2" s="95" t="n"/>
      <c r="JOJ2" s="95" t="n"/>
      <c r="JOK2" s="95" t="n"/>
      <c r="JOL2" s="95" t="n"/>
      <c r="JOM2" s="95" t="n"/>
      <c r="JON2" s="95" t="n"/>
      <c r="JOO2" s="95" t="n"/>
      <c r="JOP2" s="95" t="n"/>
      <c r="JOQ2" s="95" t="n"/>
      <c r="JOR2" s="95" t="n"/>
      <c r="JOS2" s="95" t="n"/>
      <c r="JOT2" s="95" t="n"/>
      <c r="JOU2" s="95" t="n"/>
      <c r="JOV2" s="95" t="n"/>
      <c r="JOW2" s="95" t="n"/>
      <c r="JOX2" s="95" t="n"/>
      <c r="JOY2" s="95" t="n"/>
      <c r="JOZ2" s="95" t="n"/>
      <c r="JPA2" s="95" t="n"/>
      <c r="JPB2" s="95" t="n"/>
      <c r="JPC2" s="95" t="n"/>
      <c r="JPD2" s="95" t="n"/>
      <c r="JPE2" s="95" t="n"/>
      <c r="JPF2" s="95" t="n"/>
      <c r="JPG2" s="95" t="n"/>
      <c r="JPH2" s="95" t="n"/>
      <c r="JPI2" s="95" t="n"/>
      <c r="JPJ2" s="95" t="n"/>
      <c r="JPK2" s="95" t="n"/>
      <c r="JPL2" s="95" t="n"/>
      <c r="JPM2" s="95" t="n"/>
      <c r="JPN2" s="95" t="n"/>
      <c r="JPO2" s="95" t="n"/>
      <c r="JPP2" s="95" t="n"/>
      <c r="JPQ2" s="95" t="n"/>
      <c r="JPR2" s="95" t="n"/>
      <c r="JPS2" s="95" t="n"/>
      <c r="JPT2" s="95" t="n"/>
      <c r="JPU2" s="95" t="n"/>
      <c r="JPV2" s="95" t="n"/>
      <c r="JPW2" s="95" t="n"/>
      <c r="JPX2" s="95" t="n"/>
      <c r="JPY2" s="95" t="n"/>
      <c r="JPZ2" s="95" t="n"/>
      <c r="JQA2" s="95" t="n"/>
      <c r="JQB2" s="95" t="n"/>
      <c r="JQC2" s="95" t="n"/>
      <c r="JQD2" s="95" t="n"/>
      <c r="JQE2" s="95" t="n"/>
      <c r="JQF2" s="95" t="n"/>
      <c r="JQG2" s="95" t="n"/>
      <c r="JQH2" s="95" t="n"/>
      <c r="JQI2" s="95" t="n"/>
      <c r="JQJ2" s="95" t="n"/>
      <c r="JQK2" s="95" t="n"/>
      <c r="JQL2" s="95" t="n"/>
      <c r="JQM2" s="95" t="n"/>
      <c r="JQN2" s="95" t="n"/>
      <c r="JQO2" s="95" t="n"/>
      <c r="JQP2" s="95" t="n"/>
      <c r="JQQ2" s="95" t="n"/>
      <c r="JQR2" s="95" t="n"/>
      <c r="JQS2" s="95" t="n"/>
      <c r="JQT2" s="95" t="n"/>
      <c r="JQU2" s="95" t="n"/>
      <c r="JQV2" s="95" t="n"/>
      <c r="JQW2" s="95" t="n"/>
      <c r="JQX2" s="95" t="n"/>
      <c r="JQY2" s="95" t="n"/>
      <c r="JQZ2" s="95" t="n"/>
      <c r="JRA2" s="95" t="n"/>
      <c r="JRB2" s="95" t="n"/>
      <c r="JRC2" s="95" t="n"/>
      <c r="JRD2" s="95" t="n"/>
      <c r="JRE2" s="95" t="n"/>
      <c r="JRF2" s="95" t="n"/>
      <c r="JRG2" s="95" t="n"/>
      <c r="JRH2" s="95" t="n"/>
      <c r="JRI2" s="95" t="n"/>
      <c r="JRJ2" s="95" t="n"/>
      <c r="JRK2" s="95" t="n"/>
      <c r="JRL2" s="95" t="n"/>
      <c r="JRM2" s="95" t="n"/>
      <c r="JRN2" s="95" t="n"/>
      <c r="JRO2" s="95" t="n"/>
      <c r="JRP2" s="95" t="n"/>
      <c r="JRQ2" s="95" t="n"/>
      <c r="JRR2" s="95" t="n"/>
      <c r="JRS2" s="95" t="n"/>
      <c r="JRT2" s="95" t="n"/>
      <c r="JRU2" s="95" t="n"/>
      <c r="JRV2" s="95" t="n"/>
      <c r="JRW2" s="95" t="n"/>
      <c r="JRX2" s="95" t="n"/>
      <c r="JRY2" s="95" t="n"/>
      <c r="JRZ2" s="95" t="n"/>
      <c r="JSA2" s="95" t="n"/>
      <c r="JSB2" s="95" t="n"/>
      <c r="JSC2" s="95" t="n"/>
      <c r="JSD2" s="95" t="n"/>
      <c r="JSE2" s="95" t="n"/>
      <c r="JSF2" s="95" t="n"/>
      <c r="JSG2" s="95" t="n"/>
      <c r="JSH2" s="95" t="n"/>
      <c r="JSI2" s="95" t="n"/>
      <c r="JSJ2" s="95" t="n"/>
      <c r="JSK2" s="95" t="n"/>
      <c r="JSL2" s="95" t="n"/>
      <c r="JSM2" s="95" t="n"/>
      <c r="JSN2" s="95" t="n"/>
      <c r="JSO2" s="95" t="n"/>
      <c r="JSP2" s="95" t="n"/>
      <c r="JSQ2" s="95" t="n"/>
      <c r="JSR2" s="95" t="n"/>
      <c r="JSS2" s="95" t="n"/>
      <c r="JST2" s="95" t="n"/>
      <c r="JSU2" s="95" t="n"/>
      <c r="JSV2" s="95" t="n"/>
      <c r="JSW2" s="95" t="n"/>
      <c r="JSX2" s="95" t="n"/>
      <c r="JSY2" s="95" t="n"/>
      <c r="JSZ2" s="95" t="n"/>
      <c r="JTA2" s="95" t="n"/>
      <c r="JTB2" s="95" t="n"/>
      <c r="JTC2" s="95" t="n"/>
      <c r="JTD2" s="95" t="n"/>
      <c r="JTE2" s="95" t="n"/>
      <c r="JTF2" s="95" t="n"/>
      <c r="JTG2" s="95" t="n"/>
      <c r="JTH2" s="95" t="n"/>
      <c r="JTI2" s="95" t="n"/>
      <c r="JTJ2" s="95" t="n"/>
      <c r="JTK2" s="95" t="n"/>
      <c r="JTL2" s="95" t="n"/>
      <c r="JTM2" s="95" t="n"/>
      <c r="JTN2" s="95" t="n"/>
      <c r="JTO2" s="95" t="n"/>
      <c r="JTP2" s="95" t="n"/>
      <c r="JTQ2" s="95" t="n"/>
      <c r="JTR2" s="95" t="n"/>
      <c r="JTS2" s="95" t="n"/>
      <c r="JTT2" s="95" t="n"/>
      <c r="JTU2" s="95" t="n"/>
      <c r="JTV2" s="95" t="n"/>
      <c r="JTW2" s="95" t="n"/>
      <c r="JTX2" s="95" t="n"/>
      <c r="JTY2" s="95" t="n"/>
      <c r="JTZ2" s="95" t="n"/>
      <c r="JUA2" s="95" t="n"/>
      <c r="JUB2" s="95" t="n"/>
      <c r="JUC2" s="95" t="n"/>
      <c r="JUD2" s="95" t="n"/>
      <c r="JUE2" s="95" t="n"/>
      <c r="JUF2" s="95" t="n"/>
      <c r="JUG2" s="95" t="n"/>
      <c r="JUH2" s="95" t="n"/>
      <c r="JUI2" s="95" t="n"/>
      <c r="JUJ2" s="95" t="n"/>
      <c r="JUK2" s="95" t="n"/>
      <c r="JUL2" s="95" t="n"/>
      <c r="JUM2" s="95" t="n"/>
      <c r="JUN2" s="95" t="n"/>
      <c r="JUO2" s="95" t="n"/>
      <c r="JUP2" s="95" t="n"/>
      <c r="JUQ2" s="95" t="n"/>
      <c r="JUR2" s="95" t="n"/>
      <c r="JUS2" s="95" t="n"/>
      <c r="JUT2" s="95" t="n"/>
      <c r="JUU2" s="95" t="n"/>
      <c r="JUV2" s="95" t="n"/>
      <c r="JUW2" s="95" t="n"/>
      <c r="JUX2" s="95" t="n"/>
      <c r="JUY2" s="95" t="n"/>
      <c r="JUZ2" s="95" t="n"/>
      <c r="JVA2" s="95" t="n"/>
      <c r="JVB2" s="95" t="n"/>
      <c r="JVC2" s="95" t="n"/>
      <c r="JVD2" s="95" t="n"/>
      <c r="JVE2" s="95" t="n"/>
      <c r="JVF2" s="95" t="n"/>
      <c r="JVG2" s="95" t="n"/>
      <c r="JVH2" s="95" t="n"/>
      <c r="JVI2" s="95" t="n"/>
      <c r="JVJ2" s="95" t="n"/>
      <c r="JVK2" s="95" t="n"/>
      <c r="JVL2" s="95" t="n"/>
      <c r="JVM2" s="95" t="n"/>
      <c r="JVN2" s="95" t="n"/>
      <c r="JVO2" s="95" t="n"/>
      <c r="JVP2" s="95" t="n"/>
      <c r="JVQ2" s="95" t="n"/>
      <c r="JVR2" s="95" t="n"/>
      <c r="JVS2" s="95" t="n"/>
      <c r="JVT2" s="95" t="n"/>
      <c r="JVU2" s="95" t="n"/>
      <c r="JVV2" s="95" t="n"/>
      <c r="JVW2" s="95" t="n"/>
      <c r="JVX2" s="95" t="n"/>
      <c r="JVY2" s="95" t="n"/>
      <c r="JVZ2" s="95" t="n"/>
      <c r="JWA2" s="95" t="n"/>
      <c r="JWB2" s="95" t="n"/>
      <c r="JWC2" s="95" t="n"/>
      <c r="JWD2" s="95" t="n"/>
      <c r="JWE2" s="95" t="n"/>
      <c r="JWF2" s="95" t="n"/>
      <c r="JWG2" s="95" t="n"/>
      <c r="JWH2" s="95" t="n"/>
      <c r="JWI2" s="95" t="n"/>
      <c r="JWJ2" s="95" t="n"/>
      <c r="JWK2" s="95" t="n"/>
      <c r="JWL2" s="95" t="n"/>
      <c r="JWM2" s="95" t="n"/>
      <c r="JWN2" s="95" t="n"/>
      <c r="JWO2" s="95" t="n"/>
      <c r="JWP2" s="95" t="n"/>
      <c r="JWQ2" s="95" t="n"/>
      <c r="JWR2" s="95" t="n"/>
      <c r="JWS2" s="95" t="n"/>
      <c r="JWT2" s="95" t="n"/>
      <c r="JWU2" s="95" t="n"/>
      <c r="JWV2" s="95" t="n"/>
      <c r="JWW2" s="95" t="n"/>
      <c r="JWX2" s="95" t="n"/>
      <c r="JWY2" s="95" t="n"/>
      <c r="JWZ2" s="95" t="n"/>
      <c r="JXA2" s="95" t="n"/>
      <c r="JXB2" s="95" t="n"/>
      <c r="JXC2" s="95" t="n"/>
      <c r="JXD2" s="95" t="n"/>
      <c r="JXE2" s="95" t="n"/>
      <c r="JXF2" s="95" t="n"/>
      <c r="JXG2" s="95" t="n"/>
      <c r="JXH2" s="95" t="n"/>
      <c r="JXI2" s="95" t="n"/>
      <c r="JXJ2" s="95" t="n"/>
      <c r="JXK2" s="95" t="n"/>
      <c r="JXL2" s="95" t="n"/>
      <c r="JXM2" s="95" t="n"/>
      <c r="JXN2" s="95" t="n"/>
      <c r="JXO2" s="95" t="n"/>
      <c r="JXP2" s="95" t="n"/>
      <c r="JXQ2" s="95" t="n"/>
      <c r="JXR2" s="95" t="n"/>
      <c r="JXS2" s="95" t="n"/>
      <c r="JXT2" s="95" t="n"/>
      <c r="JXU2" s="95" t="n"/>
      <c r="JXV2" s="95" t="n"/>
      <c r="JXW2" s="95" t="n"/>
      <c r="JXX2" s="95" t="n"/>
      <c r="JXY2" s="95" t="n"/>
      <c r="JXZ2" s="95" t="n"/>
      <c r="JYA2" s="95" t="n"/>
      <c r="JYB2" s="95" t="n"/>
      <c r="JYC2" s="95" t="n"/>
      <c r="JYD2" s="95" t="n"/>
      <c r="JYE2" s="95" t="n"/>
      <c r="JYF2" s="95" t="n"/>
      <c r="JYG2" s="95" t="n"/>
      <c r="JYH2" s="95" t="n"/>
      <c r="JYI2" s="95" t="n"/>
      <c r="JYJ2" s="95" t="n"/>
      <c r="JYK2" s="95" t="n"/>
      <c r="JYL2" s="95" t="n"/>
      <c r="JYM2" s="95" t="n"/>
      <c r="JYN2" s="95" t="n"/>
      <c r="JYO2" s="95" t="n"/>
      <c r="JYP2" s="95" t="n"/>
      <c r="JYQ2" s="95" t="n"/>
      <c r="JYR2" s="95" t="n"/>
      <c r="JYS2" s="95" t="n"/>
      <c r="JYT2" s="95" t="n"/>
      <c r="JYU2" s="95" t="n"/>
      <c r="JYV2" s="95" t="n"/>
      <c r="JYW2" s="95" t="n"/>
      <c r="JYX2" s="95" t="n"/>
      <c r="JYY2" s="95" t="n"/>
      <c r="JYZ2" s="95" t="n"/>
      <c r="JZA2" s="95" t="n"/>
      <c r="JZB2" s="95" t="n"/>
      <c r="JZC2" s="95" t="n"/>
      <c r="JZD2" s="95" t="n"/>
      <c r="JZE2" s="95" t="n"/>
      <c r="JZF2" s="95" t="n"/>
      <c r="JZG2" s="95" t="n"/>
      <c r="JZH2" s="95" t="n"/>
      <c r="JZI2" s="95" t="n"/>
      <c r="JZJ2" s="95" t="n"/>
      <c r="JZK2" s="95" t="n"/>
      <c r="JZL2" s="95" t="n"/>
      <c r="JZM2" s="95" t="n"/>
      <c r="JZN2" s="95" t="n"/>
      <c r="JZO2" s="95" t="n"/>
      <c r="JZP2" s="95" t="n"/>
      <c r="JZQ2" s="95" t="n"/>
      <c r="JZR2" s="95" t="n"/>
      <c r="JZS2" s="95" t="n"/>
      <c r="JZT2" s="95" t="n"/>
      <c r="JZU2" s="95" t="n"/>
      <c r="JZV2" s="95" t="n"/>
      <c r="JZW2" s="95" t="n"/>
      <c r="JZX2" s="95" t="n"/>
      <c r="JZY2" s="95" t="n"/>
      <c r="JZZ2" s="95" t="n"/>
      <c r="KAA2" s="95" t="n"/>
      <c r="KAB2" s="95" t="n"/>
      <c r="KAC2" s="95" t="n"/>
      <c r="KAD2" s="95" t="n"/>
      <c r="KAE2" s="95" t="n"/>
      <c r="KAF2" s="95" t="n"/>
      <c r="KAG2" s="95" t="n"/>
      <c r="KAH2" s="95" t="n"/>
      <c r="KAI2" s="95" t="n"/>
      <c r="KAJ2" s="95" t="n"/>
      <c r="KAK2" s="95" t="n"/>
      <c r="KAL2" s="95" t="n"/>
      <c r="KAM2" s="95" t="n"/>
      <c r="KAN2" s="95" t="n"/>
      <c r="KAO2" s="95" t="n"/>
      <c r="KAP2" s="95" t="n"/>
      <c r="KAQ2" s="95" t="n"/>
      <c r="KAR2" s="95" t="n"/>
      <c r="KAS2" s="95" t="n"/>
      <c r="KAT2" s="95" t="n"/>
      <c r="KAU2" s="95" t="n"/>
      <c r="KAV2" s="95" t="n"/>
      <c r="KAW2" s="95" t="n"/>
      <c r="KAX2" s="95" t="n"/>
      <c r="KAY2" s="95" t="n"/>
      <c r="KAZ2" s="95" t="n"/>
      <c r="KBA2" s="95" t="n"/>
      <c r="KBB2" s="95" t="n"/>
      <c r="KBC2" s="95" t="n"/>
      <c r="KBD2" s="95" t="n"/>
      <c r="KBE2" s="95" t="n"/>
      <c r="KBF2" s="95" t="n"/>
      <c r="KBG2" s="95" t="n"/>
      <c r="KBH2" s="95" t="n"/>
      <c r="KBI2" s="95" t="n"/>
      <c r="KBJ2" s="95" t="n"/>
      <c r="KBK2" s="95" t="n"/>
      <c r="KBL2" s="95" t="n"/>
      <c r="KBM2" s="95" t="n"/>
      <c r="KBN2" s="95" t="n"/>
      <c r="KBO2" s="95" t="n"/>
      <c r="KBP2" s="95" t="n"/>
      <c r="KBQ2" s="95" t="n"/>
      <c r="KBR2" s="95" t="n"/>
      <c r="KBS2" s="95" t="n"/>
      <c r="KBT2" s="95" t="n"/>
      <c r="KBU2" s="95" t="n"/>
      <c r="KBV2" s="95" t="n"/>
      <c r="KBW2" s="95" t="n"/>
      <c r="KBX2" s="95" t="n"/>
      <c r="KBY2" s="95" t="n"/>
      <c r="KBZ2" s="95" t="n"/>
      <c r="KCA2" s="95" t="n"/>
      <c r="KCB2" s="95" t="n"/>
      <c r="KCC2" s="95" t="n"/>
      <c r="KCD2" s="95" t="n"/>
      <c r="KCE2" s="95" t="n"/>
      <c r="KCF2" s="95" t="n"/>
      <c r="KCG2" s="95" t="n"/>
      <c r="KCH2" s="95" t="n"/>
      <c r="KCI2" s="95" t="n"/>
      <c r="KCJ2" s="95" t="n"/>
      <c r="KCK2" s="95" t="n"/>
      <c r="KCL2" s="95" t="n"/>
      <c r="KCM2" s="95" t="n"/>
      <c r="KCN2" s="95" t="n"/>
      <c r="KCO2" s="95" t="n"/>
      <c r="KCP2" s="95" t="n"/>
      <c r="KCQ2" s="95" t="n"/>
      <c r="KCR2" s="95" t="n"/>
      <c r="KCS2" s="95" t="n"/>
      <c r="KCT2" s="95" t="n"/>
      <c r="KCU2" s="95" t="n"/>
      <c r="KCV2" s="95" t="n"/>
      <c r="KCW2" s="95" t="n"/>
      <c r="KCX2" s="95" t="n"/>
      <c r="KCY2" s="95" t="n"/>
      <c r="KCZ2" s="95" t="n"/>
      <c r="KDA2" s="95" t="n"/>
      <c r="KDB2" s="95" t="n"/>
      <c r="KDC2" s="95" t="n"/>
      <c r="KDD2" s="95" t="n"/>
      <c r="KDE2" s="95" t="n"/>
      <c r="KDF2" s="95" t="n"/>
      <c r="KDG2" s="95" t="n"/>
      <c r="KDH2" s="95" t="n"/>
      <c r="KDI2" s="95" t="n"/>
      <c r="KDJ2" s="95" t="n"/>
      <c r="KDK2" s="95" t="n"/>
      <c r="KDL2" s="95" t="n"/>
      <c r="KDM2" s="95" t="n"/>
      <c r="KDN2" s="95" t="n"/>
      <c r="KDO2" s="95" t="n"/>
      <c r="KDP2" s="95" t="n"/>
      <c r="KDQ2" s="95" t="n"/>
      <c r="KDR2" s="95" t="n"/>
      <c r="KDS2" s="95" t="n"/>
      <c r="KDT2" s="95" t="n"/>
      <c r="KDU2" s="95" t="n"/>
      <c r="KDV2" s="95" t="n"/>
      <c r="KDW2" s="95" t="n"/>
      <c r="KDX2" s="95" t="n"/>
      <c r="KDY2" s="95" t="n"/>
      <c r="KDZ2" s="95" t="n"/>
      <c r="KEA2" s="95" t="n"/>
      <c r="KEB2" s="95" t="n"/>
      <c r="KEC2" s="95" t="n"/>
      <c r="KED2" s="95" t="n"/>
      <c r="KEE2" s="95" t="n"/>
      <c r="KEF2" s="95" t="n"/>
      <c r="KEG2" s="95" t="n"/>
      <c r="KEH2" s="95" t="n"/>
      <c r="KEI2" s="95" t="n"/>
      <c r="KEJ2" s="95" t="n"/>
      <c r="KEK2" s="95" t="n"/>
      <c r="KEL2" s="95" t="n"/>
      <c r="KEM2" s="95" t="n"/>
      <c r="KEN2" s="95" t="n"/>
      <c r="KEO2" s="95" t="n"/>
      <c r="KEP2" s="95" t="n"/>
      <c r="KEQ2" s="95" t="n"/>
      <c r="KER2" s="95" t="n"/>
      <c r="KES2" s="95" t="n"/>
      <c r="KET2" s="95" t="n"/>
      <c r="KEU2" s="95" t="n"/>
      <c r="KEV2" s="95" t="n"/>
      <c r="KEW2" s="95" t="n"/>
      <c r="KEX2" s="95" t="n"/>
      <c r="KEY2" s="95" t="n"/>
      <c r="KEZ2" s="95" t="n"/>
      <c r="KFA2" s="95" t="n"/>
      <c r="KFB2" s="95" t="n"/>
      <c r="KFC2" s="95" t="n"/>
      <c r="KFD2" s="95" t="n"/>
      <c r="KFE2" s="95" t="n"/>
      <c r="KFF2" s="95" t="n"/>
      <c r="KFG2" s="95" t="n"/>
      <c r="KFH2" s="95" t="n"/>
      <c r="KFI2" s="95" t="n"/>
      <c r="KFJ2" s="95" t="n"/>
      <c r="KFK2" s="95" t="n"/>
      <c r="KFL2" s="95" t="n"/>
      <c r="KFM2" s="95" t="n"/>
      <c r="KFN2" s="95" t="n"/>
      <c r="KFO2" s="95" t="n"/>
      <c r="KFP2" s="95" t="n"/>
      <c r="KFQ2" s="95" t="n"/>
      <c r="KFR2" s="95" t="n"/>
      <c r="KFS2" s="95" t="n"/>
      <c r="KFT2" s="95" t="n"/>
      <c r="KFU2" s="95" t="n"/>
      <c r="KFV2" s="95" t="n"/>
      <c r="KFW2" s="95" t="n"/>
      <c r="KFX2" s="95" t="n"/>
      <c r="KFY2" s="95" t="n"/>
      <c r="KFZ2" s="95" t="n"/>
      <c r="KGA2" s="95" t="n"/>
      <c r="KGB2" s="95" t="n"/>
      <c r="KGC2" s="95" t="n"/>
      <c r="KGD2" s="95" t="n"/>
      <c r="KGE2" s="95" t="n"/>
      <c r="KGF2" s="95" t="n"/>
      <c r="KGG2" s="95" t="n"/>
      <c r="KGH2" s="95" t="n"/>
      <c r="KGI2" s="95" t="n"/>
      <c r="KGJ2" s="95" t="n"/>
      <c r="KGK2" s="95" t="n"/>
      <c r="KGL2" s="95" t="n"/>
      <c r="KGM2" s="95" t="n"/>
      <c r="KGN2" s="95" t="n"/>
      <c r="KGO2" s="95" t="n"/>
      <c r="KGP2" s="95" t="n"/>
      <c r="KGQ2" s="95" t="n"/>
      <c r="KGR2" s="95" t="n"/>
      <c r="KGS2" s="95" t="n"/>
      <c r="KGT2" s="95" t="n"/>
      <c r="KGU2" s="95" t="n"/>
      <c r="KGV2" s="95" t="n"/>
      <c r="KGW2" s="95" t="n"/>
      <c r="KGX2" s="95" t="n"/>
      <c r="KGY2" s="95" t="n"/>
      <c r="KGZ2" s="95" t="n"/>
      <c r="KHA2" s="95" t="n"/>
      <c r="KHB2" s="95" t="n"/>
      <c r="KHC2" s="95" t="n"/>
      <c r="KHD2" s="95" t="n"/>
      <c r="KHE2" s="95" t="n"/>
      <c r="KHF2" s="95" t="n"/>
      <c r="KHG2" s="95" t="n"/>
      <c r="KHH2" s="95" t="n"/>
      <c r="KHI2" s="95" t="n"/>
      <c r="KHJ2" s="95" t="n"/>
      <c r="KHK2" s="95" t="n"/>
      <c r="KHL2" s="95" t="n"/>
      <c r="KHM2" s="95" t="n"/>
      <c r="KHN2" s="95" t="n"/>
      <c r="KHO2" s="95" t="n"/>
      <c r="KHP2" s="95" t="n"/>
      <c r="KHQ2" s="95" t="n"/>
      <c r="KHR2" s="95" t="n"/>
      <c r="KHS2" s="95" t="n"/>
      <c r="KHT2" s="95" t="n"/>
      <c r="KHU2" s="95" t="n"/>
      <c r="KHV2" s="95" t="n"/>
      <c r="KHW2" s="95" t="n"/>
      <c r="KHX2" s="95" t="n"/>
      <c r="KHY2" s="95" t="n"/>
      <c r="KHZ2" s="95" t="n"/>
      <c r="KIA2" s="95" t="n"/>
      <c r="KIB2" s="95" t="n"/>
      <c r="KIC2" s="95" t="n"/>
      <c r="KID2" s="95" t="n"/>
      <c r="KIE2" s="95" t="n"/>
      <c r="KIF2" s="95" t="n"/>
      <c r="KIG2" s="95" t="n"/>
      <c r="KIH2" s="95" t="n"/>
      <c r="KII2" s="95" t="n"/>
      <c r="KIJ2" s="95" t="n"/>
      <c r="KIK2" s="95" t="n"/>
      <c r="KIL2" s="95" t="n"/>
      <c r="KIM2" s="95" t="n"/>
      <c r="KIN2" s="95" t="n"/>
      <c r="KIO2" s="95" t="n"/>
      <c r="KIP2" s="95" t="n"/>
      <c r="KIQ2" s="95" t="n"/>
      <c r="KIR2" s="95" t="n"/>
      <c r="KIS2" s="95" t="n"/>
      <c r="KIT2" s="95" t="n"/>
      <c r="KIU2" s="95" t="n"/>
      <c r="KIV2" s="95" t="n"/>
      <c r="KIW2" s="95" t="n"/>
      <c r="KIX2" s="95" t="n"/>
      <c r="KIY2" s="95" t="n"/>
      <c r="KIZ2" s="95" t="n"/>
      <c r="KJA2" s="95" t="n"/>
      <c r="KJB2" s="95" t="n"/>
      <c r="KJC2" s="95" t="n"/>
      <c r="KJD2" s="95" t="n"/>
      <c r="KJE2" s="95" t="n"/>
      <c r="KJF2" s="95" t="n"/>
      <c r="KJG2" s="95" t="n"/>
      <c r="KJH2" s="95" t="n"/>
      <c r="KJI2" s="95" t="n"/>
      <c r="KJJ2" s="95" t="n"/>
      <c r="KJK2" s="95" t="n"/>
      <c r="KJL2" s="95" t="n"/>
      <c r="KJM2" s="95" t="n"/>
      <c r="KJN2" s="95" t="n"/>
      <c r="KJO2" s="95" t="n"/>
      <c r="KJP2" s="95" t="n"/>
      <c r="KJQ2" s="95" t="n"/>
      <c r="KJR2" s="95" t="n"/>
      <c r="KJS2" s="95" t="n"/>
      <c r="KJT2" s="95" t="n"/>
      <c r="KJU2" s="95" t="n"/>
      <c r="KJV2" s="95" t="n"/>
      <c r="KJW2" s="95" t="n"/>
      <c r="KJX2" s="95" t="n"/>
      <c r="KJY2" s="95" t="n"/>
      <c r="KJZ2" s="95" t="n"/>
      <c r="KKA2" s="95" t="n"/>
      <c r="KKB2" s="95" t="n"/>
      <c r="KKC2" s="95" t="n"/>
      <c r="KKD2" s="95" t="n"/>
      <c r="KKE2" s="95" t="n"/>
      <c r="KKF2" s="95" t="n"/>
      <c r="KKG2" s="95" t="n"/>
      <c r="KKH2" s="95" t="n"/>
      <c r="KKI2" s="95" t="n"/>
      <c r="KKJ2" s="95" t="n"/>
      <c r="KKK2" s="95" t="n"/>
      <c r="KKL2" s="95" t="n"/>
      <c r="KKM2" s="95" t="n"/>
      <c r="KKN2" s="95" t="n"/>
      <c r="KKO2" s="95" t="n"/>
      <c r="KKP2" s="95" t="n"/>
      <c r="KKQ2" s="95" t="n"/>
      <c r="KKR2" s="95" t="n"/>
      <c r="KKS2" s="95" t="n"/>
      <c r="KKT2" s="95" t="n"/>
      <c r="KKU2" s="95" t="n"/>
      <c r="KKV2" s="95" t="n"/>
      <c r="KKW2" s="95" t="n"/>
      <c r="KKX2" s="95" t="n"/>
      <c r="KKY2" s="95" t="n"/>
      <c r="KKZ2" s="95" t="n"/>
      <c r="KLA2" s="95" t="n"/>
      <c r="KLB2" s="95" t="n"/>
      <c r="KLC2" s="95" t="n"/>
      <c r="KLD2" s="95" t="n"/>
      <c r="KLE2" s="95" t="n"/>
      <c r="KLF2" s="95" t="n"/>
      <c r="KLG2" s="95" t="n"/>
      <c r="KLH2" s="95" t="n"/>
      <c r="KLI2" s="95" t="n"/>
      <c r="KLJ2" s="95" t="n"/>
      <c r="KLK2" s="95" t="n"/>
      <c r="KLL2" s="95" t="n"/>
      <c r="KLM2" s="95" t="n"/>
      <c r="KLN2" s="95" t="n"/>
      <c r="KLO2" s="95" t="n"/>
      <c r="KLP2" s="95" t="n"/>
      <c r="KLQ2" s="95" t="n"/>
      <c r="KLR2" s="95" t="n"/>
      <c r="KLS2" s="95" t="n"/>
      <c r="KLT2" s="95" t="n"/>
      <c r="KLU2" s="95" t="n"/>
      <c r="KLV2" s="95" t="n"/>
      <c r="KLW2" s="95" t="n"/>
      <c r="KLX2" s="95" t="n"/>
      <c r="KLY2" s="95" t="n"/>
      <c r="KLZ2" s="95" t="n"/>
      <c r="KMA2" s="95" t="n"/>
      <c r="KMB2" s="95" t="n"/>
      <c r="KMC2" s="95" t="n"/>
      <c r="KMD2" s="95" t="n"/>
      <c r="KME2" s="95" t="n"/>
      <c r="KMF2" s="95" t="n"/>
      <c r="KMG2" s="95" t="n"/>
      <c r="KMH2" s="95" t="n"/>
      <c r="KMI2" s="95" t="n"/>
      <c r="KMJ2" s="95" t="n"/>
      <c r="KMK2" s="95" t="n"/>
      <c r="KML2" s="95" t="n"/>
      <c r="KMM2" s="95" t="n"/>
      <c r="KMN2" s="95" t="n"/>
      <c r="KMO2" s="95" t="n"/>
      <c r="KMP2" s="95" t="n"/>
      <c r="KMQ2" s="95" t="n"/>
      <c r="KMR2" s="95" t="n"/>
      <c r="KMS2" s="95" t="n"/>
      <c r="KMT2" s="95" t="n"/>
      <c r="KMU2" s="95" t="n"/>
      <c r="KMV2" s="95" t="n"/>
      <c r="KMW2" s="95" t="n"/>
      <c r="KMX2" s="95" t="n"/>
      <c r="KMY2" s="95" t="n"/>
      <c r="KMZ2" s="95" t="n"/>
      <c r="KNA2" s="95" t="n"/>
      <c r="KNB2" s="95" t="n"/>
      <c r="KNC2" s="95" t="n"/>
      <c r="KND2" s="95" t="n"/>
      <c r="KNE2" s="95" t="n"/>
      <c r="KNF2" s="95" t="n"/>
      <c r="KNG2" s="95" t="n"/>
      <c r="KNH2" s="95" t="n"/>
      <c r="KNI2" s="95" t="n"/>
      <c r="KNJ2" s="95" t="n"/>
      <c r="KNK2" s="95" t="n"/>
      <c r="KNL2" s="95" t="n"/>
      <c r="KNM2" s="95" t="n"/>
      <c r="KNN2" s="95" t="n"/>
      <c r="KNO2" s="95" t="n"/>
      <c r="KNP2" s="95" t="n"/>
      <c r="KNQ2" s="95" t="n"/>
      <c r="KNR2" s="95" t="n"/>
      <c r="KNS2" s="95" t="n"/>
      <c r="KNT2" s="95" t="n"/>
      <c r="KNU2" s="95" t="n"/>
      <c r="KNV2" s="95" t="n"/>
      <c r="KNW2" s="95" t="n"/>
      <c r="KNX2" s="95" t="n"/>
      <c r="KNY2" s="95" t="n"/>
      <c r="KNZ2" s="95" t="n"/>
      <c r="KOA2" s="95" t="n"/>
      <c r="KOB2" s="95" t="n"/>
      <c r="KOC2" s="95" t="n"/>
      <c r="KOD2" s="95" t="n"/>
      <c r="KOE2" s="95" t="n"/>
      <c r="KOF2" s="95" t="n"/>
      <c r="KOG2" s="95" t="n"/>
      <c r="KOH2" s="95" t="n"/>
      <c r="KOI2" s="95" t="n"/>
      <c r="KOJ2" s="95" t="n"/>
      <c r="KOK2" s="95" t="n"/>
      <c r="KOL2" s="95" t="n"/>
      <c r="KOM2" s="95" t="n"/>
      <c r="KON2" s="95" t="n"/>
      <c r="KOO2" s="95" t="n"/>
      <c r="KOP2" s="95" t="n"/>
      <c r="KOQ2" s="95" t="n"/>
      <c r="KOR2" s="95" t="n"/>
      <c r="KOS2" s="95" t="n"/>
      <c r="KOT2" s="95" t="n"/>
      <c r="KOU2" s="95" t="n"/>
      <c r="KOV2" s="95" t="n"/>
      <c r="KOW2" s="95" t="n"/>
      <c r="KOX2" s="95" t="n"/>
      <c r="KOY2" s="95" t="n"/>
      <c r="KOZ2" s="95" t="n"/>
      <c r="KPA2" s="95" t="n"/>
      <c r="KPB2" s="95" t="n"/>
      <c r="KPC2" s="95" t="n"/>
      <c r="KPD2" s="95" t="n"/>
      <c r="KPE2" s="95" t="n"/>
      <c r="KPF2" s="95" t="n"/>
      <c r="KPG2" s="95" t="n"/>
      <c r="KPH2" s="95" t="n"/>
      <c r="KPI2" s="95" t="n"/>
      <c r="KPJ2" s="95" t="n"/>
      <c r="KPK2" s="95" t="n"/>
      <c r="KPL2" s="95" t="n"/>
      <c r="KPM2" s="95" t="n"/>
      <c r="KPN2" s="95" t="n"/>
      <c r="KPO2" s="95" t="n"/>
      <c r="KPP2" s="95" t="n"/>
      <c r="KPQ2" s="95" t="n"/>
      <c r="KPR2" s="95" t="n"/>
      <c r="KPS2" s="95" t="n"/>
      <c r="KPT2" s="95" t="n"/>
      <c r="KPU2" s="95" t="n"/>
      <c r="KPV2" s="95" t="n"/>
      <c r="KPW2" s="95" t="n"/>
      <c r="KPX2" s="95" t="n"/>
      <c r="KPY2" s="95" t="n"/>
      <c r="KPZ2" s="95" t="n"/>
      <c r="KQA2" s="95" t="n"/>
      <c r="KQB2" s="95" t="n"/>
      <c r="KQC2" s="95" t="n"/>
      <c r="KQD2" s="95" t="n"/>
      <c r="KQE2" s="95" t="n"/>
      <c r="KQF2" s="95" t="n"/>
      <c r="KQG2" s="95" t="n"/>
      <c r="KQH2" s="95" t="n"/>
      <c r="KQI2" s="95" t="n"/>
      <c r="KQJ2" s="95" t="n"/>
      <c r="KQK2" s="95" t="n"/>
      <c r="KQL2" s="95" t="n"/>
      <c r="KQM2" s="95" t="n"/>
      <c r="KQN2" s="95" t="n"/>
      <c r="KQO2" s="95" t="n"/>
      <c r="KQP2" s="95" t="n"/>
      <c r="KQQ2" s="95" t="n"/>
      <c r="KQR2" s="95" t="n"/>
      <c r="KQS2" s="95" t="n"/>
      <c r="KQT2" s="95" t="n"/>
      <c r="KQU2" s="95" t="n"/>
      <c r="KQV2" s="95" t="n"/>
      <c r="KQW2" s="95" t="n"/>
      <c r="KQX2" s="95" t="n"/>
      <c r="KQY2" s="95" t="n"/>
      <c r="KQZ2" s="95" t="n"/>
      <c r="KRA2" s="95" t="n"/>
      <c r="KRB2" s="95" t="n"/>
      <c r="KRC2" s="95" t="n"/>
      <c r="KRD2" s="95" t="n"/>
      <c r="KRE2" s="95" t="n"/>
      <c r="KRF2" s="95" t="n"/>
      <c r="KRG2" s="95" t="n"/>
      <c r="KRH2" s="95" t="n"/>
      <c r="KRI2" s="95" t="n"/>
      <c r="KRJ2" s="95" t="n"/>
      <c r="KRK2" s="95" t="n"/>
      <c r="KRL2" s="95" t="n"/>
      <c r="KRM2" s="95" t="n"/>
      <c r="KRN2" s="95" t="n"/>
      <c r="KRO2" s="95" t="n"/>
      <c r="KRP2" s="95" t="n"/>
      <c r="KRQ2" s="95" t="n"/>
      <c r="KRR2" s="95" t="n"/>
      <c r="KRS2" s="95" t="n"/>
      <c r="KRT2" s="95" t="n"/>
      <c r="KRU2" s="95" t="n"/>
      <c r="KRV2" s="95" t="n"/>
      <c r="KRW2" s="95" t="n"/>
      <c r="KRX2" s="95" t="n"/>
      <c r="KRY2" s="95" t="n"/>
      <c r="KRZ2" s="95" t="n"/>
      <c r="KSA2" s="95" t="n"/>
      <c r="KSB2" s="95" t="n"/>
      <c r="KSC2" s="95" t="n"/>
      <c r="KSD2" s="95" t="n"/>
      <c r="KSE2" s="95" t="n"/>
      <c r="KSF2" s="95" t="n"/>
      <c r="KSG2" s="95" t="n"/>
      <c r="KSH2" s="95" t="n"/>
      <c r="KSI2" s="95" t="n"/>
      <c r="KSJ2" s="95" t="n"/>
      <c r="KSK2" s="95" t="n"/>
      <c r="KSL2" s="95" t="n"/>
      <c r="KSM2" s="95" t="n"/>
      <c r="KSN2" s="95" t="n"/>
      <c r="KSO2" s="95" t="n"/>
      <c r="KSP2" s="95" t="n"/>
      <c r="KSQ2" s="95" t="n"/>
      <c r="KSR2" s="95" t="n"/>
      <c r="KSS2" s="95" t="n"/>
      <c r="KST2" s="95" t="n"/>
      <c r="KSU2" s="95" t="n"/>
      <c r="KSV2" s="95" t="n"/>
      <c r="KSW2" s="95" t="n"/>
      <c r="KSX2" s="95" t="n"/>
      <c r="KSY2" s="95" t="n"/>
      <c r="KSZ2" s="95" t="n"/>
      <c r="KTA2" s="95" t="n"/>
      <c r="KTB2" s="95" t="n"/>
      <c r="KTC2" s="95" t="n"/>
      <c r="KTD2" s="95" t="n"/>
      <c r="KTE2" s="95" t="n"/>
      <c r="KTF2" s="95" t="n"/>
      <c r="KTG2" s="95" t="n"/>
      <c r="KTH2" s="95" t="n"/>
      <c r="KTI2" s="95" t="n"/>
      <c r="KTJ2" s="95" t="n"/>
      <c r="KTK2" s="95" t="n"/>
      <c r="KTL2" s="95" t="n"/>
      <c r="KTM2" s="95" t="n"/>
      <c r="KTN2" s="95" t="n"/>
      <c r="KTO2" s="95" t="n"/>
      <c r="KTP2" s="95" t="n"/>
      <c r="KTQ2" s="95" t="n"/>
      <c r="KTR2" s="95" t="n"/>
      <c r="KTS2" s="95" t="n"/>
      <c r="KTT2" s="95" t="n"/>
      <c r="KTU2" s="95" t="n"/>
      <c r="KTV2" s="95" t="n"/>
      <c r="KTW2" s="95" t="n"/>
      <c r="KTX2" s="95" t="n"/>
      <c r="KTY2" s="95" t="n"/>
      <c r="KTZ2" s="95" t="n"/>
      <c r="KUA2" s="95" t="n"/>
      <c r="KUB2" s="95" t="n"/>
      <c r="KUC2" s="95" t="n"/>
      <c r="KUD2" s="95" t="n"/>
      <c r="KUE2" s="95" t="n"/>
      <c r="KUF2" s="95" t="n"/>
      <c r="KUG2" s="95" t="n"/>
      <c r="KUH2" s="95" t="n"/>
      <c r="KUI2" s="95" t="n"/>
      <c r="KUJ2" s="95" t="n"/>
      <c r="KUK2" s="95" t="n"/>
      <c r="KUL2" s="95" t="n"/>
      <c r="KUM2" s="95" t="n"/>
      <c r="KUN2" s="95" t="n"/>
      <c r="KUO2" s="95" t="n"/>
      <c r="KUP2" s="95" t="n"/>
      <c r="KUQ2" s="95" t="n"/>
      <c r="KUR2" s="95" t="n"/>
      <c r="KUS2" s="95" t="n"/>
      <c r="KUT2" s="95" t="n"/>
      <c r="KUU2" s="95" t="n"/>
      <c r="KUV2" s="95" t="n"/>
      <c r="KUW2" s="95" t="n"/>
      <c r="KUX2" s="95" t="n"/>
      <c r="KUY2" s="95" t="n"/>
      <c r="KUZ2" s="95" t="n"/>
      <c r="KVA2" s="95" t="n"/>
      <c r="KVB2" s="95" t="n"/>
      <c r="KVC2" s="95" t="n"/>
      <c r="KVD2" s="95" t="n"/>
      <c r="KVE2" s="95" t="n"/>
      <c r="KVF2" s="95" t="n"/>
      <c r="KVG2" s="95" t="n"/>
      <c r="KVH2" s="95" t="n"/>
      <c r="KVI2" s="95" t="n"/>
      <c r="KVJ2" s="95" t="n"/>
      <c r="KVK2" s="95" t="n"/>
      <c r="KVL2" s="95" t="n"/>
      <c r="KVM2" s="95" t="n"/>
      <c r="KVN2" s="95" t="n"/>
      <c r="KVO2" s="95" t="n"/>
      <c r="KVP2" s="95" t="n"/>
      <c r="KVQ2" s="95" t="n"/>
      <c r="KVR2" s="95" t="n"/>
      <c r="KVS2" s="95" t="n"/>
      <c r="KVT2" s="95" t="n"/>
      <c r="KVU2" s="95" t="n"/>
      <c r="KVV2" s="95" t="n"/>
      <c r="KVW2" s="95" t="n"/>
      <c r="KVX2" s="95" t="n"/>
      <c r="KVY2" s="95" t="n"/>
      <c r="KVZ2" s="95" t="n"/>
      <c r="KWA2" s="95" t="n"/>
      <c r="KWB2" s="95" t="n"/>
      <c r="KWC2" s="95" t="n"/>
      <c r="KWD2" s="95" t="n"/>
      <c r="KWE2" s="95" t="n"/>
      <c r="KWF2" s="95" t="n"/>
      <c r="KWG2" s="95" t="n"/>
      <c r="KWH2" s="95" t="n"/>
      <c r="KWI2" s="95" t="n"/>
      <c r="KWJ2" s="95" t="n"/>
      <c r="KWK2" s="95" t="n"/>
      <c r="KWL2" s="95" t="n"/>
      <c r="KWM2" s="95" t="n"/>
      <c r="KWN2" s="95" t="n"/>
      <c r="KWO2" s="95" t="n"/>
      <c r="KWP2" s="95" t="n"/>
      <c r="KWQ2" s="95" t="n"/>
      <c r="KWR2" s="95" t="n"/>
      <c r="KWS2" s="95" t="n"/>
      <c r="KWT2" s="95" t="n"/>
      <c r="KWU2" s="95" t="n"/>
      <c r="KWV2" s="95" t="n"/>
      <c r="KWW2" s="95" t="n"/>
      <c r="KWX2" s="95" t="n"/>
      <c r="KWY2" s="95" t="n"/>
      <c r="KWZ2" s="95" t="n"/>
      <c r="KXA2" s="95" t="n"/>
      <c r="KXB2" s="95" t="n"/>
      <c r="KXC2" s="95" t="n"/>
      <c r="KXD2" s="95" t="n"/>
      <c r="KXE2" s="95" t="n"/>
      <c r="KXF2" s="95" t="n"/>
      <c r="KXG2" s="95" t="n"/>
      <c r="KXH2" s="95" t="n"/>
      <c r="KXI2" s="95" t="n"/>
      <c r="KXJ2" s="95" t="n"/>
      <c r="KXK2" s="95" t="n"/>
      <c r="KXL2" s="95" t="n"/>
      <c r="KXM2" s="95" t="n"/>
      <c r="KXN2" s="95" t="n"/>
      <c r="KXO2" s="95" t="n"/>
      <c r="KXP2" s="95" t="n"/>
      <c r="KXQ2" s="95" t="n"/>
      <c r="KXR2" s="95" t="n"/>
      <c r="KXS2" s="95" t="n"/>
      <c r="KXT2" s="95" t="n"/>
      <c r="KXU2" s="95" t="n"/>
      <c r="KXV2" s="95" t="n"/>
      <c r="KXW2" s="95" t="n"/>
      <c r="KXX2" s="95" t="n"/>
      <c r="KXY2" s="95" t="n"/>
      <c r="KXZ2" s="95" t="n"/>
      <c r="KYA2" s="95" t="n"/>
      <c r="KYB2" s="95" t="n"/>
      <c r="KYC2" s="95" t="n"/>
      <c r="KYD2" s="95" t="n"/>
      <c r="KYE2" s="95" t="n"/>
      <c r="KYF2" s="95" t="n"/>
      <c r="KYG2" s="95" t="n"/>
      <c r="KYH2" s="95" t="n"/>
      <c r="KYI2" s="95" t="n"/>
      <c r="KYJ2" s="95" t="n"/>
      <c r="KYK2" s="95" t="n"/>
      <c r="KYL2" s="95" t="n"/>
      <c r="KYM2" s="95" t="n"/>
      <c r="KYN2" s="95" t="n"/>
      <c r="KYO2" s="95" t="n"/>
      <c r="KYP2" s="95" t="n"/>
      <c r="KYQ2" s="95" t="n"/>
      <c r="KYR2" s="95" t="n"/>
      <c r="KYS2" s="95" t="n"/>
      <c r="KYT2" s="95" t="n"/>
      <c r="KYU2" s="95" t="n"/>
      <c r="KYV2" s="95" t="n"/>
      <c r="KYW2" s="95" t="n"/>
      <c r="KYX2" s="95" t="n"/>
      <c r="KYY2" s="95" t="n"/>
      <c r="KYZ2" s="95" t="n"/>
      <c r="KZA2" s="95" t="n"/>
      <c r="KZB2" s="95" t="n"/>
      <c r="KZC2" s="95" t="n"/>
      <c r="KZD2" s="95" t="n"/>
      <c r="KZE2" s="95" t="n"/>
      <c r="KZF2" s="95" t="n"/>
      <c r="KZG2" s="95" t="n"/>
      <c r="KZH2" s="95" t="n"/>
      <c r="KZI2" s="95" t="n"/>
      <c r="KZJ2" s="95" t="n"/>
      <c r="KZK2" s="95" t="n"/>
      <c r="KZL2" s="95" t="n"/>
      <c r="KZM2" s="95" t="n"/>
      <c r="KZN2" s="95" t="n"/>
      <c r="KZO2" s="95" t="n"/>
      <c r="KZP2" s="95" t="n"/>
      <c r="KZQ2" s="95" t="n"/>
      <c r="KZR2" s="95" t="n"/>
      <c r="KZS2" s="95" t="n"/>
      <c r="KZT2" s="95" t="n"/>
      <c r="KZU2" s="95" t="n"/>
      <c r="KZV2" s="95" t="n"/>
      <c r="KZW2" s="95" t="n"/>
      <c r="KZX2" s="95" t="n"/>
      <c r="KZY2" s="95" t="n"/>
      <c r="KZZ2" s="95" t="n"/>
      <c r="LAA2" s="95" t="n"/>
      <c r="LAB2" s="95" t="n"/>
      <c r="LAC2" s="95" t="n"/>
      <c r="LAD2" s="95" t="n"/>
      <c r="LAE2" s="95" t="n"/>
      <c r="LAF2" s="95" t="n"/>
      <c r="LAG2" s="95" t="n"/>
      <c r="LAH2" s="95" t="n"/>
      <c r="LAI2" s="95" t="n"/>
      <c r="LAJ2" s="95" t="n"/>
      <c r="LAK2" s="95" t="n"/>
      <c r="LAL2" s="95" t="n"/>
      <c r="LAM2" s="95" t="n"/>
      <c r="LAN2" s="95" t="n"/>
      <c r="LAO2" s="95" t="n"/>
      <c r="LAP2" s="95" t="n"/>
      <c r="LAQ2" s="95" t="n"/>
      <c r="LAR2" s="95" t="n"/>
      <c r="LAS2" s="95" t="n"/>
      <c r="LAT2" s="95" t="n"/>
      <c r="LAU2" s="95" t="n"/>
      <c r="LAV2" s="95" t="n"/>
      <c r="LAW2" s="95" t="n"/>
      <c r="LAX2" s="95" t="n"/>
      <c r="LAY2" s="95" t="n"/>
      <c r="LAZ2" s="95" t="n"/>
      <c r="LBA2" s="95" t="n"/>
      <c r="LBB2" s="95" t="n"/>
      <c r="LBC2" s="95" t="n"/>
      <c r="LBD2" s="95" t="n"/>
      <c r="LBE2" s="95" t="n"/>
      <c r="LBF2" s="95" t="n"/>
      <c r="LBG2" s="95" t="n"/>
      <c r="LBH2" s="95" t="n"/>
      <c r="LBI2" s="95" t="n"/>
      <c r="LBJ2" s="95" t="n"/>
      <c r="LBK2" s="95" t="n"/>
      <c r="LBL2" s="95" t="n"/>
      <c r="LBM2" s="95" t="n"/>
      <c r="LBN2" s="95" t="n"/>
      <c r="LBO2" s="95" t="n"/>
      <c r="LBP2" s="95" t="n"/>
      <c r="LBQ2" s="95" t="n"/>
      <c r="LBR2" s="95" t="n"/>
      <c r="LBS2" s="95" t="n"/>
      <c r="LBT2" s="95" t="n"/>
      <c r="LBU2" s="95" t="n"/>
      <c r="LBV2" s="95" t="n"/>
      <c r="LBW2" s="95" t="n"/>
      <c r="LBX2" s="95" t="n"/>
      <c r="LBY2" s="95" t="n"/>
      <c r="LBZ2" s="95" t="n"/>
      <c r="LCA2" s="95" t="n"/>
      <c r="LCB2" s="95" t="n"/>
      <c r="LCC2" s="95" t="n"/>
      <c r="LCD2" s="95" t="n"/>
      <c r="LCE2" s="95" t="n"/>
      <c r="LCF2" s="95" t="n"/>
      <c r="LCG2" s="95" t="n"/>
      <c r="LCH2" s="95" t="n"/>
      <c r="LCI2" s="95" t="n"/>
      <c r="LCJ2" s="95" t="n"/>
      <c r="LCK2" s="95" t="n"/>
      <c r="LCL2" s="95" t="n"/>
      <c r="LCM2" s="95" t="n"/>
      <c r="LCN2" s="95" t="n"/>
      <c r="LCO2" s="95" t="n"/>
      <c r="LCP2" s="95" t="n"/>
      <c r="LCQ2" s="95" t="n"/>
      <c r="LCR2" s="95" t="n"/>
      <c r="LCS2" s="95" t="n"/>
      <c r="LCT2" s="95" t="n"/>
      <c r="LCU2" s="95" t="n"/>
      <c r="LCV2" s="95" t="n"/>
      <c r="LCW2" s="95" t="n"/>
      <c r="LCX2" s="95" t="n"/>
      <c r="LCY2" s="95" t="n"/>
      <c r="LCZ2" s="95" t="n"/>
      <c r="LDA2" s="95" t="n"/>
      <c r="LDB2" s="95" t="n"/>
      <c r="LDC2" s="95" t="n"/>
      <c r="LDD2" s="95" t="n"/>
      <c r="LDE2" s="95" t="n"/>
      <c r="LDF2" s="95" t="n"/>
      <c r="LDG2" s="95" t="n"/>
      <c r="LDH2" s="95" t="n"/>
      <c r="LDI2" s="95" t="n"/>
      <c r="LDJ2" s="95" t="n"/>
      <c r="LDK2" s="95" t="n"/>
      <c r="LDL2" s="95" t="n"/>
      <c r="LDM2" s="95" t="n"/>
      <c r="LDN2" s="95" t="n"/>
      <c r="LDO2" s="95" t="n"/>
      <c r="LDP2" s="95" t="n"/>
      <c r="LDQ2" s="95" t="n"/>
      <c r="LDR2" s="95" t="n"/>
      <c r="LDS2" s="95" t="n"/>
      <c r="LDT2" s="95" t="n"/>
      <c r="LDU2" s="95" t="n"/>
      <c r="LDV2" s="95" t="n"/>
      <c r="LDW2" s="95" t="n"/>
      <c r="LDX2" s="95" t="n"/>
      <c r="LDY2" s="95" t="n"/>
      <c r="LDZ2" s="95" t="n"/>
      <c r="LEA2" s="95" t="n"/>
      <c r="LEB2" s="95" t="n"/>
      <c r="LEC2" s="95" t="n"/>
      <c r="LED2" s="95" t="n"/>
      <c r="LEE2" s="95" t="n"/>
      <c r="LEF2" s="95" t="n"/>
      <c r="LEG2" s="95" t="n"/>
      <c r="LEH2" s="95" t="n"/>
      <c r="LEI2" s="95" t="n"/>
      <c r="LEJ2" s="95" t="n"/>
      <c r="LEK2" s="95" t="n"/>
      <c r="LEL2" s="95" t="n"/>
      <c r="LEM2" s="95" t="n"/>
      <c r="LEN2" s="95" t="n"/>
      <c r="LEO2" s="95" t="n"/>
      <c r="LEP2" s="95" t="n"/>
      <c r="LEQ2" s="95" t="n"/>
      <c r="LER2" s="95" t="n"/>
      <c r="LES2" s="95" t="n"/>
      <c r="LET2" s="95" t="n"/>
      <c r="LEU2" s="95" t="n"/>
      <c r="LEV2" s="95" t="n"/>
      <c r="LEW2" s="95" t="n"/>
      <c r="LEX2" s="95" t="n"/>
      <c r="LEY2" s="95" t="n"/>
      <c r="LEZ2" s="95" t="n"/>
      <c r="LFA2" s="95" t="n"/>
      <c r="LFB2" s="95" t="n"/>
      <c r="LFC2" s="95" t="n"/>
      <c r="LFD2" s="95" t="n"/>
      <c r="LFE2" s="95" t="n"/>
      <c r="LFF2" s="95" t="n"/>
      <c r="LFG2" s="95" t="n"/>
      <c r="LFH2" s="95" t="n"/>
      <c r="LFI2" s="95" t="n"/>
      <c r="LFJ2" s="95" t="n"/>
      <c r="LFK2" s="95" t="n"/>
      <c r="LFL2" s="95" t="n"/>
      <c r="LFM2" s="95" t="n"/>
      <c r="LFN2" s="95" t="n"/>
      <c r="LFO2" s="95" t="n"/>
      <c r="LFP2" s="95" t="n"/>
      <c r="LFQ2" s="95" t="n"/>
      <c r="LFR2" s="95" t="n"/>
      <c r="LFS2" s="95" t="n"/>
      <c r="LFT2" s="95" t="n"/>
      <c r="LFU2" s="95" t="n"/>
      <c r="LFV2" s="95" t="n"/>
      <c r="LFW2" s="95" t="n"/>
      <c r="LFX2" s="95" t="n"/>
      <c r="LFY2" s="95" t="n"/>
      <c r="LFZ2" s="95" t="n"/>
      <c r="LGA2" s="95" t="n"/>
      <c r="LGB2" s="95" t="n"/>
      <c r="LGC2" s="95" t="n"/>
      <c r="LGD2" s="95" t="n"/>
      <c r="LGE2" s="95" t="n"/>
      <c r="LGF2" s="95" t="n"/>
      <c r="LGG2" s="95" t="n"/>
      <c r="LGH2" s="95" t="n"/>
      <c r="LGI2" s="95" t="n"/>
      <c r="LGJ2" s="95" t="n"/>
      <c r="LGK2" s="95" t="n"/>
      <c r="LGL2" s="95" t="n"/>
      <c r="LGM2" s="95" t="n"/>
      <c r="LGN2" s="95" t="n"/>
      <c r="LGO2" s="95" t="n"/>
      <c r="LGP2" s="95" t="n"/>
      <c r="LGQ2" s="95" t="n"/>
      <c r="LGR2" s="95" t="n"/>
      <c r="LGS2" s="95" t="n"/>
      <c r="LGT2" s="95" t="n"/>
      <c r="LGU2" s="95" t="n"/>
      <c r="LGV2" s="95" t="n"/>
      <c r="LGW2" s="95" t="n"/>
      <c r="LGX2" s="95" t="n"/>
      <c r="LGY2" s="95" t="n"/>
      <c r="LGZ2" s="95" t="n"/>
      <c r="LHA2" s="95" t="n"/>
      <c r="LHB2" s="95" t="n"/>
      <c r="LHC2" s="95" t="n"/>
      <c r="LHD2" s="95" t="n"/>
      <c r="LHE2" s="95" t="n"/>
      <c r="LHF2" s="95" t="n"/>
      <c r="LHG2" s="95" t="n"/>
      <c r="LHH2" s="95" t="n"/>
      <c r="LHI2" s="95" t="n"/>
      <c r="LHJ2" s="95" t="n"/>
      <c r="LHK2" s="95" t="n"/>
      <c r="LHL2" s="95" t="n"/>
      <c r="LHM2" s="95" t="n"/>
      <c r="LHN2" s="95" t="n"/>
      <c r="LHO2" s="95" t="n"/>
      <c r="LHP2" s="95" t="n"/>
      <c r="LHQ2" s="95" t="n"/>
      <c r="LHR2" s="95" t="n"/>
      <c r="LHS2" s="95" t="n"/>
      <c r="LHT2" s="95" t="n"/>
      <c r="LHU2" s="95" t="n"/>
      <c r="LHV2" s="95" t="n"/>
      <c r="LHW2" s="95" t="n"/>
      <c r="LHX2" s="95" t="n"/>
      <c r="LHY2" s="95" t="n"/>
      <c r="LHZ2" s="95" t="n"/>
      <c r="LIA2" s="95" t="n"/>
      <c r="LIB2" s="95" t="n"/>
      <c r="LIC2" s="95" t="n"/>
      <c r="LID2" s="95" t="n"/>
      <c r="LIE2" s="95" t="n"/>
      <c r="LIF2" s="95" t="n"/>
      <c r="LIG2" s="95" t="n"/>
      <c r="LIH2" s="95" t="n"/>
      <c r="LII2" s="95" t="n"/>
      <c r="LIJ2" s="95" t="n"/>
      <c r="LIK2" s="95" t="n"/>
      <c r="LIL2" s="95" t="n"/>
      <c r="LIM2" s="95" t="n"/>
      <c r="LIN2" s="95" t="n"/>
      <c r="LIO2" s="95" t="n"/>
      <c r="LIP2" s="95" t="n"/>
      <c r="LIQ2" s="95" t="n"/>
      <c r="LIR2" s="95" t="n"/>
      <c r="LIS2" s="95" t="n"/>
      <c r="LIT2" s="95" t="n"/>
      <c r="LIU2" s="95" t="n"/>
      <c r="LIV2" s="95" t="n"/>
      <c r="LIW2" s="95" t="n"/>
      <c r="LIX2" s="95" t="n"/>
      <c r="LIY2" s="95" t="n"/>
      <c r="LIZ2" s="95" t="n"/>
      <c r="LJA2" s="95" t="n"/>
      <c r="LJB2" s="95" t="n"/>
      <c r="LJC2" s="95" t="n"/>
      <c r="LJD2" s="95" t="n"/>
      <c r="LJE2" s="95" t="n"/>
      <c r="LJF2" s="95" t="n"/>
      <c r="LJG2" s="95" t="n"/>
      <c r="LJH2" s="95" t="n"/>
      <c r="LJI2" s="95" t="n"/>
      <c r="LJJ2" s="95" t="n"/>
      <c r="LJK2" s="95" t="n"/>
      <c r="LJL2" s="95" t="n"/>
      <c r="LJM2" s="95" t="n"/>
      <c r="LJN2" s="95" t="n"/>
      <c r="LJO2" s="95" t="n"/>
      <c r="LJP2" s="95" t="n"/>
      <c r="LJQ2" s="95" t="n"/>
      <c r="LJR2" s="95" t="n"/>
      <c r="LJS2" s="95" t="n"/>
      <c r="LJT2" s="95" t="n"/>
      <c r="LJU2" s="95" t="n"/>
      <c r="LJV2" s="95" t="n"/>
      <c r="LJW2" s="95" t="n"/>
      <c r="LJX2" s="95" t="n"/>
      <c r="LJY2" s="95" t="n"/>
      <c r="LJZ2" s="95" t="n"/>
      <c r="LKA2" s="95" t="n"/>
      <c r="LKB2" s="95" t="n"/>
      <c r="LKC2" s="95" t="n"/>
      <c r="LKD2" s="95" t="n"/>
      <c r="LKE2" s="95" t="n"/>
      <c r="LKF2" s="95" t="n"/>
      <c r="LKG2" s="95" t="n"/>
      <c r="LKH2" s="95" t="n"/>
      <c r="LKI2" s="95" t="n"/>
      <c r="LKJ2" s="95" t="n"/>
      <c r="LKK2" s="95" t="n"/>
      <c r="LKL2" s="95" t="n"/>
      <c r="LKM2" s="95" t="n"/>
      <c r="LKN2" s="95" t="n"/>
      <c r="LKO2" s="95" t="n"/>
      <c r="LKP2" s="95" t="n"/>
      <c r="LKQ2" s="95" t="n"/>
      <c r="LKR2" s="95" t="n"/>
      <c r="LKS2" s="95" t="n"/>
      <c r="LKT2" s="95" t="n"/>
      <c r="LKU2" s="95" t="n"/>
      <c r="LKV2" s="95" t="n"/>
      <c r="LKW2" s="95" t="n"/>
      <c r="LKX2" s="95" t="n"/>
      <c r="LKY2" s="95" t="n"/>
      <c r="LKZ2" s="95" t="n"/>
      <c r="LLA2" s="95" t="n"/>
      <c r="LLB2" s="95" t="n"/>
      <c r="LLC2" s="95" t="n"/>
      <c r="LLD2" s="95" t="n"/>
      <c r="LLE2" s="95" t="n"/>
      <c r="LLF2" s="95" t="n"/>
      <c r="LLG2" s="95" t="n"/>
      <c r="LLH2" s="95" t="n"/>
      <c r="LLI2" s="95" t="n"/>
      <c r="LLJ2" s="95" t="n"/>
      <c r="LLK2" s="95" t="n"/>
      <c r="LLL2" s="95" t="n"/>
      <c r="LLM2" s="95" t="n"/>
      <c r="LLN2" s="95" t="n"/>
      <c r="LLO2" s="95" t="n"/>
      <c r="LLP2" s="95" t="n"/>
      <c r="LLQ2" s="95" t="n"/>
      <c r="LLR2" s="95" t="n"/>
      <c r="LLS2" s="95" t="n"/>
      <c r="LLT2" s="95" t="n"/>
      <c r="LLU2" s="95" t="n"/>
      <c r="LLV2" s="95" t="n"/>
      <c r="LLW2" s="95" t="n"/>
      <c r="LLX2" s="95" t="n"/>
      <c r="LLY2" s="95" t="n"/>
      <c r="LLZ2" s="95" t="n"/>
      <c r="LMA2" s="95" t="n"/>
      <c r="LMB2" s="95" t="n"/>
      <c r="LMC2" s="95" t="n"/>
      <c r="LMD2" s="95" t="n"/>
      <c r="LME2" s="95" t="n"/>
      <c r="LMF2" s="95" t="n"/>
      <c r="LMG2" s="95" t="n"/>
      <c r="LMH2" s="95" t="n"/>
      <c r="LMI2" s="95" t="n"/>
      <c r="LMJ2" s="95" t="n"/>
      <c r="LMK2" s="95" t="n"/>
      <c r="LML2" s="95" t="n"/>
      <c r="LMM2" s="95" t="n"/>
      <c r="LMN2" s="95" t="n"/>
      <c r="LMO2" s="95" t="n"/>
      <c r="LMP2" s="95" t="n"/>
      <c r="LMQ2" s="95" t="n"/>
      <c r="LMR2" s="95" t="n"/>
      <c r="LMS2" s="95" t="n"/>
      <c r="LMT2" s="95" t="n"/>
      <c r="LMU2" s="95" t="n"/>
      <c r="LMV2" s="95" t="n"/>
      <c r="LMW2" s="95" t="n"/>
      <c r="LMX2" s="95" t="n"/>
      <c r="LMY2" s="95" t="n"/>
      <c r="LMZ2" s="95" t="n"/>
      <c r="LNA2" s="95" t="n"/>
      <c r="LNB2" s="95" t="n"/>
      <c r="LNC2" s="95" t="n"/>
      <c r="LND2" s="95" t="n"/>
      <c r="LNE2" s="95" t="n"/>
      <c r="LNF2" s="95" t="n"/>
      <c r="LNG2" s="95" t="n"/>
      <c r="LNH2" s="95" t="n"/>
      <c r="LNI2" s="95" t="n"/>
      <c r="LNJ2" s="95" t="n"/>
      <c r="LNK2" s="95" t="n"/>
      <c r="LNL2" s="95" t="n"/>
      <c r="LNM2" s="95" t="n"/>
      <c r="LNN2" s="95" t="n"/>
      <c r="LNO2" s="95" t="n"/>
      <c r="LNP2" s="95" t="n"/>
      <c r="LNQ2" s="95" t="n"/>
      <c r="LNR2" s="95" t="n"/>
      <c r="LNS2" s="95" t="n"/>
      <c r="LNT2" s="95" t="n"/>
      <c r="LNU2" s="95" t="n"/>
      <c r="LNV2" s="95" t="n"/>
      <c r="LNW2" s="95" t="n"/>
      <c r="LNX2" s="95" t="n"/>
      <c r="LNY2" s="95" t="n"/>
      <c r="LNZ2" s="95" t="n"/>
      <c r="LOA2" s="95" t="n"/>
      <c r="LOB2" s="95" t="n"/>
      <c r="LOC2" s="95" t="n"/>
      <c r="LOD2" s="95" t="n"/>
      <c r="LOE2" s="95" t="n"/>
      <c r="LOF2" s="95" t="n"/>
      <c r="LOG2" s="95" t="n"/>
      <c r="LOH2" s="95" t="n"/>
      <c r="LOI2" s="95" t="n"/>
      <c r="LOJ2" s="95" t="n"/>
      <c r="LOK2" s="95" t="n"/>
      <c r="LOL2" s="95" t="n"/>
      <c r="LOM2" s="95" t="n"/>
      <c r="LON2" s="95" t="n"/>
      <c r="LOO2" s="95" t="n"/>
      <c r="LOP2" s="95" t="n"/>
      <c r="LOQ2" s="95" t="n"/>
      <c r="LOR2" s="95" t="n"/>
      <c r="LOS2" s="95" t="n"/>
      <c r="LOT2" s="95" t="n"/>
      <c r="LOU2" s="95" t="n"/>
      <c r="LOV2" s="95" t="n"/>
      <c r="LOW2" s="95" t="n"/>
      <c r="LOX2" s="95" t="n"/>
      <c r="LOY2" s="95" t="n"/>
      <c r="LOZ2" s="95" t="n"/>
      <c r="LPA2" s="95" t="n"/>
      <c r="LPB2" s="95" t="n"/>
      <c r="LPC2" s="95" t="n"/>
      <c r="LPD2" s="95" t="n"/>
      <c r="LPE2" s="95" t="n"/>
      <c r="LPF2" s="95" t="n"/>
      <c r="LPG2" s="95" t="n"/>
      <c r="LPH2" s="95" t="n"/>
      <c r="LPI2" s="95" t="n"/>
      <c r="LPJ2" s="95" t="n"/>
      <c r="LPK2" s="95" t="n"/>
      <c r="LPL2" s="95" t="n"/>
      <c r="LPM2" s="95" t="n"/>
      <c r="LPN2" s="95" t="n"/>
      <c r="LPO2" s="95" t="n"/>
      <c r="LPP2" s="95" t="n"/>
      <c r="LPQ2" s="95" t="n"/>
      <c r="LPR2" s="95" t="n"/>
      <c r="LPS2" s="95" t="n"/>
      <c r="LPT2" s="95" t="n"/>
      <c r="LPU2" s="95" t="n"/>
      <c r="LPV2" s="95" t="n"/>
      <c r="LPW2" s="95" t="n"/>
      <c r="LPX2" s="95" t="n"/>
      <c r="LPY2" s="95" t="n"/>
      <c r="LPZ2" s="95" t="n"/>
      <c r="LQA2" s="95" t="n"/>
      <c r="LQB2" s="95" t="n"/>
      <c r="LQC2" s="95" t="n"/>
      <c r="LQD2" s="95" t="n"/>
      <c r="LQE2" s="95" t="n"/>
      <c r="LQF2" s="95" t="n"/>
      <c r="LQG2" s="95" t="n"/>
      <c r="LQH2" s="95" t="n"/>
      <c r="LQI2" s="95" t="n"/>
      <c r="LQJ2" s="95" t="n"/>
      <c r="LQK2" s="95" t="n"/>
      <c r="LQL2" s="95" t="n"/>
      <c r="LQM2" s="95" t="n"/>
      <c r="LQN2" s="95" t="n"/>
      <c r="LQO2" s="95" t="n"/>
      <c r="LQP2" s="95" t="n"/>
      <c r="LQQ2" s="95" t="n"/>
      <c r="LQR2" s="95" t="n"/>
      <c r="LQS2" s="95" t="n"/>
      <c r="LQT2" s="95" t="n"/>
      <c r="LQU2" s="95" t="n"/>
      <c r="LQV2" s="95" t="n"/>
      <c r="LQW2" s="95" t="n"/>
      <c r="LQX2" s="95" t="n"/>
      <c r="LQY2" s="95" t="n"/>
      <c r="LQZ2" s="95" t="n"/>
      <c r="LRA2" s="95" t="n"/>
      <c r="LRB2" s="95" t="n"/>
      <c r="LRC2" s="95" t="n"/>
      <c r="LRD2" s="95" t="n"/>
      <c r="LRE2" s="95" t="n"/>
      <c r="LRF2" s="95" t="n"/>
      <c r="LRG2" s="95" t="n"/>
      <c r="LRH2" s="95" t="n"/>
      <c r="LRI2" s="95" t="n"/>
      <c r="LRJ2" s="95" t="n"/>
      <c r="LRK2" s="95" t="n"/>
      <c r="LRL2" s="95" t="n"/>
      <c r="LRM2" s="95" t="n"/>
      <c r="LRN2" s="95" t="n"/>
      <c r="LRO2" s="95" t="n"/>
      <c r="LRP2" s="95" t="n"/>
      <c r="LRQ2" s="95" t="n"/>
      <c r="LRR2" s="95" t="n"/>
      <c r="LRS2" s="95" t="n"/>
      <c r="LRT2" s="95" t="n"/>
      <c r="LRU2" s="95" t="n"/>
      <c r="LRV2" s="95" t="n"/>
      <c r="LRW2" s="95" t="n"/>
      <c r="LRX2" s="95" t="n"/>
      <c r="LRY2" s="95" t="n"/>
      <c r="LRZ2" s="95" t="n"/>
      <c r="LSA2" s="95" t="n"/>
      <c r="LSB2" s="95" t="n"/>
      <c r="LSC2" s="95" t="n"/>
      <c r="LSD2" s="95" t="n"/>
      <c r="LSE2" s="95" t="n"/>
      <c r="LSF2" s="95" t="n"/>
      <c r="LSG2" s="95" t="n"/>
      <c r="LSH2" s="95" t="n"/>
      <c r="LSI2" s="95" t="n"/>
      <c r="LSJ2" s="95" t="n"/>
      <c r="LSK2" s="95" t="n"/>
      <c r="LSL2" s="95" t="n"/>
      <c r="LSM2" s="95" t="n"/>
      <c r="LSN2" s="95" t="n"/>
      <c r="LSO2" s="95" t="n"/>
      <c r="LSP2" s="95" t="n"/>
      <c r="LSQ2" s="95" t="n"/>
      <c r="LSR2" s="95" t="n"/>
      <c r="LSS2" s="95" t="n"/>
      <c r="LST2" s="95" t="n"/>
      <c r="LSU2" s="95" t="n"/>
      <c r="LSV2" s="95" t="n"/>
      <c r="LSW2" s="95" t="n"/>
      <c r="LSX2" s="95" t="n"/>
      <c r="LSY2" s="95" t="n"/>
      <c r="LSZ2" s="95" t="n"/>
      <c r="LTA2" s="95" t="n"/>
      <c r="LTB2" s="95" t="n"/>
      <c r="LTC2" s="95" t="n"/>
      <c r="LTD2" s="95" t="n"/>
      <c r="LTE2" s="95" t="n"/>
      <c r="LTF2" s="95" t="n"/>
      <c r="LTG2" s="95" t="n"/>
      <c r="LTH2" s="95" t="n"/>
      <c r="LTI2" s="95" t="n"/>
      <c r="LTJ2" s="95" t="n"/>
      <c r="LTK2" s="95" t="n"/>
      <c r="LTL2" s="95" t="n"/>
      <c r="LTM2" s="95" t="n"/>
      <c r="LTN2" s="95" t="n"/>
      <c r="LTO2" s="95" t="n"/>
      <c r="LTP2" s="95" t="n"/>
      <c r="LTQ2" s="95" t="n"/>
      <c r="LTR2" s="95" t="n"/>
      <c r="LTS2" s="95" t="n"/>
      <c r="LTT2" s="95" t="n"/>
      <c r="LTU2" s="95" t="n"/>
      <c r="LTV2" s="95" t="n"/>
      <c r="LTW2" s="95" t="n"/>
      <c r="LTX2" s="95" t="n"/>
      <c r="LTY2" s="95" t="n"/>
      <c r="LTZ2" s="95" t="n"/>
      <c r="LUA2" s="95" t="n"/>
      <c r="LUB2" s="95" t="n"/>
      <c r="LUC2" s="95" t="n"/>
      <c r="LUD2" s="95" t="n"/>
      <c r="LUE2" s="95" t="n"/>
      <c r="LUF2" s="95" t="n"/>
      <c r="LUG2" s="95" t="n"/>
      <c r="LUH2" s="95" t="n"/>
      <c r="LUI2" s="95" t="n"/>
      <c r="LUJ2" s="95" t="n"/>
      <c r="LUK2" s="95" t="n"/>
      <c r="LUL2" s="95" t="n"/>
      <c r="LUM2" s="95" t="n"/>
      <c r="LUN2" s="95" t="n"/>
      <c r="LUO2" s="95" t="n"/>
      <c r="LUP2" s="95" t="n"/>
      <c r="LUQ2" s="95" t="n"/>
      <c r="LUR2" s="95" t="n"/>
      <c r="LUS2" s="95" t="n"/>
      <c r="LUT2" s="95" t="n"/>
      <c r="LUU2" s="95" t="n"/>
      <c r="LUV2" s="95" t="n"/>
      <c r="LUW2" s="95" t="n"/>
      <c r="LUX2" s="95" t="n"/>
      <c r="LUY2" s="95" t="n"/>
      <c r="LUZ2" s="95" t="n"/>
      <c r="LVA2" s="95" t="n"/>
      <c r="LVB2" s="95" t="n"/>
      <c r="LVC2" s="95" t="n"/>
      <c r="LVD2" s="95" t="n"/>
      <c r="LVE2" s="95" t="n"/>
      <c r="LVF2" s="95" t="n"/>
      <c r="LVG2" s="95" t="n"/>
      <c r="LVH2" s="95" t="n"/>
      <c r="LVI2" s="95" t="n"/>
      <c r="LVJ2" s="95" t="n"/>
      <c r="LVK2" s="95" t="n"/>
      <c r="LVL2" s="95" t="n"/>
      <c r="LVM2" s="95" t="n"/>
      <c r="LVN2" s="95" t="n"/>
      <c r="LVO2" s="95" t="n"/>
      <c r="LVP2" s="95" t="n"/>
      <c r="LVQ2" s="95" t="n"/>
      <c r="LVR2" s="95" t="n"/>
      <c r="LVS2" s="95" t="n"/>
      <c r="LVT2" s="95" t="n"/>
      <c r="LVU2" s="95" t="n"/>
      <c r="LVV2" s="95" t="n"/>
      <c r="LVW2" s="95" t="n"/>
      <c r="LVX2" s="95" t="n"/>
      <c r="LVY2" s="95" t="n"/>
      <c r="LVZ2" s="95" t="n"/>
      <c r="LWA2" s="95" t="n"/>
      <c r="LWB2" s="95" t="n"/>
      <c r="LWC2" s="95" t="n"/>
      <c r="LWD2" s="95" t="n"/>
      <c r="LWE2" s="95" t="n"/>
      <c r="LWF2" s="95" t="n"/>
      <c r="LWG2" s="95" t="n"/>
      <c r="LWH2" s="95" t="n"/>
      <c r="LWI2" s="95" t="n"/>
      <c r="LWJ2" s="95" t="n"/>
      <c r="LWK2" s="95" t="n"/>
      <c r="LWL2" s="95" t="n"/>
      <c r="LWM2" s="95" t="n"/>
      <c r="LWN2" s="95" t="n"/>
      <c r="LWO2" s="95" t="n"/>
      <c r="LWP2" s="95" t="n"/>
      <c r="LWQ2" s="95" t="n"/>
      <c r="LWR2" s="95" t="n"/>
      <c r="LWS2" s="95" t="n"/>
      <c r="LWT2" s="95" t="n"/>
      <c r="LWU2" s="95" t="n"/>
      <c r="LWV2" s="95" t="n"/>
      <c r="LWW2" s="95" t="n"/>
      <c r="LWX2" s="95" t="n"/>
      <c r="LWY2" s="95" t="n"/>
      <c r="LWZ2" s="95" t="n"/>
      <c r="LXA2" s="95" t="n"/>
      <c r="LXB2" s="95" t="n"/>
      <c r="LXC2" s="95" t="n"/>
      <c r="LXD2" s="95" t="n"/>
      <c r="LXE2" s="95" t="n"/>
      <c r="LXF2" s="95" t="n"/>
      <c r="LXG2" s="95" t="n"/>
      <c r="LXH2" s="95" t="n"/>
      <c r="LXI2" s="95" t="n"/>
      <c r="LXJ2" s="95" t="n"/>
      <c r="LXK2" s="95" t="n"/>
      <c r="LXL2" s="95" t="n"/>
      <c r="LXM2" s="95" t="n"/>
      <c r="LXN2" s="95" t="n"/>
      <c r="LXO2" s="95" t="n"/>
      <c r="LXP2" s="95" t="n"/>
      <c r="LXQ2" s="95" t="n"/>
      <c r="LXR2" s="95" t="n"/>
      <c r="LXS2" s="95" t="n"/>
      <c r="LXT2" s="95" t="n"/>
      <c r="LXU2" s="95" t="n"/>
      <c r="LXV2" s="95" t="n"/>
      <c r="LXW2" s="95" t="n"/>
      <c r="LXX2" s="95" t="n"/>
      <c r="LXY2" s="95" t="n"/>
      <c r="LXZ2" s="95" t="n"/>
      <c r="LYA2" s="95" t="n"/>
      <c r="LYB2" s="95" t="n"/>
      <c r="LYC2" s="95" t="n"/>
      <c r="LYD2" s="95" t="n"/>
      <c r="LYE2" s="95" t="n"/>
      <c r="LYF2" s="95" t="n"/>
      <c r="LYG2" s="95" t="n"/>
      <c r="LYH2" s="95" t="n"/>
      <c r="LYI2" s="95" t="n"/>
      <c r="LYJ2" s="95" t="n"/>
      <c r="LYK2" s="95" t="n"/>
      <c r="LYL2" s="95" t="n"/>
      <c r="LYM2" s="95" t="n"/>
      <c r="LYN2" s="95" t="n"/>
      <c r="LYO2" s="95" t="n"/>
      <c r="LYP2" s="95" t="n"/>
      <c r="LYQ2" s="95" t="n"/>
      <c r="LYR2" s="95" t="n"/>
      <c r="LYS2" s="95" t="n"/>
      <c r="LYT2" s="95" t="n"/>
      <c r="LYU2" s="95" t="n"/>
      <c r="LYV2" s="95" t="n"/>
      <c r="LYW2" s="95" t="n"/>
      <c r="LYX2" s="95" t="n"/>
      <c r="LYY2" s="95" t="n"/>
      <c r="LYZ2" s="95" t="n"/>
      <c r="LZA2" s="95" t="n"/>
      <c r="LZB2" s="95" t="n"/>
      <c r="LZC2" s="95" t="n"/>
      <c r="LZD2" s="95" t="n"/>
      <c r="LZE2" s="95" t="n"/>
      <c r="LZF2" s="95" t="n"/>
      <c r="LZG2" s="95" t="n"/>
      <c r="LZH2" s="95" t="n"/>
      <c r="LZI2" s="95" t="n"/>
      <c r="LZJ2" s="95" t="n"/>
      <c r="LZK2" s="95" t="n"/>
      <c r="LZL2" s="95" t="n"/>
      <c r="LZM2" s="95" t="n"/>
      <c r="LZN2" s="95" t="n"/>
      <c r="LZO2" s="95" t="n"/>
      <c r="LZP2" s="95" t="n"/>
      <c r="LZQ2" s="95" t="n"/>
      <c r="LZR2" s="95" t="n"/>
      <c r="LZS2" s="95" t="n"/>
      <c r="LZT2" s="95" t="n"/>
      <c r="LZU2" s="95" t="n"/>
      <c r="LZV2" s="95" t="n"/>
      <c r="LZW2" s="95" t="n"/>
      <c r="LZX2" s="95" t="n"/>
      <c r="LZY2" s="95" t="n"/>
      <c r="LZZ2" s="95" t="n"/>
      <c r="MAA2" s="95" t="n"/>
      <c r="MAB2" s="95" t="n"/>
      <c r="MAC2" s="95" t="n"/>
      <c r="MAD2" s="95" t="n"/>
      <c r="MAE2" s="95" t="n"/>
      <c r="MAF2" s="95" t="n"/>
      <c r="MAG2" s="95" t="n"/>
      <c r="MAH2" s="95" t="n"/>
      <c r="MAI2" s="95" t="n"/>
      <c r="MAJ2" s="95" t="n"/>
      <c r="MAK2" s="95" t="n"/>
      <c r="MAL2" s="95" t="n"/>
      <c r="MAM2" s="95" t="n"/>
      <c r="MAN2" s="95" t="n"/>
      <c r="MAO2" s="95" t="n"/>
      <c r="MAP2" s="95" t="n"/>
      <c r="MAQ2" s="95" t="n"/>
      <c r="MAR2" s="95" t="n"/>
      <c r="MAS2" s="95" t="n"/>
      <c r="MAT2" s="95" t="n"/>
      <c r="MAU2" s="95" t="n"/>
      <c r="MAV2" s="95" t="n"/>
      <c r="MAW2" s="95" t="n"/>
      <c r="MAX2" s="95" t="n"/>
      <c r="MAY2" s="95" t="n"/>
      <c r="MAZ2" s="95" t="n"/>
      <c r="MBA2" s="95" t="n"/>
      <c r="MBB2" s="95" t="n"/>
      <c r="MBC2" s="95" t="n"/>
      <c r="MBD2" s="95" t="n"/>
      <c r="MBE2" s="95" t="n"/>
      <c r="MBF2" s="95" t="n"/>
      <c r="MBG2" s="95" t="n"/>
      <c r="MBH2" s="95" t="n"/>
      <c r="MBI2" s="95" t="n"/>
      <c r="MBJ2" s="95" t="n"/>
      <c r="MBK2" s="95" t="n"/>
      <c r="MBL2" s="95" t="n"/>
      <c r="MBM2" s="95" t="n"/>
      <c r="MBN2" s="95" t="n"/>
      <c r="MBO2" s="95" t="n"/>
      <c r="MBP2" s="95" t="n"/>
      <c r="MBQ2" s="95" t="n"/>
      <c r="MBR2" s="95" t="n"/>
      <c r="MBS2" s="95" t="n"/>
      <c r="MBT2" s="95" t="n"/>
      <c r="MBU2" s="95" t="n"/>
      <c r="MBV2" s="95" t="n"/>
      <c r="MBW2" s="95" t="n"/>
      <c r="MBX2" s="95" t="n"/>
      <c r="MBY2" s="95" t="n"/>
      <c r="MBZ2" s="95" t="n"/>
      <c r="MCA2" s="95" t="n"/>
      <c r="MCB2" s="95" t="n"/>
      <c r="MCC2" s="95" t="n"/>
      <c r="MCD2" s="95" t="n"/>
      <c r="MCE2" s="95" t="n"/>
      <c r="MCF2" s="95" t="n"/>
      <c r="MCG2" s="95" t="n"/>
      <c r="MCH2" s="95" t="n"/>
      <c r="MCI2" s="95" t="n"/>
      <c r="MCJ2" s="95" t="n"/>
      <c r="MCK2" s="95" t="n"/>
      <c r="MCL2" s="95" t="n"/>
      <c r="MCM2" s="95" t="n"/>
      <c r="MCN2" s="95" t="n"/>
      <c r="MCO2" s="95" t="n"/>
      <c r="MCP2" s="95" t="n"/>
      <c r="MCQ2" s="95" t="n"/>
      <c r="MCR2" s="95" t="n"/>
      <c r="MCS2" s="95" t="n"/>
      <c r="MCT2" s="95" t="n"/>
      <c r="MCU2" s="95" t="n"/>
      <c r="MCV2" s="95" t="n"/>
      <c r="MCW2" s="95" t="n"/>
      <c r="MCX2" s="95" t="n"/>
      <c r="MCY2" s="95" t="n"/>
      <c r="MCZ2" s="95" t="n"/>
      <c r="MDA2" s="95" t="n"/>
      <c r="MDB2" s="95" t="n"/>
      <c r="MDC2" s="95" t="n"/>
      <c r="MDD2" s="95" t="n"/>
      <c r="MDE2" s="95" t="n"/>
      <c r="MDF2" s="95" t="n"/>
      <c r="MDG2" s="95" t="n"/>
      <c r="MDH2" s="95" t="n"/>
      <c r="MDI2" s="95" t="n"/>
      <c r="MDJ2" s="95" t="n"/>
      <c r="MDK2" s="95" t="n"/>
      <c r="MDL2" s="95" t="n"/>
      <c r="MDM2" s="95" t="n"/>
      <c r="MDN2" s="95" t="n"/>
      <c r="MDO2" s="95" t="n"/>
      <c r="MDP2" s="95" t="n"/>
      <c r="MDQ2" s="95" t="n"/>
      <c r="MDR2" s="95" t="n"/>
      <c r="MDS2" s="95" t="n"/>
      <c r="MDT2" s="95" t="n"/>
      <c r="MDU2" s="95" t="n"/>
      <c r="MDV2" s="95" t="n"/>
      <c r="MDW2" s="95" t="n"/>
      <c r="MDX2" s="95" t="n"/>
      <c r="MDY2" s="95" t="n"/>
      <c r="MDZ2" s="95" t="n"/>
      <c r="MEA2" s="95" t="n"/>
      <c r="MEB2" s="95" t="n"/>
      <c r="MEC2" s="95" t="n"/>
      <c r="MED2" s="95" t="n"/>
      <c r="MEE2" s="95" t="n"/>
      <c r="MEF2" s="95" t="n"/>
      <c r="MEG2" s="95" t="n"/>
      <c r="MEH2" s="95" t="n"/>
      <c r="MEI2" s="95" t="n"/>
      <c r="MEJ2" s="95" t="n"/>
      <c r="MEK2" s="95" t="n"/>
      <c r="MEL2" s="95" t="n"/>
      <c r="MEM2" s="95" t="n"/>
      <c r="MEN2" s="95" t="n"/>
      <c r="MEO2" s="95" t="n"/>
      <c r="MEP2" s="95" t="n"/>
      <c r="MEQ2" s="95" t="n"/>
      <c r="MER2" s="95" t="n"/>
      <c r="MES2" s="95" t="n"/>
      <c r="MET2" s="95" t="n"/>
      <c r="MEU2" s="95" t="n"/>
      <c r="MEV2" s="95" t="n"/>
      <c r="MEW2" s="95" t="n"/>
      <c r="MEX2" s="95" t="n"/>
      <c r="MEY2" s="95" t="n"/>
      <c r="MEZ2" s="95" t="n"/>
      <c r="MFA2" s="95" t="n"/>
      <c r="MFB2" s="95" t="n"/>
      <c r="MFC2" s="95" t="n"/>
      <c r="MFD2" s="95" t="n"/>
      <c r="MFE2" s="95" t="n"/>
      <c r="MFF2" s="95" t="n"/>
      <c r="MFG2" s="95" t="n"/>
      <c r="MFH2" s="95" t="n"/>
      <c r="MFI2" s="95" t="n"/>
      <c r="MFJ2" s="95" t="n"/>
      <c r="MFK2" s="95" t="n"/>
      <c r="MFL2" s="95" t="n"/>
      <c r="MFM2" s="95" t="n"/>
      <c r="MFN2" s="95" t="n"/>
      <c r="MFO2" s="95" t="n"/>
      <c r="MFP2" s="95" t="n"/>
      <c r="MFQ2" s="95" t="n"/>
      <c r="MFR2" s="95" t="n"/>
      <c r="MFS2" s="95" t="n"/>
      <c r="MFT2" s="95" t="n"/>
      <c r="MFU2" s="95" t="n"/>
      <c r="MFV2" s="95" t="n"/>
      <c r="MFW2" s="95" t="n"/>
      <c r="MFX2" s="95" t="n"/>
      <c r="MFY2" s="95" t="n"/>
      <c r="MFZ2" s="95" t="n"/>
      <c r="MGA2" s="95" t="n"/>
      <c r="MGB2" s="95" t="n"/>
      <c r="MGC2" s="95" t="n"/>
      <c r="MGD2" s="95" t="n"/>
      <c r="MGE2" s="95" t="n"/>
      <c r="MGF2" s="95" t="n"/>
      <c r="MGG2" s="95" t="n"/>
      <c r="MGH2" s="95" t="n"/>
      <c r="MGI2" s="95" t="n"/>
      <c r="MGJ2" s="95" t="n"/>
      <c r="MGK2" s="95" t="n"/>
      <c r="MGL2" s="95" t="n"/>
      <c r="MGM2" s="95" t="n"/>
      <c r="MGN2" s="95" t="n"/>
      <c r="MGO2" s="95" t="n"/>
      <c r="MGP2" s="95" t="n"/>
      <c r="MGQ2" s="95" t="n"/>
      <c r="MGR2" s="95" t="n"/>
      <c r="MGS2" s="95" t="n"/>
      <c r="MGT2" s="95" t="n"/>
      <c r="MGU2" s="95" t="n"/>
      <c r="MGV2" s="95" t="n"/>
      <c r="MGW2" s="95" t="n"/>
      <c r="MGX2" s="95" t="n"/>
      <c r="MGY2" s="95" t="n"/>
      <c r="MGZ2" s="95" t="n"/>
      <c r="MHA2" s="95" t="n"/>
      <c r="MHB2" s="95" t="n"/>
      <c r="MHC2" s="95" t="n"/>
      <c r="MHD2" s="95" t="n"/>
      <c r="MHE2" s="95" t="n"/>
      <c r="MHF2" s="95" t="n"/>
      <c r="MHG2" s="95" t="n"/>
      <c r="MHH2" s="95" t="n"/>
      <c r="MHI2" s="95" t="n"/>
      <c r="MHJ2" s="95" t="n"/>
      <c r="MHK2" s="95" t="n"/>
      <c r="MHL2" s="95" t="n"/>
      <c r="MHM2" s="95" t="n"/>
      <c r="MHN2" s="95" t="n"/>
      <c r="MHO2" s="95" t="n"/>
      <c r="MHP2" s="95" t="n"/>
      <c r="MHQ2" s="95" t="n"/>
      <c r="MHR2" s="95" t="n"/>
      <c r="MHS2" s="95" t="n"/>
      <c r="MHT2" s="95" t="n"/>
      <c r="MHU2" s="95" t="n"/>
      <c r="MHV2" s="95" t="n"/>
      <c r="MHW2" s="95" t="n"/>
      <c r="MHX2" s="95" t="n"/>
      <c r="MHY2" s="95" t="n"/>
      <c r="MHZ2" s="95" t="n"/>
      <c r="MIA2" s="95" t="n"/>
      <c r="MIB2" s="95" t="n"/>
      <c r="MIC2" s="95" t="n"/>
      <c r="MID2" s="95" t="n"/>
      <c r="MIE2" s="95" t="n"/>
      <c r="MIF2" s="95" t="n"/>
      <c r="MIG2" s="95" t="n"/>
      <c r="MIH2" s="95" t="n"/>
      <c r="MII2" s="95" t="n"/>
      <c r="MIJ2" s="95" t="n"/>
      <c r="MIK2" s="95" t="n"/>
      <c r="MIL2" s="95" t="n"/>
      <c r="MIM2" s="95" t="n"/>
      <c r="MIN2" s="95" t="n"/>
      <c r="MIO2" s="95" t="n"/>
      <c r="MIP2" s="95" t="n"/>
      <c r="MIQ2" s="95" t="n"/>
      <c r="MIR2" s="95" t="n"/>
      <c r="MIS2" s="95" t="n"/>
      <c r="MIT2" s="95" t="n"/>
      <c r="MIU2" s="95" t="n"/>
      <c r="MIV2" s="95" t="n"/>
      <c r="MIW2" s="95" t="n"/>
      <c r="MIX2" s="95" t="n"/>
      <c r="MIY2" s="95" t="n"/>
      <c r="MIZ2" s="95" t="n"/>
      <c r="MJA2" s="95" t="n"/>
      <c r="MJB2" s="95" t="n"/>
      <c r="MJC2" s="95" t="n"/>
      <c r="MJD2" s="95" t="n"/>
      <c r="MJE2" s="95" t="n"/>
      <c r="MJF2" s="95" t="n"/>
      <c r="MJG2" s="95" t="n"/>
      <c r="MJH2" s="95" t="n"/>
      <c r="MJI2" s="95" t="n"/>
      <c r="MJJ2" s="95" t="n"/>
      <c r="MJK2" s="95" t="n"/>
      <c r="MJL2" s="95" t="n"/>
      <c r="MJM2" s="95" t="n"/>
      <c r="MJN2" s="95" t="n"/>
      <c r="MJO2" s="95" t="n"/>
      <c r="MJP2" s="95" t="n"/>
      <c r="MJQ2" s="95" t="n"/>
      <c r="MJR2" s="95" t="n"/>
      <c r="MJS2" s="95" t="n"/>
      <c r="MJT2" s="95" t="n"/>
      <c r="MJU2" s="95" t="n"/>
      <c r="MJV2" s="95" t="n"/>
      <c r="MJW2" s="95" t="n"/>
      <c r="MJX2" s="95" t="n"/>
      <c r="MJY2" s="95" t="n"/>
      <c r="MJZ2" s="95" t="n"/>
      <c r="MKA2" s="95" t="n"/>
      <c r="MKB2" s="95" t="n"/>
      <c r="MKC2" s="95" t="n"/>
      <c r="MKD2" s="95" t="n"/>
      <c r="MKE2" s="95" t="n"/>
      <c r="MKF2" s="95" t="n"/>
      <c r="MKG2" s="95" t="n"/>
      <c r="MKH2" s="95" t="n"/>
      <c r="MKI2" s="95" t="n"/>
      <c r="MKJ2" s="95" t="n"/>
      <c r="MKK2" s="95" t="n"/>
      <c r="MKL2" s="95" t="n"/>
      <c r="MKM2" s="95" t="n"/>
      <c r="MKN2" s="95" t="n"/>
      <c r="MKO2" s="95" t="n"/>
      <c r="MKP2" s="95" t="n"/>
      <c r="MKQ2" s="95" t="n"/>
      <c r="MKR2" s="95" t="n"/>
      <c r="MKS2" s="95" t="n"/>
      <c r="MKT2" s="95" t="n"/>
      <c r="MKU2" s="95" t="n"/>
      <c r="MKV2" s="95" t="n"/>
      <c r="MKW2" s="95" t="n"/>
      <c r="MKX2" s="95" t="n"/>
      <c r="MKY2" s="95" t="n"/>
      <c r="MKZ2" s="95" t="n"/>
      <c r="MLA2" s="95" t="n"/>
      <c r="MLB2" s="95" t="n"/>
      <c r="MLC2" s="95" t="n"/>
      <c r="MLD2" s="95" t="n"/>
      <c r="MLE2" s="95" t="n"/>
      <c r="MLF2" s="95" t="n"/>
      <c r="MLG2" s="95" t="n"/>
      <c r="MLH2" s="95" t="n"/>
      <c r="MLI2" s="95" t="n"/>
      <c r="MLJ2" s="95" t="n"/>
      <c r="MLK2" s="95" t="n"/>
      <c r="MLL2" s="95" t="n"/>
      <c r="MLM2" s="95" t="n"/>
      <c r="MLN2" s="95" t="n"/>
      <c r="MLO2" s="95" t="n"/>
      <c r="MLP2" s="95" t="n"/>
      <c r="MLQ2" s="95" t="n"/>
      <c r="MLR2" s="95" t="n"/>
      <c r="MLS2" s="95" t="n"/>
      <c r="MLT2" s="95" t="n"/>
      <c r="MLU2" s="95" t="n"/>
      <c r="MLV2" s="95" t="n"/>
      <c r="MLW2" s="95" t="n"/>
      <c r="MLX2" s="95" t="n"/>
      <c r="MLY2" s="95" t="n"/>
      <c r="MLZ2" s="95" t="n"/>
      <c r="MMA2" s="95" t="n"/>
      <c r="MMB2" s="95" t="n"/>
      <c r="MMC2" s="95" t="n"/>
      <c r="MMD2" s="95" t="n"/>
      <c r="MME2" s="95" t="n"/>
      <c r="MMF2" s="95" t="n"/>
      <c r="MMG2" s="95" t="n"/>
      <c r="MMH2" s="95" t="n"/>
      <c r="MMI2" s="95" t="n"/>
      <c r="MMJ2" s="95" t="n"/>
      <c r="MMK2" s="95" t="n"/>
      <c r="MML2" s="95" t="n"/>
      <c r="MMM2" s="95" t="n"/>
      <c r="MMN2" s="95" t="n"/>
      <c r="MMO2" s="95" t="n"/>
      <c r="MMP2" s="95" t="n"/>
      <c r="MMQ2" s="95" t="n"/>
      <c r="MMR2" s="95" t="n"/>
      <c r="MMS2" s="95" t="n"/>
      <c r="MMT2" s="95" t="n"/>
      <c r="MMU2" s="95" t="n"/>
      <c r="MMV2" s="95" t="n"/>
      <c r="MMW2" s="95" t="n"/>
      <c r="MMX2" s="95" t="n"/>
      <c r="MMY2" s="95" t="n"/>
      <c r="MMZ2" s="95" t="n"/>
      <c r="MNA2" s="95" t="n"/>
      <c r="MNB2" s="95" t="n"/>
      <c r="MNC2" s="95" t="n"/>
      <c r="MND2" s="95" t="n"/>
      <c r="MNE2" s="95" t="n"/>
      <c r="MNF2" s="95" t="n"/>
      <c r="MNG2" s="95" t="n"/>
      <c r="MNH2" s="95" t="n"/>
      <c r="MNI2" s="95" t="n"/>
      <c r="MNJ2" s="95" t="n"/>
      <c r="MNK2" s="95" t="n"/>
      <c r="MNL2" s="95" t="n"/>
      <c r="MNM2" s="95" t="n"/>
      <c r="MNN2" s="95" t="n"/>
      <c r="MNO2" s="95" t="n"/>
      <c r="MNP2" s="95" t="n"/>
      <c r="MNQ2" s="95" t="n"/>
      <c r="MNR2" s="95" t="n"/>
      <c r="MNS2" s="95" t="n"/>
      <c r="MNT2" s="95" t="n"/>
      <c r="MNU2" s="95" t="n"/>
      <c r="MNV2" s="95" t="n"/>
      <c r="MNW2" s="95" t="n"/>
      <c r="MNX2" s="95" t="n"/>
      <c r="MNY2" s="95" t="n"/>
      <c r="MNZ2" s="95" t="n"/>
      <c r="MOA2" s="95" t="n"/>
      <c r="MOB2" s="95" t="n"/>
      <c r="MOC2" s="95" t="n"/>
      <c r="MOD2" s="95" t="n"/>
      <c r="MOE2" s="95" t="n"/>
      <c r="MOF2" s="95" t="n"/>
      <c r="MOG2" s="95" t="n"/>
      <c r="MOH2" s="95" t="n"/>
      <c r="MOI2" s="95" t="n"/>
      <c r="MOJ2" s="95" t="n"/>
      <c r="MOK2" s="95" t="n"/>
      <c r="MOL2" s="95" t="n"/>
      <c r="MOM2" s="95" t="n"/>
      <c r="MON2" s="95" t="n"/>
      <c r="MOO2" s="95" t="n"/>
      <c r="MOP2" s="95" t="n"/>
      <c r="MOQ2" s="95" t="n"/>
      <c r="MOR2" s="95" t="n"/>
      <c r="MOS2" s="95" t="n"/>
      <c r="MOT2" s="95" t="n"/>
      <c r="MOU2" s="95" t="n"/>
      <c r="MOV2" s="95" t="n"/>
      <c r="MOW2" s="95" t="n"/>
      <c r="MOX2" s="95" t="n"/>
      <c r="MOY2" s="95" t="n"/>
      <c r="MOZ2" s="95" t="n"/>
      <c r="MPA2" s="95" t="n"/>
      <c r="MPB2" s="95" t="n"/>
      <c r="MPC2" s="95" t="n"/>
      <c r="MPD2" s="95" t="n"/>
      <c r="MPE2" s="95" t="n"/>
      <c r="MPF2" s="95" t="n"/>
      <c r="MPG2" s="95" t="n"/>
      <c r="MPH2" s="95" t="n"/>
      <c r="MPI2" s="95" t="n"/>
      <c r="MPJ2" s="95" t="n"/>
      <c r="MPK2" s="95" t="n"/>
      <c r="MPL2" s="95" t="n"/>
      <c r="MPM2" s="95" t="n"/>
      <c r="MPN2" s="95" t="n"/>
      <c r="MPO2" s="95" t="n"/>
      <c r="MPP2" s="95" t="n"/>
      <c r="MPQ2" s="95" t="n"/>
      <c r="MPR2" s="95" t="n"/>
      <c r="MPS2" s="95" t="n"/>
      <c r="MPT2" s="95" t="n"/>
      <c r="MPU2" s="95" t="n"/>
      <c r="MPV2" s="95" t="n"/>
      <c r="MPW2" s="95" t="n"/>
      <c r="MPX2" s="95" t="n"/>
      <c r="MPY2" s="95" t="n"/>
      <c r="MPZ2" s="95" t="n"/>
      <c r="MQA2" s="95" t="n"/>
      <c r="MQB2" s="95" t="n"/>
      <c r="MQC2" s="95" t="n"/>
      <c r="MQD2" s="95" t="n"/>
      <c r="MQE2" s="95" t="n"/>
      <c r="MQF2" s="95" t="n"/>
      <c r="MQG2" s="95" t="n"/>
      <c r="MQH2" s="95" t="n"/>
      <c r="MQI2" s="95" t="n"/>
      <c r="MQJ2" s="95" t="n"/>
      <c r="MQK2" s="95" t="n"/>
      <c r="MQL2" s="95" t="n"/>
      <c r="MQM2" s="95" t="n"/>
      <c r="MQN2" s="95" t="n"/>
      <c r="MQO2" s="95" t="n"/>
      <c r="MQP2" s="95" t="n"/>
      <c r="MQQ2" s="95" t="n"/>
      <c r="MQR2" s="95" t="n"/>
      <c r="MQS2" s="95" t="n"/>
      <c r="MQT2" s="95" t="n"/>
      <c r="MQU2" s="95" t="n"/>
      <c r="MQV2" s="95" t="n"/>
      <c r="MQW2" s="95" t="n"/>
      <c r="MQX2" s="95" t="n"/>
      <c r="MQY2" s="95" t="n"/>
      <c r="MQZ2" s="95" t="n"/>
      <c r="MRA2" s="95" t="n"/>
      <c r="MRB2" s="95" t="n"/>
      <c r="MRC2" s="95" t="n"/>
      <c r="MRD2" s="95" t="n"/>
      <c r="MRE2" s="95" t="n"/>
      <c r="MRF2" s="95" t="n"/>
      <c r="MRG2" s="95" t="n"/>
      <c r="MRH2" s="95" t="n"/>
      <c r="MRI2" s="95" t="n"/>
      <c r="MRJ2" s="95" t="n"/>
      <c r="MRK2" s="95" t="n"/>
      <c r="MRL2" s="95" t="n"/>
      <c r="MRM2" s="95" t="n"/>
      <c r="MRN2" s="95" t="n"/>
      <c r="MRO2" s="95" t="n"/>
      <c r="MRP2" s="95" t="n"/>
      <c r="MRQ2" s="95" t="n"/>
      <c r="MRR2" s="95" t="n"/>
      <c r="MRS2" s="95" t="n"/>
      <c r="MRT2" s="95" t="n"/>
      <c r="MRU2" s="95" t="n"/>
      <c r="MRV2" s="95" t="n"/>
      <c r="MRW2" s="95" t="n"/>
      <c r="MRX2" s="95" t="n"/>
      <c r="MRY2" s="95" t="n"/>
      <c r="MRZ2" s="95" t="n"/>
      <c r="MSA2" s="95" t="n"/>
      <c r="MSB2" s="95" t="n"/>
      <c r="MSC2" s="95" t="n"/>
      <c r="MSD2" s="95" t="n"/>
      <c r="MSE2" s="95" t="n"/>
      <c r="MSF2" s="95" t="n"/>
      <c r="MSG2" s="95" t="n"/>
      <c r="MSH2" s="95" t="n"/>
      <c r="MSI2" s="95" t="n"/>
      <c r="MSJ2" s="95" t="n"/>
      <c r="MSK2" s="95" t="n"/>
      <c r="MSL2" s="95" t="n"/>
      <c r="MSM2" s="95" t="n"/>
      <c r="MSN2" s="95" t="n"/>
      <c r="MSO2" s="95" t="n"/>
      <c r="MSP2" s="95" t="n"/>
      <c r="MSQ2" s="95" t="n"/>
      <c r="MSR2" s="95" t="n"/>
      <c r="MSS2" s="95" t="n"/>
      <c r="MST2" s="95" t="n"/>
      <c r="MSU2" s="95" t="n"/>
      <c r="MSV2" s="95" t="n"/>
      <c r="MSW2" s="95" t="n"/>
      <c r="MSX2" s="95" t="n"/>
      <c r="MSY2" s="95" t="n"/>
      <c r="MSZ2" s="95" t="n"/>
      <c r="MTA2" s="95" t="n"/>
      <c r="MTB2" s="95" t="n"/>
      <c r="MTC2" s="95" t="n"/>
      <c r="MTD2" s="95" t="n"/>
      <c r="MTE2" s="95" t="n"/>
      <c r="MTF2" s="95" t="n"/>
      <c r="MTG2" s="95" t="n"/>
      <c r="MTH2" s="95" t="n"/>
      <c r="MTI2" s="95" t="n"/>
      <c r="MTJ2" s="95" t="n"/>
      <c r="MTK2" s="95" t="n"/>
      <c r="MTL2" s="95" t="n"/>
      <c r="MTM2" s="95" t="n"/>
      <c r="MTN2" s="95" t="n"/>
      <c r="MTO2" s="95" t="n"/>
      <c r="MTP2" s="95" t="n"/>
      <c r="MTQ2" s="95" t="n"/>
      <c r="MTR2" s="95" t="n"/>
      <c r="MTS2" s="95" t="n"/>
      <c r="MTT2" s="95" t="n"/>
      <c r="MTU2" s="95" t="n"/>
      <c r="MTV2" s="95" t="n"/>
      <c r="MTW2" s="95" t="n"/>
      <c r="MTX2" s="95" t="n"/>
      <c r="MTY2" s="95" t="n"/>
      <c r="MTZ2" s="95" t="n"/>
      <c r="MUA2" s="95" t="n"/>
      <c r="MUB2" s="95" t="n"/>
      <c r="MUC2" s="95" t="n"/>
      <c r="MUD2" s="95" t="n"/>
      <c r="MUE2" s="95" t="n"/>
      <c r="MUF2" s="95" t="n"/>
      <c r="MUG2" s="95" t="n"/>
      <c r="MUH2" s="95" t="n"/>
      <c r="MUI2" s="95" t="n"/>
      <c r="MUJ2" s="95" t="n"/>
      <c r="MUK2" s="95" t="n"/>
      <c r="MUL2" s="95" t="n"/>
      <c r="MUM2" s="95" t="n"/>
      <c r="MUN2" s="95" t="n"/>
      <c r="MUO2" s="95" t="n"/>
      <c r="MUP2" s="95" t="n"/>
      <c r="MUQ2" s="95" t="n"/>
      <c r="MUR2" s="95" t="n"/>
      <c r="MUS2" s="95" t="n"/>
      <c r="MUT2" s="95" t="n"/>
      <c r="MUU2" s="95" t="n"/>
      <c r="MUV2" s="95" t="n"/>
      <c r="MUW2" s="95" t="n"/>
      <c r="MUX2" s="95" t="n"/>
      <c r="MUY2" s="95" t="n"/>
      <c r="MUZ2" s="95" t="n"/>
      <c r="MVA2" s="95" t="n"/>
      <c r="MVB2" s="95" t="n"/>
      <c r="MVC2" s="95" t="n"/>
      <c r="MVD2" s="95" t="n"/>
      <c r="MVE2" s="95" t="n"/>
      <c r="MVF2" s="95" t="n"/>
      <c r="MVG2" s="95" t="n"/>
      <c r="MVH2" s="95" t="n"/>
      <c r="MVI2" s="95" t="n"/>
      <c r="MVJ2" s="95" t="n"/>
      <c r="MVK2" s="95" t="n"/>
      <c r="MVL2" s="95" t="n"/>
      <c r="MVM2" s="95" t="n"/>
      <c r="MVN2" s="95" t="n"/>
      <c r="MVO2" s="95" t="n"/>
      <c r="MVP2" s="95" t="n"/>
      <c r="MVQ2" s="95" t="n"/>
      <c r="MVR2" s="95" t="n"/>
      <c r="MVS2" s="95" t="n"/>
      <c r="MVT2" s="95" t="n"/>
      <c r="MVU2" s="95" t="n"/>
      <c r="MVV2" s="95" t="n"/>
      <c r="MVW2" s="95" t="n"/>
      <c r="MVX2" s="95" t="n"/>
      <c r="MVY2" s="95" t="n"/>
      <c r="MVZ2" s="95" t="n"/>
      <c r="MWA2" s="95" t="n"/>
      <c r="MWB2" s="95" t="n"/>
      <c r="MWC2" s="95" t="n"/>
      <c r="MWD2" s="95" t="n"/>
      <c r="MWE2" s="95" t="n"/>
      <c r="MWF2" s="95" t="n"/>
      <c r="MWG2" s="95" t="n"/>
      <c r="MWH2" s="95" t="n"/>
      <c r="MWI2" s="95" t="n"/>
      <c r="MWJ2" s="95" t="n"/>
      <c r="MWK2" s="95" t="n"/>
      <c r="MWL2" s="95" t="n"/>
      <c r="MWM2" s="95" t="n"/>
      <c r="MWN2" s="95" t="n"/>
      <c r="MWO2" s="95" t="n"/>
      <c r="MWP2" s="95" t="n"/>
      <c r="MWQ2" s="95" t="n"/>
      <c r="MWR2" s="95" t="n"/>
      <c r="MWS2" s="95" t="n"/>
      <c r="MWT2" s="95" t="n"/>
      <c r="MWU2" s="95" t="n"/>
      <c r="MWV2" s="95" t="n"/>
      <c r="MWW2" s="95" t="n"/>
      <c r="MWX2" s="95" t="n"/>
      <c r="MWY2" s="95" t="n"/>
      <c r="MWZ2" s="95" t="n"/>
      <c r="MXA2" s="95" t="n"/>
      <c r="MXB2" s="95" t="n"/>
      <c r="MXC2" s="95" t="n"/>
      <c r="MXD2" s="95" t="n"/>
      <c r="MXE2" s="95" t="n"/>
      <c r="MXF2" s="95" t="n"/>
      <c r="MXG2" s="95" t="n"/>
      <c r="MXH2" s="95" t="n"/>
      <c r="MXI2" s="95" t="n"/>
      <c r="MXJ2" s="95" t="n"/>
      <c r="MXK2" s="95" t="n"/>
      <c r="MXL2" s="95" t="n"/>
      <c r="MXM2" s="95" t="n"/>
      <c r="MXN2" s="95" t="n"/>
      <c r="MXO2" s="95" t="n"/>
      <c r="MXP2" s="95" t="n"/>
      <c r="MXQ2" s="95" t="n"/>
      <c r="MXR2" s="95" t="n"/>
      <c r="MXS2" s="95" t="n"/>
      <c r="MXT2" s="95" t="n"/>
      <c r="MXU2" s="95" t="n"/>
      <c r="MXV2" s="95" t="n"/>
      <c r="MXW2" s="95" t="n"/>
      <c r="MXX2" s="95" t="n"/>
      <c r="MXY2" s="95" t="n"/>
      <c r="MXZ2" s="95" t="n"/>
      <c r="MYA2" s="95" t="n"/>
      <c r="MYB2" s="95" t="n"/>
      <c r="MYC2" s="95" t="n"/>
      <c r="MYD2" s="95" t="n"/>
      <c r="MYE2" s="95" t="n"/>
      <c r="MYF2" s="95" t="n"/>
      <c r="MYG2" s="95" t="n"/>
      <c r="MYH2" s="95" t="n"/>
      <c r="MYI2" s="95" t="n"/>
      <c r="MYJ2" s="95" t="n"/>
      <c r="MYK2" s="95" t="n"/>
      <c r="MYL2" s="95" t="n"/>
      <c r="MYM2" s="95" t="n"/>
      <c r="MYN2" s="95" t="n"/>
      <c r="MYO2" s="95" t="n"/>
      <c r="MYP2" s="95" t="n"/>
      <c r="MYQ2" s="95" t="n"/>
      <c r="MYR2" s="95" t="n"/>
      <c r="MYS2" s="95" t="n"/>
      <c r="MYT2" s="95" t="n"/>
      <c r="MYU2" s="95" t="n"/>
      <c r="MYV2" s="95" t="n"/>
      <c r="MYW2" s="95" t="n"/>
      <c r="MYX2" s="95" t="n"/>
      <c r="MYY2" s="95" t="n"/>
      <c r="MYZ2" s="95" t="n"/>
      <c r="MZA2" s="95" t="n"/>
      <c r="MZB2" s="95" t="n"/>
      <c r="MZC2" s="95" t="n"/>
      <c r="MZD2" s="95" t="n"/>
      <c r="MZE2" s="95" t="n"/>
      <c r="MZF2" s="95" t="n"/>
      <c r="MZG2" s="95" t="n"/>
      <c r="MZH2" s="95" t="n"/>
      <c r="MZI2" s="95" t="n"/>
      <c r="MZJ2" s="95" t="n"/>
      <c r="MZK2" s="95" t="n"/>
      <c r="MZL2" s="95" t="n"/>
      <c r="MZM2" s="95" t="n"/>
      <c r="MZN2" s="95" t="n"/>
      <c r="MZO2" s="95" t="n"/>
      <c r="MZP2" s="95" t="n"/>
      <c r="MZQ2" s="95" t="n"/>
      <c r="MZR2" s="95" t="n"/>
      <c r="MZS2" s="95" t="n"/>
      <c r="MZT2" s="95" t="n"/>
      <c r="MZU2" s="95" t="n"/>
      <c r="MZV2" s="95" t="n"/>
      <c r="MZW2" s="95" t="n"/>
      <c r="MZX2" s="95" t="n"/>
      <c r="MZY2" s="95" t="n"/>
      <c r="MZZ2" s="95" t="n"/>
      <c r="NAA2" s="95" t="n"/>
      <c r="NAB2" s="95" t="n"/>
      <c r="NAC2" s="95" t="n"/>
      <c r="NAD2" s="95" t="n"/>
      <c r="NAE2" s="95" t="n"/>
      <c r="NAF2" s="95" t="n"/>
      <c r="NAG2" s="95" t="n"/>
      <c r="NAH2" s="95" t="n"/>
      <c r="NAI2" s="95" t="n"/>
      <c r="NAJ2" s="95" t="n"/>
      <c r="NAK2" s="95" t="n"/>
      <c r="NAL2" s="95" t="n"/>
      <c r="NAM2" s="95" t="n"/>
      <c r="NAN2" s="95" t="n"/>
      <c r="NAO2" s="95" t="n"/>
      <c r="NAP2" s="95" t="n"/>
      <c r="NAQ2" s="95" t="n"/>
      <c r="NAR2" s="95" t="n"/>
      <c r="NAS2" s="95" t="n"/>
      <c r="NAT2" s="95" t="n"/>
      <c r="NAU2" s="95" t="n"/>
      <c r="NAV2" s="95" t="n"/>
      <c r="NAW2" s="95" t="n"/>
      <c r="NAX2" s="95" t="n"/>
      <c r="NAY2" s="95" t="n"/>
      <c r="NAZ2" s="95" t="n"/>
      <c r="NBA2" s="95" t="n"/>
      <c r="NBB2" s="95" t="n"/>
      <c r="NBC2" s="95" t="n"/>
      <c r="NBD2" s="95" t="n"/>
      <c r="NBE2" s="95" t="n"/>
      <c r="NBF2" s="95" t="n"/>
      <c r="NBG2" s="95" t="n"/>
      <c r="NBH2" s="95" t="n"/>
      <c r="NBI2" s="95" t="n"/>
      <c r="NBJ2" s="95" t="n"/>
      <c r="NBK2" s="95" t="n"/>
      <c r="NBL2" s="95" t="n"/>
      <c r="NBM2" s="95" t="n"/>
      <c r="NBN2" s="95" t="n"/>
      <c r="NBO2" s="95" t="n"/>
      <c r="NBP2" s="95" t="n"/>
      <c r="NBQ2" s="95" t="n"/>
      <c r="NBR2" s="95" t="n"/>
      <c r="NBS2" s="95" t="n"/>
      <c r="NBT2" s="95" t="n"/>
      <c r="NBU2" s="95" t="n"/>
      <c r="NBV2" s="95" t="n"/>
      <c r="NBW2" s="95" t="n"/>
      <c r="NBX2" s="95" t="n"/>
      <c r="NBY2" s="95" t="n"/>
      <c r="NBZ2" s="95" t="n"/>
      <c r="NCA2" s="95" t="n"/>
      <c r="NCB2" s="95" t="n"/>
      <c r="NCC2" s="95" t="n"/>
      <c r="NCD2" s="95" t="n"/>
      <c r="NCE2" s="95" t="n"/>
      <c r="NCF2" s="95" t="n"/>
      <c r="NCG2" s="95" t="n"/>
      <c r="NCH2" s="95" t="n"/>
      <c r="NCI2" s="95" t="n"/>
      <c r="NCJ2" s="95" t="n"/>
      <c r="NCK2" s="95" t="n"/>
      <c r="NCL2" s="95" t="n"/>
      <c r="NCM2" s="95" t="n"/>
      <c r="NCN2" s="95" t="n"/>
      <c r="NCO2" s="95" t="n"/>
      <c r="NCP2" s="95" t="n"/>
      <c r="NCQ2" s="95" t="n"/>
      <c r="NCR2" s="95" t="n"/>
      <c r="NCS2" s="95" t="n"/>
      <c r="NCT2" s="95" t="n"/>
      <c r="NCU2" s="95" t="n"/>
      <c r="NCV2" s="95" t="n"/>
      <c r="NCW2" s="95" t="n"/>
      <c r="NCX2" s="95" t="n"/>
      <c r="NCY2" s="95" t="n"/>
      <c r="NCZ2" s="95" t="n"/>
      <c r="NDA2" s="95" t="n"/>
      <c r="NDB2" s="95" t="n"/>
      <c r="NDC2" s="95" t="n"/>
      <c r="NDD2" s="95" t="n"/>
      <c r="NDE2" s="95" t="n"/>
      <c r="NDF2" s="95" t="n"/>
      <c r="NDG2" s="95" t="n"/>
      <c r="NDH2" s="95" t="n"/>
      <c r="NDI2" s="95" t="n"/>
      <c r="NDJ2" s="95" t="n"/>
      <c r="NDK2" s="95" t="n"/>
      <c r="NDL2" s="95" t="n"/>
      <c r="NDM2" s="95" t="n"/>
      <c r="NDN2" s="95" t="n"/>
      <c r="NDO2" s="95" t="n"/>
      <c r="NDP2" s="95" t="n"/>
      <c r="NDQ2" s="95" t="n"/>
      <c r="NDR2" s="95" t="n"/>
      <c r="NDS2" s="95" t="n"/>
      <c r="NDT2" s="95" t="n"/>
      <c r="NDU2" s="95" t="n"/>
      <c r="NDV2" s="95" t="n"/>
      <c r="NDW2" s="95" t="n"/>
      <c r="NDX2" s="95" t="n"/>
      <c r="NDY2" s="95" t="n"/>
      <c r="NDZ2" s="95" t="n"/>
      <c r="NEA2" s="95" t="n"/>
      <c r="NEB2" s="95" t="n"/>
      <c r="NEC2" s="95" t="n"/>
      <c r="NED2" s="95" t="n"/>
      <c r="NEE2" s="95" t="n"/>
      <c r="NEF2" s="95" t="n"/>
      <c r="NEG2" s="95" t="n"/>
      <c r="NEH2" s="95" t="n"/>
      <c r="NEI2" s="95" t="n"/>
      <c r="NEJ2" s="95" t="n"/>
      <c r="NEK2" s="95" t="n"/>
      <c r="NEL2" s="95" t="n"/>
      <c r="NEM2" s="95" t="n"/>
      <c r="NEN2" s="95" t="n"/>
      <c r="NEO2" s="95" t="n"/>
      <c r="NEP2" s="95" t="n"/>
      <c r="NEQ2" s="95" t="n"/>
      <c r="NER2" s="95" t="n"/>
      <c r="NES2" s="95" t="n"/>
      <c r="NET2" s="95" t="n"/>
      <c r="NEU2" s="95" t="n"/>
      <c r="NEV2" s="95" t="n"/>
      <c r="NEW2" s="95" t="n"/>
      <c r="NEX2" s="95" t="n"/>
      <c r="NEY2" s="95" t="n"/>
      <c r="NEZ2" s="95" t="n"/>
      <c r="NFA2" s="95" t="n"/>
      <c r="NFB2" s="95" t="n"/>
      <c r="NFC2" s="95" t="n"/>
      <c r="NFD2" s="95" t="n"/>
      <c r="NFE2" s="95" t="n"/>
      <c r="NFF2" s="95" t="n"/>
      <c r="NFG2" s="95" t="n"/>
      <c r="NFH2" s="95" t="n"/>
      <c r="NFI2" s="95" t="n"/>
      <c r="NFJ2" s="95" t="n"/>
      <c r="NFK2" s="95" t="n"/>
      <c r="NFL2" s="95" t="n"/>
      <c r="NFM2" s="95" t="n"/>
      <c r="NFN2" s="95" t="n"/>
      <c r="NFO2" s="95" t="n"/>
      <c r="NFP2" s="95" t="n"/>
      <c r="NFQ2" s="95" t="n"/>
      <c r="NFR2" s="95" t="n"/>
      <c r="NFS2" s="95" t="n"/>
      <c r="NFT2" s="95" t="n"/>
      <c r="NFU2" s="95" t="n"/>
      <c r="NFV2" s="95" t="n"/>
      <c r="NFW2" s="95" t="n"/>
      <c r="NFX2" s="95" t="n"/>
      <c r="NFY2" s="95" t="n"/>
      <c r="NFZ2" s="95" t="n"/>
      <c r="NGA2" s="95" t="n"/>
      <c r="NGB2" s="95" t="n"/>
      <c r="NGC2" s="95" t="n"/>
      <c r="NGD2" s="95" t="n"/>
      <c r="NGE2" s="95" t="n"/>
      <c r="NGF2" s="95" t="n"/>
      <c r="NGG2" s="95" t="n"/>
      <c r="NGH2" s="95" t="n"/>
      <c r="NGI2" s="95" t="n"/>
      <c r="NGJ2" s="95" t="n"/>
      <c r="NGK2" s="95" t="n"/>
      <c r="NGL2" s="95" t="n"/>
      <c r="NGM2" s="95" t="n"/>
      <c r="NGN2" s="95" t="n"/>
      <c r="NGO2" s="95" t="n"/>
      <c r="NGP2" s="95" t="n"/>
      <c r="NGQ2" s="95" t="n"/>
      <c r="NGR2" s="95" t="n"/>
      <c r="NGS2" s="95" t="n"/>
      <c r="NGT2" s="95" t="n"/>
      <c r="NGU2" s="95" t="n"/>
      <c r="NGV2" s="95" t="n"/>
      <c r="NGW2" s="95" t="n"/>
      <c r="NGX2" s="95" t="n"/>
      <c r="NGY2" s="95" t="n"/>
      <c r="NGZ2" s="95" t="n"/>
      <c r="NHA2" s="95" t="n"/>
      <c r="NHB2" s="95" t="n"/>
      <c r="NHC2" s="95" t="n"/>
      <c r="NHD2" s="95" t="n"/>
      <c r="NHE2" s="95" t="n"/>
      <c r="NHF2" s="95" t="n"/>
      <c r="NHG2" s="95" t="n"/>
      <c r="NHH2" s="95" t="n"/>
      <c r="NHI2" s="95" t="n"/>
      <c r="NHJ2" s="95" t="n"/>
      <c r="NHK2" s="95" t="n"/>
      <c r="NHL2" s="95" t="n"/>
      <c r="NHM2" s="95" t="n"/>
      <c r="NHN2" s="95" t="n"/>
      <c r="NHO2" s="95" t="n"/>
      <c r="NHP2" s="95" t="n"/>
      <c r="NHQ2" s="95" t="n"/>
      <c r="NHR2" s="95" t="n"/>
      <c r="NHS2" s="95" t="n"/>
      <c r="NHT2" s="95" t="n"/>
      <c r="NHU2" s="95" t="n"/>
      <c r="NHV2" s="95" t="n"/>
      <c r="NHW2" s="95" t="n"/>
      <c r="NHX2" s="95" t="n"/>
      <c r="NHY2" s="95" t="n"/>
      <c r="NHZ2" s="95" t="n"/>
      <c r="NIA2" s="95" t="n"/>
      <c r="NIB2" s="95" t="n"/>
      <c r="NIC2" s="95" t="n"/>
      <c r="NID2" s="95" t="n"/>
      <c r="NIE2" s="95" t="n"/>
      <c r="NIF2" s="95" t="n"/>
      <c r="NIG2" s="95" t="n"/>
      <c r="NIH2" s="95" t="n"/>
      <c r="NII2" s="95" t="n"/>
      <c r="NIJ2" s="95" t="n"/>
      <c r="NIK2" s="95" t="n"/>
      <c r="NIL2" s="95" t="n"/>
      <c r="NIM2" s="95" t="n"/>
      <c r="NIN2" s="95" t="n"/>
      <c r="NIO2" s="95" t="n"/>
      <c r="NIP2" s="95" t="n"/>
      <c r="NIQ2" s="95" t="n"/>
      <c r="NIR2" s="95" t="n"/>
      <c r="NIS2" s="95" t="n"/>
      <c r="NIT2" s="95" t="n"/>
      <c r="NIU2" s="95" t="n"/>
      <c r="NIV2" s="95" t="n"/>
      <c r="NIW2" s="95" t="n"/>
      <c r="NIX2" s="95" t="n"/>
      <c r="NIY2" s="95" t="n"/>
      <c r="NIZ2" s="95" t="n"/>
      <c r="NJA2" s="95" t="n"/>
      <c r="NJB2" s="95" t="n"/>
      <c r="NJC2" s="95" t="n"/>
      <c r="NJD2" s="95" t="n"/>
      <c r="NJE2" s="95" t="n"/>
      <c r="NJF2" s="95" t="n"/>
      <c r="NJG2" s="95" t="n"/>
      <c r="NJH2" s="95" t="n"/>
      <c r="NJI2" s="95" t="n"/>
      <c r="NJJ2" s="95" t="n"/>
      <c r="NJK2" s="95" t="n"/>
      <c r="NJL2" s="95" t="n"/>
      <c r="NJM2" s="95" t="n"/>
      <c r="NJN2" s="95" t="n"/>
      <c r="NJO2" s="95" t="n"/>
      <c r="NJP2" s="95" t="n"/>
      <c r="NJQ2" s="95" t="n"/>
      <c r="NJR2" s="95" t="n"/>
      <c r="NJS2" s="95" t="n"/>
      <c r="NJT2" s="95" t="n"/>
      <c r="NJU2" s="95" t="n"/>
      <c r="NJV2" s="95" t="n"/>
      <c r="NJW2" s="95" t="n"/>
      <c r="NJX2" s="95" t="n"/>
      <c r="NJY2" s="95" t="n"/>
      <c r="NJZ2" s="95" t="n"/>
      <c r="NKA2" s="95" t="n"/>
      <c r="NKB2" s="95" t="n"/>
      <c r="NKC2" s="95" t="n"/>
      <c r="NKD2" s="95" t="n"/>
      <c r="NKE2" s="95" t="n"/>
      <c r="NKF2" s="95" t="n"/>
      <c r="NKG2" s="95" t="n"/>
      <c r="NKH2" s="95" t="n"/>
      <c r="NKI2" s="95" t="n"/>
      <c r="NKJ2" s="95" t="n"/>
      <c r="NKK2" s="95" t="n"/>
      <c r="NKL2" s="95" t="n"/>
      <c r="NKM2" s="95" t="n"/>
      <c r="NKN2" s="95" t="n"/>
      <c r="NKO2" s="95" t="n"/>
      <c r="NKP2" s="95" t="n"/>
      <c r="NKQ2" s="95" t="n"/>
      <c r="NKR2" s="95" t="n"/>
      <c r="NKS2" s="95" t="n"/>
      <c r="NKT2" s="95" t="n"/>
      <c r="NKU2" s="95" t="n"/>
      <c r="NKV2" s="95" t="n"/>
      <c r="NKW2" s="95" t="n"/>
      <c r="NKX2" s="95" t="n"/>
      <c r="NKY2" s="95" t="n"/>
      <c r="NKZ2" s="95" t="n"/>
      <c r="NLA2" s="95" t="n"/>
      <c r="NLB2" s="95" t="n"/>
      <c r="NLC2" s="95" t="n"/>
      <c r="NLD2" s="95" t="n"/>
      <c r="NLE2" s="95" t="n"/>
      <c r="NLF2" s="95" t="n"/>
      <c r="NLG2" s="95" t="n"/>
      <c r="NLH2" s="95" t="n"/>
      <c r="NLI2" s="95" t="n"/>
      <c r="NLJ2" s="95" t="n"/>
      <c r="NLK2" s="95" t="n"/>
      <c r="NLL2" s="95" t="n"/>
      <c r="NLM2" s="95" t="n"/>
      <c r="NLN2" s="95" t="n"/>
      <c r="NLO2" s="95" t="n"/>
      <c r="NLP2" s="95" t="n"/>
      <c r="NLQ2" s="95" t="n"/>
      <c r="NLR2" s="95" t="n"/>
      <c r="NLS2" s="95" t="n"/>
      <c r="NLT2" s="95" t="n"/>
      <c r="NLU2" s="95" t="n"/>
      <c r="NLV2" s="95" t="n"/>
      <c r="NLW2" s="95" t="n"/>
      <c r="NLX2" s="95" t="n"/>
      <c r="NLY2" s="95" t="n"/>
      <c r="NLZ2" s="95" t="n"/>
      <c r="NMA2" s="95" t="n"/>
      <c r="NMB2" s="95" t="n"/>
      <c r="NMC2" s="95" t="n"/>
      <c r="NMD2" s="95" t="n"/>
      <c r="NME2" s="95" t="n"/>
      <c r="NMF2" s="95" t="n"/>
      <c r="NMG2" s="95" t="n"/>
      <c r="NMH2" s="95" t="n"/>
      <c r="NMI2" s="95" t="n"/>
      <c r="NMJ2" s="95" t="n"/>
      <c r="NMK2" s="95" t="n"/>
      <c r="NML2" s="95" t="n"/>
      <c r="NMM2" s="95" t="n"/>
      <c r="NMN2" s="95" t="n"/>
      <c r="NMO2" s="95" t="n"/>
      <c r="NMP2" s="95" t="n"/>
      <c r="NMQ2" s="95" t="n"/>
      <c r="NMR2" s="95" t="n"/>
      <c r="NMS2" s="95" t="n"/>
      <c r="NMT2" s="95" t="n"/>
      <c r="NMU2" s="95" t="n"/>
      <c r="NMV2" s="95" t="n"/>
      <c r="NMW2" s="95" t="n"/>
      <c r="NMX2" s="95" t="n"/>
      <c r="NMY2" s="95" t="n"/>
      <c r="NMZ2" s="95" t="n"/>
      <c r="NNA2" s="95" t="n"/>
      <c r="NNB2" s="95" t="n"/>
      <c r="NNC2" s="95" t="n"/>
      <c r="NND2" s="95" t="n"/>
      <c r="NNE2" s="95" t="n"/>
      <c r="NNF2" s="95" t="n"/>
      <c r="NNG2" s="95" t="n"/>
      <c r="NNH2" s="95" t="n"/>
      <c r="NNI2" s="95" t="n"/>
      <c r="NNJ2" s="95" t="n"/>
      <c r="NNK2" s="95" t="n"/>
      <c r="NNL2" s="95" t="n"/>
      <c r="NNM2" s="95" t="n"/>
      <c r="NNN2" s="95" t="n"/>
      <c r="NNO2" s="95" t="n"/>
      <c r="NNP2" s="95" t="n"/>
      <c r="NNQ2" s="95" t="n"/>
      <c r="NNR2" s="95" t="n"/>
      <c r="NNS2" s="95" t="n"/>
      <c r="NNT2" s="95" t="n"/>
      <c r="NNU2" s="95" t="n"/>
      <c r="NNV2" s="95" t="n"/>
      <c r="NNW2" s="95" t="n"/>
      <c r="NNX2" s="95" t="n"/>
      <c r="NNY2" s="95" t="n"/>
      <c r="NNZ2" s="95" t="n"/>
      <c r="NOA2" s="95" t="n"/>
      <c r="NOB2" s="95" t="n"/>
      <c r="NOC2" s="95" t="n"/>
      <c r="NOD2" s="95" t="n"/>
      <c r="NOE2" s="95" t="n"/>
      <c r="NOF2" s="95" t="n"/>
      <c r="NOG2" s="95" t="n"/>
      <c r="NOH2" s="95" t="n"/>
      <c r="NOI2" s="95" t="n"/>
      <c r="NOJ2" s="95" t="n"/>
      <c r="NOK2" s="95" t="n"/>
      <c r="NOL2" s="95" t="n"/>
      <c r="NOM2" s="95" t="n"/>
      <c r="NON2" s="95" t="n"/>
      <c r="NOO2" s="95" t="n"/>
      <c r="NOP2" s="95" t="n"/>
      <c r="NOQ2" s="95" t="n"/>
      <c r="NOR2" s="95" t="n"/>
      <c r="NOS2" s="95" t="n"/>
      <c r="NOT2" s="95" t="n"/>
      <c r="NOU2" s="95" t="n"/>
      <c r="NOV2" s="95" t="n"/>
      <c r="NOW2" s="95" t="n"/>
      <c r="NOX2" s="95" t="n"/>
      <c r="NOY2" s="95" t="n"/>
      <c r="NOZ2" s="95" t="n"/>
      <c r="NPA2" s="95" t="n"/>
      <c r="NPB2" s="95" t="n"/>
      <c r="NPC2" s="95" t="n"/>
      <c r="NPD2" s="95" t="n"/>
      <c r="NPE2" s="95" t="n"/>
      <c r="NPF2" s="95" t="n"/>
      <c r="NPG2" s="95" t="n"/>
      <c r="NPH2" s="95" t="n"/>
      <c r="NPI2" s="95" t="n"/>
      <c r="NPJ2" s="95" t="n"/>
      <c r="NPK2" s="95" t="n"/>
      <c r="NPL2" s="95" t="n"/>
      <c r="NPM2" s="95" t="n"/>
      <c r="NPN2" s="95" t="n"/>
      <c r="NPO2" s="95" t="n"/>
      <c r="NPP2" s="95" t="n"/>
      <c r="NPQ2" s="95" t="n"/>
      <c r="NPR2" s="95" t="n"/>
      <c r="NPS2" s="95" t="n"/>
      <c r="NPT2" s="95" t="n"/>
      <c r="NPU2" s="95" t="n"/>
      <c r="NPV2" s="95" t="n"/>
      <c r="NPW2" s="95" t="n"/>
      <c r="NPX2" s="95" t="n"/>
      <c r="NPY2" s="95" t="n"/>
      <c r="NPZ2" s="95" t="n"/>
      <c r="NQA2" s="95" t="n"/>
      <c r="NQB2" s="95" t="n"/>
      <c r="NQC2" s="95" t="n"/>
      <c r="NQD2" s="95" t="n"/>
      <c r="NQE2" s="95" t="n"/>
      <c r="NQF2" s="95" t="n"/>
      <c r="NQG2" s="95" t="n"/>
      <c r="NQH2" s="95" t="n"/>
      <c r="NQI2" s="95" t="n"/>
      <c r="NQJ2" s="95" t="n"/>
      <c r="NQK2" s="95" t="n"/>
      <c r="NQL2" s="95" t="n"/>
      <c r="NQM2" s="95" t="n"/>
      <c r="NQN2" s="95" t="n"/>
      <c r="NQO2" s="95" t="n"/>
      <c r="NQP2" s="95" t="n"/>
      <c r="NQQ2" s="95" t="n"/>
      <c r="NQR2" s="95" t="n"/>
      <c r="NQS2" s="95" t="n"/>
      <c r="NQT2" s="95" t="n"/>
      <c r="NQU2" s="95" t="n"/>
      <c r="NQV2" s="95" t="n"/>
      <c r="NQW2" s="95" t="n"/>
      <c r="NQX2" s="95" t="n"/>
      <c r="NQY2" s="95" t="n"/>
      <c r="NQZ2" s="95" t="n"/>
      <c r="NRA2" s="95" t="n"/>
      <c r="NRB2" s="95" t="n"/>
      <c r="NRC2" s="95" t="n"/>
      <c r="NRD2" s="95" t="n"/>
      <c r="NRE2" s="95" t="n"/>
      <c r="NRF2" s="95" t="n"/>
      <c r="NRG2" s="95" t="n"/>
      <c r="NRH2" s="95" t="n"/>
      <c r="NRI2" s="95" t="n"/>
      <c r="NRJ2" s="95" t="n"/>
      <c r="NRK2" s="95" t="n"/>
      <c r="NRL2" s="95" t="n"/>
      <c r="NRM2" s="95" t="n"/>
      <c r="NRN2" s="95" t="n"/>
      <c r="NRO2" s="95" t="n"/>
      <c r="NRP2" s="95" t="n"/>
      <c r="NRQ2" s="95" t="n"/>
      <c r="NRR2" s="95" t="n"/>
      <c r="NRS2" s="95" t="n"/>
      <c r="NRT2" s="95" t="n"/>
      <c r="NRU2" s="95" t="n"/>
      <c r="NRV2" s="95" t="n"/>
      <c r="NRW2" s="95" t="n"/>
      <c r="NRX2" s="95" t="n"/>
      <c r="NRY2" s="95" t="n"/>
      <c r="NRZ2" s="95" t="n"/>
      <c r="NSA2" s="95" t="n"/>
      <c r="NSB2" s="95" t="n"/>
      <c r="NSC2" s="95" t="n"/>
      <c r="NSD2" s="95" t="n"/>
      <c r="NSE2" s="95" t="n"/>
      <c r="NSF2" s="95" t="n"/>
      <c r="NSG2" s="95" t="n"/>
      <c r="NSH2" s="95" t="n"/>
      <c r="NSI2" s="95" t="n"/>
      <c r="NSJ2" s="95" t="n"/>
      <c r="NSK2" s="95" t="n"/>
      <c r="NSL2" s="95" t="n"/>
      <c r="NSM2" s="95" t="n"/>
      <c r="NSN2" s="95" t="n"/>
      <c r="NSO2" s="95" t="n"/>
      <c r="NSP2" s="95" t="n"/>
      <c r="NSQ2" s="95" t="n"/>
      <c r="NSR2" s="95" t="n"/>
      <c r="NSS2" s="95" t="n"/>
      <c r="NST2" s="95" t="n"/>
      <c r="NSU2" s="95" t="n"/>
      <c r="NSV2" s="95" t="n"/>
      <c r="NSW2" s="95" t="n"/>
      <c r="NSX2" s="95" t="n"/>
      <c r="NSY2" s="95" t="n"/>
      <c r="NSZ2" s="95" t="n"/>
      <c r="NTA2" s="95" t="n"/>
      <c r="NTB2" s="95" t="n"/>
      <c r="NTC2" s="95" t="n"/>
      <c r="NTD2" s="95" t="n"/>
      <c r="NTE2" s="95" t="n"/>
      <c r="NTF2" s="95" t="n"/>
      <c r="NTG2" s="95" t="n"/>
      <c r="NTH2" s="95" t="n"/>
      <c r="NTI2" s="95" t="n"/>
      <c r="NTJ2" s="95" t="n"/>
      <c r="NTK2" s="95" t="n"/>
      <c r="NTL2" s="95" t="n"/>
      <c r="NTM2" s="95" t="n"/>
      <c r="NTN2" s="95" t="n"/>
      <c r="NTO2" s="95" t="n"/>
      <c r="NTP2" s="95" t="n"/>
      <c r="NTQ2" s="95" t="n"/>
      <c r="NTR2" s="95" t="n"/>
      <c r="NTS2" s="95" t="n"/>
      <c r="NTT2" s="95" t="n"/>
      <c r="NTU2" s="95" t="n"/>
      <c r="NTV2" s="95" t="n"/>
      <c r="NTW2" s="95" t="n"/>
      <c r="NTX2" s="95" t="n"/>
      <c r="NTY2" s="95" t="n"/>
      <c r="NTZ2" s="95" t="n"/>
      <c r="NUA2" s="95" t="n"/>
      <c r="NUB2" s="95" t="n"/>
      <c r="NUC2" s="95" t="n"/>
      <c r="NUD2" s="95" t="n"/>
      <c r="NUE2" s="95" t="n"/>
      <c r="NUF2" s="95" t="n"/>
      <c r="NUG2" s="95" t="n"/>
      <c r="NUH2" s="95" t="n"/>
      <c r="NUI2" s="95" t="n"/>
      <c r="NUJ2" s="95" t="n"/>
      <c r="NUK2" s="95" t="n"/>
      <c r="NUL2" s="95" t="n"/>
      <c r="NUM2" s="95" t="n"/>
      <c r="NUN2" s="95" t="n"/>
      <c r="NUO2" s="95" t="n"/>
      <c r="NUP2" s="95" t="n"/>
      <c r="NUQ2" s="95" t="n"/>
      <c r="NUR2" s="95" t="n"/>
      <c r="NUS2" s="95" t="n"/>
      <c r="NUT2" s="95" t="n"/>
      <c r="NUU2" s="95" t="n"/>
      <c r="NUV2" s="95" t="n"/>
      <c r="NUW2" s="95" t="n"/>
      <c r="NUX2" s="95" t="n"/>
      <c r="NUY2" s="95" t="n"/>
      <c r="NUZ2" s="95" t="n"/>
      <c r="NVA2" s="95" t="n"/>
      <c r="NVB2" s="95" t="n"/>
      <c r="NVC2" s="95" t="n"/>
      <c r="NVD2" s="95" t="n"/>
      <c r="NVE2" s="95" t="n"/>
      <c r="NVF2" s="95" t="n"/>
      <c r="NVG2" s="95" t="n"/>
      <c r="NVH2" s="95" t="n"/>
      <c r="NVI2" s="95" t="n"/>
      <c r="NVJ2" s="95" t="n"/>
      <c r="NVK2" s="95" t="n"/>
      <c r="NVL2" s="95" t="n"/>
      <c r="NVM2" s="95" t="n"/>
      <c r="NVN2" s="95" t="n"/>
      <c r="NVO2" s="95" t="n"/>
      <c r="NVP2" s="95" t="n"/>
      <c r="NVQ2" s="95" t="n"/>
      <c r="NVR2" s="95" t="n"/>
      <c r="NVS2" s="95" t="n"/>
      <c r="NVT2" s="95" t="n"/>
      <c r="NVU2" s="95" t="n"/>
      <c r="NVV2" s="95" t="n"/>
      <c r="NVW2" s="95" t="n"/>
      <c r="NVX2" s="95" t="n"/>
      <c r="NVY2" s="95" t="n"/>
      <c r="NVZ2" s="95" t="n"/>
      <c r="NWA2" s="95" t="n"/>
      <c r="NWB2" s="95" t="n"/>
      <c r="NWC2" s="95" t="n"/>
      <c r="NWD2" s="95" t="n"/>
      <c r="NWE2" s="95" t="n"/>
      <c r="NWF2" s="95" t="n"/>
      <c r="NWG2" s="95" t="n"/>
      <c r="NWH2" s="95" t="n"/>
      <c r="NWI2" s="95" t="n"/>
      <c r="NWJ2" s="95" t="n"/>
      <c r="NWK2" s="95" t="n"/>
      <c r="NWL2" s="95" t="n"/>
      <c r="NWM2" s="95" t="n"/>
      <c r="NWN2" s="95" t="n"/>
      <c r="NWO2" s="95" t="n"/>
      <c r="NWP2" s="95" t="n"/>
      <c r="NWQ2" s="95" t="n"/>
      <c r="NWR2" s="95" t="n"/>
      <c r="NWS2" s="95" t="n"/>
      <c r="NWT2" s="95" t="n"/>
      <c r="NWU2" s="95" t="n"/>
      <c r="NWV2" s="95" t="n"/>
      <c r="NWW2" s="95" t="n"/>
      <c r="NWX2" s="95" t="n"/>
      <c r="NWY2" s="95" t="n"/>
      <c r="NWZ2" s="95" t="n"/>
      <c r="NXA2" s="95" t="n"/>
      <c r="NXB2" s="95" t="n"/>
      <c r="NXC2" s="95" t="n"/>
      <c r="NXD2" s="95" t="n"/>
      <c r="NXE2" s="95" t="n"/>
      <c r="NXF2" s="95" t="n"/>
      <c r="NXG2" s="95" t="n"/>
      <c r="NXH2" s="95" t="n"/>
      <c r="NXI2" s="95" t="n"/>
      <c r="NXJ2" s="95" t="n"/>
      <c r="NXK2" s="95" t="n"/>
      <c r="NXL2" s="95" t="n"/>
      <c r="NXM2" s="95" t="n"/>
      <c r="NXN2" s="95" t="n"/>
      <c r="NXO2" s="95" t="n"/>
      <c r="NXP2" s="95" t="n"/>
      <c r="NXQ2" s="95" t="n"/>
      <c r="NXR2" s="95" t="n"/>
      <c r="NXS2" s="95" t="n"/>
      <c r="NXT2" s="95" t="n"/>
      <c r="NXU2" s="95" t="n"/>
      <c r="NXV2" s="95" t="n"/>
      <c r="NXW2" s="95" t="n"/>
      <c r="NXX2" s="95" t="n"/>
      <c r="NXY2" s="95" t="n"/>
      <c r="NXZ2" s="95" t="n"/>
      <c r="NYA2" s="95" t="n"/>
      <c r="NYB2" s="95" t="n"/>
      <c r="NYC2" s="95" t="n"/>
      <c r="NYD2" s="95" t="n"/>
      <c r="NYE2" s="95" t="n"/>
      <c r="NYF2" s="95" t="n"/>
      <c r="NYG2" s="95" t="n"/>
      <c r="NYH2" s="95" t="n"/>
      <c r="NYI2" s="95" t="n"/>
      <c r="NYJ2" s="95" t="n"/>
      <c r="NYK2" s="95" t="n"/>
      <c r="NYL2" s="95" t="n"/>
      <c r="NYM2" s="95" t="n"/>
      <c r="NYN2" s="95" t="n"/>
      <c r="NYO2" s="95" t="n"/>
      <c r="NYP2" s="95" t="n"/>
      <c r="NYQ2" s="95" t="n"/>
      <c r="NYR2" s="95" t="n"/>
      <c r="NYS2" s="95" t="n"/>
      <c r="NYT2" s="95" t="n"/>
      <c r="NYU2" s="95" t="n"/>
      <c r="NYV2" s="95" t="n"/>
      <c r="NYW2" s="95" t="n"/>
      <c r="NYX2" s="95" t="n"/>
      <c r="NYY2" s="95" t="n"/>
      <c r="NYZ2" s="95" t="n"/>
      <c r="NZA2" s="95" t="n"/>
      <c r="NZB2" s="95" t="n"/>
      <c r="NZC2" s="95" t="n"/>
      <c r="NZD2" s="95" t="n"/>
      <c r="NZE2" s="95" t="n"/>
      <c r="NZF2" s="95" t="n"/>
      <c r="NZG2" s="95" t="n"/>
      <c r="NZH2" s="95" t="n"/>
      <c r="NZI2" s="95" t="n"/>
      <c r="NZJ2" s="95" t="n"/>
      <c r="NZK2" s="95" t="n"/>
      <c r="NZL2" s="95" t="n"/>
      <c r="NZM2" s="95" t="n"/>
      <c r="NZN2" s="95" t="n"/>
      <c r="NZO2" s="95" t="n"/>
      <c r="NZP2" s="95" t="n"/>
      <c r="NZQ2" s="95" t="n"/>
      <c r="NZR2" s="95" t="n"/>
      <c r="NZS2" s="95" t="n"/>
      <c r="NZT2" s="95" t="n"/>
      <c r="NZU2" s="95" t="n"/>
      <c r="NZV2" s="95" t="n"/>
      <c r="NZW2" s="95" t="n"/>
      <c r="NZX2" s="95" t="n"/>
      <c r="NZY2" s="95" t="n"/>
      <c r="NZZ2" s="95" t="n"/>
      <c r="OAA2" s="95" t="n"/>
      <c r="OAB2" s="95" t="n"/>
      <c r="OAC2" s="95" t="n"/>
      <c r="OAD2" s="95" t="n"/>
      <c r="OAE2" s="95" t="n"/>
      <c r="OAF2" s="95" t="n"/>
      <c r="OAG2" s="95" t="n"/>
      <c r="OAH2" s="95" t="n"/>
      <c r="OAI2" s="95" t="n"/>
      <c r="OAJ2" s="95" t="n"/>
      <c r="OAK2" s="95" t="n"/>
      <c r="OAL2" s="95" t="n"/>
      <c r="OAM2" s="95" t="n"/>
      <c r="OAN2" s="95" t="n"/>
      <c r="OAO2" s="95" t="n"/>
      <c r="OAP2" s="95" t="n"/>
      <c r="OAQ2" s="95" t="n"/>
      <c r="OAR2" s="95" t="n"/>
      <c r="OAS2" s="95" t="n"/>
      <c r="OAT2" s="95" t="n"/>
      <c r="OAU2" s="95" t="n"/>
      <c r="OAV2" s="95" t="n"/>
      <c r="OAW2" s="95" t="n"/>
      <c r="OAX2" s="95" t="n"/>
      <c r="OAY2" s="95" t="n"/>
      <c r="OAZ2" s="95" t="n"/>
      <c r="OBA2" s="95" t="n"/>
      <c r="OBB2" s="95" t="n"/>
      <c r="OBC2" s="95" t="n"/>
      <c r="OBD2" s="95" t="n"/>
      <c r="OBE2" s="95" t="n"/>
      <c r="OBF2" s="95" t="n"/>
      <c r="OBG2" s="95" t="n"/>
      <c r="OBH2" s="95" t="n"/>
      <c r="OBI2" s="95" t="n"/>
      <c r="OBJ2" s="95" t="n"/>
      <c r="OBK2" s="95" t="n"/>
      <c r="OBL2" s="95" t="n"/>
      <c r="OBM2" s="95" t="n"/>
      <c r="OBN2" s="95" t="n"/>
      <c r="OBO2" s="95" t="n"/>
      <c r="OBP2" s="95" t="n"/>
      <c r="OBQ2" s="95" t="n"/>
      <c r="OBR2" s="95" t="n"/>
      <c r="OBS2" s="95" t="n"/>
      <c r="OBT2" s="95" t="n"/>
      <c r="OBU2" s="95" t="n"/>
      <c r="OBV2" s="95" t="n"/>
      <c r="OBW2" s="95" t="n"/>
      <c r="OBX2" s="95" t="n"/>
      <c r="OBY2" s="95" t="n"/>
      <c r="OBZ2" s="95" t="n"/>
      <c r="OCA2" s="95" t="n"/>
      <c r="OCB2" s="95" t="n"/>
      <c r="OCC2" s="95" t="n"/>
      <c r="OCD2" s="95" t="n"/>
      <c r="OCE2" s="95" t="n"/>
      <c r="OCF2" s="95" t="n"/>
      <c r="OCG2" s="95" t="n"/>
      <c r="OCH2" s="95" t="n"/>
      <c r="OCI2" s="95" t="n"/>
      <c r="OCJ2" s="95" t="n"/>
      <c r="OCK2" s="95" t="n"/>
      <c r="OCL2" s="95" t="n"/>
      <c r="OCM2" s="95" t="n"/>
      <c r="OCN2" s="95" t="n"/>
      <c r="OCO2" s="95" t="n"/>
      <c r="OCP2" s="95" t="n"/>
      <c r="OCQ2" s="95" t="n"/>
      <c r="OCR2" s="95" t="n"/>
      <c r="OCS2" s="95" t="n"/>
      <c r="OCT2" s="95" t="n"/>
      <c r="OCU2" s="95" t="n"/>
      <c r="OCV2" s="95" t="n"/>
      <c r="OCW2" s="95" t="n"/>
      <c r="OCX2" s="95" t="n"/>
      <c r="OCY2" s="95" t="n"/>
      <c r="OCZ2" s="95" t="n"/>
      <c r="ODA2" s="95" t="n"/>
      <c r="ODB2" s="95" t="n"/>
      <c r="ODC2" s="95" t="n"/>
      <c r="ODD2" s="95" t="n"/>
      <c r="ODE2" s="95" t="n"/>
      <c r="ODF2" s="95" t="n"/>
      <c r="ODG2" s="95" t="n"/>
      <c r="ODH2" s="95" t="n"/>
      <c r="ODI2" s="95" t="n"/>
      <c r="ODJ2" s="95" t="n"/>
      <c r="ODK2" s="95" t="n"/>
      <c r="ODL2" s="95" t="n"/>
      <c r="ODM2" s="95" t="n"/>
      <c r="ODN2" s="95" t="n"/>
      <c r="ODO2" s="95" t="n"/>
      <c r="ODP2" s="95" t="n"/>
      <c r="ODQ2" s="95" t="n"/>
      <c r="ODR2" s="95" t="n"/>
      <c r="ODS2" s="95" t="n"/>
      <c r="ODT2" s="95" t="n"/>
      <c r="ODU2" s="95" t="n"/>
      <c r="ODV2" s="95" t="n"/>
      <c r="ODW2" s="95" t="n"/>
      <c r="ODX2" s="95" t="n"/>
      <c r="ODY2" s="95" t="n"/>
      <c r="ODZ2" s="95" t="n"/>
      <c r="OEA2" s="95" t="n"/>
      <c r="OEB2" s="95" t="n"/>
      <c r="OEC2" s="95" t="n"/>
      <c r="OED2" s="95" t="n"/>
      <c r="OEE2" s="95" t="n"/>
      <c r="OEF2" s="95" t="n"/>
      <c r="OEG2" s="95" t="n"/>
      <c r="OEH2" s="95" t="n"/>
      <c r="OEI2" s="95" t="n"/>
      <c r="OEJ2" s="95" t="n"/>
      <c r="OEK2" s="95" t="n"/>
      <c r="OEL2" s="95" t="n"/>
      <c r="OEM2" s="95" t="n"/>
      <c r="OEN2" s="95" t="n"/>
      <c r="OEO2" s="95" t="n"/>
      <c r="OEP2" s="95" t="n"/>
      <c r="OEQ2" s="95" t="n"/>
      <c r="OER2" s="95" t="n"/>
      <c r="OES2" s="95" t="n"/>
      <c r="OET2" s="95" t="n"/>
      <c r="OEU2" s="95" t="n"/>
      <c r="OEV2" s="95" t="n"/>
      <c r="OEW2" s="95" t="n"/>
      <c r="OEX2" s="95" t="n"/>
      <c r="OEY2" s="95" t="n"/>
      <c r="OEZ2" s="95" t="n"/>
      <c r="OFA2" s="95" t="n"/>
      <c r="OFB2" s="95" t="n"/>
      <c r="OFC2" s="95" t="n"/>
      <c r="OFD2" s="95" t="n"/>
      <c r="OFE2" s="95" t="n"/>
      <c r="OFF2" s="95" t="n"/>
      <c r="OFG2" s="95" t="n"/>
      <c r="OFH2" s="95" t="n"/>
      <c r="OFI2" s="95" t="n"/>
      <c r="OFJ2" s="95" t="n"/>
      <c r="OFK2" s="95" t="n"/>
      <c r="OFL2" s="95" t="n"/>
      <c r="OFM2" s="95" t="n"/>
      <c r="OFN2" s="95" t="n"/>
      <c r="OFO2" s="95" t="n"/>
      <c r="OFP2" s="95" t="n"/>
      <c r="OFQ2" s="95" t="n"/>
      <c r="OFR2" s="95" t="n"/>
      <c r="OFS2" s="95" t="n"/>
      <c r="OFT2" s="95" t="n"/>
      <c r="OFU2" s="95" t="n"/>
      <c r="OFV2" s="95" t="n"/>
      <c r="OFW2" s="95" t="n"/>
      <c r="OFX2" s="95" t="n"/>
      <c r="OFY2" s="95" t="n"/>
      <c r="OFZ2" s="95" t="n"/>
      <c r="OGA2" s="95" t="n"/>
      <c r="OGB2" s="95" t="n"/>
      <c r="OGC2" s="95" t="n"/>
      <c r="OGD2" s="95" t="n"/>
      <c r="OGE2" s="95" t="n"/>
      <c r="OGF2" s="95" t="n"/>
      <c r="OGG2" s="95" t="n"/>
      <c r="OGH2" s="95" t="n"/>
      <c r="OGI2" s="95" t="n"/>
      <c r="OGJ2" s="95" t="n"/>
      <c r="OGK2" s="95" t="n"/>
      <c r="OGL2" s="95" t="n"/>
      <c r="OGM2" s="95" t="n"/>
      <c r="OGN2" s="95" t="n"/>
      <c r="OGO2" s="95" t="n"/>
      <c r="OGP2" s="95" t="n"/>
      <c r="OGQ2" s="95" t="n"/>
      <c r="OGR2" s="95" t="n"/>
      <c r="OGS2" s="95" t="n"/>
      <c r="OGT2" s="95" t="n"/>
      <c r="OGU2" s="95" t="n"/>
      <c r="OGV2" s="95" t="n"/>
      <c r="OGW2" s="95" t="n"/>
      <c r="OGX2" s="95" t="n"/>
      <c r="OGY2" s="95" t="n"/>
      <c r="OGZ2" s="95" t="n"/>
      <c r="OHA2" s="95" t="n"/>
      <c r="OHB2" s="95" t="n"/>
      <c r="OHC2" s="95" t="n"/>
      <c r="OHD2" s="95" t="n"/>
      <c r="OHE2" s="95" t="n"/>
      <c r="OHF2" s="95" t="n"/>
      <c r="OHG2" s="95" t="n"/>
      <c r="OHH2" s="95" t="n"/>
      <c r="OHI2" s="95" t="n"/>
      <c r="OHJ2" s="95" t="n"/>
      <c r="OHK2" s="95" t="n"/>
      <c r="OHL2" s="95" t="n"/>
      <c r="OHM2" s="95" t="n"/>
      <c r="OHN2" s="95" t="n"/>
      <c r="OHO2" s="95" t="n"/>
      <c r="OHP2" s="95" t="n"/>
      <c r="OHQ2" s="95" t="n"/>
      <c r="OHR2" s="95" t="n"/>
      <c r="OHS2" s="95" t="n"/>
      <c r="OHT2" s="95" t="n"/>
      <c r="OHU2" s="95" t="n"/>
      <c r="OHV2" s="95" t="n"/>
      <c r="OHW2" s="95" t="n"/>
      <c r="OHX2" s="95" t="n"/>
      <c r="OHY2" s="95" t="n"/>
      <c r="OHZ2" s="95" t="n"/>
      <c r="OIA2" s="95" t="n"/>
      <c r="OIB2" s="95" t="n"/>
      <c r="OIC2" s="95" t="n"/>
      <c r="OID2" s="95" t="n"/>
      <c r="OIE2" s="95" t="n"/>
      <c r="OIF2" s="95" t="n"/>
      <c r="OIG2" s="95" t="n"/>
      <c r="OIH2" s="95" t="n"/>
      <c r="OII2" s="95" t="n"/>
      <c r="OIJ2" s="95" t="n"/>
      <c r="OIK2" s="95" t="n"/>
      <c r="OIL2" s="95" t="n"/>
      <c r="OIM2" s="95" t="n"/>
      <c r="OIN2" s="95" t="n"/>
      <c r="OIO2" s="95" t="n"/>
      <c r="OIP2" s="95" t="n"/>
      <c r="OIQ2" s="95" t="n"/>
      <c r="OIR2" s="95" t="n"/>
      <c r="OIS2" s="95" t="n"/>
      <c r="OIT2" s="95" t="n"/>
      <c r="OIU2" s="95" t="n"/>
      <c r="OIV2" s="95" t="n"/>
      <c r="OIW2" s="95" t="n"/>
      <c r="OIX2" s="95" t="n"/>
      <c r="OIY2" s="95" t="n"/>
      <c r="OIZ2" s="95" t="n"/>
      <c r="OJA2" s="95" t="n"/>
      <c r="OJB2" s="95" t="n"/>
      <c r="OJC2" s="95" t="n"/>
      <c r="OJD2" s="95" t="n"/>
      <c r="OJE2" s="95" t="n"/>
      <c r="OJF2" s="95" t="n"/>
      <c r="OJG2" s="95" t="n"/>
      <c r="OJH2" s="95" t="n"/>
      <c r="OJI2" s="95" t="n"/>
      <c r="OJJ2" s="95" t="n"/>
      <c r="OJK2" s="95" t="n"/>
      <c r="OJL2" s="95" t="n"/>
      <c r="OJM2" s="95" t="n"/>
      <c r="OJN2" s="95" t="n"/>
      <c r="OJO2" s="95" t="n"/>
      <c r="OJP2" s="95" t="n"/>
      <c r="OJQ2" s="95" t="n"/>
      <c r="OJR2" s="95" t="n"/>
      <c r="OJS2" s="95" t="n"/>
      <c r="OJT2" s="95" t="n"/>
      <c r="OJU2" s="95" t="n"/>
      <c r="OJV2" s="95" t="n"/>
      <c r="OJW2" s="95" t="n"/>
      <c r="OJX2" s="95" t="n"/>
      <c r="OJY2" s="95" t="n"/>
      <c r="OJZ2" s="95" t="n"/>
      <c r="OKA2" s="95" t="n"/>
      <c r="OKB2" s="95" t="n"/>
      <c r="OKC2" s="95" t="n"/>
      <c r="OKD2" s="95" t="n"/>
      <c r="OKE2" s="95" t="n"/>
      <c r="OKF2" s="95" t="n"/>
      <c r="OKG2" s="95" t="n"/>
      <c r="OKH2" s="95" t="n"/>
      <c r="OKI2" s="95" t="n"/>
      <c r="OKJ2" s="95" t="n"/>
      <c r="OKK2" s="95" t="n"/>
      <c r="OKL2" s="95" t="n"/>
      <c r="OKM2" s="95" t="n"/>
      <c r="OKN2" s="95" t="n"/>
      <c r="OKO2" s="95" t="n"/>
      <c r="OKP2" s="95" t="n"/>
      <c r="OKQ2" s="95" t="n"/>
      <c r="OKR2" s="95" t="n"/>
      <c r="OKS2" s="95" t="n"/>
      <c r="OKT2" s="95" t="n"/>
      <c r="OKU2" s="95" t="n"/>
      <c r="OKV2" s="95" t="n"/>
      <c r="OKW2" s="95" t="n"/>
      <c r="OKX2" s="95" t="n"/>
      <c r="OKY2" s="95" t="n"/>
      <c r="OKZ2" s="95" t="n"/>
      <c r="OLA2" s="95" t="n"/>
      <c r="OLB2" s="95" t="n"/>
      <c r="OLC2" s="95" t="n"/>
      <c r="OLD2" s="95" t="n"/>
      <c r="OLE2" s="95" t="n"/>
      <c r="OLF2" s="95" t="n"/>
      <c r="OLG2" s="95" t="n"/>
      <c r="OLH2" s="95" t="n"/>
      <c r="OLI2" s="95" t="n"/>
      <c r="OLJ2" s="95" t="n"/>
      <c r="OLK2" s="95" t="n"/>
      <c r="OLL2" s="95" t="n"/>
      <c r="OLM2" s="95" t="n"/>
      <c r="OLN2" s="95" t="n"/>
      <c r="OLO2" s="95" t="n"/>
      <c r="OLP2" s="95" t="n"/>
      <c r="OLQ2" s="95" t="n"/>
      <c r="OLR2" s="95" t="n"/>
      <c r="OLS2" s="95" t="n"/>
      <c r="OLT2" s="95" t="n"/>
      <c r="OLU2" s="95" t="n"/>
      <c r="OLV2" s="95" t="n"/>
      <c r="OLW2" s="95" t="n"/>
      <c r="OLX2" s="95" t="n"/>
      <c r="OLY2" s="95" t="n"/>
      <c r="OLZ2" s="95" t="n"/>
      <c r="OMA2" s="95" t="n"/>
      <c r="OMB2" s="95" t="n"/>
      <c r="OMC2" s="95" t="n"/>
      <c r="OMD2" s="95" t="n"/>
      <c r="OME2" s="95" t="n"/>
      <c r="OMF2" s="95" t="n"/>
      <c r="OMG2" s="95" t="n"/>
      <c r="OMH2" s="95" t="n"/>
      <c r="OMI2" s="95" t="n"/>
      <c r="OMJ2" s="95" t="n"/>
      <c r="OMK2" s="95" t="n"/>
      <c r="OML2" s="95" t="n"/>
      <c r="OMM2" s="95" t="n"/>
      <c r="OMN2" s="95" t="n"/>
      <c r="OMO2" s="95" t="n"/>
      <c r="OMP2" s="95" t="n"/>
      <c r="OMQ2" s="95" t="n"/>
      <c r="OMR2" s="95" t="n"/>
      <c r="OMS2" s="95" t="n"/>
      <c r="OMT2" s="95" t="n"/>
      <c r="OMU2" s="95" t="n"/>
      <c r="OMV2" s="95" t="n"/>
      <c r="OMW2" s="95" t="n"/>
      <c r="OMX2" s="95" t="n"/>
      <c r="OMY2" s="95" t="n"/>
      <c r="OMZ2" s="95" t="n"/>
      <c r="ONA2" s="95" t="n"/>
      <c r="ONB2" s="95" t="n"/>
      <c r="ONC2" s="95" t="n"/>
      <c r="OND2" s="95" t="n"/>
      <c r="ONE2" s="95" t="n"/>
      <c r="ONF2" s="95" t="n"/>
      <c r="ONG2" s="95" t="n"/>
      <c r="ONH2" s="95" t="n"/>
      <c r="ONI2" s="95" t="n"/>
      <c r="ONJ2" s="95" t="n"/>
      <c r="ONK2" s="95" t="n"/>
      <c r="ONL2" s="95" t="n"/>
      <c r="ONM2" s="95" t="n"/>
      <c r="ONN2" s="95" t="n"/>
      <c r="ONO2" s="95" t="n"/>
      <c r="ONP2" s="95" t="n"/>
      <c r="ONQ2" s="95" t="n"/>
      <c r="ONR2" s="95" t="n"/>
      <c r="ONS2" s="95" t="n"/>
      <c r="ONT2" s="95" t="n"/>
      <c r="ONU2" s="95" t="n"/>
      <c r="ONV2" s="95" t="n"/>
      <c r="ONW2" s="95" t="n"/>
      <c r="ONX2" s="95" t="n"/>
      <c r="ONY2" s="95" t="n"/>
      <c r="ONZ2" s="95" t="n"/>
      <c r="OOA2" s="95" t="n"/>
      <c r="OOB2" s="95" t="n"/>
      <c r="OOC2" s="95" t="n"/>
      <c r="OOD2" s="95" t="n"/>
      <c r="OOE2" s="95" t="n"/>
      <c r="OOF2" s="95" t="n"/>
      <c r="OOG2" s="95" t="n"/>
      <c r="OOH2" s="95" t="n"/>
      <c r="OOI2" s="95" t="n"/>
      <c r="OOJ2" s="95" t="n"/>
      <c r="OOK2" s="95" t="n"/>
      <c r="OOL2" s="95" t="n"/>
      <c r="OOM2" s="95" t="n"/>
      <c r="OON2" s="95" t="n"/>
      <c r="OOO2" s="95" t="n"/>
      <c r="OOP2" s="95" t="n"/>
      <c r="OOQ2" s="95" t="n"/>
      <c r="OOR2" s="95" t="n"/>
      <c r="OOS2" s="95" t="n"/>
      <c r="OOT2" s="95" t="n"/>
      <c r="OOU2" s="95" t="n"/>
      <c r="OOV2" s="95" t="n"/>
      <c r="OOW2" s="95" t="n"/>
      <c r="OOX2" s="95" t="n"/>
      <c r="OOY2" s="95" t="n"/>
      <c r="OOZ2" s="95" t="n"/>
      <c r="OPA2" s="95" t="n"/>
      <c r="OPB2" s="95" t="n"/>
      <c r="OPC2" s="95" t="n"/>
      <c r="OPD2" s="95" t="n"/>
      <c r="OPE2" s="95" t="n"/>
      <c r="OPF2" s="95" t="n"/>
      <c r="OPG2" s="95" t="n"/>
      <c r="OPH2" s="95" t="n"/>
      <c r="OPI2" s="95" t="n"/>
      <c r="OPJ2" s="95" t="n"/>
      <c r="OPK2" s="95" t="n"/>
      <c r="OPL2" s="95" t="n"/>
      <c r="OPM2" s="95" t="n"/>
      <c r="OPN2" s="95" t="n"/>
      <c r="OPO2" s="95" t="n"/>
      <c r="OPP2" s="95" t="n"/>
      <c r="OPQ2" s="95" t="n"/>
      <c r="OPR2" s="95" t="n"/>
      <c r="OPS2" s="95" t="n"/>
      <c r="OPT2" s="95" t="n"/>
      <c r="OPU2" s="95" t="n"/>
      <c r="OPV2" s="95" t="n"/>
      <c r="OPW2" s="95" t="n"/>
      <c r="OPX2" s="95" t="n"/>
      <c r="OPY2" s="95" t="n"/>
      <c r="OPZ2" s="95" t="n"/>
      <c r="OQA2" s="95" t="n"/>
      <c r="OQB2" s="95" t="n"/>
      <c r="OQC2" s="95" t="n"/>
      <c r="OQD2" s="95" t="n"/>
      <c r="OQE2" s="95" t="n"/>
      <c r="OQF2" s="95" t="n"/>
      <c r="OQG2" s="95" t="n"/>
      <c r="OQH2" s="95" t="n"/>
      <c r="OQI2" s="95" t="n"/>
      <c r="OQJ2" s="95" t="n"/>
      <c r="OQK2" s="95" t="n"/>
      <c r="OQL2" s="95" t="n"/>
      <c r="OQM2" s="95" t="n"/>
      <c r="OQN2" s="95" t="n"/>
      <c r="OQO2" s="95" t="n"/>
      <c r="OQP2" s="95" t="n"/>
      <c r="OQQ2" s="95" t="n"/>
      <c r="OQR2" s="95" t="n"/>
      <c r="OQS2" s="95" t="n"/>
      <c r="OQT2" s="95" t="n"/>
      <c r="OQU2" s="95" t="n"/>
      <c r="OQV2" s="95" t="n"/>
      <c r="OQW2" s="95" t="n"/>
      <c r="OQX2" s="95" t="n"/>
      <c r="OQY2" s="95" t="n"/>
      <c r="OQZ2" s="95" t="n"/>
      <c r="ORA2" s="95" t="n"/>
      <c r="ORB2" s="95" t="n"/>
      <c r="ORC2" s="95" t="n"/>
      <c r="ORD2" s="95" t="n"/>
      <c r="ORE2" s="95" t="n"/>
      <c r="ORF2" s="95" t="n"/>
      <c r="ORG2" s="95" t="n"/>
      <c r="ORH2" s="95" t="n"/>
      <c r="ORI2" s="95" t="n"/>
      <c r="ORJ2" s="95" t="n"/>
      <c r="ORK2" s="95" t="n"/>
      <c r="ORL2" s="95" t="n"/>
      <c r="ORM2" s="95" t="n"/>
      <c r="ORN2" s="95" t="n"/>
      <c r="ORO2" s="95" t="n"/>
      <c r="ORP2" s="95" t="n"/>
      <c r="ORQ2" s="95" t="n"/>
      <c r="ORR2" s="95" t="n"/>
      <c r="ORS2" s="95" t="n"/>
      <c r="ORT2" s="95" t="n"/>
      <c r="ORU2" s="95" t="n"/>
      <c r="ORV2" s="95" t="n"/>
      <c r="ORW2" s="95" t="n"/>
      <c r="ORX2" s="95" t="n"/>
      <c r="ORY2" s="95" t="n"/>
      <c r="ORZ2" s="95" t="n"/>
      <c r="OSA2" s="95" t="n"/>
      <c r="OSB2" s="95" t="n"/>
      <c r="OSC2" s="95" t="n"/>
      <c r="OSD2" s="95" t="n"/>
      <c r="OSE2" s="95" t="n"/>
      <c r="OSF2" s="95" t="n"/>
      <c r="OSG2" s="95" t="n"/>
      <c r="OSH2" s="95" t="n"/>
      <c r="OSI2" s="95" t="n"/>
      <c r="OSJ2" s="95" t="n"/>
      <c r="OSK2" s="95" t="n"/>
      <c r="OSL2" s="95" t="n"/>
      <c r="OSM2" s="95" t="n"/>
      <c r="OSN2" s="95" t="n"/>
      <c r="OSO2" s="95" t="n"/>
      <c r="OSP2" s="95" t="n"/>
      <c r="OSQ2" s="95" t="n"/>
      <c r="OSR2" s="95" t="n"/>
      <c r="OSS2" s="95" t="n"/>
      <c r="OST2" s="95" t="n"/>
      <c r="OSU2" s="95" t="n"/>
      <c r="OSV2" s="95" t="n"/>
      <c r="OSW2" s="95" t="n"/>
      <c r="OSX2" s="95" t="n"/>
      <c r="OSY2" s="95" t="n"/>
      <c r="OSZ2" s="95" t="n"/>
      <c r="OTA2" s="95" t="n"/>
      <c r="OTB2" s="95" t="n"/>
      <c r="OTC2" s="95" t="n"/>
      <c r="OTD2" s="95" t="n"/>
      <c r="OTE2" s="95" t="n"/>
      <c r="OTF2" s="95" t="n"/>
      <c r="OTG2" s="95" t="n"/>
      <c r="OTH2" s="95" t="n"/>
      <c r="OTI2" s="95" t="n"/>
      <c r="OTJ2" s="95" t="n"/>
      <c r="OTK2" s="95" t="n"/>
      <c r="OTL2" s="95" t="n"/>
      <c r="OTM2" s="95" t="n"/>
      <c r="OTN2" s="95" t="n"/>
      <c r="OTO2" s="95" t="n"/>
      <c r="OTP2" s="95" t="n"/>
      <c r="OTQ2" s="95" t="n"/>
      <c r="OTR2" s="95" t="n"/>
      <c r="OTS2" s="95" t="n"/>
      <c r="OTT2" s="95" t="n"/>
      <c r="OTU2" s="95" t="n"/>
      <c r="OTV2" s="95" t="n"/>
      <c r="OTW2" s="95" t="n"/>
      <c r="OTX2" s="95" t="n"/>
      <c r="OTY2" s="95" t="n"/>
      <c r="OTZ2" s="95" t="n"/>
      <c r="OUA2" s="95" t="n"/>
      <c r="OUB2" s="95" t="n"/>
      <c r="OUC2" s="95" t="n"/>
      <c r="OUD2" s="95" t="n"/>
      <c r="OUE2" s="95" t="n"/>
      <c r="OUF2" s="95" t="n"/>
      <c r="OUG2" s="95" t="n"/>
      <c r="OUH2" s="95" t="n"/>
      <c r="OUI2" s="95" t="n"/>
      <c r="OUJ2" s="95" t="n"/>
      <c r="OUK2" s="95" t="n"/>
      <c r="OUL2" s="95" t="n"/>
      <c r="OUM2" s="95" t="n"/>
      <c r="OUN2" s="95" t="n"/>
      <c r="OUO2" s="95" t="n"/>
      <c r="OUP2" s="95" t="n"/>
      <c r="OUQ2" s="95" t="n"/>
      <c r="OUR2" s="95" t="n"/>
      <c r="OUS2" s="95" t="n"/>
      <c r="OUT2" s="95" t="n"/>
      <c r="OUU2" s="95" t="n"/>
      <c r="OUV2" s="95" t="n"/>
      <c r="OUW2" s="95" t="n"/>
      <c r="OUX2" s="95" t="n"/>
      <c r="OUY2" s="95" t="n"/>
      <c r="OUZ2" s="95" t="n"/>
      <c r="OVA2" s="95" t="n"/>
      <c r="OVB2" s="95" t="n"/>
      <c r="OVC2" s="95" t="n"/>
      <c r="OVD2" s="95" t="n"/>
      <c r="OVE2" s="95" t="n"/>
      <c r="OVF2" s="95" t="n"/>
      <c r="OVG2" s="95" t="n"/>
      <c r="OVH2" s="95" t="n"/>
      <c r="OVI2" s="95" t="n"/>
      <c r="OVJ2" s="95" t="n"/>
      <c r="OVK2" s="95" t="n"/>
      <c r="OVL2" s="95" t="n"/>
      <c r="OVM2" s="95" t="n"/>
      <c r="OVN2" s="95" t="n"/>
      <c r="OVO2" s="95" t="n"/>
      <c r="OVP2" s="95" t="n"/>
      <c r="OVQ2" s="95" t="n"/>
      <c r="OVR2" s="95" t="n"/>
      <c r="OVS2" s="95" t="n"/>
      <c r="OVT2" s="95" t="n"/>
      <c r="OVU2" s="95" t="n"/>
      <c r="OVV2" s="95" t="n"/>
      <c r="OVW2" s="95" t="n"/>
      <c r="OVX2" s="95" t="n"/>
      <c r="OVY2" s="95" t="n"/>
      <c r="OVZ2" s="95" t="n"/>
      <c r="OWA2" s="95" t="n"/>
      <c r="OWB2" s="95" t="n"/>
      <c r="OWC2" s="95" t="n"/>
      <c r="OWD2" s="95" t="n"/>
      <c r="OWE2" s="95" t="n"/>
      <c r="OWF2" s="95" t="n"/>
      <c r="OWG2" s="95" t="n"/>
      <c r="OWH2" s="95" t="n"/>
      <c r="OWI2" s="95" t="n"/>
      <c r="OWJ2" s="95" t="n"/>
      <c r="OWK2" s="95" t="n"/>
      <c r="OWL2" s="95" t="n"/>
      <c r="OWM2" s="95" t="n"/>
      <c r="OWN2" s="95" t="n"/>
      <c r="OWO2" s="95" t="n"/>
      <c r="OWP2" s="95" t="n"/>
      <c r="OWQ2" s="95" t="n"/>
      <c r="OWR2" s="95" t="n"/>
      <c r="OWS2" s="95" t="n"/>
      <c r="OWT2" s="95" t="n"/>
      <c r="OWU2" s="95" t="n"/>
      <c r="OWV2" s="95" t="n"/>
      <c r="OWW2" s="95" t="n"/>
      <c r="OWX2" s="95" t="n"/>
      <c r="OWY2" s="95" t="n"/>
      <c r="OWZ2" s="95" t="n"/>
      <c r="OXA2" s="95" t="n"/>
      <c r="OXB2" s="95" t="n"/>
      <c r="OXC2" s="95" t="n"/>
      <c r="OXD2" s="95" t="n"/>
      <c r="OXE2" s="95" t="n"/>
      <c r="OXF2" s="95" t="n"/>
      <c r="OXG2" s="95" t="n"/>
      <c r="OXH2" s="95" t="n"/>
      <c r="OXI2" s="95" t="n"/>
      <c r="OXJ2" s="95" t="n"/>
      <c r="OXK2" s="95" t="n"/>
      <c r="OXL2" s="95" t="n"/>
      <c r="OXM2" s="95" t="n"/>
      <c r="OXN2" s="95" t="n"/>
      <c r="OXO2" s="95" t="n"/>
      <c r="OXP2" s="95" t="n"/>
      <c r="OXQ2" s="95" t="n"/>
      <c r="OXR2" s="95" t="n"/>
      <c r="OXS2" s="95" t="n"/>
      <c r="OXT2" s="95" t="n"/>
      <c r="OXU2" s="95" t="n"/>
      <c r="OXV2" s="95" t="n"/>
      <c r="OXW2" s="95" t="n"/>
      <c r="OXX2" s="95" t="n"/>
      <c r="OXY2" s="95" t="n"/>
      <c r="OXZ2" s="95" t="n"/>
      <c r="OYA2" s="95" t="n"/>
      <c r="OYB2" s="95" t="n"/>
      <c r="OYC2" s="95" t="n"/>
      <c r="OYD2" s="95" t="n"/>
      <c r="OYE2" s="95" t="n"/>
      <c r="OYF2" s="95" t="n"/>
      <c r="OYG2" s="95" t="n"/>
      <c r="OYH2" s="95" t="n"/>
      <c r="OYI2" s="95" t="n"/>
      <c r="OYJ2" s="95" t="n"/>
      <c r="OYK2" s="95" t="n"/>
      <c r="OYL2" s="95" t="n"/>
      <c r="OYM2" s="95" t="n"/>
      <c r="OYN2" s="95" t="n"/>
      <c r="OYO2" s="95" t="n"/>
      <c r="OYP2" s="95" t="n"/>
      <c r="OYQ2" s="95" t="n"/>
      <c r="OYR2" s="95" t="n"/>
      <c r="OYS2" s="95" t="n"/>
      <c r="OYT2" s="95" t="n"/>
      <c r="OYU2" s="95" t="n"/>
      <c r="OYV2" s="95" t="n"/>
      <c r="OYW2" s="95" t="n"/>
      <c r="OYX2" s="95" t="n"/>
      <c r="OYY2" s="95" t="n"/>
      <c r="OYZ2" s="95" t="n"/>
      <c r="OZA2" s="95" t="n"/>
      <c r="OZB2" s="95" t="n"/>
      <c r="OZC2" s="95" t="n"/>
      <c r="OZD2" s="95" t="n"/>
      <c r="OZE2" s="95" t="n"/>
      <c r="OZF2" s="95" t="n"/>
      <c r="OZG2" s="95" t="n"/>
      <c r="OZH2" s="95" t="n"/>
      <c r="OZI2" s="95" t="n"/>
      <c r="OZJ2" s="95" t="n"/>
      <c r="OZK2" s="95" t="n"/>
      <c r="OZL2" s="95" t="n"/>
      <c r="OZM2" s="95" t="n"/>
      <c r="OZN2" s="95" t="n"/>
      <c r="OZO2" s="95" t="n"/>
      <c r="OZP2" s="95" t="n"/>
      <c r="OZQ2" s="95" t="n"/>
      <c r="OZR2" s="95" t="n"/>
      <c r="OZS2" s="95" t="n"/>
      <c r="OZT2" s="95" t="n"/>
      <c r="OZU2" s="95" t="n"/>
      <c r="OZV2" s="95" t="n"/>
      <c r="OZW2" s="95" t="n"/>
      <c r="OZX2" s="95" t="n"/>
      <c r="OZY2" s="95" t="n"/>
      <c r="OZZ2" s="95" t="n"/>
      <c r="PAA2" s="95" t="n"/>
      <c r="PAB2" s="95" t="n"/>
      <c r="PAC2" s="95" t="n"/>
      <c r="PAD2" s="95" t="n"/>
      <c r="PAE2" s="95" t="n"/>
      <c r="PAF2" s="95" t="n"/>
      <c r="PAG2" s="95" t="n"/>
      <c r="PAH2" s="95" t="n"/>
      <c r="PAI2" s="95" t="n"/>
      <c r="PAJ2" s="95" t="n"/>
      <c r="PAK2" s="95" t="n"/>
      <c r="PAL2" s="95" t="n"/>
      <c r="PAM2" s="95" t="n"/>
      <c r="PAN2" s="95" t="n"/>
      <c r="PAO2" s="95" t="n"/>
      <c r="PAP2" s="95" t="n"/>
      <c r="PAQ2" s="95" t="n"/>
      <c r="PAR2" s="95" t="n"/>
      <c r="PAS2" s="95" t="n"/>
      <c r="PAT2" s="95" t="n"/>
      <c r="PAU2" s="95" t="n"/>
      <c r="PAV2" s="95" t="n"/>
      <c r="PAW2" s="95" t="n"/>
      <c r="PAX2" s="95" t="n"/>
      <c r="PAY2" s="95" t="n"/>
      <c r="PAZ2" s="95" t="n"/>
      <c r="PBA2" s="95" t="n"/>
      <c r="PBB2" s="95" t="n"/>
      <c r="PBC2" s="95" t="n"/>
      <c r="PBD2" s="95" t="n"/>
      <c r="PBE2" s="95" t="n"/>
      <c r="PBF2" s="95" t="n"/>
      <c r="PBG2" s="95" t="n"/>
      <c r="PBH2" s="95" t="n"/>
      <c r="PBI2" s="95" t="n"/>
      <c r="PBJ2" s="95" t="n"/>
      <c r="PBK2" s="95" t="n"/>
      <c r="PBL2" s="95" t="n"/>
      <c r="PBM2" s="95" t="n"/>
      <c r="PBN2" s="95" t="n"/>
      <c r="PBO2" s="95" t="n"/>
      <c r="PBP2" s="95" t="n"/>
      <c r="PBQ2" s="95" t="n"/>
      <c r="PBR2" s="95" t="n"/>
      <c r="PBS2" s="95" t="n"/>
      <c r="PBT2" s="95" t="n"/>
      <c r="PBU2" s="95" t="n"/>
      <c r="PBV2" s="95" t="n"/>
      <c r="PBW2" s="95" t="n"/>
      <c r="PBX2" s="95" t="n"/>
      <c r="PBY2" s="95" t="n"/>
      <c r="PBZ2" s="95" t="n"/>
      <c r="PCA2" s="95" t="n"/>
      <c r="PCB2" s="95" t="n"/>
      <c r="PCC2" s="95" t="n"/>
      <c r="PCD2" s="95" t="n"/>
      <c r="PCE2" s="95" t="n"/>
      <c r="PCF2" s="95" t="n"/>
      <c r="PCG2" s="95" t="n"/>
      <c r="PCH2" s="95" t="n"/>
      <c r="PCI2" s="95" t="n"/>
      <c r="PCJ2" s="95" t="n"/>
      <c r="PCK2" s="95" t="n"/>
      <c r="PCL2" s="95" t="n"/>
      <c r="PCM2" s="95" t="n"/>
      <c r="PCN2" s="95" t="n"/>
      <c r="PCO2" s="95" t="n"/>
      <c r="PCP2" s="95" t="n"/>
      <c r="PCQ2" s="95" t="n"/>
      <c r="PCR2" s="95" t="n"/>
      <c r="PCS2" s="95" t="n"/>
      <c r="PCT2" s="95" t="n"/>
      <c r="PCU2" s="95" t="n"/>
      <c r="PCV2" s="95" t="n"/>
      <c r="PCW2" s="95" t="n"/>
      <c r="PCX2" s="95" t="n"/>
      <c r="PCY2" s="95" t="n"/>
      <c r="PCZ2" s="95" t="n"/>
      <c r="PDA2" s="95" t="n"/>
      <c r="PDB2" s="95" t="n"/>
      <c r="PDC2" s="95" t="n"/>
      <c r="PDD2" s="95" t="n"/>
      <c r="PDE2" s="95" t="n"/>
      <c r="PDF2" s="95" t="n"/>
      <c r="PDG2" s="95" t="n"/>
      <c r="PDH2" s="95" t="n"/>
      <c r="PDI2" s="95" t="n"/>
      <c r="PDJ2" s="95" t="n"/>
      <c r="PDK2" s="95" t="n"/>
      <c r="PDL2" s="95" t="n"/>
      <c r="PDM2" s="95" t="n"/>
      <c r="PDN2" s="95" t="n"/>
      <c r="PDO2" s="95" t="n"/>
      <c r="PDP2" s="95" t="n"/>
      <c r="PDQ2" s="95" t="n"/>
      <c r="PDR2" s="95" t="n"/>
      <c r="PDS2" s="95" t="n"/>
      <c r="PDT2" s="95" t="n"/>
      <c r="PDU2" s="95" t="n"/>
      <c r="PDV2" s="95" t="n"/>
      <c r="PDW2" s="95" t="n"/>
      <c r="PDX2" s="95" t="n"/>
      <c r="PDY2" s="95" t="n"/>
      <c r="PDZ2" s="95" t="n"/>
      <c r="PEA2" s="95" t="n"/>
      <c r="PEB2" s="95" t="n"/>
      <c r="PEC2" s="95" t="n"/>
      <c r="PED2" s="95" t="n"/>
      <c r="PEE2" s="95" t="n"/>
      <c r="PEF2" s="95" t="n"/>
      <c r="PEG2" s="95" t="n"/>
      <c r="PEH2" s="95" t="n"/>
      <c r="PEI2" s="95" t="n"/>
      <c r="PEJ2" s="95" t="n"/>
      <c r="PEK2" s="95" t="n"/>
      <c r="PEL2" s="95" t="n"/>
      <c r="PEM2" s="95" t="n"/>
      <c r="PEN2" s="95" t="n"/>
      <c r="PEO2" s="95" t="n"/>
      <c r="PEP2" s="95" t="n"/>
      <c r="PEQ2" s="95" t="n"/>
      <c r="PER2" s="95" t="n"/>
      <c r="PES2" s="95" t="n"/>
      <c r="PET2" s="95" t="n"/>
      <c r="PEU2" s="95" t="n"/>
      <c r="PEV2" s="95" t="n"/>
      <c r="PEW2" s="95" t="n"/>
      <c r="PEX2" s="95" t="n"/>
      <c r="PEY2" s="95" t="n"/>
      <c r="PEZ2" s="95" t="n"/>
      <c r="PFA2" s="95" t="n"/>
      <c r="PFB2" s="95" t="n"/>
      <c r="PFC2" s="95" t="n"/>
      <c r="PFD2" s="95" t="n"/>
      <c r="PFE2" s="95" t="n"/>
      <c r="PFF2" s="95" t="n"/>
      <c r="PFG2" s="95" t="n"/>
      <c r="PFH2" s="95" t="n"/>
      <c r="PFI2" s="95" t="n"/>
      <c r="PFJ2" s="95" t="n"/>
      <c r="PFK2" s="95" t="n"/>
      <c r="PFL2" s="95" t="n"/>
      <c r="PFM2" s="95" t="n"/>
      <c r="PFN2" s="95" t="n"/>
      <c r="PFO2" s="95" t="n"/>
      <c r="PFP2" s="95" t="n"/>
      <c r="PFQ2" s="95" t="n"/>
      <c r="PFR2" s="95" t="n"/>
      <c r="PFS2" s="95" t="n"/>
      <c r="PFT2" s="95" t="n"/>
      <c r="PFU2" s="95" t="n"/>
      <c r="PFV2" s="95" t="n"/>
      <c r="PFW2" s="95" t="n"/>
      <c r="PFX2" s="95" t="n"/>
      <c r="PFY2" s="95" t="n"/>
      <c r="PFZ2" s="95" t="n"/>
      <c r="PGA2" s="95" t="n"/>
      <c r="PGB2" s="95" t="n"/>
      <c r="PGC2" s="95" t="n"/>
      <c r="PGD2" s="95" t="n"/>
      <c r="PGE2" s="95" t="n"/>
      <c r="PGF2" s="95" t="n"/>
      <c r="PGG2" s="95" t="n"/>
      <c r="PGH2" s="95" t="n"/>
      <c r="PGI2" s="95" t="n"/>
      <c r="PGJ2" s="95" t="n"/>
      <c r="PGK2" s="95" t="n"/>
      <c r="PGL2" s="95" t="n"/>
      <c r="PGM2" s="95" t="n"/>
      <c r="PGN2" s="95" t="n"/>
      <c r="PGO2" s="95" t="n"/>
      <c r="PGP2" s="95" t="n"/>
      <c r="PGQ2" s="95" t="n"/>
      <c r="PGR2" s="95" t="n"/>
      <c r="PGS2" s="95" t="n"/>
      <c r="PGT2" s="95" t="n"/>
      <c r="PGU2" s="95" t="n"/>
      <c r="PGV2" s="95" t="n"/>
      <c r="PGW2" s="95" t="n"/>
      <c r="PGX2" s="95" t="n"/>
      <c r="PGY2" s="95" t="n"/>
      <c r="PGZ2" s="95" t="n"/>
      <c r="PHA2" s="95" t="n"/>
      <c r="PHB2" s="95" t="n"/>
      <c r="PHC2" s="95" t="n"/>
      <c r="PHD2" s="95" t="n"/>
      <c r="PHE2" s="95" t="n"/>
      <c r="PHF2" s="95" t="n"/>
      <c r="PHG2" s="95" t="n"/>
      <c r="PHH2" s="95" t="n"/>
      <c r="PHI2" s="95" t="n"/>
      <c r="PHJ2" s="95" t="n"/>
      <c r="PHK2" s="95" t="n"/>
      <c r="PHL2" s="95" t="n"/>
      <c r="PHM2" s="95" t="n"/>
      <c r="PHN2" s="95" t="n"/>
      <c r="PHO2" s="95" t="n"/>
      <c r="PHP2" s="95" t="n"/>
      <c r="PHQ2" s="95" t="n"/>
      <c r="PHR2" s="95" t="n"/>
      <c r="PHS2" s="95" t="n"/>
      <c r="PHT2" s="95" t="n"/>
      <c r="PHU2" s="95" t="n"/>
      <c r="PHV2" s="95" t="n"/>
      <c r="PHW2" s="95" t="n"/>
      <c r="PHX2" s="95" t="n"/>
      <c r="PHY2" s="95" t="n"/>
      <c r="PHZ2" s="95" t="n"/>
      <c r="PIA2" s="95" t="n"/>
      <c r="PIB2" s="95" t="n"/>
      <c r="PIC2" s="95" t="n"/>
      <c r="PID2" s="95" t="n"/>
      <c r="PIE2" s="95" t="n"/>
      <c r="PIF2" s="95" t="n"/>
      <c r="PIG2" s="95" t="n"/>
      <c r="PIH2" s="95" t="n"/>
      <c r="PII2" s="95" t="n"/>
      <c r="PIJ2" s="95" t="n"/>
      <c r="PIK2" s="95" t="n"/>
      <c r="PIL2" s="95" t="n"/>
      <c r="PIM2" s="95" t="n"/>
      <c r="PIN2" s="95" t="n"/>
      <c r="PIO2" s="95" t="n"/>
      <c r="PIP2" s="95" t="n"/>
      <c r="PIQ2" s="95" t="n"/>
      <c r="PIR2" s="95" t="n"/>
      <c r="PIS2" s="95" t="n"/>
      <c r="PIT2" s="95" t="n"/>
      <c r="PIU2" s="95" t="n"/>
      <c r="PIV2" s="95" t="n"/>
      <c r="PIW2" s="95" t="n"/>
      <c r="PIX2" s="95" t="n"/>
      <c r="PIY2" s="95" t="n"/>
      <c r="PIZ2" s="95" t="n"/>
      <c r="PJA2" s="95" t="n"/>
      <c r="PJB2" s="95" t="n"/>
      <c r="PJC2" s="95" t="n"/>
      <c r="PJD2" s="95" t="n"/>
      <c r="PJE2" s="95" t="n"/>
      <c r="PJF2" s="95" t="n"/>
      <c r="PJG2" s="95" t="n"/>
      <c r="PJH2" s="95" t="n"/>
      <c r="PJI2" s="95" t="n"/>
      <c r="PJJ2" s="95" t="n"/>
      <c r="PJK2" s="95" t="n"/>
      <c r="PJL2" s="95" t="n"/>
      <c r="PJM2" s="95" t="n"/>
      <c r="PJN2" s="95" t="n"/>
      <c r="PJO2" s="95" t="n"/>
      <c r="PJP2" s="95" t="n"/>
      <c r="PJQ2" s="95" t="n"/>
      <c r="PJR2" s="95" t="n"/>
      <c r="PJS2" s="95" t="n"/>
      <c r="PJT2" s="95" t="n"/>
      <c r="PJU2" s="95" t="n"/>
      <c r="PJV2" s="95" t="n"/>
      <c r="PJW2" s="95" t="n"/>
      <c r="PJX2" s="95" t="n"/>
      <c r="PJY2" s="95" t="n"/>
      <c r="PJZ2" s="95" t="n"/>
      <c r="PKA2" s="95" t="n"/>
      <c r="PKB2" s="95" t="n"/>
      <c r="PKC2" s="95" t="n"/>
      <c r="PKD2" s="95" t="n"/>
      <c r="PKE2" s="95" t="n"/>
      <c r="PKF2" s="95" t="n"/>
      <c r="PKG2" s="95" t="n"/>
      <c r="PKH2" s="95" t="n"/>
      <c r="PKI2" s="95" t="n"/>
      <c r="PKJ2" s="95" t="n"/>
      <c r="PKK2" s="95" t="n"/>
      <c r="PKL2" s="95" t="n"/>
      <c r="PKM2" s="95" t="n"/>
      <c r="PKN2" s="95" t="n"/>
      <c r="PKO2" s="95" t="n"/>
      <c r="PKP2" s="95" t="n"/>
      <c r="PKQ2" s="95" t="n"/>
      <c r="PKR2" s="95" t="n"/>
      <c r="PKS2" s="95" t="n"/>
      <c r="PKT2" s="95" t="n"/>
      <c r="PKU2" s="95" t="n"/>
      <c r="PKV2" s="95" t="n"/>
      <c r="PKW2" s="95" t="n"/>
      <c r="PKX2" s="95" t="n"/>
      <c r="PKY2" s="95" t="n"/>
      <c r="PKZ2" s="95" t="n"/>
      <c r="PLA2" s="95" t="n"/>
      <c r="PLB2" s="95" t="n"/>
      <c r="PLC2" s="95" t="n"/>
      <c r="PLD2" s="95" t="n"/>
      <c r="PLE2" s="95" t="n"/>
      <c r="PLF2" s="95" t="n"/>
      <c r="PLG2" s="95" t="n"/>
      <c r="PLH2" s="95" t="n"/>
      <c r="PLI2" s="95" t="n"/>
      <c r="PLJ2" s="95" t="n"/>
      <c r="PLK2" s="95" t="n"/>
      <c r="PLL2" s="95" t="n"/>
      <c r="PLM2" s="95" t="n"/>
      <c r="PLN2" s="95" t="n"/>
      <c r="PLO2" s="95" t="n"/>
      <c r="PLP2" s="95" t="n"/>
      <c r="PLQ2" s="95" t="n"/>
      <c r="PLR2" s="95" t="n"/>
      <c r="PLS2" s="95" t="n"/>
      <c r="PLT2" s="95" t="n"/>
      <c r="PLU2" s="95" t="n"/>
      <c r="PLV2" s="95" t="n"/>
      <c r="PLW2" s="95" t="n"/>
      <c r="PLX2" s="95" t="n"/>
      <c r="PLY2" s="95" t="n"/>
      <c r="PLZ2" s="95" t="n"/>
      <c r="PMA2" s="95" t="n"/>
      <c r="PMB2" s="95" t="n"/>
      <c r="PMC2" s="95" t="n"/>
      <c r="PMD2" s="95" t="n"/>
      <c r="PME2" s="95" t="n"/>
      <c r="PMF2" s="95" t="n"/>
      <c r="PMG2" s="95" t="n"/>
      <c r="PMH2" s="95" t="n"/>
      <c r="PMI2" s="95" t="n"/>
      <c r="PMJ2" s="95" t="n"/>
      <c r="PMK2" s="95" t="n"/>
      <c r="PML2" s="95" t="n"/>
      <c r="PMM2" s="95" t="n"/>
      <c r="PMN2" s="95" t="n"/>
      <c r="PMO2" s="95" t="n"/>
      <c r="PMP2" s="95" t="n"/>
      <c r="PMQ2" s="95" t="n"/>
      <c r="PMR2" s="95" t="n"/>
      <c r="PMS2" s="95" t="n"/>
      <c r="PMT2" s="95" t="n"/>
      <c r="PMU2" s="95" t="n"/>
      <c r="PMV2" s="95" t="n"/>
      <c r="PMW2" s="95" t="n"/>
      <c r="PMX2" s="95" t="n"/>
      <c r="PMY2" s="95" t="n"/>
      <c r="PMZ2" s="95" t="n"/>
      <c r="PNA2" s="95" t="n"/>
      <c r="PNB2" s="95" t="n"/>
      <c r="PNC2" s="95" t="n"/>
      <c r="PND2" s="95" t="n"/>
      <c r="PNE2" s="95" t="n"/>
      <c r="PNF2" s="95" t="n"/>
      <c r="PNG2" s="95" t="n"/>
      <c r="PNH2" s="95" t="n"/>
      <c r="PNI2" s="95" t="n"/>
      <c r="PNJ2" s="95" t="n"/>
      <c r="PNK2" s="95" t="n"/>
      <c r="PNL2" s="95" t="n"/>
      <c r="PNM2" s="95" t="n"/>
      <c r="PNN2" s="95" t="n"/>
      <c r="PNO2" s="95" t="n"/>
      <c r="PNP2" s="95" t="n"/>
      <c r="PNQ2" s="95" t="n"/>
      <c r="PNR2" s="95" t="n"/>
      <c r="PNS2" s="95" t="n"/>
      <c r="PNT2" s="95" t="n"/>
      <c r="PNU2" s="95" t="n"/>
      <c r="PNV2" s="95" t="n"/>
      <c r="PNW2" s="95" t="n"/>
      <c r="PNX2" s="95" t="n"/>
      <c r="PNY2" s="95" t="n"/>
      <c r="PNZ2" s="95" t="n"/>
      <c r="POA2" s="95" t="n"/>
      <c r="POB2" s="95" t="n"/>
      <c r="POC2" s="95" t="n"/>
      <c r="POD2" s="95" t="n"/>
      <c r="POE2" s="95" t="n"/>
      <c r="POF2" s="95" t="n"/>
      <c r="POG2" s="95" t="n"/>
      <c r="POH2" s="95" t="n"/>
      <c r="POI2" s="95" t="n"/>
      <c r="POJ2" s="95" t="n"/>
      <c r="POK2" s="95" t="n"/>
      <c r="POL2" s="95" t="n"/>
      <c r="POM2" s="95" t="n"/>
      <c r="PON2" s="95" t="n"/>
      <c r="POO2" s="95" t="n"/>
      <c r="POP2" s="95" t="n"/>
      <c r="POQ2" s="95" t="n"/>
      <c r="POR2" s="95" t="n"/>
      <c r="POS2" s="95" t="n"/>
      <c r="POT2" s="95" t="n"/>
      <c r="POU2" s="95" t="n"/>
      <c r="POV2" s="95" t="n"/>
      <c r="POW2" s="95" t="n"/>
      <c r="POX2" s="95" t="n"/>
      <c r="POY2" s="95" t="n"/>
      <c r="POZ2" s="95" t="n"/>
      <c r="PPA2" s="95" t="n"/>
      <c r="PPB2" s="95" t="n"/>
      <c r="PPC2" s="95" t="n"/>
      <c r="PPD2" s="95" t="n"/>
      <c r="PPE2" s="95" t="n"/>
      <c r="PPF2" s="95" t="n"/>
      <c r="PPG2" s="95" t="n"/>
      <c r="PPH2" s="95" t="n"/>
      <c r="PPI2" s="95" t="n"/>
      <c r="PPJ2" s="95" t="n"/>
      <c r="PPK2" s="95" t="n"/>
      <c r="PPL2" s="95" t="n"/>
      <c r="PPM2" s="95" t="n"/>
      <c r="PPN2" s="95" t="n"/>
      <c r="PPO2" s="95" t="n"/>
      <c r="PPP2" s="95" t="n"/>
      <c r="PPQ2" s="95" t="n"/>
      <c r="PPR2" s="95" t="n"/>
      <c r="PPS2" s="95" t="n"/>
      <c r="PPT2" s="95" t="n"/>
      <c r="PPU2" s="95" t="n"/>
      <c r="PPV2" s="95" t="n"/>
      <c r="PPW2" s="95" t="n"/>
      <c r="PPX2" s="95" t="n"/>
      <c r="PPY2" s="95" t="n"/>
      <c r="PPZ2" s="95" t="n"/>
      <c r="PQA2" s="95" t="n"/>
      <c r="PQB2" s="95" t="n"/>
      <c r="PQC2" s="95" t="n"/>
      <c r="PQD2" s="95" t="n"/>
      <c r="PQE2" s="95" t="n"/>
      <c r="PQF2" s="95" t="n"/>
      <c r="PQG2" s="95" t="n"/>
      <c r="PQH2" s="95" t="n"/>
      <c r="PQI2" s="95" t="n"/>
      <c r="PQJ2" s="95" t="n"/>
      <c r="PQK2" s="95" t="n"/>
      <c r="PQL2" s="95" t="n"/>
      <c r="PQM2" s="95" t="n"/>
      <c r="PQN2" s="95" t="n"/>
      <c r="PQO2" s="95" t="n"/>
      <c r="PQP2" s="95" t="n"/>
      <c r="PQQ2" s="95" t="n"/>
      <c r="PQR2" s="95" t="n"/>
      <c r="PQS2" s="95" t="n"/>
      <c r="PQT2" s="95" t="n"/>
      <c r="PQU2" s="95" t="n"/>
      <c r="PQV2" s="95" t="n"/>
      <c r="PQW2" s="95" t="n"/>
      <c r="PQX2" s="95" t="n"/>
      <c r="PQY2" s="95" t="n"/>
      <c r="PQZ2" s="95" t="n"/>
      <c r="PRA2" s="95" t="n"/>
      <c r="PRB2" s="95" t="n"/>
      <c r="PRC2" s="95" t="n"/>
      <c r="PRD2" s="95" t="n"/>
      <c r="PRE2" s="95" t="n"/>
      <c r="PRF2" s="95" t="n"/>
      <c r="PRG2" s="95" t="n"/>
      <c r="PRH2" s="95" t="n"/>
      <c r="PRI2" s="95" t="n"/>
      <c r="PRJ2" s="95" t="n"/>
      <c r="PRK2" s="95" t="n"/>
      <c r="PRL2" s="95" t="n"/>
      <c r="PRM2" s="95" t="n"/>
      <c r="PRN2" s="95" t="n"/>
      <c r="PRO2" s="95" t="n"/>
      <c r="PRP2" s="95" t="n"/>
      <c r="PRQ2" s="95" t="n"/>
      <c r="PRR2" s="95" t="n"/>
      <c r="PRS2" s="95" t="n"/>
      <c r="PRT2" s="95" t="n"/>
      <c r="PRU2" s="95" t="n"/>
      <c r="PRV2" s="95" t="n"/>
      <c r="PRW2" s="95" t="n"/>
      <c r="PRX2" s="95" t="n"/>
      <c r="PRY2" s="95" t="n"/>
      <c r="PRZ2" s="95" t="n"/>
      <c r="PSA2" s="95" t="n"/>
      <c r="PSB2" s="95" t="n"/>
      <c r="PSC2" s="95" t="n"/>
      <c r="PSD2" s="95" t="n"/>
      <c r="PSE2" s="95" t="n"/>
      <c r="PSF2" s="95" t="n"/>
      <c r="PSG2" s="95" t="n"/>
      <c r="PSH2" s="95" t="n"/>
      <c r="PSI2" s="95" t="n"/>
      <c r="PSJ2" s="95" t="n"/>
      <c r="PSK2" s="95" t="n"/>
      <c r="PSL2" s="95" t="n"/>
      <c r="PSM2" s="95" t="n"/>
      <c r="PSN2" s="95" t="n"/>
      <c r="PSO2" s="95" t="n"/>
      <c r="PSP2" s="95" t="n"/>
      <c r="PSQ2" s="95" t="n"/>
      <c r="PSR2" s="95" t="n"/>
      <c r="PSS2" s="95" t="n"/>
      <c r="PST2" s="95" t="n"/>
      <c r="PSU2" s="95" t="n"/>
      <c r="PSV2" s="95" t="n"/>
      <c r="PSW2" s="95" t="n"/>
      <c r="PSX2" s="95" t="n"/>
      <c r="PSY2" s="95" t="n"/>
      <c r="PSZ2" s="95" t="n"/>
      <c r="PTA2" s="95" t="n"/>
      <c r="PTB2" s="95" t="n"/>
      <c r="PTC2" s="95" t="n"/>
      <c r="PTD2" s="95" t="n"/>
      <c r="PTE2" s="95" t="n"/>
      <c r="PTF2" s="95" t="n"/>
      <c r="PTG2" s="95" t="n"/>
      <c r="PTH2" s="95" t="n"/>
      <c r="PTI2" s="95" t="n"/>
      <c r="PTJ2" s="95" t="n"/>
      <c r="PTK2" s="95" t="n"/>
      <c r="PTL2" s="95" t="n"/>
      <c r="PTM2" s="95" t="n"/>
      <c r="PTN2" s="95" t="n"/>
      <c r="PTO2" s="95" t="n"/>
      <c r="PTP2" s="95" t="n"/>
      <c r="PTQ2" s="95" t="n"/>
      <c r="PTR2" s="95" t="n"/>
      <c r="PTS2" s="95" t="n"/>
      <c r="PTT2" s="95" t="n"/>
      <c r="PTU2" s="95" t="n"/>
      <c r="PTV2" s="95" t="n"/>
      <c r="PTW2" s="95" t="n"/>
      <c r="PTX2" s="95" t="n"/>
      <c r="PTY2" s="95" t="n"/>
      <c r="PTZ2" s="95" t="n"/>
      <c r="PUA2" s="95" t="n"/>
      <c r="PUB2" s="95" t="n"/>
      <c r="PUC2" s="95" t="n"/>
      <c r="PUD2" s="95" t="n"/>
      <c r="PUE2" s="95" t="n"/>
      <c r="PUF2" s="95" t="n"/>
      <c r="PUG2" s="95" t="n"/>
      <c r="PUH2" s="95" t="n"/>
      <c r="PUI2" s="95" t="n"/>
      <c r="PUJ2" s="95" t="n"/>
      <c r="PUK2" s="95" t="n"/>
      <c r="PUL2" s="95" t="n"/>
      <c r="PUM2" s="95" t="n"/>
      <c r="PUN2" s="95" t="n"/>
      <c r="PUO2" s="95" t="n"/>
      <c r="PUP2" s="95" t="n"/>
      <c r="PUQ2" s="95" t="n"/>
      <c r="PUR2" s="95" t="n"/>
      <c r="PUS2" s="95" t="n"/>
      <c r="PUT2" s="95" t="n"/>
      <c r="PUU2" s="95" t="n"/>
      <c r="PUV2" s="95" t="n"/>
      <c r="PUW2" s="95" t="n"/>
      <c r="PUX2" s="95" t="n"/>
      <c r="PUY2" s="95" t="n"/>
      <c r="PUZ2" s="95" t="n"/>
      <c r="PVA2" s="95" t="n"/>
      <c r="PVB2" s="95" t="n"/>
      <c r="PVC2" s="95" t="n"/>
      <c r="PVD2" s="95" t="n"/>
      <c r="PVE2" s="95" t="n"/>
      <c r="PVF2" s="95" t="n"/>
      <c r="PVG2" s="95" t="n"/>
      <c r="PVH2" s="95" t="n"/>
      <c r="PVI2" s="95" t="n"/>
      <c r="PVJ2" s="95" t="n"/>
      <c r="PVK2" s="95" t="n"/>
      <c r="PVL2" s="95" t="n"/>
      <c r="PVM2" s="95" t="n"/>
      <c r="PVN2" s="95" t="n"/>
      <c r="PVO2" s="95" t="n"/>
      <c r="PVP2" s="95" t="n"/>
      <c r="PVQ2" s="95" t="n"/>
      <c r="PVR2" s="95" t="n"/>
      <c r="PVS2" s="95" t="n"/>
      <c r="PVT2" s="95" t="n"/>
      <c r="PVU2" s="95" t="n"/>
      <c r="PVV2" s="95" t="n"/>
      <c r="PVW2" s="95" t="n"/>
      <c r="PVX2" s="95" t="n"/>
      <c r="PVY2" s="95" t="n"/>
      <c r="PVZ2" s="95" t="n"/>
      <c r="PWA2" s="95" t="n"/>
      <c r="PWB2" s="95" t="n"/>
      <c r="PWC2" s="95" t="n"/>
      <c r="PWD2" s="95" t="n"/>
      <c r="PWE2" s="95" t="n"/>
      <c r="PWF2" s="95" t="n"/>
      <c r="PWG2" s="95" t="n"/>
      <c r="PWH2" s="95" t="n"/>
      <c r="PWI2" s="95" t="n"/>
      <c r="PWJ2" s="95" t="n"/>
      <c r="PWK2" s="95" t="n"/>
      <c r="PWL2" s="95" t="n"/>
      <c r="PWM2" s="95" t="n"/>
      <c r="PWN2" s="95" t="n"/>
      <c r="PWO2" s="95" t="n"/>
      <c r="PWP2" s="95" t="n"/>
      <c r="PWQ2" s="95" t="n"/>
      <c r="PWR2" s="95" t="n"/>
      <c r="PWS2" s="95" t="n"/>
      <c r="PWT2" s="95" t="n"/>
      <c r="PWU2" s="95" t="n"/>
      <c r="PWV2" s="95" t="n"/>
      <c r="PWW2" s="95" t="n"/>
      <c r="PWX2" s="95" t="n"/>
      <c r="PWY2" s="95" t="n"/>
      <c r="PWZ2" s="95" t="n"/>
      <c r="PXA2" s="95" t="n"/>
      <c r="PXB2" s="95" t="n"/>
      <c r="PXC2" s="95" t="n"/>
      <c r="PXD2" s="95" t="n"/>
      <c r="PXE2" s="95" t="n"/>
      <c r="PXF2" s="95" t="n"/>
      <c r="PXG2" s="95" t="n"/>
      <c r="PXH2" s="95" t="n"/>
      <c r="PXI2" s="95" t="n"/>
      <c r="PXJ2" s="95" t="n"/>
      <c r="PXK2" s="95" t="n"/>
      <c r="PXL2" s="95" t="n"/>
      <c r="PXM2" s="95" t="n"/>
      <c r="PXN2" s="95" t="n"/>
      <c r="PXO2" s="95" t="n"/>
      <c r="PXP2" s="95" t="n"/>
      <c r="PXQ2" s="95" t="n"/>
      <c r="PXR2" s="95" t="n"/>
      <c r="PXS2" s="95" t="n"/>
      <c r="PXT2" s="95" t="n"/>
      <c r="PXU2" s="95" t="n"/>
      <c r="PXV2" s="95" t="n"/>
      <c r="PXW2" s="95" t="n"/>
      <c r="PXX2" s="95" t="n"/>
      <c r="PXY2" s="95" t="n"/>
      <c r="PXZ2" s="95" t="n"/>
      <c r="PYA2" s="95" t="n"/>
      <c r="PYB2" s="95" t="n"/>
      <c r="PYC2" s="95" t="n"/>
      <c r="PYD2" s="95" t="n"/>
      <c r="PYE2" s="95" t="n"/>
      <c r="PYF2" s="95" t="n"/>
      <c r="PYG2" s="95" t="n"/>
      <c r="PYH2" s="95" t="n"/>
      <c r="PYI2" s="95" t="n"/>
      <c r="PYJ2" s="95" t="n"/>
      <c r="PYK2" s="95" t="n"/>
      <c r="PYL2" s="95" t="n"/>
      <c r="PYM2" s="95" t="n"/>
      <c r="PYN2" s="95" t="n"/>
      <c r="PYO2" s="95" t="n"/>
      <c r="PYP2" s="95" t="n"/>
      <c r="PYQ2" s="95" t="n"/>
      <c r="PYR2" s="95" t="n"/>
      <c r="PYS2" s="95" t="n"/>
      <c r="PYT2" s="95" t="n"/>
      <c r="PYU2" s="95" t="n"/>
      <c r="PYV2" s="95" t="n"/>
      <c r="PYW2" s="95" t="n"/>
      <c r="PYX2" s="95" t="n"/>
      <c r="PYY2" s="95" t="n"/>
      <c r="PYZ2" s="95" t="n"/>
      <c r="PZA2" s="95" t="n"/>
      <c r="PZB2" s="95" t="n"/>
      <c r="PZC2" s="95" t="n"/>
      <c r="PZD2" s="95" t="n"/>
      <c r="PZE2" s="95" t="n"/>
      <c r="PZF2" s="95" t="n"/>
      <c r="PZG2" s="95" t="n"/>
      <c r="PZH2" s="95" t="n"/>
      <c r="PZI2" s="95" t="n"/>
      <c r="PZJ2" s="95" t="n"/>
      <c r="PZK2" s="95" t="n"/>
      <c r="PZL2" s="95" t="n"/>
      <c r="PZM2" s="95" t="n"/>
      <c r="PZN2" s="95" t="n"/>
      <c r="PZO2" s="95" t="n"/>
      <c r="PZP2" s="95" t="n"/>
      <c r="PZQ2" s="95" t="n"/>
      <c r="PZR2" s="95" t="n"/>
      <c r="PZS2" s="95" t="n"/>
      <c r="PZT2" s="95" t="n"/>
      <c r="PZU2" s="95" t="n"/>
      <c r="PZV2" s="95" t="n"/>
      <c r="PZW2" s="95" t="n"/>
      <c r="PZX2" s="95" t="n"/>
      <c r="PZY2" s="95" t="n"/>
      <c r="PZZ2" s="95" t="n"/>
      <c r="QAA2" s="95" t="n"/>
      <c r="QAB2" s="95" t="n"/>
      <c r="QAC2" s="95" t="n"/>
      <c r="QAD2" s="95" t="n"/>
      <c r="QAE2" s="95" t="n"/>
      <c r="QAF2" s="95" t="n"/>
      <c r="QAG2" s="95" t="n"/>
      <c r="QAH2" s="95" t="n"/>
      <c r="QAI2" s="95" t="n"/>
      <c r="QAJ2" s="95" t="n"/>
      <c r="QAK2" s="95" t="n"/>
      <c r="QAL2" s="95" t="n"/>
      <c r="QAM2" s="95" t="n"/>
      <c r="QAN2" s="95" t="n"/>
      <c r="QAO2" s="95" t="n"/>
      <c r="QAP2" s="95" t="n"/>
      <c r="QAQ2" s="95" t="n"/>
      <c r="QAR2" s="95" t="n"/>
      <c r="QAS2" s="95" t="n"/>
      <c r="QAT2" s="95" t="n"/>
      <c r="QAU2" s="95" t="n"/>
      <c r="QAV2" s="95" t="n"/>
      <c r="QAW2" s="95" t="n"/>
      <c r="QAX2" s="95" t="n"/>
      <c r="QAY2" s="95" t="n"/>
      <c r="QAZ2" s="95" t="n"/>
      <c r="QBA2" s="95" t="n"/>
      <c r="QBB2" s="95" t="n"/>
      <c r="QBC2" s="95" t="n"/>
      <c r="QBD2" s="95" t="n"/>
      <c r="QBE2" s="95" t="n"/>
      <c r="QBF2" s="95" t="n"/>
      <c r="QBG2" s="95" t="n"/>
      <c r="QBH2" s="95" t="n"/>
      <c r="QBI2" s="95" t="n"/>
      <c r="QBJ2" s="95" t="n"/>
      <c r="QBK2" s="95" t="n"/>
      <c r="QBL2" s="95" t="n"/>
      <c r="QBM2" s="95" t="n"/>
      <c r="QBN2" s="95" t="n"/>
      <c r="QBO2" s="95" t="n"/>
      <c r="QBP2" s="95" t="n"/>
      <c r="QBQ2" s="95" t="n"/>
      <c r="QBR2" s="95" t="n"/>
      <c r="QBS2" s="95" t="n"/>
      <c r="QBT2" s="95" t="n"/>
      <c r="QBU2" s="95" t="n"/>
      <c r="QBV2" s="95" t="n"/>
      <c r="QBW2" s="95" t="n"/>
      <c r="QBX2" s="95" t="n"/>
      <c r="QBY2" s="95" t="n"/>
      <c r="QBZ2" s="95" t="n"/>
      <c r="QCA2" s="95" t="n"/>
      <c r="QCB2" s="95" t="n"/>
      <c r="QCC2" s="95" t="n"/>
      <c r="QCD2" s="95" t="n"/>
      <c r="QCE2" s="95" t="n"/>
      <c r="QCF2" s="95" t="n"/>
      <c r="QCG2" s="95" t="n"/>
      <c r="QCH2" s="95" t="n"/>
      <c r="QCI2" s="95" t="n"/>
      <c r="QCJ2" s="95" t="n"/>
      <c r="QCK2" s="95" t="n"/>
      <c r="QCL2" s="95" t="n"/>
      <c r="QCM2" s="95" t="n"/>
      <c r="QCN2" s="95" t="n"/>
      <c r="QCO2" s="95" t="n"/>
      <c r="QCP2" s="95" t="n"/>
      <c r="QCQ2" s="95" t="n"/>
      <c r="QCR2" s="95" t="n"/>
      <c r="QCS2" s="95" t="n"/>
      <c r="QCT2" s="95" t="n"/>
      <c r="QCU2" s="95" t="n"/>
      <c r="QCV2" s="95" t="n"/>
      <c r="QCW2" s="95" t="n"/>
      <c r="QCX2" s="95" t="n"/>
      <c r="QCY2" s="95" t="n"/>
      <c r="QCZ2" s="95" t="n"/>
      <c r="QDA2" s="95" t="n"/>
      <c r="QDB2" s="95" t="n"/>
      <c r="QDC2" s="95" t="n"/>
      <c r="QDD2" s="95" t="n"/>
      <c r="QDE2" s="95" t="n"/>
      <c r="QDF2" s="95" t="n"/>
      <c r="QDG2" s="95" t="n"/>
      <c r="QDH2" s="95" t="n"/>
      <c r="QDI2" s="95" t="n"/>
      <c r="QDJ2" s="95" t="n"/>
      <c r="QDK2" s="95" t="n"/>
      <c r="QDL2" s="95" t="n"/>
      <c r="QDM2" s="95" t="n"/>
      <c r="QDN2" s="95" t="n"/>
      <c r="QDO2" s="95" t="n"/>
      <c r="QDP2" s="95" t="n"/>
      <c r="QDQ2" s="95" t="n"/>
      <c r="QDR2" s="95" t="n"/>
      <c r="QDS2" s="95" t="n"/>
      <c r="QDT2" s="95" t="n"/>
      <c r="QDU2" s="95" t="n"/>
      <c r="QDV2" s="95" t="n"/>
      <c r="QDW2" s="95" t="n"/>
      <c r="QDX2" s="95" t="n"/>
      <c r="QDY2" s="95" t="n"/>
      <c r="QDZ2" s="95" t="n"/>
      <c r="QEA2" s="95" t="n"/>
      <c r="QEB2" s="95" t="n"/>
      <c r="QEC2" s="95" t="n"/>
      <c r="QED2" s="95" t="n"/>
      <c r="QEE2" s="95" t="n"/>
      <c r="QEF2" s="95" t="n"/>
      <c r="QEG2" s="95" t="n"/>
      <c r="QEH2" s="95" t="n"/>
      <c r="QEI2" s="95" t="n"/>
      <c r="QEJ2" s="95" t="n"/>
      <c r="QEK2" s="95" t="n"/>
      <c r="QEL2" s="95" t="n"/>
      <c r="QEM2" s="95" t="n"/>
      <c r="QEN2" s="95" t="n"/>
      <c r="QEO2" s="95" t="n"/>
      <c r="QEP2" s="95" t="n"/>
      <c r="QEQ2" s="95" t="n"/>
      <c r="QER2" s="95" t="n"/>
      <c r="QES2" s="95" t="n"/>
      <c r="QET2" s="95" t="n"/>
      <c r="QEU2" s="95" t="n"/>
      <c r="QEV2" s="95" t="n"/>
      <c r="QEW2" s="95" t="n"/>
      <c r="QEX2" s="95" t="n"/>
      <c r="QEY2" s="95" t="n"/>
      <c r="QEZ2" s="95" t="n"/>
      <c r="QFA2" s="95" t="n"/>
      <c r="QFB2" s="95" t="n"/>
      <c r="QFC2" s="95" t="n"/>
      <c r="QFD2" s="95" t="n"/>
      <c r="QFE2" s="95" t="n"/>
      <c r="QFF2" s="95" t="n"/>
      <c r="QFG2" s="95" t="n"/>
      <c r="QFH2" s="95" t="n"/>
      <c r="QFI2" s="95" t="n"/>
      <c r="QFJ2" s="95" t="n"/>
      <c r="QFK2" s="95" t="n"/>
      <c r="QFL2" s="95" t="n"/>
      <c r="QFM2" s="95" t="n"/>
      <c r="QFN2" s="95" t="n"/>
      <c r="QFO2" s="95" t="n"/>
      <c r="QFP2" s="95" t="n"/>
      <c r="QFQ2" s="95" t="n"/>
      <c r="QFR2" s="95" t="n"/>
      <c r="QFS2" s="95" t="n"/>
      <c r="QFT2" s="95" t="n"/>
      <c r="QFU2" s="95" t="n"/>
      <c r="QFV2" s="95" t="n"/>
      <c r="QFW2" s="95" t="n"/>
      <c r="QFX2" s="95" t="n"/>
      <c r="QFY2" s="95" t="n"/>
      <c r="QFZ2" s="95" t="n"/>
      <c r="QGA2" s="95" t="n"/>
      <c r="QGB2" s="95" t="n"/>
      <c r="QGC2" s="95" t="n"/>
      <c r="QGD2" s="95" t="n"/>
      <c r="QGE2" s="95" t="n"/>
      <c r="QGF2" s="95" t="n"/>
      <c r="QGG2" s="95" t="n"/>
      <c r="QGH2" s="95" t="n"/>
      <c r="QGI2" s="95" t="n"/>
      <c r="QGJ2" s="95" t="n"/>
      <c r="QGK2" s="95" t="n"/>
      <c r="QGL2" s="95" t="n"/>
      <c r="QGM2" s="95" t="n"/>
      <c r="QGN2" s="95" t="n"/>
      <c r="QGO2" s="95" t="n"/>
      <c r="QGP2" s="95" t="n"/>
      <c r="QGQ2" s="95" t="n"/>
      <c r="QGR2" s="95" t="n"/>
      <c r="QGS2" s="95" t="n"/>
      <c r="QGT2" s="95" t="n"/>
      <c r="QGU2" s="95" t="n"/>
      <c r="QGV2" s="95" t="n"/>
      <c r="QGW2" s="95" t="n"/>
      <c r="QGX2" s="95" t="n"/>
      <c r="QGY2" s="95" t="n"/>
      <c r="QGZ2" s="95" t="n"/>
      <c r="QHA2" s="95" t="n"/>
      <c r="QHB2" s="95" t="n"/>
      <c r="QHC2" s="95" t="n"/>
      <c r="QHD2" s="95" t="n"/>
      <c r="QHE2" s="95" t="n"/>
      <c r="QHF2" s="95" t="n"/>
      <c r="QHG2" s="95" t="n"/>
      <c r="QHH2" s="95" t="n"/>
      <c r="QHI2" s="95" t="n"/>
      <c r="QHJ2" s="95" t="n"/>
      <c r="QHK2" s="95" t="n"/>
      <c r="QHL2" s="95" t="n"/>
      <c r="QHM2" s="95" t="n"/>
      <c r="QHN2" s="95" t="n"/>
      <c r="QHO2" s="95" t="n"/>
      <c r="QHP2" s="95" t="n"/>
      <c r="QHQ2" s="95" t="n"/>
      <c r="QHR2" s="95" t="n"/>
      <c r="QHS2" s="95" t="n"/>
      <c r="QHT2" s="95" t="n"/>
      <c r="QHU2" s="95" t="n"/>
      <c r="QHV2" s="95" t="n"/>
      <c r="QHW2" s="95" t="n"/>
      <c r="QHX2" s="95" t="n"/>
      <c r="QHY2" s="95" t="n"/>
      <c r="QHZ2" s="95" t="n"/>
      <c r="QIA2" s="95" t="n"/>
      <c r="QIB2" s="95" t="n"/>
      <c r="QIC2" s="95" t="n"/>
      <c r="QID2" s="95" t="n"/>
      <c r="QIE2" s="95" t="n"/>
      <c r="QIF2" s="95" t="n"/>
      <c r="QIG2" s="95" t="n"/>
      <c r="QIH2" s="95" t="n"/>
      <c r="QII2" s="95" t="n"/>
      <c r="QIJ2" s="95" t="n"/>
      <c r="QIK2" s="95" t="n"/>
      <c r="QIL2" s="95" t="n"/>
      <c r="QIM2" s="95" t="n"/>
      <c r="QIN2" s="95" t="n"/>
      <c r="QIO2" s="95" t="n"/>
      <c r="QIP2" s="95" t="n"/>
      <c r="QIQ2" s="95" t="n"/>
      <c r="QIR2" s="95" t="n"/>
      <c r="QIS2" s="95" t="n"/>
      <c r="QIT2" s="95" t="n"/>
      <c r="QIU2" s="95" t="n"/>
      <c r="QIV2" s="95" t="n"/>
      <c r="QIW2" s="95" t="n"/>
      <c r="QIX2" s="95" t="n"/>
      <c r="QIY2" s="95" t="n"/>
      <c r="QIZ2" s="95" t="n"/>
      <c r="QJA2" s="95" t="n"/>
      <c r="QJB2" s="95" t="n"/>
      <c r="QJC2" s="95" t="n"/>
      <c r="QJD2" s="95" t="n"/>
      <c r="QJE2" s="95" t="n"/>
      <c r="QJF2" s="95" t="n"/>
      <c r="QJG2" s="95" t="n"/>
      <c r="QJH2" s="95" t="n"/>
      <c r="QJI2" s="95" t="n"/>
      <c r="QJJ2" s="95" t="n"/>
      <c r="QJK2" s="95" t="n"/>
      <c r="QJL2" s="95" t="n"/>
      <c r="QJM2" s="95" t="n"/>
      <c r="QJN2" s="95" t="n"/>
      <c r="QJO2" s="95" t="n"/>
      <c r="QJP2" s="95" t="n"/>
      <c r="QJQ2" s="95" t="n"/>
      <c r="QJR2" s="95" t="n"/>
      <c r="QJS2" s="95" t="n"/>
      <c r="QJT2" s="95" t="n"/>
      <c r="QJU2" s="95" t="n"/>
      <c r="QJV2" s="95" t="n"/>
      <c r="QJW2" s="95" t="n"/>
      <c r="QJX2" s="95" t="n"/>
      <c r="QJY2" s="95" t="n"/>
      <c r="QJZ2" s="95" t="n"/>
      <c r="QKA2" s="95" t="n"/>
      <c r="QKB2" s="95" t="n"/>
      <c r="QKC2" s="95" t="n"/>
      <c r="QKD2" s="95" t="n"/>
      <c r="QKE2" s="95" t="n"/>
      <c r="QKF2" s="95" t="n"/>
      <c r="QKG2" s="95" t="n"/>
      <c r="QKH2" s="95" t="n"/>
      <c r="QKI2" s="95" t="n"/>
      <c r="QKJ2" s="95" t="n"/>
      <c r="QKK2" s="95" t="n"/>
      <c r="QKL2" s="95" t="n"/>
      <c r="QKM2" s="95" t="n"/>
      <c r="QKN2" s="95" t="n"/>
      <c r="QKO2" s="95" t="n"/>
      <c r="QKP2" s="95" t="n"/>
      <c r="QKQ2" s="95" t="n"/>
      <c r="QKR2" s="95" t="n"/>
      <c r="QKS2" s="95" t="n"/>
      <c r="QKT2" s="95" t="n"/>
      <c r="QKU2" s="95" t="n"/>
      <c r="QKV2" s="95" t="n"/>
      <c r="QKW2" s="95" t="n"/>
      <c r="QKX2" s="95" t="n"/>
      <c r="QKY2" s="95" t="n"/>
      <c r="QKZ2" s="95" t="n"/>
      <c r="QLA2" s="95" t="n"/>
      <c r="QLB2" s="95" t="n"/>
      <c r="QLC2" s="95" t="n"/>
      <c r="QLD2" s="95" t="n"/>
      <c r="QLE2" s="95" t="n"/>
      <c r="QLF2" s="95" t="n"/>
      <c r="QLG2" s="95" t="n"/>
      <c r="QLH2" s="95" t="n"/>
      <c r="QLI2" s="95" t="n"/>
      <c r="QLJ2" s="95" t="n"/>
      <c r="QLK2" s="95" t="n"/>
      <c r="QLL2" s="95" t="n"/>
      <c r="QLM2" s="95" t="n"/>
      <c r="QLN2" s="95" t="n"/>
      <c r="QLO2" s="95" t="n"/>
      <c r="QLP2" s="95" t="n"/>
      <c r="QLQ2" s="95" t="n"/>
      <c r="QLR2" s="95" t="n"/>
      <c r="QLS2" s="95" t="n"/>
      <c r="QLT2" s="95" t="n"/>
      <c r="QLU2" s="95" t="n"/>
      <c r="QLV2" s="95" t="n"/>
      <c r="QLW2" s="95" t="n"/>
      <c r="QLX2" s="95" t="n"/>
      <c r="QLY2" s="95" t="n"/>
      <c r="QLZ2" s="95" t="n"/>
      <c r="QMA2" s="95" t="n"/>
      <c r="QMB2" s="95" t="n"/>
      <c r="QMC2" s="95" t="n"/>
      <c r="QMD2" s="95" t="n"/>
      <c r="QME2" s="95" t="n"/>
      <c r="QMF2" s="95" t="n"/>
      <c r="QMG2" s="95" t="n"/>
      <c r="QMH2" s="95" t="n"/>
      <c r="QMI2" s="95" t="n"/>
      <c r="QMJ2" s="95" t="n"/>
      <c r="QMK2" s="95" t="n"/>
      <c r="QML2" s="95" t="n"/>
      <c r="QMM2" s="95" t="n"/>
      <c r="QMN2" s="95" t="n"/>
      <c r="QMO2" s="95" t="n"/>
      <c r="QMP2" s="95" t="n"/>
      <c r="QMQ2" s="95" t="n"/>
      <c r="QMR2" s="95" t="n"/>
      <c r="QMS2" s="95" t="n"/>
      <c r="QMT2" s="95" t="n"/>
      <c r="QMU2" s="95" t="n"/>
      <c r="QMV2" s="95" t="n"/>
      <c r="QMW2" s="95" t="n"/>
      <c r="QMX2" s="95" t="n"/>
      <c r="QMY2" s="95" t="n"/>
      <c r="QMZ2" s="95" t="n"/>
      <c r="QNA2" s="95" t="n"/>
      <c r="QNB2" s="95" t="n"/>
      <c r="QNC2" s="95" t="n"/>
      <c r="QND2" s="95" t="n"/>
      <c r="QNE2" s="95" t="n"/>
      <c r="QNF2" s="95" t="n"/>
      <c r="QNG2" s="95" t="n"/>
      <c r="QNH2" s="95" t="n"/>
      <c r="QNI2" s="95" t="n"/>
      <c r="QNJ2" s="95" t="n"/>
      <c r="QNK2" s="95" t="n"/>
      <c r="QNL2" s="95" t="n"/>
      <c r="QNM2" s="95" t="n"/>
      <c r="QNN2" s="95" t="n"/>
      <c r="QNO2" s="95" t="n"/>
      <c r="QNP2" s="95" t="n"/>
      <c r="QNQ2" s="95" t="n"/>
      <c r="QNR2" s="95" t="n"/>
      <c r="QNS2" s="95" t="n"/>
      <c r="QNT2" s="95" t="n"/>
      <c r="QNU2" s="95" t="n"/>
      <c r="QNV2" s="95" t="n"/>
      <c r="QNW2" s="95" t="n"/>
      <c r="QNX2" s="95" t="n"/>
      <c r="QNY2" s="95" t="n"/>
      <c r="QNZ2" s="95" t="n"/>
      <c r="QOA2" s="95" t="n"/>
      <c r="QOB2" s="95" t="n"/>
      <c r="QOC2" s="95" t="n"/>
      <c r="QOD2" s="95" t="n"/>
      <c r="QOE2" s="95" t="n"/>
      <c r="QOF2" s="95" t="n"/>
      <c r="QOG2" s="95" t="n"/>
      <c r="QOH2" s="95" t="n"/>
      <c r="QOI2" s="95" t="n"/>
      <c r="QOJ2" s="95" t="n"/>
      <c r="QOK2" s="95" t="n"/>
      <c r="QOL2" s="95" t="n"/>
      <c r="QOM2" s="95" t="n"/>
      <c r="QON2" s="95" t="n"/>
      <c r="QOO2" s="95" t="n"/>
      <c r="QOP2" s="95" t="n"/>
      <c r="QOQ2" s="95" t="n"/>
      <c r="QOR2" s="95" t="n"/>
      <c r="QOS2" s="95" t="n"/>
      <c r="QOT2" s="95" t="n"/>
      <c r="QOU2" s="95" t="n"/>
      <c r="QOV2" s="95" t="n"/>
      <c r="QOW2" s="95" t="n"/>
      <c r="QOX2" s="95" t="n"/>
      <c r="QOY2" s="95" t="n"/>
      <c r="QOZ2" s="95" t="n"/>
      <c r="QPA2" s="95" t="n"/>
      <c r="QPB2" s="95" t="n"/>
      <c r="QPC2" s="95" t="n"/>
      <c r="QPD2" s="95" t="n"/>
      <c r="QPE2" s="95" t="n"/>
      <c r="QPF2" s="95" t="n"/>
      <c r="QPG2" s="95" t="n"/>
      <c r="QPH2" s="95" t="n"/>
      <c r="QPI2" s="95" t="n"/>
      <c r="QPJ2" s="95" t="n"/>
      <c r="QPK2" s="95" t="n"/>
      <c r="QPL2" s="95" t="n"/>
      <c r="QPM2" s="95" t="n"/>
      <c r="QPN2" s="95" t="n"/>
      <c r="QPO2" s="95" t="n"/>
      <c r="QPP2" s="95" t="n"/>
      <c r="QPQ2" s="95" t="n"/>
      <c r="QPR2" s="95" t="n"/>
      <c r="QPS2" s="95" t="n"/>
      <c r="QPT2" s="95" t="n"/>
      <c r="QPU2" s="95" t="n"/>
      <c r="QPV2" s="95" t="n"/>
      <c r="QPW2" s="95" t="n"/>
      <c r="QPX2" s="95" t="n"/>
      <c r="QPY2" s="95" t="n"/>
      <c r="QPZ2" s="95" t="n"/>
      <c r="QQA2" s="95" t="n"/>
      <c r="QQB2" s="95" t="n"/>
      <c r="QQC2" s="95" t="n"/>
      <c r="QQD2" s="95" t="n"/>
      <c r="QQE2" s="95" t="n"/>
      <c r="QQF2" s="95" t="n"/>
      <c r="QQG2" s="95" t="n"/>
      <c r="QQH2" s="95" t="n"/>
      <c r="QQI2" s="95" t="n"/>
      <c r="QQJ2" s="95" t="n"/>
      <c r="QQK2" s="95" t="n"/>
      <c r="QQL2" s="95" t="n"/>
      <c r="QQM2" s="95" t="n"/>
      <c r="QQN2" s="95" t="n"/>
      <c r="QQO2" s="95" t="n"/>
      <c r="QQP2" s="95" t="n"/>
      <c r="QQQ2" s="95" t="n"/>
      <c r="QQR2" s="95" t="n"/>
      <c r="QQS2" s="95" t="n"/>
      <c r="QQT2" s="95" t="n"/>
      <c r="QQU2" s="95" t="n"/>
      <c r="QQV2" s="95" t="n"/>
      <c r="QQW2" s="95" t="n"/>
      <c r="QQX2" s="95" t="n"/>
      <c r="QQY2" s="95" t="n"/>
      <c r="QQZ2" s="95" t="n"/>
      <c r="QRA2" s="95" t="n"/>
      <c r="QRB2" s="95" t="n"/>
      <c r="QRC2" s="95" t="n"/>
      <c r="QRD2" s="95" t="n"/>
      <c r="QRE2" s="95" t="n"/>
      <c r="QRF2" s="95" t="n"/>
      <c r="QRG2" s="95" t="n"/>
      <c r="QRH2" s="95" t="n"/>
      <c r="QRI2" s="95" t="n"/>
      <c r="QRJ2" s="95" t="n"/>
      <c r="QRK2" s="95" t="n"/>
      <c r="QRL2" s="95" t="n"/>
      <c r="QRM2" s="95" t="n"/>
      <c r="QRN2" s="95" t="n"/>
      <c r="QRO2" s="95" t="n"/>
      <c r="QRP2" s="95" t="n"/>
      <c r="QRQ2" s="95" t="n"/>
      <c r="QRR2" s="95" t="n"/>
      <c r="QRS2" s="95" t="n"/>
      <c r="QRT2" s="95" t="n"/>
      <c r="QRU2" s="95" t="n"/>
      <c r="QRV2" s="95" t="n"/>
      <c r="QRW2" s="95" t="n"/>
      <c r="QRX2" s="95" t="n"/>
      <c r="QRY2" s="95" t="n"/>
      <c r="QRZ2" s="95" t="n"/>
      <c r="QSA2" s="95" t="n"/>
      <c r="QSB2" s="95" t="n"/>
      <c r="QSC2" s="95" t="n"/>
      <c r="QSD2" s="95" t="n"/>
      <c r="QSE2" s="95" t="n"/>
      <c r="QSF2" s="95" t="n"/>
      <c r="QSG2" s="95" t="n"/>
      <c r="QSH2" s="95" t="n"/>
      <c r="QSI2" s="95" t="n"/>
      <c r="QSJ2" s="95" t="n"/>
      <c r="QSK2" s="95" t="n"/>
      <c r="QSL2" s="95" t="n"/>
      <c r="QSM2" s="95" t="n"/>
      <c r="QSN2" s="95" t="n"/>
      <c r="QSO2" s="95" t="n"/>
      <c r="QSP2" s="95" t="n"/>
      <c r="QSQ2" s="95" t="n"/>
      <c r="QSR2" s="95" t="n"/>
      <c r="QSS2" s="95" t="n"/>
      <c r="QST2" s="95" t="n"/>
      <c r="QSU2" s="95" t="n"/>
      <c r="QSV2" s="95" t="n"/>
      <c r="QSW2" s="95" t="n"/>
      <c r="QSX2" s="95" t="n"/>
      <c r="QSY2" s="95" t="n"/>
      <c r="QSZ2" s="95" t="n"/>
      <c r="QTA2" s="95" t="n"/>
      <c r="QTB2" s="95" t="n"/>
      <c r="QTC2" s="95" t="n"/>
      <c r="QTD2" s="95" t="n"/>
      <c r="QTE2" s="95" t="n"/>
      <c r="QTF2" s="95" t="n"/>
      <c r="QTG2" s="95" t="n"/>
      <c r="QTH2" s="95" t="n"/>
      <c r="QTI2" s="95" t="n"/>
      <c r="QTJ2" s="95" t="n"/>
      <c r="QTK2" s="95" t="n"/>
      <c r="QTL2" s="95" t="n"/>
      <c r="QTM2" s="95" t="n"/>
      <c r="QTN2" s="95" t="n"/>
      <c r="QTO2" s="95" t="n"/>
      <c r="QTP2" s="95" t="n"/>
      <c r="QTQ2" s="95" t="n"/>
      <c r="QTR2" s="95" t="n"/>
      <c r="QTS2" s="95" t="n"/>
      <c r="QTT2" s="95" t="n"/>
      <c r="QTU2" s="95" t="n"/>
      <c r="QTV2" s="95" t="n"/>
      <c r="QTW2" s="95" t="n"/>
      <c r="QTX2" s="95" t="n"/>
      <c r="QTY2" s="95" t="n"/>
      <c r="QTZ2" s="95" t="n"/>
      <c r="QUA2" s="95" t="n"/>
      <c r="QUB2" s="95" t="n"/>
      <c r="QUC2" s="95" t="n"/>
      <c r="QUD2" s="95" t="n"/>
      <c r="QUE2" s="95" t="n"/>
      <c r="QUF2" s="95" t="n"/>
      <c r="QUG2" s="95" t="n"/>
      <c r="QUH2" s="95" t="n"/>
      <c r="QUI2" s="95" t="n"/>
      <c r="QUJ2" s="95" t="n"/>
      <c r="QUK2" s="95" t="n"/>
      <c r="QUL2" s="95" t="n"/>
      <c r="QUM2" s="95" t="n"/>
      <c r="QUN2" s="95" t="n"/>
      <c r="QUO2" s="95" t="n"/>
      <c r="QUP2" s="95" t="n"/>
      <c r="QUQ2" s="95" t="n"/>
      <c r="QUR2" s="95" t="n"/>
      <c r="QUS2" s="95" t="n"/>
      <c r="QUT2" s="95" t="n"/>
      <c r="QUU2" s="95" t="n"/>
      <c r="QUV2" s="95" t="n"/>
      <c r="QUW2" s="95" t="n"/>
      <c r="QUX2" s="95" t="n"/>
      <c r="QUY2" s="95" t="n"/>
      <c r="QUZ2" s="95" t="n"/>
      <c r="QVA2" s="95" t="n"/>
      <c r="QVB2" s="95" t="n"/>
      <c r="QVC2" s="95" t="n"/>
      <c r="QVD2" s="95" t="n"/>
      <c r="QVE2" s="95" t="n"/>
      <c r="QVF2" s="95" t="n"/>
      <c r="QVG2" s="95" t="n"/>
      <c r="QVH2" s="95" t="n"/>
      <c r="QVI2" s="95" t="n"/>
      <c r="QVJ2" s="95" t="n"/>
      <c r="QVK2" s="95" t="n"/>
      <c r="QVL2" s="95" t="n"/>
      <c r="QVM2" s="95" t="n"/>
      <c r="QVN2" s="95" t="n"/>
      <c r="QVO2" s="95" t="n"/>
      <c r="QVP2" s="95" t="n"/>
      <c r="QVQ2" s="95" t="n"/>
      <c r="QVR2" s="95" t="n"/>
      <c r="QVS2" s="95" t="n"/>
      <c r="QVT2" s="95" t="n"/>
      <c r="QVU2" s="95" t="n"/>
      <c r="QVV2" s="95" t="n"/>
      <c r="QVW2" s="95" t="n"/>
      <c r="QVX2" s="95" t="n"/>
      <c r="QVY2" s="95" t="n"/>
      <c r="QVZ2" s="95" t="n"/>
      <c r="QWA2" s="95" t="n"/>
      <c r="QWB2" s="95" t="n"/>
      <c r="QWC2" s="95" t="n"/>
      <c r="QWD2" s="95" t="n"/>
      <c r="QWE2" s="95" t="n"/>
      <c r="QWF2" s="95" t="n"/>
      <c r="QWG2" s="95" t="n"/>
      <c r="QWH2" s="95" t="n"/>
      <c r="QWI2" s="95" t="n"/>
      <c r="QWJ2" s="95" t="n"/>
      <c r="QWK2" s="95" t="n"/>
      <c r="QWL2" s="95" t="n"/>
      <c r="QWM2" s="95" t="n"/>
      <c r="QWN2" s="95" t="n"/>
      <c r="QWO2" s="95" t="n"/>
      <c r="QWP2" s="95" t="n"/>
      <c r="QWQ2" s="95" t="n"/>
      <c r="QWR2" s="95" t="n"/>
      <c r="QWS2" s="95" t="n"/>
      <c r="QWT2" s="95" t="n"/>
      <c r="QWU2" s="95" t="n"/>
      <c r="QWV2" s="95" t="n"/>
      <c r="QWW2" s="95" t="n"/>
      <c r="QWX2" s="95" t="n"/>
      <c r="QWY2" s="95" t="n"/>
      <c r="QWZ2" s="95" t="n"/>
      <c r="QXA2" s="95" t="n"/>
      <c r="QXB2" s="95" t="n"/>
      <c r="QXC2" s="95" t="n"/>
      <c r="QXD2" s="95" t="n"/>
      <c r="QXE2" s="95" t="n"/>
      <c r="QXF2" s="95" t="n"/>
      <c r="QXG2" s="95" t="n"/>
      <c r="QXH2" s="95" t="n"/>
      <c r="QXI2" s="95" t="n"/>
      <c r="QXJ2" s="95" t="n"/>
      <c r="QXK2" s="95" t="n"/>
      <c r="QXL2" s="95" t="n"/>
      <c r="QXM2" s="95" t="n"/>
      <c r="QXN2" s="95" t="n"/>
      <c r="QXO2" s="95" t="n"/>
      <c r="QXP2" s="95" t="n"/>
      <c r="QXQ2" s="95" t="n"/>
      <c r="QXR2" s="95" t="n"/>
      <c r="QXS2" s="95" t="n"/>
      <c r="QXT2" s="95" t="n"/>
      <c r="QXU2" s="95" t="n"/>
      <c r="QXV2" s="95" t="n"/>
      <c r="QXW2" s="95" t="n"/>
      <c r="QXX2" s="95" t="n"/>
      <c r="QXY2" s="95" t="n"/>
      <c r="QXZ2" s="95" t="n"/>
      <c r="QYA2" s="95" t="n"/>
      <c r="QYB2" s="95" t="n"/>
      <c r="QYC2" s="95" t="n"/>
      <c r="QYD2" s="95" t="n"/>
      <c r="QYE2" s="95" t="n"/>
      <c r="QYF2" s="95" t="n"/>
      <c r="QYG2" s="95" t="n"/>
      <c r="QYH2" s="95" t="n"/>
      <c r="QYI2" s="95" t="n"/>
      <c r="QYJ2" s="95" t="n"/>
      <c r="QYK2" s="95" t="n"/>
      <c r="QYL2" s="95" t="n"/>
      <c r="QYM2" s="95" t="n"/>
      <c r="QYN2" s="95" t="n"/>
      <c r="QYO2" s="95" t="n"/>
      <c r="QYP2" s="95" t="n"/>
      <c r="QYQ2" s="95" t="n"/>
      <c r="QYR2" s="95" t="n"/>
      <c r="QYS2" s="95" t="n"/>
      <c r="QYT2" s="95" t="n"/>
      <c r="QYU2" s="95" t="n"/>
      <c r="QYV2" s="95" t="n"/>
      <c r="QYW2" s="95" t="n"/>
      <c r="QYX2" s="95" t="n"/>
      <c r="QYY2" s="95" t="n"/>
      <c r="QYZ2" s="95" t="n"/>
      <c r="QZA2" s="95" t="n"/>
      <c r="QZB2" s="95" t="n"/>
      <c r="QZC2" s="95" t="n"/>
      <c r="QZD2" s="95" t="n"/>
      <c r="QZE2" s="95" t="n"/>
      <c r="QZF2" s="95" t="n"/>
      <c r="QZG2" s="95" t="n"/>
      <c r="QZH2" s="95" t="n"/>
      <c r="QZI2" s="95" t="n"/>
      <c r="QZJ2" s="95" t="n"/>
      <c r="QZK2" s="95" t="n"/>
      <c r="QZL2" s="95" t="n"/>
      <c r="QZM2" s="95" t="n"/>
      <c r="QZN2" s="95" t="n"/>
      <c r="QZO2" s="95" t="n"/>
      <c r="QZP2" s="95" t="n"/>
      <c r="QZQ2" s="95" t="n"/>
      <c r="QZR2" s="95" t="n"/>
      <c r="QZS2" s="95" t="n"/>
      <c r="QZT2" s="95" t="n"/>
      <c r="QZU2" s="95" t="n"/>
      <c r="QZV2" s="95" t="n"/>
      <c r="QZW2" s="95" t="n"/>
      <c r="QZX2" s="95" t="n"/>
      <c r="QZY2" s="95" t="n"/>
      <c r="QZZ2" s="95" t="n"/>
      <c r="RAA2" s="95" t="n"/>
      <c r="RAB2" s="95" t="n"/>
      <c r="RAC2" s="95" t="n"/>
      <c r="RAD2" s="95" t="n"/>
      <c r="RAE2" s="95" t="n"/>
      <c r="RAF2" s="95" t="n"/>
      <c r="RAG2" s="95" t="n"/>
      <c r="RAH2" s="95" t="n"/>
      <c r="RAI2" s="95" t="n"/>
      <c r="RAJ2" s="95" t="n"/>
      <c r="RAK2" s="95" t="n"/>
      <c r="RAL2" s="95" t="n"/>
      <c r="RAM2" s="95" t="n"/>
      <c r="RAN2" s="95" t="n"/>
      <c r="RAO2" s="95" t="n"/>
      <c r="RAP2" s="95" t="n"/>
      <c r="RAQ2" s="95" t="n"/>
      <c r="RAR2" s="95" t="n"/>
      <c r="RAS2" s="95" t="n"/>
      <c r="RAT2" s="95" t="n"/>
      <c r="RAU2" s="95" t="n"/>
      <c r="RAV2" s="95" t="n"/>
      <c r="RAW2" s="95" t="n"/>
      <c r="RAX2" s="95" t="n"/>
      <c r="RAY2" s="95" t="n"/>
      <c r="RAZ2" s="95" t="n"/>
      <c r="RBA2" s="95" t="n"/>
      <c r="RBB2" s="95" t="n"/>
      <c r="RBC2" s="95" t="n"/>
      <c r="RBD2" s="95" t="n"/>
      <c r="RBE2" s="95" t="n"/>
      <c r="RBF2" s="95" t="n"/>
      <c r="RBG2" s="95" t="n"/>
      <c r="RBH2" s="95" t="n"/>
      <c r="RBI2" s="95" t="n"/>
      <c r="RBJ2" s="95" t="n"/>
      <c r="RBK2" s="95" t="n"/>
      <c r="RBL2" s="95" t="n"/>
      <c r="RBM2" s="95" t="n"/>
      <c r="RBN2" s="95" t="n"/>
      <c r="RBO2" s="95" t="n"/>
      <c r="RBP2" s="95" t="n"/>
      <c r="RBQ2" s="95" t="n"/>
      <c r="RBR2" s="95" t="n"/>
      <c r="RBS2" s="95" t="n"/>
      <c r="RBT2" s="95" t="n"/>
      <c r="RBU2" s="95" t="n"/>
      <c r="RBV2" s="95" t="n"/>
      <c r="RBW2" s="95" t="n"/>
      <c r="RBX2" s="95" t="n"/>
      <c r="RBY2" s="95" t="n"/>
      <c r="RBZ2" s="95" t="n"/>
      <c r="RCA2" s="95" t="n"/>
      <c r="RCB2" s="95" t="n"/>
      <c r="RCC2" s="95" t="n"/>
      <c r="RCD2" s="95" t="n"/>
      <c r="RCE2" s="95" t="n"/>
      <c r="RCF2" s="95" t="n"/>
      <c r="RCG2" s="95" t="n"/>
      <c r="RCH2" s="95" t="n"/>
      <c r="RCI2" s="95" t="n"/>
      <c r="RCJ2" s="95" t="n"/>
      <c r="RCK2" s="95" t="n"/>
      <c r="RCL2" s="95" t="n"/>
      <c r="RCM2" s="95" t="n"/>
      <c r="RCN2" s="95" t="n"/>
      <c r="RCO2" s="95" t="n"/>
      <c r="RCP2" s="95" t="n"/>
      <c r="RCQ2" s="95" t="n"/>
      <c r="RCR2" s="95" t="n"/>
      <c r="RCS2" s="95" t="n"/>
      <c r="RCT2" s="95" t="n"/>
      <c r="RCU2" s="95" t="n"/>
      <c r="RCV2" s="95" t="n"/>
      <c r="RCW2" s="95" t="n"/>
      <c r="RCX2" s="95" t="n"/>
      <c r="RCY2" s="95" t="n"/>
      <c r="RCZ2" s="95" t="n"/>
      <c r="RDA2" s="95" t="n"/>
      <c r="RDB2" s="95" t="n"/>
      <c r="RDC2" s="95" t="n"/>
      <c r="RDD2" s="95" t="n"/>
      <c r="RDE2" s="95" t="n"/>
      <c r="RDF2" s="95" t="n"/>
      <c r="RDG2" s="95" t="n"/>
      <c r="RDH2" s="95" t="n"/>
      <c r="RDI2" s="95" t="n"/>
      <c r="RDJ2" s="95" t="n"/>
      <c r="RDK2" s="95" t="n"/>
      <c r="RDL2" s="95" t="n"/>
      <c r="RDM2" s="95" t="n"/>
      <c r="RDN2" s="95" t="n"/>
      <c r="RDO2" s="95" t="n"/>
      <c r="RDP2" s="95" t="n"/>
      <c r="RDQ2" s="95" t="n"/>
      <c r="RDR2" s="95" t="n"/>
      <c r="RDS2" s="95" t="n"/>
      <c r="RDT2" s="95" t="n"/>
      <c r="RDU2" s="95" t="n"/>
      <c r="RDV2" s="95" t="n"/>
      <c r="RDW2" s="95" t="n"/>
      <c r="RDX2" s="95" t="n"/>
      <c r="RDY2" s="95" t="n"/>
      <c r="RDZ2" s="95" t="n"/>
      <c r="REA2" s="95" t="n"/>
      <c r="REB2" s="95" t="n"/>
      <c r="REC2" s="95" t="n"/>
      <c r="RED2" s="95" t="n"/>
      <c r="REE2" s="95" t="n"/>
      <c r="REF2" s="95" t="n"/>
      <c r="REG2" s="95" t="n"/>
      <c r="REH2" s="95" t="n"/>
      <c r="REI2" s="95" t="n"/>
      <c r="REJ2" s="95" t="n"/>
      <c r="REK2" s="95" t="n"/>
      <c r="REL2" s="95" t="n"/>
      <c r="REM2" s="95" t="n"/>
      <c r="REN2" s="95" t="n"/>
      <c r="REO2" s="95" t="n"/>
      <c r="REP2" s="95" t="n"/>
      <c r="REQ2" s="95" t="n"/>
      <c r="RER2" s="95" t="n"/>
      <c r="RES2" s="95" t="n"/>
      <c r="RET2" s="95" t="n"/>
      <c r="REU2" s="95" t="n"/>
      <c r="REV2" s="95" t="n"/>
      <c r="REW2" s="95" t="n"/>
      <c r="REX2" s="95" t="n"/>
      <c r="REY2" s="95" t="n"/>
      <c r="REZ2" s="95" t="n"/>
      <c r="RFA2" s="95" t="n"/>
      <c r="RFB2" s="95" t="n"/>
      <c r="RFC2" s="95" t="n"/>
      <c r="RFD2" s="95" t="n"/>
      <c r="RFE2" s="95" t="n"/>
      <c r="RFF2" s="95" t="n"/>
      <c r="RFG2" s="95" t="n"/>
      <c r="RFH2" s="95" t="n"/>
      <c r="RFI2" s="95" t="n"/>
      <c r="RFJ2" s="95" t="n"/>
      <c r="RFK2" s="95" t="n"/>
      <c r="RFL2" s="95" t="n"/>
      <c r="RFM2" s="95" t="n"/>
      <c r="RFN2" s="95" t="n"/>
      <c r="RFO2" s="95" t="n"/>
      <c r="RFP2" s="95" t="n"/>
      <c r="RFQ2" s="95" t="n"/>
      <c r="RFR2" s="95" t="n"/>
      <c r="RFS2" s="95" t="n"/>
      <c r="RFT2" s="95" t="n"/>
      <c r="RFU2" s="95" t="n"/>
      <c r="RFV2" s="95" t="n"/>
      <c r="RFW2" s="95" t="n"/>
      <c r="RFX2" s="95" t="n"/>
      <c r="RFY2" s="95" t="n"/>
      <c r="RFZ2" s="95" t="n"/>
      <c r="RGA2" s="95" t="n"/>
      <c r="RGB2" s="95" t="n"/>
      <c r="RGC2" s="95" t="n"/>
      <c r="RGD2" s="95" t="n"/>
      <c r="RGE2" s="95" t="n"/>
      <c r="RGF2" s="95" t="n"/>
      <c r="RGG2" s="95" t="n"/>
      <c r="RGH2" s="95" t="n"/>
      <c r="RGI2" s="95" t="n"/>
      <c r="RGJ2" s="95" t="n"/>
      <c r="RGK2" s="95" t="n"/>
      <c r="RGL2" s="95" t="n"/>
      <c r="RGM2" s="95" t="n"/>
      <c r="RGN2" s="95" t="n"/>
      <c r="RGO2" s="95" t="n"/>
      <c r="RGP2" s="95" t="n"/>
      <c r="RGQ2" s="95" t="n"/>
      <c r="RGR2" s="95" t="n"/>
      <c r="RGS2" s="95" t="n"/>
      <c r="RGT2" s="95" t="n"/>
      <c r="RGU2" s="95" t="n"/>
      <c r="RGV2" s="95" t="n"/>
      <c r="RGW2" s="95" t="n"/>
      <c r="RGX2" s="95" t="n"/>
      <c r="RGY2" s="95" t="n"/>
      <c r="RGZ2" s="95" t="n"/>
      <c r="RHA2" s="95" t="n"/>
      <c r="RHB2" s="95" t="n"/>
      <c r="RHC2" s="95" t="n"/>
      <c r="RHD2" s="95" t="n"/>
      <c r="RHE2" s="95" t="n"/>
      <c r="RHF2" s="95" t="n"/>
      <c r="RHG2" s="95" t="n"/>
      <c r="RHH2" s="95" t="n"/>
      <c r="RHI2" s="95" t="n"/>
      <c r="RHJ2" s="95" t="n"/>
      <c r="RHK2" s="95" t="n"/>
      <c r="RHL2" s="95" t="n"/>
      <c r="RHM2" s="95" t="n"/>
      <c r="RHN2" s="95" t="n"/>
      <c r="RHO2" s="95" t="n"/>
      <c r="RHP2" s="95" t="n"/>
      <c r="RHQ2" s="95" t="n"/>
      <c r="RHR2" s="95" t="n"/>
      <c r="RHS2" s="95" t="n"/>
      <c r="RHT2" s="95" t="n"/>
      <c r="RHU2" s="95" t="n"/>
      <c r="RHV2" s="95" t="n"/>
      <c r="RHW2" s="95" t="n"/>
      <c r="RHX2" s="95" t="n"/>
      <c r="RHY2" s="95" t="n"/>
      <c r="RHZ2" s="95" t="n"/>
      <c r="RIA2" s="95" t="n"/>
      <c r="RIB2" s="95" t="n"/>
      <c r="RIC2" s="95" t="n"/>
      <c r="RID2" s="95" t="n"/>
      <c r="RIE2" s="95" t="n"/>
      <c r="RIF2" s="95" t="n"/>
      <c r="RIG2" s="95" t="n"/>
      <c r="RIH2" s="95" t="n"/>
      <c r="RII2" s="95" t="n"/>
      <c r="RIJ2" s="95" t="n"/>
      <c r="RIK2" s="95" t="n"/>
      <c r="RIL2" s="95" t="n"/>
      <c r="RIM2" s="95" t="n"/>
      <c r="RIN2" s="95" t="n"/>
      <c r="RIO2" s="95" t="n"/>
      <c r="RIP2" s="95" t="n"/>
      <c r="RIQ2" s="95" t="n"/>
      <c r="RIR2" s="95" t="n"/>
      <c r="RIS2" s="95" t="n"/>
      <c r="RIT2" s="95" t="n"/>
      <c r="RIU2" s="95" t="n"/>
      <c r="RIV2" s="95" t="n"/>
      <c r="RIW2" s="95" t="n"/>
      <c r="RIX2" s="95" t="n"/>
      <c r="RIY2" s="95" t="n"/>
      <c r="RIZ2" s="95" t="n"/>
      <c r="RJA2" s="95" t="n"/>
      <c r="RJB2" s="95" t="n"/>
      <c r="RJC2" s="95" t="n"/>
      <c r="RJD2" s="95" t="n"/>
      <c r="RJE2" s="95" t="n"/>
      <c r="RJF2" s="95" t="n"/>
      <c r="RJG2" s="95" t="n"/>
      <c r="RJH2" s="95" t="n"/>
      <c r="RJI2" s="95" t="n"/>
      <c r="RJJ2" s="95" t="n"/>
      <c r="RJK2" s="95" t="n"/>
      <c r="RJL2" s="95" t="n"/>
      <c r="RJM2" s="95" t="n"/>
      <c r="RJN2" s="95" t="n"/>
      <c r="RJO2" s="95" t="n"/>
      <c r="RJP2" s="95" t="n"/>
      <c r="RJQ2" s="95" t="n"/>
      <c r="RJR2" s="95" t="n"/>
      <c r="RJS2" s="95" t="n"/>
      <c r="RJT2" s="95" t="n"/>
      <c r="RJU2" s="95" t="n"/>
      <c r="RJV2" s="95" t="n"/>
      <c r="RJW2" s="95" t="n"/>
      <c r="RJX2" s="95" t="n"/>
      <c r="RJY2" s="95" t="n"/>
      <c r="RJZ2" s="95" t="n"/>
      <c r="RKA2" s="95" t="n"/>
      <c r="RKB2" s="95" t="n"/>
      <c r="RKC2" s="95" t="n"/>
      <c r="RKD2" s="95" t="n"/>
      <c r="RKE2" s="95" t="n"/>
      <c r="RKF2" s="95" t="n"/>
      <c r="RKG2" s="95" t="n"/>
      <c r="RKH2" s="95" t="n"/>
      <c r="RKI2" s="95" t="n"/>
      <c r="RKJ2" s="95" t="n"/>
      <c r="RKK2" s="95" t="n"/>
      <c r="RKL2" s="95" t="n"/>
      <c r="RKM2" s="95" t="n"/>
      <c r="RKN2" s="95" t="n"/>
      <c r="RKO2" s="95" t="n"/>
      <c r="RKP2" s="95" t="n"/>
      <c r="RKQ2" s="95" t="n"/>
      <c r="RKR2" s="95" t="n"/>
      <c r="RKS2" s="95" t="n"/>
      <c r="RKT2" s="95" t="n"/>
      <c r="RKU2" s="95" t="n"/>
      <c r="RKV2" s="95" t="n"/>
      <c r="RKW2" s="95" t="n"/>
      <c r="RKX2" s="95" t="n"/>
      <c r="RKY2" s="95" t="n"/>
      <c r="RKZ2" s="95" t="n"/>
      <c r="RLA2" s="95" t="n"/>
      <c r="RLB2" s="95" t="n"/>
      <c r="RLC2" s="95" t="n"/>
      <c r="RLD2" s="95" t="n"/>
      <c r="RLE2" s="95" t="n"/>
      <c r="RLF2" s="95" t="n"/>
      <c r="RLG2" s="95" t="n"/>
      <c r="RLH2" s="95" t="n"/>
      <c r="RLI2" s="95" t="n"/>
      <c r="RLJ2" s="95" t="n"/>
      <c r="RLK2" s="95" t="n"/>
      <c r="RLL2" s="95" t="n"/>
      <c r="RLM2" s="95" t="n"/>
      <c r="RLN2" s="95" t="n"/>
      <c r="RLO2" s="95" t="n"/>
      <c r="RLP2" s="95" t="n"/>
      <c r="RLQ2" s="95" t="n"/>
      <c r="RLR2" s="95" t="n"/>
      <c r="RLS2" s="95" t="n"/>
      <c r="RLT2" s="95" t="n"/>
      <c r="RLU2" s="95" t="n"/>
      <c r="RLV2" s="95" t="n"/>
      <c r="RLW2" s="95" t="n"/>
      <c r="RLX2" s="95" t="n"/>
      <c r="RLY2" s="95" t="n"/>
      <c r="RLZ2" s="95" t="n"/>
      <c r="RMA2" s="95" t="n"/>
      <c r="RMB2" s="95" t="n"/>
      <c r="RMC2" s="95" t="n"/>
      <c r="RMD2" s="95" t="n"/>
      <c r="RME2" s="95" t="n"/>
      <c r="RMF2" s="95" t="n"/>
      <c r="RMG2" s="95" t="n"/>
      <c r="RMH2" s="95" t="n"/>
      <c r="RMI2" s="95" t="n"/>
      <c r="RMJ2" s="95" t="n"/>
      <c r="RMK2" s="95" t="n"/>
      <c r="RML2" s="95" t="n"/>
      <c r="RMM2" s="95" t="n"/>
      <c r="RMN2" s="95" t="n"/>
      <c r="RMO2" s="95" t="n"/>
      <c r="RMP2" s="95" t="n"/>
      <c r="RMQ2" s="95" t="n"/>
      <c r="RMR2" s="95" t="n"/>
      <c r="RMS2" s="95" t="n"/>
      <c r="RMT2" s="95" t="n"/>
      <c r="RMU2" s="95" t="n"/>
      <c r="RMV2" s="95" t="n"/>
      <c r="RMW2" s="95" t="n"/>
      <c r="RMX2" s="95" t="n"/>
      <c r="RMY2" s="95" t="n"/>
      <c r="RMZ2" s="95" t="n"/>
      <c r="RNA2" s="95" t="n"/>
      <c r="RNB2" s="95" t="n"/>
      <c r="RNC2" s="95" t="n"/>
      <c r="RND2" s="95" t="n"/>
      <c r="RNE2" s="95" t="n"/>
      <c r="RNF2" s="95" t="n"/>
      <c r="RNG2" s="95" t="n"/>
      <c r="RNH2" s="95" t="n"/>
      <c r="RNI2" s="95" t="n"/>
      <c r="RNJ2" s="95" t="n"/>
      <c r="RNK2" s="95" t="n"/>
      <c r="RNL2" s="95" t="n"/>
      <c r="RNM2" s="95" t="n"/>
      <c r="RNN2" s="95" t="n"/>
      <c r="RNO2" s="95" t="n"/>
      <c r="RNP2" s="95" t="n"/>
      <c r="RNQ2" s="95" t="n"/>
      <c r="RNR2" s="95" t="n"/>
      <c r="RNS2" s="95" t="n"/>
      <c r="RNT2" s="95" t="n"/>
      <c r="RNU2" s="95" t="n"/>
      <c r="RNV2" s="95" t="n"/>
      <c r="RNW2" s="95" t="n"/>
      <c r="RNX2" s="95" t="n"/>
      <c r="RNY2" s="95" t="n"/>
      <c r="RNZ2" s="95" t="n"/>
      <c r="ROA2" s="95" t="n"/>
      <c r="ROB2" s="95" t="n"/>
      <c r="ROC2" s="95" t="n"/>
      <c r="ROD2" s="95" t="n"/>
      <c r="ROE2" s="95" t="n"/>
      <c r="ROF2" s="95" t="n"/>
      <c r="ROG2" s="95" t="n"/>
      <c r="ROH2" s="95" t="n"/>
      <c r="ROI2" s="95" t="n"/>
      <c r="ROJ2" s="95" t="n"/>
      <c r="ROK2" s="95" t="n"/>
      <c r="ROL2" s="95" t="n"/>
      <c r="ROM2" s="95" t="n"/>
      <c r="RON2" s="95" t="n"/>
      <c r="ROO2" s="95" t="n"/>
      <c r="ROP2" s="95" t="n"/>
      <c r="ROQ2" s="95" t="n"/>
      <c r="ROR2" s="95" t="n"/>
      <c r="ROS2" s="95" t="n"/>
      <c r="ROT2" s="95" t="n"/>
      <c r="ROU2" s="95" t="n"/>
      <c r="ROV2" s="95" t="n"/>
      <c r="ROW2" s="95" t="n"/>
      <c r="ROX2" s="95" t="n"/>
      <c r="ROY2" s="95" t="n"/>
      <c r="ROZ2" s="95" t="n"/>
      <c r="RPA2" s="95" t="n"/>
      <c r="RPB2" s="95" t="n"/>
      <c r="RPC2" s="95" t="n"/>
      <c r="RPD2" s="95" t="n"/>
      <c r="RPE2" s="95" t="n"/>
      <c r="RPF2" s="95" t="n"/>
      <c r="RPG2" s="95" t="n"/>
      <c r="RPH2" s="95" t="n"/>
      <c r="RPI2" s="95" t="n"/>
      <c r="RPJ2" s="95" t="n"/>
      <c r="RPK2" s="95" t="n"/>
      <c r="RPL2" s="95" t="n"/>
      <c r="RPM2" s="95" t="n"/>
      <c r="RPN2" s="95" t="n"/>
      <c r="RPO2" s="95" t="n"/>
      <c r="RPP2" s="95" t="n"/>
      <c r="RPQ2" s="95" t="n"/>
      <c r="RPR2" s="95" t="n"/>
      <c r="RPS2" s="95" t="n"/>
      <c r="RPT2" s="95" t="n"/>
      <c r="RPU2" s="95" t="n"/>
      <c r="RPV2" s="95" t="n"/>
      <c r="RPW2" s="95" t="n"/>
      <c r="RPX2" s="95" t="n"/>
      <c r="RPY2" s="95" t="n"/>
      <c r="RPZ2" s="95" t="n"/>
      <c r="RQA2" s="95" t="n"/>
      <c r="RQB2" s="95" t="n"/>
      <c r="RQC2" s="95" t="n"/>
      <c r="RQD2" s="95" t="n"/>
      <c r="RQE2" s="95" t="n"/>
      <c r="RQF2" s="95" t="n"/>
      <c r="RQG2" s="95" t="n"/>
      <c r="RQH2" s="95" t="n"/>
      <c r="RQI2" s="95" t="n"/>
      <c r="RQJ2" s="95" t="n"/>
      <c r="RQK2" s="95" t="n"/>
      <c r="RQL2" s="95" t="n"/>
      <c r="RQM2" s="95" t="n"/>
      <c r="RQN2" s="95" t="n"/>
      <c r="RQO2" s="95" t="n"/>
      <c r="RQP2" s="95" t="n"/>
      <c r="RQQ2" s="95" t="n"/>
      <c r="RQR2" s="95" t="n"/>
      <c r="RQS2" s="95" t="n"/>
      <c r="RQT2" s="95" t="n"/>
      <c r="RQU2" s="95" t="n"/>
      <c r="RQV2" s="95" t="n"/>
      <c r="RQW2" s="95" t="n"/>
      <c r="RQX2" s="95" t="n"/>
      <c r="RQY2" s="95" t="n"/>
      <c r="RQZ2" s="95" t="n"/>
      <c r="RRA2" s="95" t="n"/>
      <c r="RRB2" s="95" t="n"/>
      <c r="RRC2" s="95" t="n"/>
      <c r="RRD2" s="95" t="n"/>
      <c r="RRE2" s="95" t="n"/>
      <c r="RRF2" s="95" t="n"/>
      <c r="RRG2" s="95" t="n"/>
      <c r="RRH2" s="95" t="n"/>
      <c r="RRI2" s="95" t="n"/>
      <c r="RRJ2" s="95" t="n"/>
      <c r="RRK2" s="95" t="n"/>
      <c r="RRL2" s="95" t="n"/>
      <c r="RRM2" s="95" t="n"/>
      <c r="RRN2" s="95" t="n"/>
      <c r="RRO2" s="95" t="n"/>
      <c r="RRP2" s="95" t="n"/>
      <c r="RRQ2" s="95" t="n"/>
      <c r="RRR2" s="95" t="n"/>
      <c r="RRS2" s="95" t="n"/>
      <c r="RRT2" s="95" t="n"/>
      <c r="RRU2" s="95" t="n"/>
      <c r="RRV2" s="95" t="n"/>
      <c r="RRW2" s="95" t="n"/>
      <c r="RRX2" s="95" t="n"/>
      <c r="RRY2" s="95" t="n"/>
      <c r="RRZ2" s="95" t="n"/>
      <c r="RSA2" s="95" t="n"/>
      <c r="RSB2" s="95" t="n"/>
      <c r="RSC2" s="95" t="n"/>
      <c r="RSD2" s="95" t="n"/>
      <c r="RSE2" s="95" t="n"/>
      <c r="RSF2" s="95" t="n"/>
      <c r="RSG2" s="95" t="n"/>
      <c r="RSH2" s="95" t="n"/>
      <c r="RSI2" s="95" t="n"/>
      <c r="RSJ2" s="95" t="n"/>
      <c r="RSK2" s="95" t="n"/>
      <c r="RSL2" s="95" t="n"/>
      <c r="RSM2" s="95" t="n"/>
      <c r="RSN2" s="95" t="n"/>
      <c r="RSO2" s="95" t="n"/>
      <c r="RSP2" s="95" t="n"/>
      <c r="RSQ2" s="95" t="n"/>
      <c r="RSR2" s="95" t="n"/>
      <c r="RSS2" s="95" t="n"/>
      <c r="RST2" s="95" t="n"/>
      <c r="RSU2" s="95" t="n"/>
      <c r="RSV2" s="95" t="n"/>
      <c r="RSW2" s="95" t="n"/>
      <c r="RSX2" s="95" t="n"/>
      <c r="RSY2" s="95" t="n"/>
      <c r="RSZ2" s="95" t="n"/>
      <c r="RTA2" s="95" t="n"/>
      <c r="RTB2" s="95" t="n"/>
      <c r="RTC2" s="95" t="n"/>
      <c r="RTD2" s="95" t="n"/>
      <c r="RTE2" s="95" t="n"/>
      <c r="RTF2" s="95" t="n"/>
      <c r="RTG2" s="95" t="n"/>
      <c r="RTH2" s="95" t="n"/>
      <c r="RTI2" s="95" t="n"/>
      <c r="RTJ2" s="95" t="n"/>
      <c r="RTK2" s="95" t="n"/>
      <c r="RTL2" s="95" t="n"/>
      <c r="RTM2" s="95" t="n"/>
      <c r="RTN2" s="95" t="n"/>
      <c r="RTO2" s="95" t="n"/>
      <c r="RTP2" s="95" t="n"/>
      <c r="RTQ2" s="95" t="n"/>
      <c r="RTR2" s="95" t="n"/>
      <c r="RTS2" s="95" t="n"/>
      <c r="RTT2" s="95" t="n"/>
      <c r="RTU2" s="95" t="n"/>
      <c r="RTV2" s="95" t="n"/>
      <c r="RTW2" s="95" t="n"/>
      <c r="RTX2" s="95" t="n"/>
      <c r="RTY2" s="95" t="n"/>
      <c r="RTZ2" s="95" t="n"/>
      <c r="RUA2" s="95" t="n"/>
      <c r="RUB2" s="95" t="n"/>
      <c r="RUC2" s="95" t="n"/>
      <c r="RUD2" s="95" t="n"/>
      <c r="RUE2" s="95" t="n"/>
      <c r="RUF2" s="95" t="n"/>
      <c r="RUG2" s="95" t="n"/>
      <c r="RUH2" s="95" t="n"/>
      <c r="RUI2" s="95" t="n"/>
      <c r="RUJ2" s="95" t="n"/>
      <c r="RUK2" s="95" t="n"/>
      <c r="RUL2" s="95" t="n"/>
      <c r="RUM2" s="95" t="n"/>
      <c r="RUN2" s="95" t="n"/>
      <c r="RUO2" s="95" t="n"/>
      <c r="RUP2" s="95" t="n"/>
      <c r="RUQ2" s="95" t="n"/>
      <c r="RUR2" s="95" t="n"/>
      <c r="RUS2" s="95" t="n"/>
      <c r="RUT2" s="95" t="n"/>
      <c r="RUU2" s="95" t="n"/>
      <c r="RUV2" s="95" t="n"/>
      <c r="RUW2" s="95" t="n"/>
      <c r="RUX2" s="95" t="n"/>
      <c r="RUY2" s="95" t="n"/>
      <c r="RUZ2" s="95" t="n"/>
      <c r="RVA2" s="95" t="n"/>
      <c r="RVB2" s="95" t="n"/>
      <c r="RVC2" s="95" t="n"/>
      <c r="RVD2" s="95" t="n"/>
      <c r="RVE2" s="95" t="n"/>
      <c r="RVF2" s="95" t="n"/>
      <c r="RVG2" s="95" t="n"/>
      <c r="RVH2" s="95" t="n"/>
      <c r="RVI2" s="95" t="n"/>
      <c r="RVJ2" s="95" t="n"/>
      <c r="RVK2" s="95" t="n"/>
      <c r="RVL2" s="95" t="n"/>
      <c r="RVM2" s="95" t="n"/>
      <c r="RVN2" s="95" t="n"/>
      <c r="RVO2" s="95" t="n"/>
      <c r="RVP2" s="95" t="n"/>
      <c r="RVQ2" s="95" t="n"/>
      <c r="RVR2" s="95" t="n"/>
      <c r="RVS2" s="95" t="n"/>
      <c r="RVT2" s="95" t="n"/>
      <c r="RVU2" s="95" t="n"/>
      <c r="RVV2" s="95" t="n"/>
      <c r="RVW2" s="95" t="n"/>
      <c r="RVX2" s="95" t="n"/>
      <c r="RVY2" s="95" t="n"/>
      <c r="RVZ2" s="95" t="n"/>
      <c r="RWA2" s="95" t="n"/>
      <c r="RWB2" s="95" t="n"/>
      <c r="RWC2" s="95" t="n"/>
      <c r="RWD2" s="95" t="n"/>
      <c r="RWE2" s="95" t="n"/>
      <c r="RWF2" s="95" t="n"/>
      <c r="RWG2" s="95" t="n"/>
      <c r="RWH2" s="95" t="n"/>
      <c r="RWI2" s="95" t="n"/>
      <c r="RWJ2" s="95" t="n"/>
      <c r="RWK2" s="95" t="n"/>
      <c r="RWL2" s="95" t="n"/>
      <c r="RWM2" s="95" t="n"/>
      <c r="RWN2" s="95" t="n"/>
      <c r="RWO2" s="95" t="n"/>
      <c r="RWP2" s="95" t="n"/>
      <c r="RWQ2" s="95" t="n"/>
      <c r="RWR2" s="95" t="n"/>
      <c r="RWS2" s="95" t="n"/>
      <c r="RWT2" s="95" t="n"/>
      <c r="RWU2" s="95" t="n"/>
      <c r="RWV2" s="95" t="n"/>
      <c r="RWW2" s="95" t="n"/>
      <c r="RWX2" s="95" t="n"/>
      <c r="RWY2" s="95" t="n"/>
      <c r="RWZ2" s="95" t="n"/>
      <c r="RXA2" s="95" t="n"/>
      <c r="RXB2" s="95" t="n"/>
      <c r="RXC2" s="95" t="n"/>
      <c r="RXD2" s="95" t="n"/>
      <c r="RXE2" s="95" t="n"/>
      <c r="RXF2" s="95" t="n"/>
      <c r="RXG2" s="95" t="n"/>
      <c r="RXH2" s="95" t="n"/>
      <c r="RXI2" s="95" t="n"/>
      <c r="RXJ2" s="95" t="n"/>
      <c r="RXK2" s="95" t="n"/>
      <c r="RXL2" s="95" t="n"/>
      <c r="RXM2" s="95" t="n"/>
      <c r="RXN2" s="95" t="n"/>
      <c r="RXO2" s="95" t="n"/>
      <c r="RXP2" s="95" t="n"/>
      <c r="RXQ2" s="95" t="n"/>
      <c r="RXR2" s="95" t="n"/>
      <c r="RXS2" s="95" t="n"/>
      <c r="RXT2" s="95" t="n"/>
      <c r="RXU2" s="95" t="n"/>
      <c r="RXV2" s="95" t="n"/>
      <c r="RXW2" s="95" t="n"/>
      <c r="RXX2" s="95" t="n"/>
      <c r="RXY2" s="95" t="n"/>
      <c r="RXZ2" s="95" t="n"/>
      <c r="RYA2" s="95" t="n"/>
      <c r="RYB2" s="95" t="n"/>
      <c r="RYC2" s="95" t="n"/>
      <c r="RYD2" s="95" t="n"/>
      <c r="RYE2" s="95" t="n"/>
      <c r="RYF2" s="95" t="n"/>
      <c r="RYG2" s="95" t="n"/>
      <c r="RYH2" s="95" t="n"/>
      <c r="RYI2" s="95" t="n"/>
      <c r="RYJ2" s="95" t="n"/>
      <c r="RYK2" s="95" t="n"/>
      <c r="RYL2" s="95" t="n"/>
      <c r="RYM2" s="95" t="n"/>
      <c r="RYN2" s="95" t="n"/>
      <c r="RYO2" s="95" t="n"/>
      <c r="RYP2" s="95" t="n"/>
      <c r="RYQ2" s="95" t="n"/>
      <c r="RYR2" s="95" t="n"/>
      <c r="RYS2" s="95" t="n"/>
      <c r="RYT2" s="95" t="n"/>
      <c r="RYU2" s="95" t="n"/>
      <c r="RYV2" s="95" t="n"/>
      <c r="RYW2" s="95" t="n"/>
      <c r="RYX2" s="95" t="n"/>
      <c r="RYY2" s="95" t="n"/>
      <c r="RYZ2" s="95" t="n"/>
      <c r="RZA2" s="95" t="n"/>
      <c r="RZB2" s="95" t="n"/>
      <c r="RZC2" s="95" t="n"/>
      <c r="RZD2" s="95" t="n"/>
      <c r="RZE2" s="95" t="n"/>
      <c r="RZF2" s="95" t="n"/>
      <c r="RZG2" s="95" t="n"/>
      <c r="RZH2" s="95" t="n"/>
      <c r="RZI2" s="95" t="n"/>
      <c r="RZJ2" s="95" t="n"/>
      <c r="RZK2" s="95" t="n"/>
      <c r="RZL2" s="95" t="n"/>
      <c r="RZM2" s="95" t="n"/>
      <c r="RZN2" s="95" t="n"/>
      <c r="RZO2" s="95" t="n"/>
      <c r="RZP2" s="95" t="n"/>
      <c r="RZQ2" s="95" t="n"/>
      <c r="RZR2" s="95" t="n"/>
      <c r="RZS2" s="95" t="n"/>
      <c r="RZT2" s="95" t="n"/>
      <c r="RZU2" s="95" t="n"/>
      <c r="RZV2" s="95" t="n"/>
      <c r="RZW2" s="95" t="n"/>
      <c r="RZX2" s="95" t="n"/>
      <c r="RZY2" s="95" t="n"/>
      <c r="RZZ2" s="95" t="n"/>
      <c r="SAA2" s="95" t="n"/>
      <c r="SAB2" s="95" t="n"/>
      <c r="SAC2" s="95" t="n"/>
      <c r="SAD2" s="95" t="n"/>
      <c r="SAE2" s="95" t="n"/>
      <c r="SAF2" s="95" t="n"/>
      <c r="SAG2" s="95" t="n"/>
      <c r="SAH2" s="95" t="n"/>
      <c r="SAI2" s="95" t="n"/>
      <c r="SAJ2" s="95" t="n"/>
      <c r="SAK2" s="95" t="n"/>
      <c r="SAL2" s="95" t="n"/>
      <c r="SAM2" s="95" t="n"/>
      <c r="SAN2" s="95" t="n"/>
      <c r="SAO2" s="95" t="n"/>
      <c r="SAP2" s="95" t="n"/>
      <c r="SAQ2" s="95" t="n"/>
      <c r="SAR2" s="95" t="n"/>
      <c r="SAS2" s="95" t="n"/>
      <c r="SAT2" s="95" t="n"/>
      <c r="SAU2" s="95" t="n"/>
      <c r="SAV2" s="95" t="n"/>
      <c r="SAW2" s="95" t="n"/>
      <c r="SAX2" s="95" t="n"/>
      <c r="SAY2" s="95" t="n"/>
      <c r="SAZ2" s="95" t="n"/>
      <c r="SBA2" s="95" t="n"/>
      <c r="SBB2" s="95" t="n"/>
      <c r="SBC2" s="95" t="n"/>
      <c r="SBD2" s="95" t="n"/>
      <c r="SBE2" s="95" t="n"/>
      <c r="SBF2" s="95" t="n"/>
      <c r="SBG2" s="95" t="n"/>
      <c r="SBH2" s="95" t="n"/>
      <c r="SBI2" s="95" t="n"/>
      <c r="SBJ2" s="95" t="n"/>
      <c r="SBK2" s="95" t="n"/>
      <c r="SBL2" s="95" t="n"/>
      <c r="SBM2" s="95" t="n"/>
      <c r="SBN2" s="95" t="n"/>
      <c r="SBO2" s="95" t="n"/>
      <c r="SBP2" s="95" t="n"/>
      <c r="SBQ2" s="95" t="n"/>
      <c r="SBR2" s="95" t="n"/>
      <c r="SBS2" s="95" t="n"/>
      <c r="SBT2" s="95" t="n"/>
      <c r="SBU2" s="95" t="n"/>
      <c r="SBV2" s="95" t="n"/>
      <c r="SBW2" s="95" t="n"/>
      <c r="SBX2" s="95" t="n"/>
      <c r="SBY2" s="95" t="n"/>
      <c r="SBZ2" s="95" t="n"/>
      <c r="SCA2" s="95" t="n"/>
      <c r="SCB2" s="95" t="n"/>
      <c r="SCC2" s="95" t="n"/>
      <c r="SCD2" s="95" t="n"/>
      <c r="SCE2" s="95" t="n"/>
      <c r="SCF2" s="95" t="n"/>
      <c r="SCG2" s="95" t="n"/>
      <c r="SCH2" s="95" t="n"/>
      <c r="SCI2" s="95" t="n"/>
      <c r="SCJ2" s="95" t="n"/>
      <c r="SCK2" s="95" t="n"/>
      <c r="SCL2" s="95" t="n"/>
      <c r="SCM2" s="95" t="n"/>
      <c r="SCN2" s="95" t="n"/>
      <c r="SCO2" s="95" t="n"/>
      <c r="SCP2" s="95" t="n"/>
      <c r="SCQ2" s="95" t="n"/>
      <c r="SCR2" s="95" t="n"/>
      <c r="SCS2" s="95" t="n"/>
      <c r="SCT2" s="95" t="n"/>
      <c r="SCU2" s="95" t="n"/>
      <c r="SCV2" s="95" t="n"/>
      <c r="SCW2" s="95" t="n"/>
      <c r="SCX2" s="95" t="n"/>
      <c r="SCY2" s="95" t="n"/>
      <c r="SCZ2" s="95" t="n"/>
      <c r="SDA2" s="95" t="n"/>
      <c r="SDB2" s="95" t="n"/>
      <c r="SDC2" s="95" t="n"/>
      <c r="SDD2" s="95" t="n"/>
      <c r="SDE2" s="95" t="n"/>
      <c r="SDF2" s="95" t="n"/>
      <c r="SDG2" s="95" t="n"/>
      <c r="SDH2" s="95" t="n"/>
      <c r="SDI2" s="95" t="n"/>
      <c r="SDJ2" s="95" t="n"/>
      <c r="SDK2" s="95" t="n"/>
      <c r="SDL2" s="95" t="n"/>
      <c r="SDM2" s="95" t="n"/>
      <c r="SDN2" s="95" t="n"/>
      <c r="SDO2" s="95" t="n"/>
      <c r="SDP2" s="95" t="n"/>
      <c r="SDQ2" s="95" t="n"/>
      <c r="SDR2" s="95" t="n"/>
      <c r="SDS2" s="95" t="n"/>
      <c r="SDT2" s="95" t="n"/>
      <c r="SDU2" s="95" t="n"/>
      <c r="SDV2" s="95" t="n"/>
      <c r="SDW2" s="95" t="n"/>
      <c r="SDX2" s="95" t="n"/>
      <c r="SDY2" s="95" t="n"/>
      <c r="SDZ2" s="95" t="n"/>
      <c r="SEA2" s="95" t="n"/>
      <c r="SEB2" s="95" t="n"/>
      <c r="SEC2" s="95" t="n"/>
      <c r="SED2" s="95" t="n"/>
      <c r="SEE2" s="95" t="n"/>
      <c r="SEF2" s="95" t="n"/>
      <c r="SEG2" s="95" t="n"/>
      <c r="SEH2" s="95" t="n"/>
      <c r="SEI2" s="95" t="n"/>
      <c r="SEJ2" s="95" t="n"/>
      <c r="SEK2" s="95" t="n"/>
      <c r="SEL2" s="95" t="n"/>
      <c r="SEM2" s="95" t="n"/>
      <c r="SEN2" s="95" t="n"/>
      <c r="SEO2" s="95" t="n"/>
      <c r="SEP2" s="95" t="n"/>
      <c r="SEQ2" s="95" t="n"/>
      <c r="SER2" s="95" t="n"/>
      <c r="SES2" s="95" t="n"/>
      <c r="SET2" s="95" t="n"/>
      <c r="SEU2" s="95" t="n"/>
      <c r="SEV2" s="95" t="n"/>
      <c r="SEW2" s="95" t="n"/>
      <c r="SEX2" s="95" t="n"/>
      <c r="SEY2" s="95" t="n"/>
      <c r="SEZ2" s="95" t="n"/>
      <c r="SFA2" s="95" t="n"/>
      <c r="SFB2" s="95" t="n"/>
      <c r="SFC2" s="95" t="n"/>
      <c r="SFD2" s="95" t="n"/>
      <c r="SFE2" s="95" t="n"/>
      <c r="SFF2" s="95" t="n"/>
      <c r="SFG2" s="95" t="n"/>
      <c r="SFH2" s="95" t="n"/>
      <c r="SFI2" s="95" t="n"/>
      <c r="SFJ2" s="95" t="n"/>
      <c r="SFK2" s="95" t="n"/>
      <c r="SFL2" s="95" t="n"/>
      <c r="SFM2" s="95" t="n"/>
      <c r="SFN2" s="95" t="n"/>
      <c r="SFO2" s="95" t="n"/>
      <c r="SFP2" s="95" t="n"/>
      <c r="SFQ2" s="95" t="n"/>
      <c r="SFR2" s="95" t="n"/>
      <c r="SFS2" s="95" t="n"/>
      <c r="SFT2" s="95" t="n"/>
      <c r="SFU2" s="95" t="n"/>
      <c r="SFV2" s="95" t="n"/>
      <c r="SFW2" s="95" t="n"/>
      <c r="SFX2" s="95" t="n"/>
      <c r="SFY2" s="95" t="n"/>
      <c r="SFZ2" s="95" t="n"/>
      <c r="SGA2" s="95" t="n"/>
      <c r="SGB2" s="95" t="n"/>
      <c r="SGC2" s="95" t="n"/>
      <c r="SGD2" s="95" t="n"/>
      <c r="SGE2" s="95" t="n"/>
      <c r="SGF2" s="95" t="n"/>
      <c r="SGG2" s="95" t="n"/>
      <c r="SGH2" s="95" t="n"/>
      <c r="SGI2" s="95" t="n"/>
      <c r="SGJ2" s="95" t="n"/>
      <c r="SGK2" s="95" t="n"/>
      <c r="SGL2" s="95" t="n"/>
      <c r="SGM2" s="95" t="n"/>
      <c r="SGN2" s="95" t="n"/>
      <c r="SGO2" s="95" t="n"/>
      <c r="SGP2" s="95" t="n"/>
      <c r="SGQ2" s="95" t="n"/>
      <c r="SGR2" s="95" t="n"/>
      <c r="SGS2" s="95" t="n"/>
      <c r="SGT2" s="95" t="n"/>
      <c r="SGU2" s="95" t="n"/>
      <c r="SGV2" s="95" t="n"/>
      <c r="SGW2" s="95" t="n"/>
      <c r="SGX2" s="95" t="n"/>
      <c r="SGY2" s="95" t="n"/>
      <c r="SGZ2" s="95" t="n"/>
      <c r="SHA2" s="95" t="n"/>
      <c r="SHB2" s="95" t="n"/>
      <c r="SHC2" s="95" t="n"/>
      <c r="SHD2" s="95" t="n"/>
      <c r="SHE2" s="95" t="n"/>
      <c r="SHF2" s="95" t="n"/>
      <c r="SHG2" s="95" t="n"/>
      <c r="SHH2" s="95" t="n"/>
      <c r="SHI2" s="95" t="n"/>
      <c r="SHJ2" s="95" t="n"/>
      <c r="SHK2" s="95" t="n"/>
      <c r="SHL2" s="95" t="n"/>
      <c r="SHM2" s="95" t="n"/>
      <c r="SHN2" s="95" t="n"/>
      <c r="SHO2" s="95" t="n"/>
      <c r="SHP2" s="95" t="n"/>
      <c r="SHQ2" s="95" t="n"/>
      <c r="SHR2" s="95" t="n"/>
      <c r="SHS2" s="95" t="n"/>
      <c r="SHT2" s="95" t="n"/>
      <c r="SHU2" s="95" t="n"/>
      <c r="SHV2" s="95" t="n"/>
      <c r="SHW2" s="95" t="n"/>
      <c r="SHX2" s="95" t="n"/>
      <c r="SHY2" s="95" t="n"/>
      <c r="SHZ2" s="95" t="n"/>
      <c r="SIA2" s="95" t="n"/>
      <c r="SIB2" s="95" t="n"/>
      <c r="SIC2" s="95" t="n"/>
      <c r="SID2" s="95" t="n"/>
      <c r="SIE2" s="95" t="n"/>
      <c r="SIF2" s="95" t="n"/>
      <c r="SIG2" s="95" t="n"/>
      <c r="SIH2" s="95" t="n"/>
      <c r="SII2" s="95" t="n"/>
      <c r="SIJ2" s="95" t="n"/>
      <c r="SIK2" s="95" t="n"/>
      <c r="SIL2" s="95" t="n"/>
      <c r="SIM2" s="95" t="n"/>
      <c r="SIN2" s="95" t="n"/>
      <c r="SIO2" s="95" t="n"/>
      <c r="SIP2" s="95" t="n"/>
      <c r="SIQ2" s="95" t="n"/>
      <c r="SIR2" s="95" t="n"/>
      <c r="SIS2" s="95" t="n"/>
      <c r="SIT2" s="95" t="n"/>
      <c r="SIU2" s="95" t="n"/>
      <c r="SIV2" s="95" t="n"/>
      <c r="SIW2" s="95" t="n"/>
      <c r="SIX2" s="95" t="n"/>
      <c r="SIY2" s="95" t="n"/>
      <c r="SIZ2" s="95" t="n"/>
      <c r="SJA2" s="95" t="n"/>
      <c r="SJB2" s="95" t="n"/>
      <c r="SJC2" s="95" t="n"/>
      <c r="SJD2" s="95" t="n"/>
      <c r="SJE2" s="95" t="n"/>
      <c r="SJF2" s="95" t="n"/>
      <c r="SJG2" s="95" t="n"/>
      <c r="SJH2" s="95" t="n"/>
      <c r="SJI2" s="95" t="n"/>
      <c r="SJJ2" s="95" t="n"/>
      <c r="SJK2" s="95" t="n"/>
      <c r="SJL2" s="95" t="n"/>
      <c r="SJM2" s="95" t="n"/>
      <c r="SJN2" s="95" t="n"/>
      <c r="SJO2" s="95" t="n"/>
      <c r="SJP2" s="95" t="n"/>
      <c r="SJQ2" s="95" t="n"/>
      <c r="SJR2" s="95" t="n"/>
      <c r="SJS2" s="95" t="n"/>
      <c r="SJT2" s="95" t="n"/>
      <c r="SJU2" s="95" t="n"/>
      <c r="SJV2" s="95" t="n"/>
      <c r="SJW2" s="95" t="n"/>
      <c r="SJX2" s="95" t="n"/>
      <c r="SJY2" s="95" t="n"/>
      <c r="SJZ2" s="95" t="n"/>
      <c r="SKA2" s="95" t="n"/>
      <c r="SKB2" s="95" t="n"/>
      <c r="SKC2" s="95" t="n"/>
      <c r="SKD2" s="95" t="n"/>
      <c r="SKE2" s="95" t="n"/>
      <c r="SKF2" s="95" t="n"/>
      <c r="SKG2" s="95" t="n"/>
      <c r="SKH2" s="95" t="n"/>
      <c r="SKI2" s="95" t="n"/>
      <c r="SKJ2" s="95" t="n"/>
      <c r="SKK2" s="95" t="n"/>
      <c r="SKL2" s="95" t="n"/>
      <c r="SKM2" s="95" t="n"/>
      <c r="SKN2" s="95" t="n"/>
      <c r="SKO2" s="95" t="n"/>
      <c r="SKP2" s="95" t="n"/>
      <c r="SKQ2" s="95" t="n"/>
      <c r="SKR2" s="95" t="n"/>
      <c r="SKS2" s="95" t="n"/>
      <c r="SKT2" s="95" t="n"/>
      <c r="SKU2" s="95" t="n"/>
      <c r="SKV2" s="95" t="n"/>
      <c r="SKW2" s="95" t="n"/>
      <c r="SKX2" s="95" t="n"/>
      <c r="SKY2" s="95" t="n"/>
      <c r="SKZ2" s="95" t="n"/>
      <c r="SLA2" s="95" t="n"/>
      <c r="SLB2" s="95" t="n"/>
      <c r="SLC2" s="95" t="n"/>
      <c r="SLD2" s="95" t="n"/>
      <c r="SLE2" s="95" t="n"/>
      <c r="SLF2" s="95" t="n"/>
      <c r="SLG2" s="95" t="n"/>
      <c r="SLH2" s="95" t="n"/>
      <c r="SLI2" s="95" t="n"/>
      <c r="SLJ2" s="95" t="n"/>
      <c r="SLK2" s="95" t="n"/>
      <c r="SLL2" s="95" t="n"/>
      <c r="SLM2" s="95" t="n"/>
      <c r="SLN2" s="95" t="n"/>
      <c r="SLO2" s="95" t="n"/>
      <c r="SLP2" s="95" t="n"/>
      <c r="SLQ2" s="95" t="n"/>
      <c r="SLR2" s="95" t="n"/>
      <c r="SLS2" s="95" t="n"/>
      <c r="SLT2" s="95" t="n"/>
      <c r="SLU2" s="95" t="n"/>
      <c r="SLV2" s="95" t="n"/>
      <c r="SLW2" s="95" t="n"/>
      <c r="SLX2" s="95" t="n"/>
      <c r="SLY2" s="95" t="n"/>
      <c r="SLZ2" s="95" t="n"/>
      <c r="SMA2" s="95" t="n"/>
      <c r="SMB2" s="95" t="n"/>
      <c r="SMC2" s="95" t="n"/>
      <c r="SMD2" s="95" t="n"/>
      <c r="SME2" s="95" t="n"/>
      <c r="SMF2" s="95" t="n"/>
      <c r="SMG2" s="95" t="n"/>
      <c r="SMH2" s="95" t="n"/>
      <c r="SMI2" s="95" t="n"/>
      <c r="SMJ2" s="95" t="n"/>
      <c r="SMK2" s="95" t="n"/>
      <c r="SML2" s="95" t="n"/>
      <c r="SMM2" s="95" t="n"/>
      <c r="SMN2" s="95" t="n"/>
      <c r="SMO2" s="95" t="n"/>
      <c r="SMP2" s="95" t="n"/>
      <c r="SMQ2" s="95" t="n"/>
      <c r="SMR2" s="95" t="n"/>
      <c r="SMS2" s="95" t="n"/>
      <c r="SMT2" s="95" t="n"/>
      <c r="SMU2" s="95" t="n"/>
      <c r="SMV2" s="95" t="n"/>
      <c r="SMW2" s="95" t="n"/>
      <c r="SMX2" s="95" t="n"/>
      <c r="SMY2" s="95" t="n"/>
      <c r="SMZ2" s="95" t="n"/>
      <c r="SNA2" s="95" t="n"/>
      <c r="SNB2" s="95" t="n"/>
      <c r="SNC2" s="95" t="n"/>
      <c r="SND2" s="95" t="n"/>
      <c r="SNE2" s="95" t="n"/>
      <c r="SNF2" s="95" t="n"/>
      <c r="SNG2" s="95" t="n"/>
      <c r="SNH2" s="95" t="n"/>
      <c r="SNI2" s="95" t="n"/>
      <c r="SNJ2" s="95" t="n"/>
      <c r="SNK2" s="95" t="n"/>
      <c r="SNL2" s="95" t="n"/>
      <c r="SNM2" s="95" t="n"/>
      <c r="SNN2" s="95" t="n"/>
      <c r="SNO2" s="95" t="n"/>
      <c r="SNP2" s="95" t="n"/>
      <c r="SNQ2" s="95" t="n"/>
      <c r="SNR2" s="95" t="n"/>
      <c r="SNS2" s="95" t="n"/>
      <c r="SNT2" s="95" t="n"/>
      <c r="SNU2" s="95" t="n"/>
      <c r="SNV2" s="95" t="n"/>
      <c r="SNW2" s="95" t="n"/>
      <c r="SNX2" s="95" t="n"/>
      <c r="SNY2" s="95" t="n"/>
      <c r="SNZ2" s="95" t="n"/>
      <c r="SOA2" s="95" t="n"/>
      <c r="SOB2" s="95" t="n"/>
      <c r="SOC2" s="95" t="n"/>
      <c r="SOD2" s="95" t="n"/>
      <c r="SOE2" s="95" t="n"/>
      <c r="SOF2" s="95" t="n"/>
      <c r="SOG2" s="95" t="n"/>
      <c r="SOH2" s="95" t="n"/>
      <c r="SOI2" s="95" t="n"/>
      <c r="SOJ2" s="95" t="n"/>
      <c r="SOK2" s="95" t="n"/>
      <c r="SOL2" s="95" t="n"/>
      <c r="SOM2" s="95" t="n"/>
      <c r="SON2" s="95" t="n"/>
      <c r="SOO2" s="95" t="n"/>
      <c r="SOP2" s="95" t="n"/>
      <c r="SOQ2" s="95" t="n"/>
      <c r="SOR2" s="95" t="n"/>
      <c r="SOS2" s="95" t="n"/>
      <c r="SOT2" s="95" t="n"/>
      <c r="SOU2" s="95" t="n"/>
      <c r="SOV2" s="95" t="n"/>
      <c r="SOW2" s="95" t="n"/>
      <c r="SOX2" s="95" t="n"/>
      <c r="SOY2" s="95" t="n"/>
      <c r="SOZ2" s="95" t="n"/>
      <c r="SPA2" s="95" t="n"/>
      <c r="SPB2" s="95" t="n"/>
      <c r="SPC2" s="95" t="n"/>
      <c r="SPD2" s="95" t="n"/>
      <c r="SPE2" s="95" t="n"/>
      <c r="SPF2" s="95" t="n"/>
      <c r="SPG2" s="95" t="n"/>
      <c r="SPH2" s="95" t="n"/>
      <c r="SPI2" s="95" t="n"/>
      <c r="SPJ2" s="95" t="n"/>
      <c r="SPK2" s="95" t="n"/>
      <c r="SPL2" s="95" t="n"/>
      <c r="SPM2" s="95" t="n"/>
      <c r="SPN2" s="95" t="n"/>
      <c r="SPO2" s="95" t="n"/>
      <c r="SPP2" s="95" t="n"/>
      <c r="SPQ2" s="95" t="n"/>
      <c r="SPR2" s="95" t="n"/>
      <c r="SPS2" s="95" t="n"/>
      <c r="SPT2" s="95" t="n"/>
      <c r="SPU2" s="95" t="n"/>
      <c r="SPV2" s="95" t="n"/>
      <c r="SPW2" s="95" t="n"/>
      <c r="SPX2" s="95" t="n"/>
      <c r="SPY2" s="95" t="n"/>
      <c r="SPZ2" s="95" t="n"/>
      <c r="SQA2" s="95" t="n"/>
      <c r="SQB2" s="95" t="n"/>
      <c r="SQC2" s="95" t="n"/>
      <c r="SQD2" s="95" t="n"/>
      <c r="SQE2" s="95" t="n"/>
      <c r="SQF2" s="95" t="n"/>
      <c r="SQG2" s="95" t="n"/>
      <c r="SQH2" s="95" t="n"/>
      <c r="SQI2" s="95" t="n"/>
      <c r="SQJ2" s="95" t="n"/>
      <c r="SQK2" s="95" t="n"/>
      <c r="SQL2" s="95" t="n"/>
      <c r="SQM2" s="95" t="n"/>
      <c r="SQN2" s="95" t="n"/>
      <c r="SQO2" s="95" t="n"/>
      <c r="SQP2" s="95" t="n"/>
      <c r="SQQ2" s="95" t="n"/>
      <c r="SQR2" s="95" t="n"/>
      <c r="SQS2" s="95" t="n"/>
      <c r="SQT2" s="95" t="n"/>
      <c r="SQU2" s="95" t="n"/>
      <c r="SQV2" s="95" t="n"/>
      <c r="SQW2" s="95" t="n"/>
      <c r="SQX2" s="95" t="n"/>
      <c r="SQY2" s="95" t="n"/>
      <c r="SQZ2" s="95" t="n"/>
      <c r="SRA2" s="95" t="n"/>
      <c r="SRB2" s="95" t="n"/>
      <c r="SRC2" s="95" t="n"/>
      <c r="SRD2" s="95" t="n"/>
      <c r="SRE2" s="95" t="n"/>
      <c r="SRF2" s="95" t="n"/>
      <c r="SRG2" s="95" t="n"/>
      <c r="SRH2" s="95" t="n"/>
      <c r="SRI2" s="95" t="n"/>
      <c r="SRJ2" s="95" t="n"/>
      <c r="SRK2" s="95" t="n"/>
      <c r="SRL2" s="95" t="n"/>
      <c r="SRM2" s="95" t="n"/>
      <c r="SRN2" s="95" t="n"/>
      <c r="SRO2" s="95" t="n"/>
      <c r="SRP2" s="95" t="n"/>
      <c r="SRQ2" s="95" t="n"/>
      <c r="SRR2" s="95" t="n"/>
      <c r="SRS2" s="95" t="n"/>
      <c r="SRT2" s="95" t="n"/>
      <c r="SRU2" s="95" t="n"/>
      <c r="SRV2" s="95" t="n"/>
      <c r="SRW2" s="95" t="n"/>
      <c r="SRX2" s="95" t="n"/>
      <c r="SRY2" s="95" t="n"/>
      <c r="SRZ2" s="95" t="n"/>
      <c r="SSA2" s="95" t="n"/>
      <c r="SSB2" s="95" t="n"/>
      <c r="SSC2" s="95" t="n"/>
      <c r="SSD2" s="95" t="n"/>
      <c r="SSE2" s="95" t="n"/>
      <c r="SSF2" s="95" t="n"/>
      <c r="SSG2" s="95" t="n"/>
      <c r="SSH2" s="95" t="n"/>
      <c r="SSI2" s="95" t="n"/>
      <c r="SSJ2" s="95" t="n"/>
      <c r="SSK2" s="95" t="n"/>
      <c r="SSL2" s="95" t="n"/>
      <c r="SSM2" s="95" t="n"/>
      <c r="SSN2" s="95" t="n"/>
      <c r="SSO2" s="95" t="n"/>
      <c r="SSP2" s="95" t="n"/>
      <c r="SSQ2" s="95" t="n"/>
      <c r="SSR2" s="95" t="n"/>
      <c r="SSS2" s="95" t="n"/>
      <c r="SST2" s="95" t="n"/>
      <c r="SSU2" s="95" t="n"/>
      <c r="SSV2" s="95" t="n"/>
      <c r="SSW2" s="95" t="n"/>
      <c r="SSX2" s="95" t="n"/>
      <c r="SSY2" s="95" t="n"/>
      <c r="SSZ2" s="95" t="n"/>
      <c r="STA2" s="95" t="n"/>
      <c r="STB2" s="95" t="n"/>
      <c r="STC2" s="95" t="n"/>
      <c r="STD2" s="95" t="n"/>
      <c r="STE2" s="95" t="n"/>
      <c r="STF2" s="95" t="n"/>
      <c r="STG2" s="95" t="n"/>
      <c r="STH2" s="95" t="n"/>
      <c r="STI2" s="95" t="n"/>
      <c r="STJ2" s="95" t="n"/>
      <c r="STK2" s="95" t="n"/>
      <c r="STL2" s="95" t="n"/>
      <c r="STM2" s="95" t="n"/>
      <c r="STN2" s="95" t="n"/>
      <c r="STO2" s="95" t="n"/>
      <c r="STP2" s="95" t="n"/>
      <c r="STQ2" s="95" t="n"/>
      <c r="STR2" s="95" t="n"/>
      <c r="STS2" s="95" t="n"/>
      <c r="STT2" s="95" t="n"/>
      <c r="STU2" s="95" t="n"/>
      <c r="STV2" s="95" t="n"/>
      <c r="STW2" s="95" t="n"/>
      <c r="STX2" s="95" t="n"/>
      <c r="STY2" s="95" t="n"/>
      <c r="STZ2" s="95" t="n"/>
      <c r="SUA2" s="95" t="n"/>
      <c r="SUB2" s="95" t="n"/>
      <c r="SUC2" s="95" t="n"/>
      <c r="SUD2" s="95" t="n"/>
      <c r="SUE2" s="95" t="n"/>
      <c r="SUF2" s="95" t="n"/>
      <c r="SUG2" s="95" t="n"/>
      <c r="SUH2" s="95" t="n"/>
      <c r="SUI2" s="95" t="n"/>
      <c r="SUJ2" s="95" t="n"/>
      <c r="SUK2" s="95" t="n"/>
      <c r="SUL2" s="95" t="n"/>
      <c r="SUM2" s="95" t="n"/>
      <c r="SUN2" s="95" t="n"/>
      <c r="SUO2" s="95" t="n"/>
      <c r="SUP2" s="95" t="n"/>
      <c r="SUQ2" s="95" t="n"/>
      <c r="SUR2" s="95" t="n"/>
      <c r="SUS2" s="95" t="n"/>
      <c r="SUT2" s="95" t="n"/>
      <c r="SUU2" s="95" t="n"/>
      <c r="SUV2" s="95" t="n"/>
      <c r="SUW2" s="95" t="n"/>
      <c r="SUX2" s="95" t="n"/>
      <c r="SUY2" s="95" t="n"/>
      <c r="SUZ2" s="95" t="n"/>
      <c r="SVA2" s="95" t="n"/>
      <c r="SVB2" s="95" t="n"/>
      <c r="SVC2" s="95" t="n"/>
      <c r="SVD2" s="95" t="n"/>
      <c r="SVE2" s="95" t="n"/>
      <c r="SVF2" s="95" t="n"/>
      <c r="SVG2" s="95" t="n"/>
      <c r="SVH2" s="95" t="n"/>
      <c r="SVI2" s="95" t="n"/>
      <c r="SVJ2" s="95" t="n"/>
      <c r="SVK2" s="95" t="n"/>
      <c r="SVL2" s="95" t="n"/>
      <c r="SVM2" s="95" t="n"/>
      <c r="SVN2" s="95" t="n"/>
      <c r="SVO2" s="95" t="n"/>
      <c r="SVP2" s="95" t="n"/>
      <c r="SVQ2" s="95" t="n"/>
      <c r="SVR2" s="95" t="n"/>
      <c r="SVS2" s="95" t="n"/>
      <c r="SVT2" s="95" t="n"/>
      <c r="SVU2" s="95" t="n"/>
      <c r="SVV2" s="95" t="n"/>
      <c r="SVW2" s="95" t="n"/>
      <c r="SVX2" s="95" t="n"/>
      <c r="SVY2" s="95" t="n"/>
      <c r="SVZ2" s="95" t="n"/>
      <c r="SWA2" s="95" t="n"/>
      <c r="SWB2" s="95" t="n"/>
      <c r="SWC2" s="95" t="n"/>
      <c r="SWD2" s="95" t="n"/>
      <c r="SWE2" s="95" t="n"/>
      <c r="SWF2" s="95" t="n"/>
      <c r="SWG2" s="95" t="n"/>
      <c r="SWH2" s="95" t="n"/>
      <c r="SWI2" s="95" t="n"/>
      <c r="SWJ2" s="95" t="n"/>
      <c r="SWK2" s="95" t="n"/>
      <c r="SWL2" s="95" t="n"/>
      <c r="SWM2" s="95" t="n"/>
      <c r="SWN2" s="95" t="n"/>
      <c r="SWO2" s="95" t="n"/>
      <c r="SWP2" s="95" t="n"/>
      <c r="SWQ2" s="95" t="n"/>
      <c r="SWR2" s="95" t="n"/>
      <c r="SWS2" s="95" t="n"/>
      <c r="SWT2" s="95" t="n"/>
      <c r="SWU2" s="95" t="n"/>
      <c r="SWV2" s="95" t="n"/>
      <c r="SWW2" s="95" t="n"/>
      <c r="SWX2" s="95" t="n"/>
      <c r="SWY2" s="95" t="n"/>
      <c r="SWZ2" s="95" t="n"/>
      <c r="SXA2" s="95" t="n"/>
      <c r="SXB2" s="95" t="n"/>
      <c r="SXC2" s="95" t="n"/>
      <c r="SXD2" s="95" t="n"/>
      <c r="SXE2" s="95" t="n"/>
      <c r="SXF2" s="95" t="n"/>
      <c r="SXG2" s="95" t="n"/>
      <c r="SXH2" s="95" t="n"/>
      <c r="SXI2" s="95" t="n"/>
      <c r="SXJ2" s="95" t="n"/>
      <c r="SXK2" s="95" t="n"/>
      <c r="SXL2" s="95" t="n"/>
      <c r="SXM2" s="95" t="n"/>
      <c r="SXN2" s="95" t="n"/>
      <c r="SXO2" s="95" t="n"/>
      <c r="SXP2" s="95" t="n"/>
      <c r="SXQ2" s="95" t="n"/>
      <c r="SXR2" s="95" t="n"/>
      <c r="SXS2" s="95" t="n"/>
      <c r="SXT2" s="95" t="n"/>
      <c r="SXU2" s="95" t="n"/>
      <c r="SXV2" s="95" t="n"/>
      <c r="SXW2" s="95" t="n"/>
      <c r="SXX2" s="95" t="n"/>
      <c r="SXY2" s="95" t="n"/>
      <c r="SXZ2" s="95" t="n"/>
      <c r="SYA2" s="95" t="n"/>
      <c r="SYB2" s="95" t="n"/>
      <c r="SYC2" s="95" t="n"/>
      <c r="SYD2" s="95" t="n"/>
      <c r="SYE2" s="95" t="n"/>
      <c r="SYF2" s="95" t="n"/>
      <c r="SYG2" s="95" t="n"/>
      <c r="SYH2" s="95" t="n"/>
      <c r="SYI2" s="95" t="n"/>
      <c r="SYJ2" s="95" t="n"/>
      <c r="SYK2" s="95" t="n"/>
      <c r="SYL2" s="95" t="n"/>
      <c r="SYM2" s="95" t="n"/>
      <c r="SYN2" s="95" t="n"/>
      <c r="SYO2" s="95" t="n"/>
      <c r="SYP2" s="95" t="n"/>
      <c r="SYQ2" s="95" t="n"/>
      <c r="SYR2" s="95" t="n"/>
      <c r="SYS2" s="95" t="n"/>
      <c r="SYT2" s="95" t="n"/>
      <c r="SYU2" s="95" t="n"/>
      <c r="SYV2" s="95" t="n"/>
      <c r="SYW2" s="95" t="n"/>
      <c r="SYX2" s="95" t="n"/>
      <c r="SYY2" s="95" t="n"/>
      <c r="SYZ2" s="95" t="n"/>
      <c r="SZA2" s="95" t="n"/>
      <c r="SZB2" s="95" t="n"/>
      <c r="SZC2" s="95" t="n"/>
      <c r="SZD2" s="95" t="n"/>
      <c r="SZE2" s="95" t="n"/>
      <c r="SZF2" s="95" t="n"/>
      <c r="SZG2" s="95" t="n"/>
      <c r="SZH2" s="95" t="n"/>
      <c r="SZI2" s="95" t="n"/>
      <c r="SZJ2" s="95" t="n"/>
      <c r="SZK2" s="95" t="n"/>
      <c r="SZL2" s="95" t="n"/>
      <c r="SZM2" s="95" t="n"/>
      <c r="SZN2" s="95" t="n"/>
      <c r="SZO2" s="95" t="n"/>
      <c r="SZP2" s="95" t="n"/>
      <c r="SZQ2" s="95" t="n"/>
      <c r="SZR2" s="95" t="n"/>
      <c r="SZS2" s="95" t="n"/>
      <c r="SZT2" s="95" t="n"/>
      <c r="SZU2" s="95" t="n"/>
      <c r="SZV2" s="95" t="n"/>
      <c r="SZW2" s="95" t="n"/>
      <c r="SZX2" s="95" t="n"/>
      <c r="SZY2" s="95" t="n"/>
      <c r="SZZ2" s="95" t="n"/>
      <c r="TAA2" s="95" t="n"/>
      <c r="TAB2" s="95" t="n"/>
      <c r="TAC2" s="95" t="n"/>
      <c r="TAD2" s="95" t="n"/>
      <c r="TAE2" s="95" t="n"/>
      <c r="TAF2" s="95" t="n"/>
      <c r="TAG2" s="95" t="n"/>
      <c r="TAH2" s="95" t="n"/>
      <c r="TAI2" s="95" t="n"/>
      <c r="TAJ2" s="95" t="n"/>
      <c r="TAK2" s="95" t="n"/>
      <c r="TAL2" s="95" t="n"/>
      <c r="TAM2" s="95" t="n"/>
      <c r="TAN2" s="95" t="n"/>
      <c r="TAO2" s="95" t="n"/>
      <c r="TAP2" s="95" t="n"/>
      <c r="TAQ2" s="95" t="n"/>
      <c r="TAR2" s="95" t="n"/>
      <c r="TAS2" s="95" t="n"/>
      <c r="TAT2" s="95" t="n"/>
      <c r="TAU2" s="95" t="n"/>
      <c r="TAV2" s="95" t="n"/>
      <c r="TAW2" s="95" t="n"/>
      <c r="TAX2" s="95" t="n"/>
      <c r="TAY2" s="95" t="n"/>
      <c r="TAZ2" s="95" t="n"/>
      <c r="TBA2" s="95" t="n"/>
      <c r="TBB2" s="95" t="n"/>
      <c r="TBC2" s="95" t="n"/>
      <c r="TBD2" s="95" t="n"/>
      <c r="TBE2" s="95" t="n"/>
      <c r="TBF2" s="95" t="n"/>
      <c r="TBG2" s="95" t="n"/>
      <c r="TBH2" s="95" t="n"/>
      <c r="TBI2" s="95" t="n"/>
      <c r="TBJ2" s="95" t="n"/>
      <c r="TBK2" s="95" t="n"/>
      <c r="TBL2" s="95" t="n"/>
      <c r="TBM2" s="95" t="n"/>
      <c r="TBN2" s="95" t="n"/>
      <c r="TBO2" s="95" t="n"/>
      <c r="TBP2" s="95" t="n"/>
      <c r="TBQ2" s="95" t="n"/>
      <c r="TBR2" s="95" t="n"/>
      <c r="TBS2" s="95" t="n"/>
      <c r="TBT2" s="95" t="n"/>
      <c r="TBU2" s="95" t="n"/>
      <c r="TBV2" s="95" t="n"/>
      <c r="TBW2" s="95" t="n"/>
      <c r="TBX2" s="95" t="n"/>
      <c r="TBY2" s="95" t="n"/>
      <c r="TBZ2" s="95" t="n"/>
      <c r="TCA2" s="95" t="n"/>
      <c r="TCB2" s="95" t="n"/>
      <c r="TCC2" s="95" t="n"/>
      <c r="TCD2" s="95" t="n"/>
      <c r="TCE2" s="95" t="n"/>
      <c r="TCF2" s="95" t="n"/>
      <c r="TCG2" s="95" t="n"/>
      <c r="TCH2" s="95" t="n"/>
      <c r="TCI2" s="95" t="n"/>
      <c r="TCJ2" s="95" t="n"/>
      <c r="TCK2" s="95" t="n"/>
      <c r="TCL2" s="95" t="n"/>
      <c r="TCM2" s="95" t="n"/>
      <c r="TCN2" s="95" t="n"/>
      <c r="TCO2" s="95" t="n"/>
      <c r="TCP2" s="95" t="n"/>
      <c r="TCQ2" s="95" t="n"/>
      <c r="TCR2" s="95" t="n"/>
      <c r="TCS2" s="95" t="n"/>
      <c r="TCT2" s="95" t="n"/>
      <c r="TCU2" s="95" t="n"/>
      <c r="TCV2" s="95" t="n"/>
      <c r="TCW2" s="95" t="n"/>
      <c r="TCX2" s="95" t="n"/>
      <c r="TCY2" s="95" t="n"/>
      <c r="TCZ2" s="95" t="n"/>
      <c r="TDA2" s="95" t="n"/>
      <c r="TDB2" s="95" t="n"/>
      <c r="TDC2" s="95" t="n"/>
      <c r="TDD2" s="95" t="n"/>
      <c r="TDE2" s="95" t="n"/>
      <c r="TDF2" s="95" t="n"/>
      <c r="TDG2" s="95" t="n"/>
      <c r="TDH2" s="95" t="n"/>
      <c r="TDI2" s="95" t="n"/>
      <c r="TDJ2" s="95" t="n"/>
      <c r="TDK2" s="95" t="n"/>
      <c r="TDL2" s="95" t="n"/>
      <c r="TDM2" s="95" t="n"/>
      <c r="TDN2" s="95" t="n"/>
      <c r="TDO2" s="95" t="n"/>
      <c r="TDP2" s="95" t="n"/>
      <c r="TDQ2" s="95" t="n"/>
      <c r="TDR2" s="95" t="n"/>
      <c r="TDS2" s="95" t="n"/>
      <c r="TDT2" s="95" t="n"/>
      <c r="TDU2" s="95" t="n"/>
      <c r="TDV2" s="95" t="n"/>
      <c r="TDW2" s="95" t="n"/>
      <c r="TDX2" s="95" t="n"/>
      <c r="TDY2" s="95" t="n"/>
      <c r="TDZ2" s="95" t="n"/>
      <c r="TEA2" s="95" t="n"/>
      <c r="TEB2" s="95" t="n"/>
      <c r="TEC2" s="95" t="n"/>
      <c r="TED2" s="95" t="n"/>
      <c r="TEE2" s="95" t="n"/>
      <c r="TEF2" s="95" t="n"/>
      <c r="TEG2" s="95" t="n"/>
      <c r="TEH2" s="95" t="n"/>
      <c r="TEI2" s="95" t="n"/>
      <c r="TEJ2" s="95" t="n"/>
      <c r="TEK2" s="95" t="n"/>
      <c r="TEL2" s="95" t="n"/>
      <c r="TEM2" s="95" t="n"/>
      <c r="TEN2" s="95" t="n"/>
      <c r="TEO2" s="95" t="n"/>
      <c r="TEP2" s="95" t="n"/>
      <c r="TEQ2" s="95" t="n"/>
      <c r="TER2" s="95" t="n"/>
      <c r="TES2" s="95" t="n"/>
      <c r="TET2" s="95" t="n"/>
      <c r="TEU2" s="95" t="n"/>
      <c r="TEV2" s="95" t="n"/>
      <c r="TEW2" s="95" t="n"/>
      <c r="TEX2" s="95" t="n"/>
      <c r="TEY2" s="95" t="n"/>
      <c r="TEZ2" s="95" t="n"/>
      <c r="TFA2" s="95" t="n"/>
      <c r="TFB2" s="95" t="n"/>
      <c r="TFC2" s="95" t="n"/>
      <c r="TFD2" s="95" t="n"/>
      <c r="TFE2" s="95" t="n"/>
      <c r="TFF2" s="95" t="n"/>
      <c r="TFG2" s="95" t="n"/>
      <c r="TFH2" s="95" t="n"/>
      <c r="TFI2" s="95" t="n"/>
      <c r="TFJ2" s="95" t="n"/>
      <c r="TFK2" s="95" t="n"/>
      <c r="TFL2" s="95" t="n"/>
      <c r="TFM2" s="95" t="n"/>
      <c r="TFN2" s="95" t="n"/>
      <c r="TFO2" s="95" t="n"/>
      <c r="TFP2" s="95" t="n"/>
      <c r="TFQ2" s="95" t="n"/>
      <c r="TFR2" s="95" t="n"/>
      <c r="TFS2" s="95" t="n"/>
      <c r="TFT2" s="95" t="n"/>
      <c r="TFU2" s="95" t="n"/>
      <c r="TFV2" s="95" t="n"/>
      <c r="TFW2" s="95" t="n"/>
      <c r="TFX2" s="95" t="n"/>
      <c r="TFY2" s="95" t="n"/>
      <c r="TFZ2" s="95" t="n"/>
      <c r="TGA2" s="95" t="n"/>
      <c r="TGB2" s="95" t="n"/>
      <c r="TGC2" s="95" t="n"/>
      <c r="TGD2" s="95" t="n"/>
      <c r="TGE2" s="95" t="n"/>
      <c r="TGF2" s="95" t="n"/>
      <c r="TGG2" s="95" t="n"/>
      <c r="TGH2" s="95" t="n"/>
      <c r="TGI2" s="95" t="n"/>
      <c r="TGJ2" s="95" t="n"/>
      <c r="TGK2" s="95" t="n"/>
      <c r="TGL2" s="95" t="n"/>
      <c r="TGM2" s="95" t="n"/>
      <c r="TGN2" s="95" t="n"/>
      <c r="TGO2" s="95" t="n"/>
      <c r="TGP2" s="95" t="n"/>
      <c r="TGQ2" s="95" t="n"/>
      <c r="TGR2" s="95" t="n"/>
      <c r="TGS2" s="95" t="n"/>
      <c r="TGT2" s="95" t="n"/>
      <c r="TGU2" s="95" t="n"/>
      <c r="TGV2" s="95" t="n"/>
      <c r="TGW2" s="95" t="n"/>
      <c r="TGX2" s="95" t="n"/>
      <c r="TGY2" s="95" t="n"/>
      <c r="TGZ2" s="95" t="n"/>
      <c r="THA2" s="95" t="n"/>
      <c r="THB2" s="95" t="n"/>
      <c r="THC2" s="95" t="n"/>
      <c r="THD2" s="95" t="n"/>
      <c r="THE2" s="95" t="n"/>
      <c r="THF2" s="95" t="n"/>
      <c r="THG2" s="95" t="n"/>
      <c r="THH2" s="95" t="n"/>
      <c r="THI2" s="95" t="n"/>
      <c r="THJ2" s="95" t="n"/>
      <c r="THK2" s="95" t="n"/>
      <c r="THL2" s="95" t="n"/>
      <c r="THM2" s="95" t="n"/>
      <c r="THN2" s="95" t="n"/>
      <c r="THO2" s="95" t="n"/>
      <c r="THP2" s="95" t="n"/>
      <c r="THQ2" s="95" t="n"/>
      <c r="THR2" s="95" t="n"/>
      <c r="THS2" s="95" t="n"/>
      <c r="THT2" s="95" t="n"/>
      <c r="THU2" s="95" t="n"/>
      <c r="THV2" s="95" t="n"/>
      <c r="THW2" s="95" t="n"/>
      <c r="THX2" s="95" t="n"/>
      <c r="THY2" s="95" t="n"/>
      <c r="THZ2" s="95" t="n"/>
      <c r="TIA2" s="95" t="n"/>
      <c r="TIB2" s="95" t="n"/>
      <c r="TIC2" s="95" t="n"/>
      <c r="TID2" s="95" t="n"/>
      <c r="TIE2" s="95" t="n"/>
      <c r="TIF2" s="95" t="n"/>
      <c r="TIG2" s="95" t="n"/>
      <c r="TIH2" s="95" t="n"/>
      <c r="TII2" s="95" t="n"/>
      <c r="TIJ2" s="95" t="n"/>
      <c r="TIK2" s="95" t="n"/>
      <c r="TIL2" s="95" t="n"/>
      <c r="TIM2" s="95" t="n"/>
      <c r="TIN2" s="95" t="n"/>
      <c r="TIO2" s="95" t="n"/>
      <c r="TIP2" s="95" t="n"/>
      <c r="TIQ2" s="95" t="n"/>
      <c r="TIR2" s="95" t="n"/>
      <c r="TIS2" s="95" t="n"/>
      <c r="TIT2" s="95" t="n"/>
      <c r="TIU2" s="95" t="n"/>
      <c r="TIV2" s="95" t="n"/>
      <c r="TIW2" s="95" t="n"/>
      <c r="TIX2" s="95" t="n"/>
      <c r="TIY2" s="95" t="n"/>
      <c r="TIZ2" s="95" t="n"/>
      <c r="TJA2" s="95" t="n"/>
      <c r="TJB2" s="95" t="n"/>
      <c r="TJC2" s="95" t="n"/>
      <c r="TJD2" s="95" t="n"/>
      <c r="TJE2" s="95" t="n"/>
      <c r="TJF2" s="95" t="n"/>
      <c r="TJG2" s="95" t="n"/>
      <c r="TJH2" s="95" t="n"/>
      <c r="TJI2" s="95" t="n"/>
      <c r="TJJ2" s="95" t="n"/>
      <c r="TJK2" s="95" t="n"/>
      <c r="TJL2" s="95" t="n"/>
      <c r="TJM2" s="95" t="n"/>
      <c r="TJN2" s="95" t="n"/>
      <c r="TJO2" s="95" t="n"/>
      <c r="TJP2" s="95" t="n"/>
      <c r="TJQ2" s="95" t="n"/>
      <c r="TJR2" s="95" t="n"/>
      <c r="TJS2" s="95" t="n"/>
      <c r="TJT2" s="95" t="n"/>
      <c r="TJU2" s="95" t="n"/>
      <c r="TJV2" s="95" t="n"/>
      <c r="TJW2" s="95" t="n"/>
      <c r="TJX2" s="95" t="n"/>
      <c r="TJY2" s="95" t="n"/>
      <c r="TJZ2" s="95" t="n"/>
      <c r="TKA2" s="95" t="n"/>
      <c r="TKB2" s="95" t="n"/>
      <c r="TKC2" s="95" t="n"/>
      <c r="TKD2" s="95" t="n"/>
      <c r="TKE2" s="95" t="n"/>
      <c r="TKF2" s="95" t="n"/>
      <c r="TKG2" s="95" t="n"/>
      <c r="TKH2" s="95" t="n"/>
      <c r="TKI2" s="95" t="n"/>
      <c r="TKJ2" s="95" t="n"/>
      <c r="TKK2" s="95" t="n"/>
      <c r="TKL2" s="95" t="n"/>
      <c r="TKM2" s="95" t="n"/>
      <c r="TKN2" s="95" t="n"/>
      <c r="TKO2" s="95" t="n"/>
      <c r="TKP2" s="95" t="n"/>
      <c r="TKQ2" s="95" t="n"/>
      <c r="TKR2" s="95" t="n"/>
      <c r="TKS2" s="95" t="n"/>
      <c r="TKT2" s="95" t="n"/>
      <c r="TKU2" s="95" t="n"/>
      <c r="TKV2" s="95" t="n"/>
      <c r="TKW2" s="95" t="n"/>
      <c r="TKX2" s="95" t="n"/>
      <c r="TKY2" s="95" t="n"/>
      <c r="TKZ2" s="95" t="n"/>
      <c r="TLA2" s="95" t="n"/>
      <c r="TLB2" s="95" t="n"/>
      <c r="TLC2" s="95" t="n"/>
      <c r="TLD2" s="95" t="n"/>
      <c r="TLE2" s="95" t="n"/>
      <c r="TLF2" s="95" t="n"/>
      <c r="TLG2" s="95" t="n"/>
      <c r="TLH2" s="95" t="n"/>
      <c r="TLI2" s="95" t="n"/>
      <c r="TLJ2" s="95" t="n"/>
      <c r="TLK2" s="95" t="n"/>
      <c r="TLL2" s="95" t="n"/>
      <c r="TLM2" s="95" t="n"/>
      <c r="TLN2" s="95" t="n"/>
      <c r="TLO2" s="95" t="n"/>
      <c r="TLP2" s="95" t="n"/>
      <c r="TLQ2" s="95" t="n"/>
      <c r="TLR2" s="95" t="n"/>
      <c r="TLS2" s="95" t="n"/>
      <c r="TLT2" s="95" t="n"/>
      <c r="TLU2" s="95" t="n"/>
      <c r="TLV2" s="95" t="n"/>
      <c r="TLW2" s="95" t="n"/>
      <c r="TLX2" s="95" t="n"/>
      <c r="TLY2" s="95" t="n"/>
      <c r="TLZ2" s="95" t="n"/>
      <c r="TMA2" s="95" t="n"/>
      <c r="TMB2" s="95" t="n"/>
      <c r="TMC2" s="95" t="n"/>
      <c r="TMD2" s="95" t="n"/>
      <c r="TME2" s="95" t="n"/>
      <c r="TMF2" s="95" t="n"/>
      <c r="TMG2" s="95" t="n"/>
      <c r="TMH2" s="95" t="n"/>
      <c r="TMI2" s="95" t="n"/>
      <c r="TMJ2" s="95" t="n"/>
      <c r="TMK2" s="95" t="n"/>
      <c r="TML2" s="95" t="n"/>
      <c r="TMM2" s="95" t="n"/>
      <c r="TMN2" s="95" t="n"/>
      <c r="TMO2" s="95" t="n"/>
      <c r="TMP2" s="95" t="n"/>
      <c r="TMQ2" s="95" t="n"/>
      <c r="TMR2" s="95" t="n"/>
      <c r="TMS2" s="95" t="n"/>
      <c r="TMT2" s="95" t="n"/>
      <c r="TMU2" s="95" t="n"/>
      <c r="TMV2" s="95" t="n"/>
      <c r="TMW2" s="95" t="n"/>
      <c r="TMX2" s="95" t="n"/>
      <c r="TMY2" s="95" t="n"/>
      <c r="TMZ2" s="95" t="n"/>
      <c r="TNA2" s="95" t="n"/>
      <c r="TNB2" s="95" t="n"/>
      <c r="TNC2" s="95" t="n"/>
      <c r="TND2" s="95" t="n"/>
      <c r="TNE2" s="95" t="n"/>
      <c r="TNF2" s="95" t="n"/>
      <c r="TNG2" s="95" t="n"/>
      <c r="TNH2" s="95" t="n"/>
      <c r="TNI2" s="95" t="n"/>
      <c r="TNJ2" s="95" t="n"/>
      <c r="TNK2" s="95" t="n"/>
      <c r="TNL2" s="95" t="n"/>
      <c r="TNM2" s="95" t="n"/>
      <c r="TNN2" s="95" t="n"/>
      <c r="TNO2" s="95" t="n"/>
      <c r="TNP2" s="95" t="n"/>
      <c r="TNQ2" s="95" t="n"/>
      <c r="TNR2" s="95" t="n"/>
      <c r="TNS2" s="95" t="n"/>
      <c r="TNT2" s="95" t="n"/>
      <c r="TNU2" s="95" t="n"/>
      <c r="TNV2" s="95" t="n"/>
      <c r="TNW2" s="95" t="n"/>
      <c r="TNX2" s="95" t="n"/>
      <c r="TNY2" s="95" t="n"/>
      <c r="TNZ2" s="95" t="n"/>
      <c r="TOA2" s="95" t="n"/>
      <c r="TOB2" s="95" t="n"/>
      <c r="TOC2" s="95" t="n"/>
      <c r="TOD2" s="95" t="n"/>
      <c r="TOE2" s="95" t="n"/>
      <c r="TOF2" s="95" t="n"/>
      <c r="TOG2" s="95" t="n"/>
      <c r="TOH2" s="95" t="n"/>
      <c r="TOI2" s="95" t="n"/>
      <c r="TOJ2" s="95" t="n"/>
      <c r="TOK2" s="95" t="n"/>
      <c r="TOL2" s="95" t="n"/>
      <c r="TOM2" s="95" t="n"/>
      <c r="TON2" s="95" t="n"/>
      <c r="TOO2" s="95" t="n"/>
      <c r="TOP2" s="95" t="n"/>
      <c r="TOQ2" s="95" t="n"/>
      <c r="TOR2" s="95" t="n"/>
      <c r="TOS2" s="95" t="n"/>
      <c r="TOT2" s="95" t="n"/>
      <c r="TOU2" s="95" t="n"/>
      <c r="TOV2" s="95" t="n"/>
      <c r="TOW2" s="95" t="n"/>
      <c r="TOX2" s="95" t="n"/>
      <c r="TOY2" s="95" t="n"/>
      <c r="TOZ2" s="95" t="n"/>
      <c r="TPA2" s="95" t="n"/>
      <c r="TPB2" s="95" t="n"/>
      <c r="TPC2" s="95" t="n"/>
      <c r="TPD2" s="95" t="n"/>
      <c r="TPE2" s="95" t="n"/>
      <c r="TPF2" s="95" t="n"/>
      <c r="TPG2" s="95" t="n"/>
      <c r="TPH2" s="95" t="n"/>
      <c r="TPI2" s="95" t="n"/>
      <c r="TPJ2" s="95" t="n"/>
      <c r="TPK2" s="95" t="n"/>
      <c r="TPL2" s="95" t="n"/>
      <c r="TPM2" s="95" t="n"/>
      <c r="TPN2" s="95" t="n"/>
      <c r="TPO2" s="95" t="n"/>
      <c r="TPP2" s="95" t="n"/>
      <c r="TPQ2" s="95" t="n"/>
      <c r="TPR2" s="95" t="n"/>
      <c r="TPS2" s="95" t="n"/>
      <c r="TPT2" s="95" t="n"/>
      <c r="TPU2" s="95" t="n"/>
      <c r="TPV2" s="95" t="n"/>
      <c r="TPW2" s="95" t="n"/>
      <c r="TPX2" s="95" t="n"/>
      <c r="TPY2" s="95" t="n"/>
      <c r="TPZ2" s="95" t="n"/>
      <c r="TQA2" s="95" t="n"/>
      <c r="TQB2" s="95" t="n"/>
      <c r="TQC2" s="95" t="n"/>
      <c r="TQD2" s="95" t="n"/>
      <c r="TQE2" s="95" t="n"/>
      <c r="TQF2" s="95" t="n"/>
      <c r="TQG2" s="95" t="n"/>
      <c r="TQH2" s="95" t="n"/>
      <c r="TQI2" s="95" t="n"/>
      <c r="TQJ2" s="95" t="n"/>
      <c r="TQK2" s="95" t="n"/>
      <c r="TQL2" s="95" t="n"/>
      <c r="TQM2" s="95" t="n"/>
      <c r="TQN2" s="95" t="n"/>
      <c r="TQO2" s="95" t="n"/>
      <c r="TQP2" s="95" t="n"/>
      <c r="TQQ2" s="95" t="n"/>
      <c r="TQR2" s="95" t="n"/>
      <c r="TQS2" s="95" t="n"/>
      <c r="TQT2" s="95" t="n"/>
      <c r="TQU2" s="95" t="n"/>
      <c r="TQV2" s="95" t="n"/>
      <c r="TQW2" s="95" t="n"/>
      <c r="TQX2" s="95" t="n"/>
      <c r="TQY2" s="95" t="n"/>
      <c r="TQZ2" s="95" t="n"/>
      <c r="TRA2" s="95" t="n"/>
      <c r="TRB2" s="95" t="n"/>
      <c r="TRC2" s="95" t="n"/>
      <c r="TRD2" s="95" t="n"/>
      <c r="TRE2" s="95" t="n"/>
      <c r="TRF2" s="95" t="n"/>
      <c r="TRG2" s="95" t="n"/>
      <c r="TRH2" s="95" t="n"/>
      <c r="TRI2" s="95" t="n"/>
      <c r="TRJ2" s="95" t="n"/>
      <c r="TRK2" s="95" t="n"/>
      <c r="TRL2" s="95" t="n"/>
      <c r="TRM2" s="95" t="n"/>
      <c r="TRN2" s="95" t="n"/>
      <c r="TRO2" s="95" t="n"/>
      <c r="TRP2" s="95" t="n"/>
      <c r="TRQ2" s="95" t="n"/>
      <c r="TRR2" s="95" t="n"/>
      <c r="TRS2" s="95" t="n"/>
      <c r="TRT2" s="95" t="n"/>
      <c r="TRU2" s="95" t="n"/>
      <c r="TRV2" s="95" t="n"/>
      <c r="TRW2" s="95" t="n"/>
      <c r="TRX2" s="95" t="n"/>
      <c r="TRY2" s="95" t="n"/>
      <c r="TRZ2" s="95" t="n"/>
      <c r="TSA2" s="95" t="n"/>
      <c r="TSB2" s="95" t="n"/>
      <c r="TSC2" s="95" t="n"/>
      <c r="TSD2" s="95" t="n"/>
      <c r="TSE2" s="95" t="n"/>
      <c r="TSF2" s="95" t="n"/>
      <c r="TSG2" s="95" t="n"/>
      <c r="TSH2" s="95" t="n"/>
      <c r="TSI2" s="95" t="n"/>
      <c r="TSJ2" s="95" t="n"/>
      <c r="TSK2" s="95" t="n"/>
      <c r="TSL2" s="95" t="n"/>
      <c r="TSM2" s="95" t="n"/>
      <c r="TSN2" s="95" t="n"/>
      <c r="TSO2" s="95" t="n"/>
      <c r="TSP2" s="95" t="n"/>
      <c r="TSQ2" s="95" t="n"/>
      <c r="TSR2" s="95" t="n"/>
      <c r="TSS2" s="95" t="n"/>
      <c r="TST2" s="95" t="n"/>
      <c r="TSU2" s="95" t="n"/>
      <c r="TSV2" s="95" t="n"/>
      <c r="TSW2" s="95" t="n"/>
      <c r="TSX2" s="95" t="n"/>
      <c r="TSY2" s="95" t="n"/>
      <c r="TSZ2" s="95" t="n"/>
      <c r="TTA2" s="95" t="n"/>
      <c r="TTB2" s="95" t="n"/>
      <c r="TTC2" s="95" t="n"/>
      <c r="TTD2" s="95" t="n"/>
      <c r="TTE2" s="95" t="n"/>
      <c r="TTF2" s="95" t="n"/>
      <c r="TTG2" s="95" t="n"/>
      <c r="TTH2" s="95" t="n"/>
      <c r="TTI2" s="95" t="n"/>
      <c r="TTJ2" s="95" t="n"/>
      <c r="TTK2" s="95" t="n"/>
      <c r="TTL2" s="95" t="n"/>
      <c r="TTM2" s="95" t="n"/>
      <c r="TTN2" s="95" t="n"/>
      <c r="TTO2" s="95" t="n"/>
      <c r="TTP2" s="95" t="n"/>
      <c r="TTQ2" s="95" t="n"/>
      <c r="TTR2" s="95" t="n"/>
      <c r="TTS2" s="95" t="n"/>
      <c r="TTT2" s="95" t="n"/>
      <c r="TTU2" s="95" t="n"/>
      <c r="TTV2" s="95" t="n"/>
      <c r="TTW2" s="95" t="n"/>
      <c r="TTX2" s="95" t="n"/>
      <c r="TTY2" s="95" t="n"/>
      <c r="TTZ2" s="95" t="n"/>
      <c r="TUA2" s="95" t="n"/>
      <c r="TUB2" s="95" t="n"/>
      <c r="TUC2" s="95" t="n"/>
      <c r="TUD2" s="95" t="n"/>
      <c r="TUE2" s="95" t="n"/>
      <c r="TUF2" s="95" t="n"/>
      <c r="TUG2" s="95" t="n"/>
      <c r="TUH2" s="95" t="n"/>
      <c r="TUI2" s="95" t="n"/>
      <c r="TUJ2" s="95" t="n"/>
      <c r="TUK2" s="95" t="n"/>
      <c r="TUL2" s="95" t="n"/>
      <c r="TUM2" s="95" t="n"/>
      <c r="TUN2" s="95" t="n"/>
      <c r="TUO2" s="95" t="n"/>
      <c r="TUP2" s="95" t="n"/>
      <c r="TUQ2" s="95" t="n"/>
      <c r="TUR2" s="95" t="n"/>
      <c r="TUS2" s="95" t="n"/>
      <c r="TUT2" s="95" t="n"/>
      <c r="TUU2" s="95" t="n"/>
      <c r="TUV2" s="95" t="n"/>
      <c r="TUW2" s="95" t="n"/>
      <c r="TUX2" s="95" t="n"/>
      <c r="TUY2" s="95" t="n"/>
      <c r="TUZ2" s="95" t="n"/>
      <c r="TVA2" s="95" t="n"/>
      <c r="TVB2" s="95" t="n"/>
      <c r="TVC2" s="95" t="n"/>
      <c r="TVD2" s="95" t="n"/>
      <c r="TVE2" s="95" t="n"/>
      <c r="TVF2" s="95" t="n"/>
      <c r="TVG2" s="95" t="n"/>
      <c r="TVH2" s="95" t="n"/>
      <c r="TVI2" s="95" t="n"/>
      <c r="TVJ2" s="95" t="n"/>
      <c r="TVK2" s="95" t="n"/>
      <c r="TVL2" s="95" t="n"/>
      <c r="TVM2" s="95" t="n"/>
      <c r="TVN2" s="95" t="n"/>
      <c r="TVO2" s="95" t="n"/>
      <c r="TVP2" s="95" t="n"/>
      <c r="TVQ2" s="95" t="n"/>
      <c r="TVR2" s="95" t="n"/>
      <c r="TVS2" s="95" t="n"/>
      <c r="TVT2" s="95" t="n"/>
      <c r="TVU2" s="95" t="n"/>
      <c r="TVV2" s="95" t="n"/>
      <c r="TVW2" s="95" t="n"/>
      <c r="TVX2" s="95" t="n"/>
      <c r="TVY2" s="95" t="n"/>
      <c r="TVZ2" s="95" t="n"/>
      <c r="TWA2" s="95" t="n"/>
      <c r="TWB2" s="95" t="n"/>
      <c r="TWC2" s="95" t="n"/>
      <c r="TWD2" s="95" t="n"/>
      <c r="TWE2" s="95" t="n"/>
      <c r="TWF2" s="95" t="n"/>
      <c r="TWG2" s="95" t="n"/>
      <c r="TWH2" s="95" t="n"/>
      <c r="TWI2" s="95" t="n"/>
      <c r="TWJ2" s="95" t="n"/>
      <c r="TWK2" s="95" t="n"/>
      <c r="TWL2" s="95" t="n"/>
      <c r="TWM2" s="95" t="n"/>
      <c r="TWN2" s="95" t="n"/>
      <c r="TWO2" s="95" t="n"/>
      <c r="TWP2" s="95" t="n"/>
      <c r="TWQ2" s="95" t="n"/>
      <c r="TWR2" s="95" t="n"/>
      <c r="TWS2" s="95" t="n"/>
      <c r="TWT2" s="95" t="n"/>
      <c r="TWU2" s="95" t="n"/>
      <c r="TWV2" s="95" t="n"/>
      <c r="TWW2" s="95" t="n"/>
      <c r="TWX2" s="95" t="n"/>
      <c r="TWY2" s="95" t="n"/>
      <c r="TWZ2" s="95" t="n"/>
      <c r="TXA2" s="95" t="n"/>
      <c r="TXB2" s="95" t="n"/>
      <c r="TXC2" s="95" t="n"/>
      <c r="TXD2" s="95" t="n"/>
      <c r="TXE2" s="95" t="n"/>
      <c r="TXF2" s="95" t="n"/>
      <c r="TXG2" s="95" t="n"/>
      <c r="TXH2" s="95" t="n"/>
      <c r="TXI2" s="95" t="n"/>
      <c r="TXJ2" s="95" t="n"/>
      <c r="TXK2" s="95" t="n"/>
      <c r="TXL2" s="95" t="n"/>
      <c r="TXM2" s="95" t="n"/>
      <c r="TXN2" s="95" t="n"/>
      <c r="TXO2" s="95" t="n"/>
      <c r="TXP2" s="95" t="n"/>
      <c r="TXQ2" s="95" t="n"/>
      <c r="TXR2" s="95" t="n"/>
      <c r="TXS2" s="95" t="n"/>
      <c r="TXT2" s="95" t="n"/>
      <c r="TXU2" s="95" t="n"/>
      <c r="TXV2" s="95" t="n"/>
      <c r="TXW2" s="95" t="n"/>
      <c r="TXX2" s="95" t="n"/>
      <c r="TXY2" s="95" t="n"/>
      <c r="TXZ2" s="95" t="n"/>
      <c r="TYA2" s="95" t="n"/>
      <c r="TYB2" s="95" t="n"/>
      <c r="TYC2" s="95" t="n"/>
      <c r="TYD2" s="95" t="n"/>
      <c r="TYE2" s="95" t="n"/>
      <c r="TYF2" s="95" t="n"/>
      <c r="TYG2" s="95" t="n"/>
      <c r="TYH2" s="95" t="n"/>
      <c r="TYI2" s="95" t="n"/>
      <c r="TYJ2" s="95" t="n"/>
      <c r="TYK2" s="95" t="n"/>
      <c r="TYL2" s="95" t="n"/>
      <c r="TYM2" s="95" t="n"/>
      <c r="TYN2" s="95" t="n"/>
      <c r="TYO2" s="95" t="n"/>
      <c r="TYP2" s="95" t="n"/>
      <c r="TYQ2" s="95" t="n"/>
      <c r="TYR2" s="95" t="n"/>
      <c r="TYS2" s="95" t="n"/>
      <c r="TYT2" s="95" t="n"/>
      <c r="TYU2" s="95" t="n"/>
      <c r="TYV2" s="95" t="n"/>
      <c r="TYW2" s="95" t="n"/>
      <c r="TYX2" s="95" t="n"/>
      <c r="TYY2" s="95" t="n"/>
      <c r="TYZ2" s="95" t="n"/>
      <c r="TZA2" s="95" t="n"/>
      <c r="TZB2" s="95" t="n"/>
      <c r="TZC2" s="95" t="n"/>
      <c r="TZD2" s="95" t="n"/>
      <c r="TZE2" s="95" t="n"/>
      <c r="TZF2" s="95" t="n"/>
      <c r="TZG2" s="95" t="n"/>
      <c r="TZH2" s="95" t="n"/>
      <c r="TZI2" s="95" t="n"/>
      <c r="TZJ2" s="95" t="n"/>
      <c r="TZK2" s="95" t="n"/>
      <c r="TZL2" s="95" t="n"/>
      <c r="TZM2" s="95" t="n"/>
      <c r="TZN2" s="95" t="n"/>
      <c r="TZO2" s="95" t="n"/>
      <c r="TZP2" s="95" t="n"/>
      <c r="TZQ2" s="95" t="n"/>
      <c r="TZR2" s="95" t="n"/>
      <c r="TZS2" s="95" t="n"/>
      <c r="TZT2" s="95" t="n"/>
      <c r="TZU2" s="95" t="n"/>
      <c r="TZV2" s="95" t="n"/>
      <c r="TZW2" s="95" t="n"/>
      <c r="TZX2" s="95" t="n"/>
      <c r="TZY2" s="95" t="n"/>
      <c r="TZZ2" s="95" t="n"/>
      <c r="UAA2" s="95" t="n"/>
      <c r="UAB2" s="95" t="n"/>
      <c r="UAC2" s="95" t="n"/>
      <c r="UAD2" s="95" t="n"/>
      <c r="UAE2" s="95" t="n"/>
      <c r="UAF2" s="95" t="n"/>
      <c r="UAG2" s="95" t="n"/>
      <c r="UAH2" s="95" t="n"/>
      <c r="UAI2" s="95" t="n"/>
      <c r="UAJ2" s="95" t="n"/>
      <c r="UAK2" s="95" t="n"/>
      <c r="UAL2" s="95" t="n"/>
      <c r="UAM2" s="95" t="n"/>
      <c r="UAN2" s="95" t="n"/>
      <c r="UAO2" s="95" t="n"/>
      <c r="UAP2" s="95" t="n"/>
      <c r="UAQ2" s="95" t="n"/>
      <c r="UAR2" s="95" t="n"/>
      <c r="UAS2" s="95" t="n"/>
      <c r="UAT2" s="95" t="n"/>
      <c r="UAU2" s="95" t="n"/>
      <c r="UAV2" s="95" t="n"/>
      <c r="UAW2" s="95" t="n"/>
      <c r="UAX2" s="95" t="n"/>
      <c r="UAY2" s="95" t="n"/>
      <c r="UAZ2" s="95" t="n"/>
      <c r="UBA2" s="95" t="n"/>
      <c r="UBB2" s="95" t="n"/>
      <c r="UBC2" s="95" t="n"/>
      <c r="UBD2" s="95" t="n"/>
      <c r="UBE2" s="95" t="n"/>
      <c r="UBF2" s="95" t="n"/>
      <c r="UBG2" s="95" t="n"/>
      <c r="UBH2" s="95" t="n"/>
      <c r="UBI2" s="95" t="n"/>
      <c r="UBJ2" s="95" t="n"/>
      <c r="UBK2" s="95" t="n"/>
      <c r="UBL2" s="95" t="n"/>
      <c r="UBM2" s="95" t="n"/>
      <c r="UBN2" s="95" t="n"/>
      <c r="UBO2" s="95" t="n"/>
      <c r="UBP2" s="95" t="n"/>
      <c r="UBQ2" s="95" t="n"/>
      <c r="UBR2" s="95" t="n"/>
      <c r="UBS2" s="95" t="n"/>
      <c r="UBT2" s="95" t="n"/>
      <c r="UBU2" s="95" t="n"/>
      <c r="UBV2" s="95" t="n"/>
      <c r="UBW2" s="95" t="n"/>
      <c r="UBX2" s="95" t="n"/>
      <c r="UBY2" s="95" t="n"/>
      <c r="UBZ2" s="95" t="n"/>
      <c r="UCA2" s="95" t="n"/>
      <c r="UCB2" s="95" t="n"/>
      <c r="UCC2" s="95" t="n"/>
      <c r="UCD2" s="95" t="n"/>
      <c r="UCE2" s="95" t="n"/>
      <c r="UCF2" s="95" t="n"/>
      <c r="UCG2" s="95" t="n"/>
      <c r="UCH2" s="95" t="n"/>
      <c r="UCI2" s="95" t="n"/>
      <c r="UCJ2" s="95" t="n"/>
      <c r="UCK2" s="95" t="n"/>
      <c r="UCL2" s="95" t="n"/>
      <c r="UCM2" s="95" t="n"/>
      <c r="UCN2" s="95" t="n"/>
      <c r="UCO2" s="95" t="n"/>
      <c r="UCP2" s="95" t="n"/>
      <c r="UCQ2" s="95" t="n"/>
      <c r="UCR2" s="95" t="n"/>
      <c r="UCS2" s="95" t="n"/>
      <c r="UCT2" s="95" t="n"/>
      <c r="UCU2" s="95" t="n"/>
      <c r="UCV2" s="95" t="n"/>
      <c r="UCW2" s="95" t="n"/>
      <c r="UCX2" s="95" t="n"/>
      <c r="UCY2" s="95" t="n"/>
      <c r="UCZ2" s="95" t="n"/>
      <c r="UDA2" s="95" t="n"/>
      <c r="UDB2" s="95" t="n"/>
      <c r="UDC2" s="95" t="n"/>
      <c r="UDD2" s="95" t="n"/>
      <c r="UDE2" s="95" t="n"/>
      <c r="UDF2" s="95" t="n"/>
      <c r="UDG2" s="95" t="n"/>
      <c r="UDH2" s="95" t="n"/>
      <c r="UDI2" s="95" t="n"/>
      <c r="UDJ2" s="95" t="n"/>
      <c r="UDK2" s="95" t="n"/>
      <c r="UDL2" s="95" t="n"/>
      <c r="UDM2" s="95" t="n"/>
      <c r="UDN2" s="95" t="n"/>
      <c r="UDO2" s="95" t="n"/>
      <c r="UDP2" s="95" t="n"/>
      <c r="UDQ2" s="95" t="n"/>
      <c r="UDR2" s="95" t="n"/>
      <c r="UDS2" s="95" t="n"/>
      <c r="UDT2" s="95" t="n"/>
      <c r="UDU2" s="95" t="n"/>
      <c r="UDV2" s="95" t="n"/>
      <c r="UDW2" s="95" t="n"/>
      <c r="UDX2" s="95" t="n"/>
      <c r="UDY2" s="95" t="n"/>
      <c r="UDZ2" s="95" t="n"/>
      <c r="UEA2" s="95" t="n"/>
      <c r="UEB2" s="95" t="n"/>
      <c r="UEC2" s="95" t="n"/>
      <c r="UED2" s="95" t="n"/>
      <c r="UEE2" s="95" t="n"/>
      <c r="UEF2" s="95" t="n"/>
      <c r="UEG2" s="95" t="n"/>
      <c r="UEH2" s="95" t="n"/>
      <c r="UEI2" s="95" t="n"/>
      <c r="UEJ2" s="95" t="n"/>
      <c r="UEK2" s="95" t="n"/>
      <c r="UEL2" s="95" t="n"/>
      <c r="UEM2" s="95" t="n"/>
      <c r="UEN2" s="95" t="n"/>
      <c r="UEO2" s="95" t="n"/>
      <c r="UEP2" s="95" t="n"/>
      <c r="UEQ2" s="95" t="n"/>
      <c r="UER2" s="95" t="n"/>
      <c r="UES2" s="95" t="n"/>
      <c r="UET2" s="95" t="n"/>
      <c r="UEU2" s="95" t="n"/>
      <c r="UEV2" s="95" t="n"/>
      <c r="UEW2" s="95" t="n"/>
      <c r="UEX2" s="95" t="n"/>
      <c r="UEY2" s="95" t="n"/>
      <c r="UEZ2" s="95" t="n"/>
      <c r="UFA2" s="95" t="n"/>
      <c r="UFB2" s="95" t="n"/>
      <c r="UFC2" s="95" t="n"/>
      <c r="UFD2" s="95" t="n"/>
      <c r="UFE2" s="95" t="n"/>
      <c r="UFF2" s="95" t="n"/>
      <c r="UFG2" s="95" t="n"/>
      <c r="UFH2" s="95" t="n"/>
      <c r="UFI2" s="95" t="n"/>
      <c r="UFJ2" s="95" t="n"/>
      <c r="UFK2" s="95" t="n"/>
      <c r="UFL2" s="95" t="n"/>
      <c r="UFM2" s="95" t="n"/>
      <c r="UFN2" s="95" t="n"/>
      <c r="UFO2" s="95" t="n"/>
      <c r="UFP2" s="95" t="n"/>
      <c r="UFQ2" s="95" t="n"/>
      <c r="UFR2" s="95" t="n"/>
      <c r="UFS2" s="95" t="n"/>
      <c r="UFT2" s="95" t="n"/>
      <c r="UFU2" s="95" t="n"/>
      <c r="UFV2" s="95" t="n"/>
      <c r="UFW2" s="95" t="n"/>
      <c r="UFX2" s="95" t="n"/>
      <c r="UFY2" s="95" t="n"/>
      <c r="UFZ2" s="95" t="n"/>
      <c r="UGA2" s="95" t="n"/>
      <c r="UGB2" s="95" t="n"/>
      <c r="UGC2" s="95" t="n"/>
      <c r="UGD2" s="95" t="n"/>
      <c r="UGE2" s="95" t="n"/>
      <c r="UGF2" s="95" t="n"/>
      <c r="UGG2" s="95" t="n"/>
      <c r="UGH2" s="95" t="n"/>
      <c r="UGI2" s="95" t="n"/>
      <c r="UGJ2" s="95" t="n"/>
      <c r="UGK2" s="95" t="n"/>
      <c r="UGL2" s="95" t="n"/>
      <c r="UGM2" s="95" t="n"/>
      <c r="UGN2" s="95" t="n"/>
      <c r="UGO2" s="95" t="n"/>
      <c r="UGP2" s="95" t="n"/>
      <c r="UGQ2" s="95" t="n"/>
      <c r="UGR2" s="95" t="n"/>
      <c r="UGS2" s="95" t="n"/>
      <c r="UGT2" s="95" t="n"/>
      <c r="UGU2" s="95" t="n"/>
      <c r="UGV2" s="95" t="n"/>
      <c r="UGW2" s="95" t="n"/>
      <c r="UGX2" s="95" t="n"/>
      <c r="UGY2" s="95" t="n"/>
      <c r="UGZ2" s="95" t="n"/>
      <c r="UHA2" s="95" t="n"/>
      <c r="UHB2" s="95" t="n"/>
      <c r="UHC2" s="95" t="n"/>
      <c r="UHD2" s="95" t="n"/>
      <c r="UHE2" s="95" t="n"/>
      <c r="UHF2" s="95" t="n"/>
      <c r="UHG2" s="95" t="n"/>
      <c r="UHH2" s="95" t="n"/>
      <c r="UHI2" s="95" t="n"/>
      <c r="UHJ2" s="95" t="n"/>
      <c r="UHK2" s="95" t="n"/>
      <c r="UHL2" s="95" t="n"/>
      <c r="UHM2" s="95" t="n"/>
      <c r="UHN2" s="95" t="n"/>
      <c r="UHO2" s="95" t="n"/>
      <c r="UHP2" s="95" t="n"/>
      <c r="UHQ2" s="95" t="n"/>
      <c r="UHR2" s="95" t="n"/>
      <c r="UHS2" s="95" t="n"/>
      <c r="UHT2" s="95" t="n"/>
      <c r="UHU2" s="95" t="n"/>
      <c r="UHV2" s="95" t="n"/>
      <c r="UHW2" s="95" t="n"/>
      <c r="UHX2" s="95" t="n"/>
      <c r="UHY2" s="95" t="n"/>
      <c r="UHZ2" s="95" t="n"/>
      <c r="UIA2" s="95" t="n"/>
      <c r="UIB2" s="95" t="n"/>
      <c r="UIC2" s="95" t="n"/>
      <c r="UID2" s="95" t="n"/>
      <c r="UIE2" s="95" t="n"/>
      <c r="UIF2" s="95" t="n"/>
      <c r="UIG2" s="95" t="n"/>
      <c r="UIH2" s="95" t="n"/>
      <c r="UII2" s="95" t="n"/>
      <c r="UIJ2" s="95" t="n"/>
      <c r="UIK2" s="95" t="n"/>
      <c r="UIL2" s="95" t="n"/>
      <c r="UIM2" s="95" t="n"/>
      <c r="UIN2" s="95" t="n"/>
      <c r="UIO2" s="95" t="n"/>
      <c r="UIP2" s="95" t="n"/>
      <c r="UIQ2" s="95" t="n"/>
      <c r="UIR2" s="95" t="n"/>
      <c r="UIS2" s="95" t="n"/>
      <c r="UIT2" s="95" t="n"/>
      <c r="UIU2" s="95" t="n"/>
      <c r="UIV2" s="95" t="n"/>
      <c r="UIW2" s="95" t="n"/>
      <c r="UIX2" s="95" t="n"/>
      <c r="UIY2" s="95" t="n"/>
      <c r="UIZ2" s="95" t="n"/>
      <c r="UJA2" s="95" t="n"/>
      <c r="UJB2" s="95" t="n"/>
      <c r="UJC2" s="95" t="n"/>
      <c r="UJD2" s="95" t="n"/>
      <c r="UJE2" s="95" t="n"/>
      <c r="UJF2" s="95" t="n"/>
      <c r="UJG2" s="95" t="n"/>
      <c r="UJH2" s="95" t="n"/>
      <c r="UJI2" s="95" t="n"/>
      <c r="UJJ2" s="95" t="n"/>
      <c r="UJK2" s="95" t="n"/>
      <c r="UJL2" s="95" t="n"/>
      <c r="UJM2" s="95" t="n"/>
      <c r="UJN2" s="95" t="n"/>
      <c r="UJO2" s="95" t="n"/>
      <c r="UJP2" s="95" t="n"/>
      <c r="UJQ2" s="95" t="n"/>
      <c r="UJR2" s="95" t="n"/>
      <c r="UJS2" s="95" t="n"/>
      <c r="UJT2" s="95" t="n"/>
      <c r="UJU2" s="95" t="n"/>
      <c r="UJV2" s="95" t="n"/>
      <c r="UJW2" s="95" t="n"/>
      <c r="UJX2" s="95" t="n"/>
      <c r="UJY2" s="95" t="n"/>
      <c r="UJZ2" s="95" t="n"/>
      <c r="UKA2" s="95" t="n"/>
      <c r="UKB2" s="95" t="n"/>
      <c r="UKC2" s="95" t="n"/>
      <c r="UKD2" s="95" t="n"/>
      <c r="UKE2" s="95" t="n"/>
      <c r="UKF2" s="95" t="n"/>
      <c r="UKG2" s="95" t="n"/>
      <c r="UKH2" s="95" t="n"/>
      <c r="UKI2" s="95" t="n"/>
      <c r="UKJ2" s="95" t="n"/>
      <c r="UKK2" s="95" t="n"/>
      <c r="UKL2" s="95" t="n"/>
      <c r="UKM2" s="95" t="n"/>
      <c r="UKN2" s="95" t="n"/>
      <c r="UKO2" s="95" t="n"/>
      <c r="UKP2" s="95" t="n"/>
      <c r="UKQ2" s="95" t="n"/>
      <c r="UKR2" s="95" t="n"/>
      <c r="UKS2" s="95" t="n"/>
      <c r="UKT2" s="95" t="n"/>
      <c r="UKU2" s="95" t="n"/>
      <c r="UKV2" s="95" t="n"/>
      <c r="UKW2" s="95" t="n"/>
      <c r="UKX2" s="95" t="n"/>
      <c r="UKY2" s="95" t="n"/>
      <c r="UKZ2" s="95" t="n"/>
      <c r="ULA2" s="95" t="n"/>
      <c r="ULB2" s="95" t="n"/>
      <c r="ULC2" s="95" t="n"/>
      <c r="ULD2" s="95" t="n"/>
      <c r="ULE2" s="95" t="n"/>
      <c r="ULF2" s="95" t="n"/>
      <c r="ULG2" s="95" t="n"/>
      <c r="ULH2" s="95" t="n"/>
      <c r="ULI2" s="95" t="n"/>
      <c r="ULJ2" s="95" t="n"/>
      <c r="ULK2" s="95" t="n"/>
      <c r="ULL2" s="95" t="n"/>
      <c r="ULM2" s="95" t="n"/>
      <c r="ULN2" s="95" t="n"/>
      <c r="ULO2" s="95" t="n"/>
      <c r="ULP2" s="95" t="n"/>
      <c r="ULQ2" s="95" t="n"/>
      <c r="ULR2" s="95" t="n"/>
      <c r="ULS2" s="95" t="n"/>
      <c r="ULT2" s="95" t="n"/>
      <c r="ULU2" s="95" t="n"/>
      <c r="ULV2" s="95" t="n"/>
      <c r="ULW2" s="95" t="n"/>
      <c r="ULX2" s="95" t="n"/>
      <c r="ULY2" s="95" t="n"/>
      <c r="ULZ2" s="95" t="n"/>
      <c r="UMA2" s="95" t="n"/>
      <c r="UMB2" s="95" t="n"/>
      <c r="UMC2" s="95" t="n"/>
      <c r="UMD2" s="95" t="n"/>
      <c r="UME2" s="95" t="n"/>
      <c r="UMF2" s="95" t="n"/>
      <c r="UMG2" s="95" t="n"/>
      <c r="UMH2" s="95" t="n"/>
      <c r="UMI2" s="95" t="n"/>
      <c r="UMJ2" s="95" t="n"/>
      <c r="UMK2" s="95" t="n"/>
      <c r="UML2" s="95" t="n"/>
      <c r="UMM2" s="95" t="n"/>
      <c r="UMN2" s="95" t="n"/>
      <c r="UMO2" s="95" t="n"/>
      <c r="UMP2" s="95" t="n"/>
      <c r="UMQ2" s="95" t="n"/>
      <c r="UMR2" s="95" t="n"/>
      <c r="UMS2" s="95" t="n"/>
      <c r="UMT2" s="95" t="n"/>
      <c r="UMU2" s="95" t="n"/>
      <c r="UMV2" s="95" t="n"/>
      <c r="UMW2" s="95" t="n"/>
      <c r="UMX2" s="95" t="n"/>
      <c r="UMY2" s="95" t="n"/>
      <c r="UMZ2" s="95" t="n"/>
      <c r="UNA2" s="95" t="n"/>
      <c r="UNB2" s="95" t="n"/>
      <c r="UNC2" s="95" t="n"/>
      <c r="UND2" s="95" t="n"/>
      <c r="UNE2" s="95" t="n"/>
      <c r="UNF2" s="95" t="n"/>
      <c r="UNG2" s="95" t="n"/>
      <c r="UNH2" s="95" t="n"/>
      <c r="UNI2" s="95" t="n"/>
      <c r="UNJ2" s="95" t="n"/>
      <c r="UNK2" s="95" t="n"/>
      <c r="UNL2" s="95" t="n"/>
      <c r="UNM2" s="95" t="n"/>
      <c r="UNN2" s="95" t="n"/>
      <c r="UNO2" s="95" t="n"/>
      <c r="UNP2" s="95" t="n"/>
      <c r="UNQ2" s="95" t="n"/>
      <c r="UNR2" s="95" t="n"/>
      <c r="UNS2" s="95" t="n"/>
      <c r="UNT2" s="95" t="n"/>
      <c r="UNU2" s="95" t="n"/>
      <c r="UNV2" s="95" t="n"/>
      <c r="UNW2" s="95" t="n"/>
      <c r="UNX2" s="95" t="n"/>
      <c r="UNY2" s="95" t="n"/>
      <c r="UNZ2" s="95" t="n"/>
      <c r="UOA2" s="95" t="n"/>
      <c r="UOB2" s="95" t="n"/>
      <c r="UOC2" s="95" t="n"/>
      <c r="UOD2" s="95" t="n"/>
      <c r="UOE2" s="95" t="n"/>
      <c r="UOF2" s="95" t="n"/>
      <c r="UOG2" s="95" t="n"/>
      <c r="UOH2" s="95" t="n"/>
      <c r="UOI2" s="95" t="n"/>
      <c r="UOJ2" s="95" t="n"/>
      <c r="UOK2" s="95" t="n"/>
      <c r="UOL2" s="95" t="n"/>
      <c r="UOM2" s="95" t="n"/>
      <c r="UON2" s="95" t="n"/>
      <c r="UOO2" s="95" t="n"/>
      <c r="UOP2" s="95" t="n"/>
      <c r="UOQ2" s="95" t="n"/>
      <c r="UOR2" s="95" t="n"/>
      <c r="UOS2" s="95" t="n"/>
      <c r="UOT2" s="95" t="n"/>
      <c r="UOU2" s="95" t="n"/>
      <c r="UOV2" s="95" t="n"/>
      <c r="UOW2" s="95" t="n"/>
      <c r="UOX2" s="95" t="n"/>
      <c r="UOY2" s="95" t="n"/>
      <c r="UOZ2" s="95" t="n"/>
      <c r="UPA2" s="95" t="n"/>
      <c r="UPB2" s="95" t="n"/>
      <c r="UPC2" s="95" t="n"/>
      <c r="UPD2" s="95" t="n"/>
      <c r="UPE2" s="95" t="n"/>
      <c r="UPF2" s="95" t="n"/>
      <c r="UPG2" s="95" t="n"/>
      <c r="UPH2" s="95" t="n"/>
      <c r="UPI2" s="95" t="n"/>
      <c r="UPJ2" s="95" t="n"/>
      <c r="UPK2" s="95" t="n"/>
      <c r="UPL2" s="95" t="n"/>
      <c r="UPM2" s="95" t="n"/>
      <c r="UPN2" s="95" t="n"/>
      <c r="UPO2" s="95" t="n"/>
      <c r="UPP2" s="95" t="n"/>
      <c r="UPQ2" s="95" t="n"/>
      <c r="UPR2" s="95" t="n"/>
      <c r="UPS2" s="95" t="n"/>
      <c r="UPT2" s="95" t="n"/>
      <c r="UPU2" s="95" t="n"/>
      <c r="UPV2" s="95" t="n"/>
      <c r="UPW2" s="95" t="n"/>
      <c r="UPX2" s="95" t="n"/>
      <c r="UPY2" s="95" t="n"/>
      <c r="UPZ2" s="95" t="n"/>
      <c r="UQA2" s="95" t="n"/>
      <c r="UQB2" s="95" t="n"/>
      <c r="UQC2" s="95" t="n"/>
      <c r="UQD2" s="95" t="n"/>
      <c r="UQE2" s="95" t="n"/>
      <c r="UQF2" s="95" t="n"/>
      <c r="UQG2" s="95" t="n"/>
      <c r="UQH2" s="95" t="n"/>
      <c r="UQI2" s="95" t="n"/>
      <c r="UQJ2" s="95" t="n"/>
      <c r="UQK2" s="95" t="n"/>
      <c r="UQL2" s="95" t="n"/>
      <c r="UQM2" s="95" t="n"/>
      <c r="UQN2" s="95" t="n"/>
      <c r="UQO2" s="95" t="n"/>
      <c r="UQP2" s="95" t="n"/>
      <c r="UQQ2" s="95" t="n"/>
      <c r="UQR2" s="95" t="n"/>
      <c r="UQS2" s="95" t="n"/>
      <c r="UQT2" s="95" t="n"/>
      <c r="UQU2" s="95" t="n"/>
      <c r="UQV2" s="95" t="n"/>
      <c r="UQW2" s="95" t="n"/>
      <c r="UQX2" s="95" t="n"/>
      <c r="UQY2" s="95" t="n"/>
      <c r="UQZ2" s="95" t="n"/>
      <c r="URA2" s="95" t="n"/>
      <c r="URB2" s="95" t="n"/>
      <c r="URC2" s="95" t="n"/>
      <c r="URD2" s="95" t="n"/>
      <c r="URE2" s="95" t="n"/>
      <c r="URF2" s="95" t="n"/>
      <c r="URG2" s="95" t="n"/>
      <c r="URH2" s="95" t="n"/>
      <c r="URI2" s="95" t="n"/>
      <c r="URJ2" s="95" t="n"/>
      <c r="URK2" s="95" t="n"/>
      <c r="URL2" s="95" t="n"/>
      <c r="URM2" s="95" t="n"/>
      <c r="URN2" s="95" t="n"/>
      <c r="URO2" s="95" t="n"/>
      <c r="URP2" s="95" t="n"/>
      <c r="URQ2" s="95" t="n"/>
      <c r="URR2" s="95" t="n"/>
      <c r="URS2" s="95" t="n"/>
      <c r="URT2" s="95" t="n"/>
      <c r="URU2" s="95" t="n"/>
      <c r="URV2" s="95" t="n"/>
      <c r="URW2" s="95" t="n"/>
      <c r="URX2" s="95" t="n"/>
      <c r="URY2" s="95" t="n"/>
      <c r="URZ2" s="95" t="n"/>
      <c r="USA2" s="95" t="n"/>
      <c r="USB2" s="95" t="n"/>
      <c r="USC2" s="95" t="n"/>
      <c r="USD2" s="95" t="n"/>
      <c r="USE2" s="95" t="n"/>
      <c r="USF2" s="95" t="n"/>
      <c r="USG2" s="95" t="n"/>
      <c r="USH2" s="95" t="n"/>
      <c r="USI2" s="95" t="n"/>
      <c r="USJ2" s="95" t="n"/>
      <c r="USK2" s="95" t="n"/>
      <c r="USL2" s="95" t="n"/>
      <c r="USM2" s="95" t="n"/>
      <c r="USN2" s="95" t="n"/>
      <c r="USO2" s="95" t="n"/>
      <c r="USP2" s="95" t="n"/>
      <c r="USQ2" s="95" t="n"/>
      <c r="USR2" s="95" t="n"/>
      <c r="USS2" s="95" t="n"/>
      <c r="UST2" s="95" t="n"/>
      <c r="USU2" s="95" t="n"/>
      <c r="USV2" s="95" t="n"/>
      <c r="USW2" s="95" t="n"/>
      <c r="USX2" s="95" t="n"/>
      <c r="USY2" s="95" t="n"/>
      <c r="USZ2" s="95" t="n"/>
      <c r="UTA2" s="95" t="n"/>
      <c r="UTB2" s="95" t="n"/>
      <c r="UTC2" s="95" t="n"/>
      <c r="UTD2" s="95" t="n"/>
      <c r="UTE2" s="95" t="n"/>
      <c r="UTF2" s="95" t="n"/>
      <c r="UTG2" s="95" t="n"/>
      <c r="UTH2" s="95" t="n"/>
      <c r="UTI2" s="95" t="n"/>
      <c r="UTJ2" s="95" t="n"/>
      <c r="UTK2" s="95" t="n"/>
      <c r="UTL2" s="95" t="n"/>
      <c r="UTM2" s="95" t="n"/>
      <c r="UTN2" s="95" t="n"/>
      <c r="UTO2" s="95" t="n"/>
      <c r="UTP2" s="95" t="n"/>
      <c r="UTQ2" s="95" t="n"/>
      <c r="UTR2" s="95" t="n"/>
      <c r="UTS2" s="95" t="n"/>
      <c r="UTT2" s="95" t="n"/>
      <c r="UTU2" s="95" t="n"/>
      <c r="UTV2" s="95" t="n"/>
      <c r="UTW2" s="95" t="n"/>
      <c r="UTX2" s="95" t="n"/>
      <c r="UTY2" s="95" t="n"/>
      <c r="UTZ2" s="95" t="n"/>
      <c r="UUA2" s="95" t="n"/>
      <c r="UUB2" s="95" t="n"/>
      <c r="UUC2" s="95" t="n"/>
      <c r="UUD2" s="95" t="n"/>
      <c r="UUE2" s="95" t="n"/>
      <c r="UUF2" s="95" t="n"/>
      <c r="UUG2" s="95" t="n"/>
      <c r="UUH2" s="95" t="n"/>
      <c r="UUI2" s="95" t="n"/>
      <c r="UUJ2" s="95" t="n"/>
      <c r="UUK2" s="95" t="n"/>
      <c r="UUL2" s="95" t="n"/>
      <c r="UUM2" s="95" t="n"/>
      <c r="UUN2" s="95" t="n"/>
      <c r="UUO2" s="95" t="n"/>
      <c r="UUP2" s="95" t="n"/>
      <c r="UUQ2" s="95" t="n"/>
      <c r="UUR2" s="95" t="n"/>
      <c r="UUS2" s="95" t="n"/>
      <c r="UUT2" s="95" t="n"/>
      <c r="UUU2" s="95" t="n"/>
      <c r="UUV2" s="95" t="n"/>
      <c r="UUW2" s="95" t="n"/>
      <c r="UUX2" s="95" t="n"/>
      <c r="UUY2" s="95" t="n"/>
      <c r="UUZ2" s="95" t="n"/>
      <c r="UVA2" s="95" t="n"/>
      <c r="UVB2" s="95" t="n"/>
      <c r="UVC2" s="95" t="n"/>
      <c r="UVD2" s="95" t="n"/>
      <c r="UVE2" s="95" t="n"/>
      <c r="UVF2" s="95" t="n"/>
      <c r="UVG2" s="95" t="n"/>
      <c r="UVH2" s="95" t="n"/>
      <c r="UVI2" s="95" t="n"/>
      <c r="UVJ2" s="95" t="n"/>
      <c r="UVK2" s="95" t="n"/>
      <c r="UVL2" s="95" t="n"/>
      <c r="UVM2" s="95" t="n"/>
      <c r="UVN2" s="95" t="n"/>
      <c r="UVO2" s="95" t="n"/>
      <c r="UVP2" s="95" t="n"/>
      <c r="UVQ2" s="95" t="n"/>
      <c r="UVR2" s="95" t="n"/>
      <c r="UVS2" s="95" t="n"/>
      <c r="UVT2" s="95" t="n"/>
      <c r="UVU2" s="95" t="n"/>
      <c r="UVV2" s="95" t="n"/>
      <c r="UVW2" s="95" t="n"/>
      <c r="UVX2" s="95" t="n"/>
      <c r="UVY2" s="95" t="n"/>
      <c r="UVZ2" s="95" t="n"/>
      <c r="UWA2" s="95" t="n"/>
      <c r="UWB2" s="95" t="n"/>
      <c r="UWC2" s="95" t="n"/>
      <c r="UWD2" s="95" t="n"/>
      <c r="UWE2" s="95" t="n"/>
      <c r="UWF2" s="95" t="n"/>
      <c r="UWG2" s="95" t="n"/>
      <c r="UWH2" s="95" t="n"/>
      <c r="UWI2" s="95" t="n"/>
      <c r="UWJ2" s="95" t="n"/>
      <c r="UWK2" s="95" t="n"/>
      <c r="UWL2" s="95" t="n"/>
      <c r="UWM2" s="95" t="n"/>
      <c r="UWN2" s="95" t="n"/>
      <c r="UWO2" s="95" t="n"/>
      <c r="UWP2" s="95" t="n"/>
      <c r="UWQ2" s="95" t="n"/>
      <c r="UWR2" s="95" t="n"/>
      <c r="UWS2" s="95" t="n"/>
      <c r="UWT2" s="95" t="n"/>
      <c r="UWU2" s="95" t="n"/>
      <c r="UWV2" s="95" t="n"/>
      <c r="UWW2" s="95" t="n"/>
      <c r="UWX2" s="95" t="n"/>
      <c r="UWY2" s="95" t="n"/>
      <c r="UWZ2" s="95" t="n"/>
      <c r="UXA2" s="95" t="n"/>
      <c r="UXB2" s="95" t="n"/>
      <c r="UXC2" s="95" t="n"/>
      <c r="UXD2" s="95" t="n"/>
      <c r="UXE2" s="95" t="n"/>
      <c r="UXF2" s="95" t="n"/>
      <c r="UXG2" s="95" t="n"/>
      <c r="UXH2" s="95" t="n"/>
      <c r="UXI2" s="95" t="n"/>
      <c r="UXJ2" s="95" t="n"/>
      <c r="UXK2" s="95" t="n"/>
      <c r="UXL2" s="95" t="n"/>
      <c r="UXM2" s="95" t="n"/>
      <c r="UXN2" s="95" t="n"/>
      <c r="UXO2" s="95" t="n"/>
      <c r="UXP2" s="95" t="n"/>
      <c r="UXQ2" s="95" t="n"/>
      <c r="UXR2" s="95" t="n"/>
      <c r="UXS2" s="95" t="n"/>
      <c r="UXT2" s="95" t="n"/>
      <c r="UXU2" s="95" t="n"/>
      <c r="UXV2" s="95" t="n"/>
      <c r="UXW2" s="95" t="n"/>
      <c r="UXX2" s="95" t="n"/>
      <c r="UXY2" s="95" t="n"/>
      <c r="UXZ2" s="95" t="n"/>
      <c r="UYA2" s="95" t="n"/>
      <c r="UYB2" s="95" t="n"/>
      <c r="UYC2" s="95" t="n"/>
      <c r="UYD2" s="95" t="n"/>
      <c r="UYE2" s="95" t="n"/>
      <c r="UYF2" s="95" t="n"/>
      <c r="UYG2" s="95" t="n"/>
      <c r="UYH2" s="95" t="n"/>
      <c r="UYI2" s="95" t="n"/>
      <c r="UYJ2" s="95" t="n"/>
      <c r="UYK2" s="95" t="n"/>
      <c r="UYL2" s="95" t="n"/>
      <c r="UYM2" s="95" t="n"/>
      <c r="UYN2" s="95" t="n"/>
      <c r="UYO2" s="95" t="n"/>
      <c r="UYP2" s="95" t="n"/>
      <c r="UYQ2" s="95" t="n"/>
      <c r="UYR2" s="95" t="n"/>
      <c r="UYS2" s="95" t="n"/>
      <c r="UYT2" s="95" t="n"/>
      <c r="UYU2" s="95" t="n"/>
      <c r="UYV2" s="95" t="n"/>
      <c r="UYW2" s="95" t="n"/>
      <c r="UYX2" s="95" t="n"/>
      <c r="UYY2" s="95" t="n"/>
      <c r="UYZ2" s="95" t="n"/>
      <c r="UZA2" s="95" t="n"/>
      <c r="UZB2" s="95" t="n"/>
      <c r="UZC2" s="95" t="n"/>
      <c r="UZD2" s="95" t="n"/>
      <c r="UZE2" s="95" t="n"/>
      <c r="UZF2" s="95" t="n"/>
      <c r="UZG2" s="95" t="n"/>
      <c r="UZH2" s="95" t="n"/>
      <c r="UZI2" s="95" t="n"/>
      <c r="UZJ2" s="95" t="n"/>
      <c r="UZK2" s="95" t="n"/>
      <c r="UZL2" s="95" t="n"/>
      <c r="UZM2" s="95" t="n"/>
      <c r="UZN2" s="95" t="n"/>
      <c r="UZO2" s="95" t="n"/>
      <c r="UZP2" s="95" t="n"/>
      <c r="UZQ2" s="95" t="n"/>
      <c r="UZR2" s="95" t="n"/>
      <c r="UZS2" s="95" t="n"/>
      <c r="UZT2" s="95" t="n"/>
      <c r="UZU2" s="95" t="n"/>
      <c r="UZV2" s="95" t="n"/>
      <c r="UZW2" s="95" t="n"/>
      <c r="UZX2" s="95" t="n"/>
      <c r="UZY2" s="95" t="n"/>
      <c r="UZZ2" s="95" t="n"/>
      <c r="VAA2" s="95" t="n"/>
      <c r="VAB2" s="95" t="n"/>
      <c r="VAC2" s="95" t="n"/>
      <c r="VAD2" s="95" t="n"/>
      <c r="VAE2" s="95" t="n"/>
      <c r="VAF2" s="95" t="n"/>
      <c r="VAG2" s="95" t="n"/>
      <c r="VAH2" s="95" t="n"/>
      <c r="VAI2" s="95" t="n"/>
      <c r="VAJ2" s="95" t="n"/>
      <c r="VAK2" s="95" t="n"/>
      <c r="VAL2" s="95" t="n"/>
      <c r="VAM2" s="95" t="n"/>
      <c r="VAN2" s="95" t="n"/>
      <c r="VAO2" s="95" t="n"/>
      <c r="VAP2" s="95" t="n"/>
      <c r="VAQ2" s="95" t="n"/>
      <c r="VAR2" s="95" t="n"/>
      <c r="VAS2" s="95" t="n"/>
      <c r="VAT2" s="95" t="n"/>
      <c r="VAU2" s="95" t="n"/>
      <c r="VAV2" s="95" t="n"/>
      <c r="VAW2" s="95" t="n"/>
      <c r="VAX2" s="95" t="n"/>
      <c r="VAY2" s="95" t="n"/>
      <c r="VAZ2" s="95" t="n"/>
      <c r="VBA2" s="95" t="n"/>
      <c r="VBB2" s="95" t="n"/>
      <c r="VBC2" s="95" t="n"/>
      <c r="VBD2" s="95" t="n"/>
      <c r="VBE2" s="95" t="n"/>
      <c r="VBF2" s="95" t="n"/>
      <c r="VBG2" s="95" t="n"/>
      <c r="VBH2" s="95" t="n"/>
      <c r="VBI2" s="95" t="n"/>
      <c r="VBJ2" s="95" t="n"/>
      <c r="VBK2" s="95" t="n"/>
      <c r="VBL2" s="95" t="n"/>
      <c r="VBM2" s="95" t="n"/>
      <c r="VBN2" s="95" t="n"/>
      <c r="VBO2" s="95" t="n"/>
      <c r="VBP2" s="95" t="n"/>
      <c r="VBQ2" s="95" t="n"/>
      <c r="VBR2" s="95" t="n"/>
      <c r="VBS2" s="95" t="n"/>
      <c r="VBT2" s="95" t="n"/>
      <c r="VBU2" s="95" t="n"/>
      <c r="VBV2" s="95" t="n"/>
      <c r="VBW2" s="95" t="n"/>
      <c r="VBX2" s="95" t="n"/>
      <c r="VBY2" s="95" t="n"/>
      <c r="VBZ2" s="95" t="n"/>
      <c r="VCA2" s="95" t="n"/>
      <c r="VCB2" s="95" t="n"/>
      <c r="VCC2" s="95" t="n"/>
      <c r="VCD2" s="95" t="n"/>
      <c r="VCE2" s="95" t="n"/>
      <c r="VCF2" s="95" t="n"/>
      <c r="VCG2" s="95" t="n"/>
      <c r="VCH2" s="95" t="n"/>
      <c r="VCI2" s="95" t="n"/>
      <c r="VCJ2" s="95" t="n"/>
      <c r="VCK2" s="95" t="n"/>
      <c r="VCL2" s="95" t="n"/>
      <c r="VCM2" s="95" t="n"/>
      <c r="VCN2" s="95" t="n"/>
      <c r="VCO2" s="95" t="n"/>
      <c r="VCP2" s="95" t="n"/>
      <c r="VCQ2" s="95" t="n"/>
      <c r="VCR2" s="95" t="n"/>
      <c r="VCS2" s="95" t="n"/>
      <c r="VCT2" s="95" t="n"/>
      <c r="VCU2" s="95" t="n"/>
      <c r="VCV2" s="95" t="n"/>
      <c r="VCW2" s="95" t="n"/>
      <c r="VCX2" s="95" t="n"/>
      <c r="VCY2" s="95" t="n"/>
      <c r="VCZ2" s="95" t="n"/>
      <c r="VDA2" s="95" t="n"/>
      <c r="VDB2" s="95" t="n"/>
      <c r="VDC2" s="95" t="n"/>
      <c r="VDD2" s="95" t="n"/>
      <c r="VDE2" s="95" t="n"/>
      <c r="VDF2" s="95" t="n"/>
      <c r="VDG2" s="95" t="n"/>
      <c r="VDH2" s="95" t="n"/>
      <c r="VDI2" s="95" t="n"/>
      <c r="VDJ2" s="95" t="n"/>
      <c r="VDK2" s="95" t="n"/>
      <c r="VDL2" s="95" t="n"/>
      <c r="VDM2" s="95" t="n"/>
      <c r="VDN2" s="95" t="n"/>
      <c r="VDO2" s="95" t="n"/>
      <c r="VDP2" s="95" t="n"/>
      <c r="VDQ2" s="95" t="n"/>
      <c r="VDR2" s="95" t="n"/>
      <c r="VDS2" s="95" t="n"/>
      <c r="VDT2" s="95" t="n"/>
      <c r="VDU2" s="95" t="n"/>
      <c r="VDV2" s="95" t="n"/>
      <c r="VDW2" s="95" t="n"/>
      <c r="VDX2" s="95" t="n"/>
      <c r="VDY2" s="95" t="n"/>
      <c r="VDZ2" s="95" t="n"/>
      <c r="VEA2" s="95" t="n"/>
      <c r="VEB2" s="95" t="n"/>
      <c r="VEC2" s="95" t="n"/>
      <c r="VED2" s="95" t="n"/>
      <c r="VEE2" s="95" t="n"/>
      <c r="VEF2" s="95" t="n"/>
      <c r="VEG2" s="95" t="n"/>
      <c r="VEH2" s="95" t="n"/>
      <c r="VEI2" s="95" t="n"/>
      <c r="VEJ2" s="95" t="n"/>
      <c r="VEK2" s="95" t="n"/>
      <c r="VEL2" s="95" t="n"/>
      <c r="VEM2" s="95" t="n"/>
      <c r="VEN2" s="95" t="n"/>
      <c r="VEO2" s="95" t="n"/>
      <c r="VEP2" s="95" t="n"/>
      <c r="VEQ2" s="95" t="n"/>
      <c r="VER2" s="95" t="n"/>
      <c r="VES2" s="95" t="n"/>
      <c r="VET2" s="95" t="n"/>
      <c r="VEU2" s="95" t="n"/>
      <c r="VEV2" s="95" t="n"/>
      <c r="VEW2" s="95" t="n"/>
      <c r="VEX2" s="95" t="n"/>
      <c r="VEY2" s="95" t="n"/>
      <c r="VEZ2" s="95" t="n"/>
      <c r="VFA2" s="95" t="n"/>
      <c r="VFB2" s="95" t="n"/>
      <c r="VFC2" s="95" t="n"/>
      <c r="VFD2" s="95" t="n"/>
      <c r="VFE2" s="95" t="n"/>
      <c r="VFF2" s="95" t="n"/>
      <c r="VFG2" s="95" t="n"/>
      <c r="VFH2" s="95" t="n"/>
      <c r="VFI2" s="95" t="n"/>
      <c r="VFJ2" s="95" t="n"/>
      <c r="VFK2" s="95" t="n"/>
      <c r="VFL2" s="95" t="n"/>
      <c r="VFM2" s="95" t="n"/>
      <c r="VFN2" s="95" t="n"/>
      <c r="VFO2" s="95" t="n"/>
      <c r="VFP2" s="95" t="n"/>
      <c r="VFQ2" s="95" t="n"/>
      <c r="VFR2" s="95" t="n"/>
      <c r="VFS2" s="95" t="n"/>
      <c r="VFT2" s="95" t="n"/>
      <c r="VFU2" s="95" t="n"/>
      <c r="VFV2" s="95" t="n"/>
      <c r="VFW2" s="95" t="n"/>
      <c r="VFX2" s="95" t="n"/>
      <c r="VFY2" s="95" t="n"/>
      <c r="VFZ2" s="95" t="n"/>
      <c r="VGA2" s="95" t="n"/>
      <c r="VGB2" s="95" t="n"/>
      <c r="VGC2" s="95" t="n"/>
      <c r="VGD2" s="95" t="n"/>
      <c r="VGE2" s="95" t="n"/>
      <c r="VGF2" s="95" t="n"/>
      <c r="VGG2" s="95" t="n"/>
      <c r="VGH2" s="95" t="n"/>
      <c r="VGI2" s="95" t="n"/>
      <c r="VGJ2" s="95" t="n"/>
      <c r="VGK2" s="95" t="n"/>
      <c r="VGL2" s="95" t="n"/>
      <c r="VGM2" s="95" t="n"/>
      <c r="VGN2" s="95" t="n"/>
      <c r="VGO2" s="95" t="n"/>
      <c r="VGP2" s="95" t="n"/>
      <c r="VGQ2" s="95" t="n"/>
      <c r="VGR2" s="95" t="n"/>
      <c r="VGS2" s="95" t="n"/>
      <c r="VGT2" s="95" t="n"/>
      <c r="VGU2" s="95" t="n"/>
      <c r="VGV2" s="95" t="n"/>
      <c r="VGW2" s="95" t="n"/>
      <c r="VGX2" s="95" t="n"/>
      <c r="VGY2" s="95" t="n"/>
      <c r="VGZ2" s="95" t="n"/>
      <c r="VHA2" s="95" t="n"/>
      <c r="VHB2" s="95" t="n"/>
      <c r="VHC2" s="95" t="n"/>
      <c r="VHD2" s="95" t="n"/>
      <c r="VHE2" s="95" t="n"/>
      <c r="VHF2" s="95" t="n"/>
      <c r="VHG2" s="95" t="n"/>
      <c r="VHH2" s="95" t="n"/>
      <c r="VHI2" s="95" t="n"/>
      <c r="VHJ2" s="95" t="n"/>
      <c r="VHK2" s="95" t="n"/>
      <c r="VHL2" s="95" t="n"/>
      <c r="VHM2" s="95" t="n"/>
      <c r="VHN2" s="95" t="n"/>
      <c r="VHO2" s="95" t="n"/>
      <c r="VHP2" s="95" t="n"/>
      <c r="VHQ2" s="95" t="n"/>
      <c r="VHR2" s="95" t="n"/>
      <c r="VHS2" s="95" t="n"/>
      <c r="VHT2" s="95" t="n"/>
      <c r="VHU2" s="95" t="n"/>
      <c r="VHV2" s="95" t="n"/>
      <c r="VHW2" s="95" t="n"/>
      <c r="VHX2" s="95" t="n"/>
      <c r="VHY2" s="95" t="n"/>
      <c r="VHZ2" s="95" t="n"/>
      <c r="VIA2" s="95" t="n"/>
      <c r="VIB2" s="95" t="n"/>
      <c r="VIC2" s="95" t="n"/>
      <c r="VID2" s="95" t="n"/>
      <c r="VIE2" s="95" t="n"/>
      <c r="VIF2" s="95" t="n"/>
      <c r="VIG2" s="95" t="n"/>
      <c r="VIH2" s="95" t="n"/>
      <c r="VII2" s="95" t="n"/>
      <c r="VIJ2" s="95" t="n"/>
      <c r="VIK2" s="95" t="n"/>
      <c r="VIL2" s="95" t="n"/>
      <c r="VIM2" s="95" t="n"/>
      <c r="VIN2" s="95" t="n"/>
      <c r="VIO2" s="95" t="n"/>
      <c r="VIP2" s="95" t="n"/>
      <c r="VIQ2" s="95" t="n"/>
      <c r="VIR2" s="95" t="n"/>
      <c r="VIS2" s="95" t="n"/>
      <c r="VIT2" s="95" t="n"/>
      <c r="VIU2" s="95" t="n"/>
      <c r="VIV2" s="95" t="n"/>
      <c r="VIW2" s="95" t="n"/>
      <c r="VIX2" s="95" t="n"/>
      <c r="VIY2" s="95" t="n"/>
      <c r="VIZ2" s="95" t="n"/>
      <c r="VJA2" s="95" t="n"/>
      <c r="VJB2" s="95" t="n"/>
      <c r="VJC2" s="95" t="n"/>
      <c r="VJD2" s="95" t="n"/>
      <c r="VJE2" s="95" t="n"/>
      <c r="VJF2" s="95" t="n"/>
      <c r="VJG2" s="95" t="n"/>
      <c r="VJH2" s="95" t="n"/>
      <c r="VJI2" s="95" t="n"/>
      <c r="VJJ2" s="95" t="n"/>
      <c r="VJK2" s="95" t="n"/>
      <c r="VJL2" s="95" t="n"/>
      <c r="VJM2" s="95" t="n"/>
      <c r="VJN2" s="95" t="n"/>
      <c r="VJO2" s="95" t="n"/>
      <c r="VJP2" s="95" t="n"/>
      <c r="VJQ2" s="95" t="n"/>
      <c r="VJR2" s="95" t="n"/>
      <c r="VJS2" s="95" t="n"/>
      <c r="VJT2" s="95" t="n"/>
      <c r="VJU2" s="95" t="n"/>
      <c r="VJV2" s="95" t="n"/>
      <c r="VJW2" s="95" t="n"/>
      <c r="VJX2" s="95" t="n"/>
      <c r="VJY2" s="95" t="n"/>
      <c r="VJZ2" s="95" t="n"/>
      <c r="VKA2" s="95" t="n"/>
      <c r="VKB2" s="95" t="n"/>
      <c r="VKC2" s="95" t="n"/>
      <c r="VKD2" s="95" t="n"/>
      <c r="VKE2" s="95" t="n"/>
      <c r="VKF2" s="95" t="n"/>
      <c r="VKG2" s="95" t="n"/>
      <c r="VKH2" s="95" t="n"/>
      <c r="VKI2" s="95" t="n"/>
      <c r="VKJ2" s="95" t="n"/>
      <c r="VKK2" s="95" t="n"/>
      <c r="VKL2" s="95" t="n"/>
      <c r="VKM2" s="95" t="n"/>
      <c r="VKN2" s="95" t="n"/>
      <c r="VKO2" s="95" t="n"/>
      <c r="VKP2" s="95" t="n"/>
      <c r="VKQ2" s="95" t="n"/>
      <c r="VKR2" s="95" t="n"/>
      <c r="VKS2" s="95" t="n"/>
      <c r="VKT2" s="95" t="n"/>
      <c r="VKU2" s="95" t="n"/>
      <c r="VKV2" s="95" t="n"/>
      <c r="VKW2" s="95" t="n"/>
      <c r="VKX2" s="95" t="n"/>
      <c r="VKY2" s="95" t="n"/>
      <c r="VKZ2" s="95" t="n"/>
      <c r="VLA2" s="95" t="n"/>
      <c r="VLB2" s="95" t="n"/>
      <c r="VLC2" s="95" t="n"/>
      <c r="VLD2" s="95" t="n"/>
      <c r="VLE2" s="95" t="n"/>
      <c r="VLF2" s="95" t="n"/>
      <c r="VLG2" s="95" t="n"/>
      <c r="VLH2" s="95" t="n"/>
      <c r="VLI2" s="95" t="n"/>
      <c r="VLJ2" s="95" t="n"/>
      <c r="VLK2" s="95" t="n"/>
      <c r="VLL2" s="95" t="n"/>
      <c r="VLM2" s="95" t="n"/>
      <c r="VLN2" s="95" t="n"/>
      <c r="VLO2" s="95" t="n"/>
      <c r="VLP2" s="95" t="n"/>
      <c r="VLQ2" s="95" t="n"/>
      <c r="VLR2" s="95" t="n"/>
      <c r="VLS2" s="95" t="n"/>
      <c r="VLT2" s="95" t="n"/>
      <c r="VLU2" s="95" t="n"/>
      <c r="VLV2" s="95" t="n"/>
      <c r="VLW2" s="95" t="n"/>
      <c r="VLX2" s="95" t="n"/>
      <c r="VLY2" s="95" t="n"/>
      <c r="VLZ2" s="95" t="n"/>
      <c r="VMA2" s="95" t="n"/>
      <c r="VMB2" s="95" t="n"/>
      <c r="VMC2" s="95" t="n"/>
      <c r="VMD2" s="95" t="n"/>
      <c r="VME2" s="95" t="n"/>
      <c r="VMF2" s="95" t="n"/>
      <c r="VMG2" s="95" t="n"/>
      <c r="VMH2" s="95" t="n"/>
      <c r="VMI2" s="95" t="n"/>
      <c r="VMJ2" s="95" t="n"/>
      <c r="VMK2" s="95" t="n"/>
      <c r="VML2" s="95" t="n"/>
      <c r="VMM2" s="95" t="n"/>
      <c r="VMN2" s="95" t="n"/>
      <c r="VMO2" s="95" t="n"/>
      <c r="VMP2" s="95" t="n"/>
      <c r="VMQ2" s="95" t="n"/>
      <c r="VMR2" s="95" t="n"/>
      <c r="VMS2" s="95" t="n"/>
      <c r="VMT2" s="95" t="n"/>
      <c r="VMU2" s="95" t="n"/>
      <c r="VMV2" s="95" t="n"/>
      <c r="VMW2" s="95" t="n"/>
      <c r="VMX2" s="95" t="n"/>
      <c r="VMY2" s="95" t="n"/>
      <c r="VMZ2" s="95" t="n"/>
      <c r="VNA2" s="95" t="n"/>
      <c r="VNB2" s="95" t="n"/>
      <c r="VNC2" s="95" t="n"/>
      <c r="VND2" s="95" t="n"/>
      <c r="VNE2" s="95" t="n"/>
      <c r="VNF2" s="95" t="n"/>
      <c r="VNG2" s="95" t="n"/>
      <c r="VNH2" s="95" t="n"/>
      <c r="VNI2" s="95" t="n"/>
      <c r="VNJ2" s="95" t="n"/>
      <c r="VNK2" s="95" t="n"/>
      <c r="VNL2" s="95" t="n"/>
      <c r="VNM2" s="95" t="n"/>
      <c r="VNN2" s="95" t="n"/>
      <c r="VNO2" s="95" t="n"/>
      <c r="VNP2" s="95" t="n"/>
      <c r="VNQ2" s="95" t="n"/>
      <c r="VNR2" s="95" t="n"/>
      <c r="VNS2" s="95" t="n"/>
      <c r="VNT2" s="95" t="n"/>
      <c r="VNU2" s="95" t="n"/>
      <c r="VNV2" s="95" t="n"/>
      <c r="VNW2" s="95" t="n"/>
      <c r="VNX2" s="95" t="n"/>
      <c r="VNY2" s="95" t="n"/>
      <c r="VNZ2" s="95" t="n"/>
      <c r="VOA2" s="95" t="n"/>
      <c r="VOB2" s="95" t="n"/>
      <c r="VOC2" s="95" t="n"/>
      <c r="VOD2" s="95" t="n"/>
      <c r="VOE2" s="95" t="n"/>
      <c r="VOF2" s="95" t="n"/>
      <c r="VOG2" s="95" t="n"/>
      <c r="VOH2" s="95" t="n"/>
      <c r="VOI2" s="95" t="n"/>
      <c r="VOJ2" s="95" t="n"/>
      <c r="VOK2" s="95" t="n"/>
      <c r="VOL2" s="95" t="n"/>
      <c r="VOM2" s="95" t="n"/>
      <c r="VON2" s="95" t="n"/>
      <c r="VOO2" s="95" t="n"/>
      <c r="VOP2" s="95" t="n"/>
      <c r="VOQ2" s="95" t="n"/>
      <c r="VOR2" s="95" t="n"/>
      <c r="VOS2" s="95" t="n"/>
      <c r="VOT2" s="95" t="n"/>
      <c r="VOU2" s="95" t="n"/>
      <c r="VOV2" s="95" t="n"/>
      <c r="VOW2" s="95" t="n"/>
      <c r="VOX2" s="95" t="n"/>
      <c r="VOY2" s="95" t="n"/>
      <c r="VOZ2" s="95" t="n"/>
      <c r="VPA2" s="95" t="n"/>
      <c r="VPB2" s="95" t="n"/>
      <c r="VPC2" s="95" t="n"/>
      <c r="VPD2" s="95" t="n"/>
      <c r="VPE2" s="95" t="n"/>
      <c r="VPF2" s="95" t="n"/>
      <c r="VPG2" s="95" t="n"/>
      <c r="VPH2" s="95" t="n"/>
      <c r="VPI2" s="95" t="n"/>
      <c r="VPJ2" s="95" t="n"/>
      <c r="VPK2" s="95" t="n"/>
      <c r="VPL2" s="95" t="n"/>
      <c r="VPM2" s="95" t="n"/>
      <c r="VPN2" s="95" t="n"/>
      <c r="VPO2" s="95" t="n"/>
      <c r="VPP2" s="95" t="n"/>
      <c r="VPQ2" s="95" t="n"/>
      <c r="VPR2" s="95" t="n"/>
      <c r="VPS2" s="95" t="n"/>
      <c r="VPT2" s="95" t="n"/>
      <c r="VPU2" s="95" t="n"/>
      <c r="VPV2" s="95" t="n"/>
      <c r="VPW2" s="95" t="n"/>
      <c r="VPX2" s="95" t="n"/>
      <c r="VPY2" s="95" t="n"/>
      <c r="VPZ2" s="95" t="n"/>
      <c r="VQA2" s="95" t="n"/>
      <c r="VQB2" s="95" t="n"/>
      <c r="VQC2" s="95" t="n"/>
      <c r="VQD2" s="95" t="n"/>
      <c r="VQE2" s="95" t="n"/>
      <c r="VQF2" s="95" t="n"/>
      <c r="VQG2" s="95" t="n"/>
      <c r="VQH2" s="95" t="n"/>
      <c r="VQI2" s="95" t="n"/>
      <c r="VQJ2" s="95" t="n"/>
      <c r="VQK2" s="95" t="n"/>
      <c r="VQL2" s="95" t="n"/>
      <c r="VQM2" s="95" t="n"/>
      <c r="VQN2" s="95" t="n"/>
      <c r="VQO2" s="95" t="n"/>
      <c r="VQP2" s="95" t="n"/>
      <c r="VQQ2" s="95" t="n"/>
      <c r="VQR2" s="95" t="n"/>
      <c r="VQS2" s="95" t="n"/>
      <c r="VQT2" s="95" t="n"/>
      <c r="VQU2" s="95" t="n"/>
      <c r="VQV2" s="95" t="n"/>
      <c r="VQW2" s="95" t="n"/>
      <c r="VQX2" s="95" t="n"/>
      <c r="VQY2" s="95" t="n"/>
      <c r="VQZ2" s="95" t="n"/>
      <c r="VRA2" s="95" t="n"/>
      <c r="VRB2" s="95" t="n"/>
      <c r="VRC2" s="95" t="n"/>
      <c r="VRD2" s="95" t="n"/>
      <c r="VRE2" s="95" t="n"/>
      <c r="VRF2" s="95" t="n"/>
      <c r="VRG2" s="95" t="n"/>
      <c r="VRH2" s="95" t="n"/>
      <c r="VRI2" s="95" t="n"/>
      <c r="VRJ2" s="95" t="n"/>
      <c r="VRK2" s="95" t="n"/>
      <c r="VRL2" s="95" t="n"/>
      <c r="VRM2" s="95" t="n"/>
      <c r="VRN2" s="95" t="n"/>
      <c r="VRO2" s="95" t="n"/>
      <c r="VRP2" s="95" t="n"/>
      <c r="VRQ2" s="95" t="n"/>
      <c r="VRR2" s="95" t="n"/>
      <c r="VRS2" s="95" t="n"/>
      <c r="VRT2" s="95" t="n"/>
      <c r="VRU2" s="95" t="n"/>
      <c r="VRV2" s="95" t="n"/>
      <c r="VRW2" s="95" t="n"/>
      <c r="VRX2" s="95" t="n"/>
      <c r="VRY2" s="95" t="n"/>
      <c r="VRZ2" s="95" t="n"/>
      <c r="VSA2" s="95" t="n"/>
      <c r="VSB2" s="95" t="n"/>
      <c r="VSC2" s="95" t="n"/>
      <c r="VSD2" s="95" t="n"/>
      <c r="VSE2" s="95" t="n"/>
      <c r="VSF2" s="95" t="n"/>
      <c r="VSG2" s="95" t="n"/>
      <c r="VSH2" s="95" t="n"/>
      <c r="VSI2" s="95" t="n"/>
      <c r="VSJ2" s="95" t="n"/>
      <c r="VSK2" s="95" t="n"/>
      <c r="VSL2" s="95" t="n"/>
      <c r="VSM2" s="95" t="n"/>
      <c r="VSN2" s="95" t="n"/>
      <c r="VSO2" s="95" t="n"/>
      <c r="VSP2" s="95" t="n"/>
      <c r="VSQ2" s="95" t="n"/>
      <c r="VSR2" s="95" t="n"/>
      <c r="VSS2" s="95" t="n"/>
      <c r="VST2" s="95" t="n"/>
      <c r="VSU2" s="95" t="n"/>
      <c r="VSV2" s="95" t="n"/>
      <c r="VSW2" s="95" t="n"/>
      <c r="VSX2" s="95" t="n"/>
      <c r="VSY2" s="95" t="n"/>
      <c r="VSZ2" s="95" t="n"/>
      <c r="VTA2" s="95" t="n"/>
      <c r="VTB2" s="95" t="n"/>
      <c r="VTC2" s="95" t="n"/>
      <c r="VTD2" s="95" t="n"/>
      <c r="VTE2" s="95" t="n"/>
      <c r="VTF2" s="95" t="n"/>
      <c r="VTG2" s="95" t="n"/>
      <c r="VTH2" s="95" t="n"/>
      <c r="VTI2" s="95" t="n"/>
      <c r="VTJ2" s="95" t="n"/>
      <c r="VTK2" s="95" t="n"/>
      <c r="VTL2" s="95" t="n"/>
      <c r="VTM2" s="95" t="n"/>
      <c r="VTN2" s="95" t="n"/>
      <c r="VTO2" s="95" t="n"/>
      <c r="VTP2" s="95" t="n"/>
      <c r="VTQ2" s="95" t="n"/>
      <c r="VTR2" s="95" t="n"/>
      <c r="VTS2" s="95" t="n"/>
      <c r="VTT2" s="95" t="n"/>
      <c r="VTU2" s="95" t="n"/>
      <c r="VTV2" s="95" t="n"/>
      <c r="VTW2" s="95" t="n"/>
      <c r="VTX2" s="95" t="n"/>
      <c r="VTY2" s="95" t="n"/>
      <c r="VTZ2" s="95" t="n"/>
      <c r="VUA2" s="95" t="n"/>
      <c r="VUB2" s="95" t="n"/>
      <c r="VUC2" s="95" t="n"/>
      <c r="VUD2" s="95" t="n"/>
      <c r="VUE2" s="95" t="n"/>
      <c r="VUF2" s="95" t="n"/>
      <c r="VUG2" s="95" t="n"/>
      <c r="VUH2" s="95" t="n"/>
      <c r="VUI2" s="95" t="n"/>
      <c r="VUJ2" s="95" t="n"/>
      <c r="VUK2" s="95" t="n"/>
      <c r="VUL2" s="95" t="n"/>
      <c r="VUM2" s="95" t="n"/>
      <c r="VUN2" s="95" t="n"/>
      <c r="VUO2" s="95" t="n"/>
      <c r="VUP2" s="95" t="n"/>
      <c r="VUQ2" s="95" t="n"/>
      <c r="VUR2" s="95" t="n"/>
      <c r="VUS2" s="95" t="n"/>
      <c r="VUT2" s="95" t="n"/>
      <c r="VUU2" s="95" t="n"/>
      <c r="VUV2" s="95" t="n"/>
      <c r="VUW2" s="95" t="n"/>
      <c r="VUX2" s="95" t="n"/>
      <c r="VUY2" s="95" t="n"/>
      <c r="VUZ2" s="95" t="n"/>
      <c r="VVA2" s="95" t="n"/>
      <c r="VVB2" s="95" t="n"/>
      <c r="VVC2" s="95" t="n"/>
      <c r="VVD2" s="95" t="n"/>
      <c r="VVE2" s="95" t="n"/>
      <c r="VVF2" s="95" t="n"/>
      <c r="VVG2" s="95" t="n"/>
      <c r="VVH2" s="95" t="n"/>
      <c r="VVI2" s="95" t="n"/>
      <c r="VVJ2" s="95" t="n"/>
      <c r="VVK2" s="95" t="n"/>
      <c r="VVL2" s="95" t="n"/>
      <c r="VVM2" s="95" t="n"/>
      <c r="VVN2" s="95" t="n"/>
      <c r="VVO2" s="95" t="n"/>
      <c r="VVP2" s="95" t="n"/>
      <c r="VVQ2" s="95" t="n"/>
      <c r="VVR2" s="95" t="n"/>
      <c r="VVS2" s="95" t="n"/>
      <c r="VVT2" s="95" t="n"/>
      <c r="VVU2" s="95" t="n"/>
      <c r="VVV2" s="95" t="n"/>
      <c r="VVW2" s="95" t="n"/>
      <c r="VVX2" s="95" t="n"/>
      <c r="VVY2" s="95" t="n"/>
      <c r="VVZ2" s="95" t="n"/>
      <c r="VWA2" s="95" t="n"/>
      <c r="VWB2" s="95" t="n"/>
      <c r="VWC2" s="95" t="n"/>
      <c r="VWD2" s="95" t="n"/>
      <c r="VWE2" s="95" t="n"/>
      <c r="VWF2" s="95" t="n"/>
      <c r="VWG2" s="95" t="n"/>
      <c r="VWH2" s="95" t="n"/>
      <c r="VWI2" s="95" t="n"/>
      <c r="VWJ2" s="95" t="n"/>
      <c r="VWK2" s="95" t="n"/>
      <c r="VWL2" s="95" t="n"/>
      <c r="VWM2" s="95" t="n"/>
      <c r="VWN2" s="95" t="n"/>
      <c r="VWO2" s="95" t="n"/>
      <c r="VWP2" s="95" t="n"/>
      <c r="VWQ2" s="95" t="n"/>
      <c r="VWR2" s="95" t="n"/>
      <c r="VWS2" s="95" t="n"/>
      <c r="VWT2" s="95" t="n"/>
      <c r="VWU2" s="95" t="n"/>
      <c r="VWV2" s="95" t="n"/>
      <c r="VWW2" s="95" t="n"/>
      <c r="VWX2" s="95" t="n"/>
      <c r="VWY2" s="95" t="n"/>
      <c r="VWZ2" s="95" t="n"/>
      <c r="VXA2" s="95" t="n"/>
      <c r="VXB2" s="95" t="n"/>
      <c r="VXC2" s="95" t="n"/>
      <c r="VXD2" s="95" t="n"/>
      <c r="VXE2" s="95" t="n"/>
      <c r="VXF2" s="95" t="n"/>
      <c r="VXG2" s="95" t="n"/>
      <c r="VXH2" s="95" t="n"/>
      <c r="VXI2" s="95" t="n"/>
      <c r="VXJ2" s="95" t="n"/>
      <c r="VXK2" s="95" t="n"/>
      <c r="VXL2" s="95" t="n"/>
      <c r="VXM2" s="95" t="n"/>
      <c r="VXN2" s="95" t="n"/>
      <c r="VXO2" s="95" t="n"/>
      <c r="VXP2" s="95" t="n"/>
      <c r="VXQ2" s="95" t="n"/>
      <c r="VXR2" s="95" t="n"/>
      <c r="VXS2" s="95" t="n"/>
      <c r="VXT2" s="95" t="n"/>
      <c r="VXU2" s="95" t="n"/>
      <c r="VXV2" s="95" t="n"/>
      <c r="VXW2" s="95" t="n"/>
      <c r="VXX2" s="95" t="n"/>
      <c r="VXY2" s="95" t="n"/>
      <c r="VXZ2" s="95" t="n"/>
      <c r="VYA2" s="95" t="n"/>
      <c r="VYB2" s="95" t="n"/>
      <c r="VYC2" s="95" t="n"/>
      <c r="VYD2" s="95" t="n"/>
      <c r="VYE2" s="95" t="n"/>
      <c r="VYF2" s="95" t="n"/>
      <c r="VYG2" s="95" t="n"/>
      <c r="VYH2" s="95" t="n"/>
      <c r="VYI2" s="95" t="n"/>
      <c r="VYJ2" s="95" t="n"/>
      <c r="VYK2" s="95" t="n"/>
      <c r="VYL2" s="95" t="n"/>
      <c r="VYM2" s="95" t="n"/>
      <c r="VYN2" s="95" t="n"/>
      <c r="VYO2" s="95" t="n"/>
      <c r="VYP2" s="95" t="n"/>
      <c r="VYQ2" s="95" t="n"/>
      <c r="VYR2" s="95" t="n"/>
      <c r="VYS2" s="95" t="n"/>
      <c r="VYT2" s="95" t="n"/>
      <c r="VYU2" s="95" t="n"/>
      <c r="VYV2" s="95" t="n"/>
      <c r="VYW2" s="95" t="n"/>
      <c r="VYX2" s="95" t="n"/>
      <c r="VYY2" s="95" t="n"/>
      <c r="VYZ2" s="95" t="n"/>
      <c r="VZA2" s="95" t="n"/>
      <c r="VZB2" s="95" t="n"/>
      <c r="VZC2" s="95" t="n"/>
      <c r="VZD2" s="95" t="n"/>
      <c r="VZE2" s="95" t="n"/>
      <c r="VZF2" s="95" t="n"/>
      <c r="VZG2" s="95" t="n"/>
      <c r="VZH2" s="95" t="n"/>
      <c r="VZI2" s="95" t="n"/>
      <c r="VZJ2" s="95" t="n"/>
      <c r="VZK2" s="95" t="n"/>
      <c r="VZL2" s="95" t="n"/>
      <c r="VZM2" s="95" t="n"/>
      <c r="VZN2" s="95" t="n"/>
      <c r="VZO2" s="95" t="n"/>
      <c r="VZP2" s="95" t="n"/>
      <c r="VZQ2" s="95" t="n"/>
      <c r="VZR2" s="95" t="n"/>
      <c r="VZS2" s="95" t="n"/>
      <c r="VZT2" s="95" t="n"/>
      <c r="VZU2" s="95" t="n"/>
      <c r="VZV2" s="95" t="n"/>
      <c r="VZW2" s="95" t="n"/>
      <c r="VZX2" s="95" t="n"/>
      <c r="VZY2" s="95" t="n"/>
      <c r="VZZ2" s="95" t="n"/>
      <c r="WAA2" s="95" t="n"/>
      <c r="WAB2" s="95" t="n"/>
      <c r="WAC2" s="95" t="n"/>
      <c r="WAD2" s="95" t="n"/>
      <c r="WAE2" s="95" t="n"/>
      <c r="WAF2" s="95" t="n"/>
      <c r="WAG2" s="95" t="n"/>
      <c r="WAH2" s="95" t="n"/>
      <c r="WAI2" s="95" t="n"/>
      <c r="WAJ2" s="95" t="n"/>
      <c r="WAK2" s="95" t="n"/>
      <c r="WAL2" s="95" t="n"/>
      <c r="WAM2" s="95" t="n"/>
      <c r="WAN2" s="95" t="n"/>
      <c r="WAO2" s="95" t="n"/>
      <c r="WAP2" s="95" t="n"/>
      <c r="WAQ2" s="95" t="n"/>
      <c r="WAR2" s="95" t="n"/>
      <c r="WAS2" s="95" t="n"/>
      <c r="WAT2" s="95" t="n"/>
      <c r="WAU2" s="95" t="n"/>
      <c r="WAV2" s="95" t="n"/>
      <c r="WAW2" s="95" t="n"/>
      <c r="WAX2" s="95" t="n"/>
      <c r="WAY2" s="95" t="n"/>
      <c r="WAZ2" s="95" t="n"/>
      <c r="WBA2" s="95" t="n"/>
      <c r="WBB2" s="95" t="n"/>
      <c r="WBC2" s="95" t="n"/>
      <c r="WBD2" s="95" t="n"/>
      <c r="WBE2" s="95" t="n"/>
      <c r="WBF2" s="95" t="n"/>
      <c r="WBG2" s="95" t="n"/>
      <c r="WBH2" s="95" t="n"/>
      <c r="WBI2" s="95" t="n"/>
      <c r="WBJ2" s="95" t="n"/>
      <c r="WBK2" s="95" t="n"/>
      <c r="WBL2" s="95" t="n"/>
      <c r="WBM2" s="95" t="n"/>
      <c r="WBN2" s="95" t="n"/>
      <c r="WBO2" s="95" t="n"/>
      <c r="WBP2" s="95" t="n"/>
      <c r="WBQ2" s="95" t="n"/>
      <c r="WBR2" s="95" t="n"/>
      <c r="WBS2" s="95" t="n"/>
      <c r="WBT2" s="95" t="n"/>
      <c r="WBU2" s="95" t="n"/>
      <c r="WBV2" s="95" t="n"/>
      <c r="WBW2" s="95" t="n"/>
      <c r="WBX2" s="95" t="n"/>
      <c r="WBY2" s="95" t="n"/>
      <c r="WBZ2" s="95" t="n"/>
      <c r="WCA2" s="95" t="n"/>
      <c r="WCB2" s="95" t="n"/>
      <c r="WCC2" s="95" t="n"/>
      <c r="WCD2" s="95" t="n"/>
      <c r="WCE2" s="95" t="n"/>
      <c r="WCF2" s="95" t="n"/>
      <c r="WCG2" s="95" t="n"/>
      <c r="WCH2" s="95" t="n"/>
      <c r="WCI2" s="95" t="n"/>
      <c r="WCJ2" s="95" t="n"/>
      <c r="WCK2" s="95" t="n"/>
      <c r="WCL2" s="95" t="n"/>
      <c r="WCM2" s="95" t="n"/>
      <c r="WCN2" s="95" t="n"/>
      <c r="WCO2" s="95" t="n"/>
      <c r="WCP2" s="95" t="n"/>
      <c r="WCQ2" s="95" t="n"/>
      <c r="WCR2" s="95" t="n"/>
      <c r="WCS2" s="95" t="n"/>
      <c r="WCT2" s="95" t="n"/>
      <c r="WCU2" s="95" t="n"/>
      <c r="WCV2" s="95" t="n"/>
      <c r="WCW2" s="95" t="n"/>
      <c r="WCX2" s="95" t="n"/>
      <c r="WCY2" s="95" t="n"/>
      <c r="WCZ2" s="95" t="n"/>
      <c r="WDA2" s="95" t="n"/>
      <c r="WDB2" s="95" t="n"/>
      <c r="WDC2" s="95" t="n"/>
      <c r="WDD2" s="95" t="n"/>
      <c r="WDE2" s="95" t="n"/>
      <c r="WDF2" s="95" t="n"/>
      <c r="WDG2" s="95" t="n"/>
      <c r="WDH2" s="95" t="n"/>
      <c r="WDI2" s="95" t="n"/>
      <c r="WDJ2" s="95" t="n"/>
      <c r="WDK2" s="95" t="n"/>
      <c r="WDL2" s="95" t="n"/>
      <c r="WDM2" s="95" t="n"/>
      <c r="WDN2" s="95" t="n"/>
      <c r="WDO2" s="95" t="n"/>
      <c r="WDP2" s="95" t="n"/>
      <c r="WDQ2" s="95" t="n"/>
      <c r="WDR2" s="95" t="n"/>
      <c r="WDS2" s="95" t="n"/>
      <c r="WDT2" s="95" t="n"/>
      <c r="WDU2" s="95" t="n"/>
      <c r="WDV2" s="95" t="n"/>
      <c r="WDW2" s="95" t="n"/>
      <c r="WDX2" s="95" t="n"/>
      <c r="WDY2" s="95" t="n"/>
      <c r="WDZ2" s="95" t="n"/>
      <c r="WEA2" s="95" t="n"/>
      <c r="WEB2" s="95" t="n"/>
      <c r="WEC2" s="95" t="n"/>
      <c r="WED2" s="95" t="n"/>
      <c r="WEE2" s="95" t="n"/>
      <c r="WEF2" s="95" t="n"/>
      <c r="WEG2" s="95" t="n"/>
      <c r="WEH2" s="95" t="n"/>
      <c r="WEI2" s="95" t="n"/>
      <c r="WEJ2" s="95" t="n"/>
      <c r="WEK2" s="95" t="n"/>
      <c r="WEL2" s="95" t="n"/>
      <c r="WEM2" s="95" t="n"/>
      <c r="WEN2" s="95" t="n"/>
      <c r="WEO2" s="95" t="n"/>
      <c r="WEP2" s="95" t="n"/>
      <c r="WEQ2" s="95" t="n"/>
      <c r="WER2" s="95" t="n"/>
      <c r="WES2" s="95" t="n"/>
      <c r="WET2" s="95" t="n"/>
      <c r="WEU2" s="95" t="n"/>
      <c r="WEV2" s="95" t="n"/>
      <c r="WEW2" s="95" t="n"/>
      <c r="WEX2" s="95" t="n"/>
      <c r="WEY2" s="95" t="n"/>
      <c r="WEZ2" s="95" t="n"/>
      <c r="WFA2" s="95" t="n"/>
      <c r="WFB2" s="95" t="n"/>
      <c r="WFC2" s="95" t="n"/>
      <c r="WFD2" s="95" t="n"/>
      <c r="WFE2" s="95" t="n"/>
      <c r="WFF2" s="95" t="n"/>
      <c r="WFG2" s="95" t="n"/>
      <c r="WFH2" s="95" t="n"/>
      <c r="WFI2" s="95" t="n"/>
      <c r="WFJ2" s="95" t="n"/>
      <c r="WFK2" s="95" t="n"/>
      <c r="WFL2" s="95" t="n"/>
      <c r="WFM2" s="95" t="n"/>
      <c r="WFN2" s="95" t="n"/>
      <c r="WFO2" s="95" t="n"/>
      <c r="WFP2" s="95" t="n"/>
      <c r="WFQ2" s="95" t="n"/>
      <c r="WFR2" s="95" t="n"/>
      <c r="WFS2" s="95" t="n"/>
      <c r="WFT2" s="95" t="n"/>
      <c r="WFU2" s="95" t="n"/>
      <c r="WFV2" s="95" t="n"/>
      <c r="WFW2" s="95" t="n"/>
      <c r="WFX2" s="95" t="n"/>
      <c r="WFY2" s="95" t="n"/>
      <c r="WFZ2" s="95" t="n"/>
      <c r="WGA2" s="95" t="n"/>
      <c r="WGB2" s="95" t="n"/>
      <c r="WGC2" s="95" t="n"/>
      <c r="WGD2" s="95" t="n"/>
      <c r="WGE2" s="95" t="n"/>
      <c r="WGF2" s="95" t="n"/>
      <c r="WGG2" s="95" t="n"/>
      <c r="WGH2" s="95" t="n"/>
      <c r="WGI2" s="95" t="n"/>
      <c r="WGJ2" s="95" t="n"/>
      <c r="WGK2" s="95" t="n"/>
      <c r="WGL2" s="95" t="n"/>
      <c r="WGM2" s="95" t="n"/>
      <c r="WGN2" s="95" t="n"/>
      <c r="WGO2" s="95" t="n"/>
      <c r="WGP2" s="95" t="n"/>
      <c r="WGQ2" s="95" t="n"/>
      <c r="WGR2" s="95" t="n"/>
      <c r="WGS2" s="95" t="n"/>
      <c r="WGT2" s="95" t="n"/>
      <c r="WGU2" s="95" t="n"/>
      <c r="WGV2" s="95" t="n"/>
      <c r="WGW2" s="95" t="n"/>
      <c r="WGX2" s="95" t="n"/>
      <c r="WGY2" s="95" t="n"/>
      <c r="WGZ2" s="95" t="n"/>
      <c r="WHA2" s="95" t="n"/>
      <c r="WHB2" s="95" t="n"/>
      <c r="WHC2" s="95" t="n"/>
      <c r="WHD2" s="95" t="n"/>
      <c r="WHE2" s="95" t="n"/>
      <c r="WHF2" s="95" t="n"/>
      <c r="WHG2" s="95" t="n"/>
      <c r="WHH2" s="95" t="n"/>
      <c r="WHI2" s="95" t="n"/>
      <c r="WHJ2" s="95" t="n"/>
      <c r="WHK2" s="95" t="n"/>
      <c r="WHL2" s="95" t="n"/>
      <c r="WHM2" s="95" t="n"/>
      <c r="WHN2" s="95" t="n"/>
      <c r="WHO2" s="95" t="n"/>
      <c r="WHP2" s="95" t="n"/>
      <c r="WHQ2" s="95" t="n"/>
      <c r="WHR2" s="95" t="n"/>
      <c r="WHS2" s="95" t="n"/>
      <c r="WHT2" s="95" t="n"/>
      <c r="WHU2" s="95" t="n"/>
      <c r="WHV2" s="95" t="n"/>
      <c r="WHW2" s="95" t="n"/>
      <c r="WHX2" s="95" t="n"/>
      <c r="WHY2" s="95" t="n"/>
      <c r="WHZ2" s="95" t="n"/>
      <c r="WIA2" s="95" t="n"/>
      <c r="WIB2" s="95" t="n"/>
      <c r="WIC2" s="95" t="n"/>
      <c r="WID2" s="95" t="n"/>
      <c r="WIE2" s="95" t="n"/>
      <c r="WIF2" s="95" t="n"/>
      <c r="WIG2" s="95" t="n"/>
      <c r="WIH2" s="95" t="n"/>
      <c r="WII2" s="95" t="n"/>
      <c r="WIJ2" s="95" t="n"/>
      <c r="WIK2" s="95" t="n"/>
      <c r="WIL2" s="95" t="n"/>
      <c r="WIM2" s="95" t="n"/>
      <c r="WIN2" s="95" t="n"/>
      <c r="WIO2" s="95" t="n"/>
      <c r="WIP2" s="95" t="n"/>
      <c r="WIQ2" s="95" t="n"/>
      <c r="WIR2" s="95" t="n"/>
      <c r="WIS2" s="95" t="n"/>
      <c r="WIT2" s="95" t="n"/>
      <c r="WIU2" s="95" t="n"/>
      <c r="WIV2" s="95" t="n"/>
      <c r="WIW2" s="95" t="n"/>
      <c r="WIX2" s="95" t="n"/>
      <c r="WIY2" s="95" t="n"/>
      <c r="WIZ2" s="95" t="n"/>
      <c r="WJA2" s="95" t="n"/>
      <c r="WJB2" s="95" t="n"/>
      <c r="WJC2" s="95" t="n"/>
      <c r="WJD2" s="95" t="n"/>
      <c r="WJE2" s="95" t="n"/>
      <c r="WJF2" s="95" t="n"/>
      <c r="WJG2" s="95" t="n"/>
      <c r="WJH2" s="95" t="n"/>
      <c r="WJI2" s="95" t="n"/>
      <c r="WJJ2" s="95" t="n"/>
      <c r="WJK2" s="95" t="n"/>
      <c r="WJL2" s="95" t="n"/>
      <c r="WJM2" s="95" t="n"/>
      <c r="WJN2" s="95" t="n"/>
      <c r="WJO2" s="95" t="n"/>
      <c r="WJP2" s="95" t="n"/>
      <c r="WJQ2" s="95" t="n"/>
      <c r="WJR2" s="95" t="n"/>
      <c r="WJS2" s="95" t="n"/>
      <c r="WJT2" s="95" t="n"/>
      <c r="WJU2" s="95" t="n"/>
      <c r="WJV2" s="95" t="n"/>
      <c r="WJW2" s="95" t="n"/>
      <c r="WJX2" s="95" t="n"/>
      <c r="WJY2" s="95" t="n"/>
      <c r="WJZ2" s="95" t="n"/>
      <c r="WKA2" s="95" t="n"/>
      <c r="WKB2" s="95" t="n"/>
      <c r="WKC2" s="95" t="n"/>
      <c r="WKD2" s="95" t="n"/>
      <c r="WKE2" s="95" t="n"/>
      <c r="WKF2" s="95" t="n"/>
      <c r="WKG2" s="95" t="n"/>
      <c r="WKH2" s="95" t="n"/>
      <c r="WKI2" s="95" t="n"/>
      <c r="WKJ2" s="95" t="n"/>
      <c r="WKK2" s="95" t="n"/>
      <c r="WKL2" s="95" t="n"/>
      <c r="WKM2" s="95" t="n"/>
      <c r="WKN2" s="95" t="n"/>
      <c r="WKO2" s="95" t="n"/>
      <c r="WKP2" s="95" t="n"/>
      <c r="WKQ2" s="95" t="n"/>
      <c r="WKR2" s="95" t="n"/>
      <c r="WKS2" s="95" t="n"/>
      <c r="WKT2" s="95" t="n"/>
      <c r="WKU2" s="95" t="n"/>
      <c r="WKV2" s="95" t="n"/>
      <c r="WKW2" s="95" t="n"/>
      <c r="WKX2" s="95" t="n"/>
      <c r="WKY2" s="95" t="n"/>
      <c r="WKZ2" s="95" t="n"/>
      <c r="WLA2" s="95" t="n"/>
      <c r="WLB2" s="95" t="n"/>
      <c r="WLC2" s="95" t="n"/>
      <c r="WLD2" s="95" t="n"/>
      <c r="WLE2" s="95" t="n"/>
      <c r="WLF2" s="95" t="n"/>
      <c r="WLG2" s="95" t="n"/>
      <c r="WLH2" s="95" t="n"/>
      <c r="WLI2" s="95" t="n"/>
      <c r="WLJ2" s="95" t="n"/>
      <c r="WLK2" s="95" t="n"/>
      <c r="WLL2" s="95" t="n"/>
      <c r="WLM2" s="95" t="n"/>
      <c r="WLN2" s="95" t="n"/>
      <c r="WLO2" s="95" t="n"/>
      <c r="WLP2" s="95" t="n"/>
      <c r="WLQ2" s="95" t="n"/>
      <c r="WLR2" s="95" t="n"/>
      <c r="WLS2" s="95" t="n"/>
      <c r="WLT2" s="95" t="n"/>
      <c r="WLU2" s="95" t="n"/>
      <c r="WLV2" s="95" t="n"/>
      <c r="WLW2" s="95" t="n"/>
      <c r="WLX2" s="95" t="n"/>
      <c r="WLY2" s="95" t="n"/>
      <c r="WLZ2" s="95" t="n"/>
      <c r="WMA2" s="95" t="n"/>
      <c r="WMB2" s="95" t="n"/>
      <c r="WMC2" s="95" t="n"/>
      <c r="WMD2" s="95" t="n"/>
      <c r="WME2" s="95" t="n"/>
      <c r="WMF2" s="95" t="n"/>
      <c r="WMG2" s="95" t="n"/>
      <c r="WMH2" s="95" t="n"/>
      <c r="WMI2" s="95" t="n"/>
      <c r="WMJ2" s="95" t="n"/>
      <c r="WMK2" s="95" t="n"/>
      <c r="WML2" s="95" t="n"/>
      <c r="WMM2" s="95" t="n"/>
      <c r="WMN2" s="95" t="n"/>
      <c r="WMO2" s="95" t="n"/>
      <c r="WMP2" s="95" t="n"/>
      <c r="WMQ2" s="95" t="n"/>
      <c r="WMR2" s="95" t="n"/>
      <c r="WMS2" s="95" t="n"/>
      <c r="WMT2" s="95" t="n"/>
      <c r="WMU2" s="95" t="n"/>
      <c r="WMV2" s="95" t="n"/>
      <c r="WMW2" s="95" t="n"/>
      <c r="WMX2" s="95" t="n"/>
      <c r="WMY2" s="95" t="n"/>
      <c r="WMZ2" s="95" t="n"/>
      <c r="WNA2" s="95" t="n"/>
      <c r="WNB2" s="95" t="n"/>
      <c r="WNC2" s="95" t="n"/>
      <c r="WND2" s="95" t="n"/>
      <c r="WNE2" s="95" t="n"/>
      <c r="WNF2" s="95" t="n"/>
      <c r="WNG2" s="95" t="n"/>
      <c r="WNH2" s="95" t="n"/>
      <c r="WNI2" s="95" t="n"/>
      <c r="WNJ2" s="95" t="n"/>
      <c r="WNK2" s="95" t="n"/>
      <c r="WNL2" s="95" t="n"/>
      <c r="WNM2" s="95" t="n"/>
      <c r="WNN2" s="95" t="n"/>
      <c r="WNO2" s="95" t="n"/>
      <c r="WNP2" s="95" t="n"/>
      <c r="WNQ2" s="95" t="n"/>
      <c r="WNR2" s="95" t="n"/>
      <c r="WNS2" s="95" t="n"/>
      <c r="WNT2" s="95" t="n"/>
      <c r="WNU2" s="95" t="n"/>
      <c r="WNV2" s="95" t="n"/>
      <c r="WNW2" s="95" t="n"/>
      <c r="WNX2" s="95" t="n"/>
      <c r="WNY2" s="95" t="n"/>
      <c r="WNZ2" s="95" t="n"/>
      <c r="WOA2" s="95" t="n"/>
      <c r="WOB2" s="95" t="n"/>
      <c r="WOC2" s="95" t="n"/>
      <c r="WOD2" s="95" t="n"/>
      <c r="WOE2" s="95" t="n"/>
      <c r="WOF2" s="95" t="n"/>
      <c r="WOG2" s="95" t="n"/>
      <c r="WOH2" s="95" t="n"/>
      <c r="WOI2" s="95" t="n"/>
      <c r="WOJ2" s="95" t="n"/>
      <c r="WOK2" s="95" t="n"/>
      <c r="WOL2" s="95" t="n"/>
      <c r="WOM2" s="95" t="n"/>
      <c r="WON2" s="95" t="n"/>
      <c r="WOO2" s="95" t="n"/>
      <c r="WOP2" s="95" t="n"/>
      <c r="WOQ2" s="95" t="n"/>
      <c r="WOR2" s="95" t="n"/>
      <c r="WOS2" s="95" t="n"/>
      <c r="WOT2" s="95" t="n"/>
      <c r="WOU2" s="95" t="n"/>
      <c r="WOV2" s="95" t="n"/>
      <c r="WOW2" s="95" t="n"/>
      <c r="WOX2" s="95" t="n"/>
      <c r="WOY2" s="95" t="n"/>
      <c r="WOZ2" s="95" t="n"/>
      <c r="WPA2" s="95" t="n"/>
      <c r="WPB2" s="95" t="n"/>
      <c r="WPC2" s="95" t="n"/>
      <c r="WPD2" s="95" t="n"/>
      <c r="WPE2" s="95" t="n"/>
      <c r="WPF2" s="95" t="n"/>
      <c r="WPG2" s="95" t="n"/>
      <c r="WPH2" s="95" t="n"/>
      <c r="WPI2" s="95" t="n"/>
      <c r="WPJ2" s="95" t="n"/>
      <c r="WPK2" s="95" t="n"/>
      <c r="WPL2" s="95" t="n"/>
      <c r="WPM2" s="95" t="n"/>
      <c r="WPN2" s="95" t="n"/>
      <c r="WPO2" s="95" t="n"/>
      <c r="WPP2" s="95" t="n"/>
      <c r="WPQ2" s="95" t="n"/>
      <c r="WPR2" s="95" t="n"/>
      <c r="WPS2" s="95" t="n"/>
      <c r="WPT2" s="95" t="n"/>
      <c r="WPU2" s="95" t="n"/>
      <c r="WPV2" s="95" t="n"/>
      <c r="WPW2" s="95" t="n"/>
      <c r="WPX2" s="95" t="n"/>
      <c r="WPY2" s="95" t="n"/>
      <c r="WPZ2" s="95" t="n"/>
      <c r="WQA2" s="95" t="n"/>
      <c r="WQB2" s="95" t="n"/>
      <c r="WQC2" s="95" t="n"/>
      <c r="WQD2" s="95" t="n"/>
      <c r="WQE2" s="95" t="n"/>
      <c r="WQF2" s="95" t="n"/>
      <c r="WQG2" s="95" t="n"/>
      <c r="WQH2" s="95" t="n"/>
      <c r="WQI2" s="95" t="n"/>
      <c r="WQJ2" s="95" t="n"/>
      <c r="WQK2" s="95" t="n"/>
      <c r="WQL2" s="95" t="n"/>
      <c r="WQM2" s="95" t="n"/>
      <c r="WQN2" s="95" t="n"/>
      <c r="WQO2" s="95" t="n"/>
      <c r="WQP2" s="95" t="n"/>
      <c r="WQQ2" s="95" t="n"/>
      <c r="WQR2" s="95" t="n"/>
      <c r="WQS2" s="95" t="n"/>
      <c r="WQT2" s="95" t="n"/>
      <c r="WQU2" s="95" t="n"/>
      <c r="WQV2" s="95" t="n"/>
      <c r="WQW2" s="95" t="n"/>
      <c r="WQX2" s="95" t="n"/>
      <c r="WQY2" s="95" t="n"/>
      <c r="WQZ2" s="95" t="n"/>
      <c r="WRA2" s="95" t="n"/>
      <c r="WRB2" s="95" t="n"/>
      <c r="WRC2" s="95" t="n"/>
      <c r="WRD2" s="95" t="n"/>
      <c r="WRE2" s="95" t="n"/>
      <c r="WRF2" s="95" t="n"/>
      <c r="WRG2" s="95" t="n"/>
      <c r="WRH2" s="95" t="n"/>
      <c r="WRI2" s="95" t="n"/>
      <c r="WRJ2" s="95" t="n"/>
      <c r="WRK2" s="95" t="n"/>
      <c r="WRL2" s="95" t="n"/>
      <c r="WRM2" s="95" t="n"/>
      <c r="WRN2" s="95" t="n"/>
      <c r="WRO2" s="95" t="n"/>
      <c r="WRP2" s="95" t="n"/>
      <c r="WRQ2" s="95" t="n"/>
      <c r="WRR2" s="95" t="n"/>
      <c r="WRS2" s="95" t="n"/>
      <c r="WRT2" s="95" t="n"/>
      <c r="WRU2" s="95" t="n"/>
      <c r="WRV2" s="95" t="n"/>
      <c r="WRW2" s="95" t="n"/>
      <c r="WRX2" s="95" t="n"/>
      <c r="WRY2" s="95" t="n"/>
      <c r="WRZ2" s="95" t="n"/>
      <c r="WSA2" s="95" t="n"/>
      <c r="WSB2" s="95" t="n"/>
      <c r="WSC2" s="95" t="n"/>
      <c r="WSD2" s="95" t="n"/>
      <c r="WSE2" s="95" t="n"/>
      <c r="WSF2" s="95" t="n"/>
      <c r="WSG2" s="95" t="n"/>
      <c r="WSH2" s="95" t="n"/>
      <c r="WSI2" s="95" t="n"/>
      <c r="WSJ2" s="95" t="n"/>
      <c r="WSK2" s="95" t="n"/>
      <c r="WSL2" s="95" t="n"/>
      <c r="WSM2" s="95" t="n"/>
      <c r="WSN2" s="95" t="n"/>
      <c r="WSO2" s="95" t="n"/>
      <c r="WSP2" s="95" t="n"/>
      <c r="WSQ2" s="95" t="n"/>
      <c r="WSR2" s="95" t="n"/>
      <c r="WSS2" s="95" t="n"/>
      <c r="WST2" s="95" t="n"/>
      <c r="WSU2" s="95" t="n"/>
      <c r="WSV2" s="95" t="n"/>
      <c r="WSW2" s="95" t="n"/>
      <c r="WSX2" s="95" t="n"/>
      <c r="WSY2" s="95" t="n"/>
      <c r="WSZ2" s="95" t="n"/>
      <c r="WTA2" s="95" t="n"/>
      <c r="WTB2" s="95" t="n"/>
      <c r="WTC2" s="95" t="n"/>
      <c r="WTD2" s="95" t="n"/>
      <c r="WTE2" s="95" t="n"/>
      <c r="WTF2" s="95" t="n"/>
      <c r="WTG2" s="95" t="n"/>
      <c r="WTH2" s="95" t="n"/>
      <c r="WTI2" s="95" t="n"/>
      <c r="WTJ2" s="95" t="n"/>
      <c r="WTK2" s="95" t="n"/>
      <c r="WTL2" s="95" t="n"/>
      <c r="WTM2" s="95" t="n"/>
      <c r="WTN2" s="95" t="n"/>
      <c r="WTO2" s="95" t="n"/>
      <c r="WTP2" s="95" t="n"/>
      <c r="WTQ2" s="95" t="n"/>
      <c r="WTR2" s="95" t="n"/>
      <c r="WTS2" s="95" t="n"/>
      <c r="WTT2" s="95" t="n"/>
      <c r="WTU2" s="95" t="n"/>
      <c r="WTV2" s="95" t="n"/>
      <c r="WTW2" s="95" t="n"/>
      <c r="WTX2" s="95" t="n"/>
      <c r="WTY2" s="95" t="n"/>
      <c r="WTZ2" s="95" t="n"/>
      <c r="WUA2" s="95" t="n"/>
      <c r="WUB2" s="95" t="n"/>
      <c r="WUC2" s="95" t="n"/>
      <c r="WUD2" s="95" t="n"/>
      <c r="WUE2" s="95" t="n"/>
      <c r="WUF2" s="95" t="n"/>
      <c r="WUG2" s="95" t="n"/>
      <c r="WUH2" s="95" t="n"/>
      <c r="WUI2" s="95" t="n"/>
      <c r="WUJ2" s="95" t="n"/>
      <c r="WUK2" s="95" t="n"/>
      <c r="WUL2" s="95" t="n"/>
      <c r="WUM2" s="95" t="n"/>
      <c r="WUN2" s="95" t="n"/>
      <c r="WUO2" s="95" t="n"/>
      <c r="WUP2" s="95" t="n"/>
      <c r="WUQ2" s="95" t="n"/>
      <c r="WUR2" s="95" t="n"/>
      <c r="WUS2" s="95" t="n"/>
      <c r="WUT2" s="95" t="n"/>
      <c r="WUU2" s="95" t="n"/>
      <c r="WUV2" s="95" t="n"/>
      <c r="WUW2" s="95" t="n"/>
      <c r="WUX2" s="95" t="n"/>
      <c r="WUY2" s="95" t="n"/>
      <c r="WUZ2" s="95" t="n"/>
      <c r="WVA2" s="95" t="n"/>
      <c r="WVB2" s="95" t="n"/>
      <c r="WVC2" s="95" t="n"/>
      <c r="WVD2" s="95" t="n"/>
      <c r="WVE2" s="95" t="n"/>
      <c r="WVF2" s="95" t="n"/>
      <c r="WVG2" s="95" t="n"/>
      <c r="WVH2" s="95" t="n"/>
      <c r="WVI2" s="95" t="n"/>
      <c r="WVJ2" s="95" t="n"/>
      <c r="WVK2" s="95" t="n"/>
      <c r="WVL2" s="95" t="n"/>
      <c r="WVM2" s="95" t="n"/>
      <c r="WVN2" s="95" t="n"/>
      <c r="WVO2" s="95" t="n"/>
      <c r="WVP2" s="95" t="n"/>
      <c r="WVQ2" s="95" t="n"/>
      <c r="WVR2" s="95" t="n"/>
      <c r="WVS2" s="95" t="n"/>
      <c r="WVT2" s="95" t="n"/>
      <c r="WVU2" s="95" t="n"/>
      <c r="WVV2" s="95" t="n"/>
      <c r="WVW2" s="95" t="n"/>
      <c r="WVX2" s="95" t="n"/>
      <c r="WVY2" s="95" t="n"/>
      <c r="WVZ2" s="95" t="n"/>
      <c r="WWA2" s="95" t="n"/>
      <c r="WWB2" s="95" t="n"/>
      <c r="WWC2" s="95" t="n"/>
      <c r="WWD2" s="95" t="n"/>
      <c r="WWE2" s="95" t="n"/>
      <c r="WWF2" s="95" t="n"/>
      <c r="WWG2" s="95" t="n"/>
      <c r="WWH2" s="95" t="n"/>
      <c r="WWI2" s="95" t="n"/>
      <c r="WWJ2" s="95" t="n"/>
      <c r="WWK2" s="95" t="n"/>
      <c r="WWL2" s="95" t="n"/>
      <c r="WWM2" s="95" t="n"/>
      <c r="WWN2" s="95" t="n"/>
      <c r="WWO2" s="95" t="n"/>
      <c r="WWP2" s="95" t="n"/>
      <c r="WWQ2" s="95" t="n"/>
      <c r="WWR2" s="95" t="n"/>
      <c r="WWS2" s="95" t="n"/>
      <c r="WWT2" s="95" t="n"/>
      <c r="WWU2" s="95" t="n"/>
      <c r="WWV2" s="95" t="n"/>
      <c r="WWW2" s="95" t="n"/>
      <c r="WWX2" s="95" t="n"/>
      <c r="WWY2" s="95" t="n"/>
      <c r="WWZ2" s="95" t="n"/>
      <c r="WXA2" s="95" t="n"/>
      <c r="WXB2" s="95" t="n"/>
      <c r="WXC2" s="95" t="n"/>
      <c r="WXD2" s="95" t="n"/>
      <c r="WXE2" s="95" t="n"/>
      <c r="WXF2" s="95" t="n"/>
      <c r="WXG2" s="95" t="n"/>
      <c r="WXH2" s="95" t="n"/>
      <c r="WXI2" s="95" t="n"/>
      <c r="WXJ2" s="95" t="n"/>
      <c r="WXK2" s="95" t="n"/>
      <c r="WXL2" s="95" t="n"/>
      <c r="WXM2" s="95" t="n"/>
      <c r="WXN2" s="95" t="n"/>
      <c r="WXO2" s="95" t="n"/>
      <c r="WXP2" s="95" t="n"/>
      <c r="WXQ2" s="95" t="n"/>
      <c r="WXR2" s="95" t="n"/>
      <c r="WXS2" s="95" t="n"/>
      <c r="WXT2" s="95" t="n"/>
      <c r="WXU2" s="95" t="n"/>
      <c r="WXV2" s="95" t="n"/>
      <c r="WXW2" s="95" t="n"/>
      <c r="WXX2" s="95" t="n"/>
      <c r="WXY2" s="95" t="n"/>
      <c r="WXZ2" s="95" t="n"/>
      <c r="WYA2" s="95" t="n"/>
      <c r="WYB2" s="95" t="n"/>
      <c r="WYC2" s="95" t="n"/>
      <c r="WYD2" s="95" t="n"/>
      <c r="WYE2" s="95" t="n"/>
      <c r="WYF2" s="95" t="n"/>
      <c r="WYG2" s="95" t="n"/>
      <c r="WYH2" s="95" t="n"/>
      <c r="WYI2" s="95" t="n"/>
      <c r="WYJ2" s="95" t="n"/>
      <c r="WYK2" s="95" t="n"/>
      <c r="WYL2" s="95" t="n"/>
      <c r="WYM2" s="95" t="n"/>
      <c r="WYN2" s="95" t="n"/>
      <c r="WYO2" s="95" t="n"/>
      <c r="WYP2" s="95" t="n"/>
      <c r="WYQ2" s="95" t="n"/>
      <c r="WYR2" s="95" t="n"/>
      <c r="WYS2" s="95" t="n"/>
      <c r="WYT2" s="95" t="n"/>
      <c r="WYU2" s="95" t="n"/>
      <c r="WYV2" s="95" t="n"/>
      <c r="WYW2" s="95" t="n"/>
      <c r="WYX2" s="95" t="n"/>
      <c r="WYY2" s="95" t="n"/>
      <c r="WYZ2" s="95" t="n"/>
      <c r="WZA2" s="95" t="n"/>
      <c r="WZB2" s="95" t="n"/>
      <c r="WZC2" s="95" t="n"/>
      <c r="WZD2" s="95" t="n"/>
      <c r="WZE2" s="95" t="n"/>
      <c r="WZF2" s="95" t="n"/>
      <c r="WZG2" s="95" t="n"/>
      <c r="WZH2" s="95" t="n"/>
      <c r="WZI2" s="95" t="n"/>
      <c r="WZJ2" s="95" t="n"/>
      <c r="WZK2" s="95" t="n"/>
      <c r="WZL2" s="95" t="n"/>
      <c r="WZM2" s="95" t="n"/>
      <c r="WZN2" s="95" t="n"/>
      <c r="WZO2" s="95" t="n"/>
      <c r="WZP2" s="95" t="n"/>
      <c r="WZQ2" s="95" t="n"/>
      <c r="WZR2" s="95" t="n"/>
      <c r="WZS2" s="95" t="n"/>
      <c r="WZT2" s="95" t="n"/>
      <c r="WZU2" s="95" t="n"/>
      <c r="WZV2" s="95" t="n"/>
      <c r="WZW2" s="95" t="n"/>
      <c r="WZX2" s="95" t="n"/>
      <c r="WZY2" s="95" t="n"/>
      <c r="WZZ2" s="95" t="n"/>
      <c r="XAA2" s="95" t="n"/>
      <c r="XAB2" s="95" t="n"/>
      <c r="XAC2" s="95" t="n"/>
      <c r="XAD2" s="95" t="n"/>
      <c r="XAE2" s="95" t="n"/>
      <c r="XAF2" s="95" t="n"/>
      <c r="XAG2" s="95" t="n"/>
      <c r="XAH2" s="95" t="n"/>
      <c r="XAI2" s="95" t="n"/>
      <c r="XAJ2" s="95" t="n"/>
      <c r="XAK2" s="95" t="n"/>
      <c r="XAL2" s="95" t="n"/>
      <c r="XAM2" s="95" t="n"/>
      <c r="XAN2" s="95" t="n"/>
      <c r="XAO2" s="95" t="n"/>
      <c r="XAP2" s="95" t="n"/>
      <c r="XAQ2" s="95" t="n"/>
      <c r="XAR2" s="95" t="n"/>
      <c r="XAS2" s="95" t="n"/>
      <c r="XAT2" s="95" t="n"/>
      <c r="XAU2" s="95" t="n"/>
      <c r="XAV2" s="95" t="n"/>
      <c r="XAW2" s="95" t="n"/>
      <c r="XAX2" s="95" t="n"/>
      <c r="XAY2" s="95" t="n"/>
      <c r="XAZ2" s="95" t="n"/>
      <c r="XBA2" s="95" t="n"/>
      <c r="XBB2" s="95" t="n"/>
      <c r="XBC2" s="95" t="n"/>
      <c r="XBD2" s="95" t="n"/>
      <c r="XBE2" s="95" t="n"/>
      <c r="XBF2" s="95" t="n"/>
      <c r="XBG2" s="95" t="n"/>
      <c r="XBH2" s="95" t="n"/>
      <c r="XBI2" s="95" t="n"/>
      <c r="XBJ2" s="95" t="n"/>
      <c r="XBK2" s="95" t="n"/>
      <c r="XBL2" s="95" t="n"/>
      <c r="XBM2" s="95" t="n"/>
      <c r="XBN2" s="95" t="n"/>
      <c r="XBO2" s="95" t="n"/>
      <c r="XBP2" s="95" t="n"/>
      <c r="XBQ2" s="95" t="n"/>
      <c r="XBR2" s="95" t="n"/>
      <c r="XBS2" s="95" t="n"/>
      <c r="XBT2" s="95" t="n"/>
      <c r="XBU2" s="95" t="n"/>
      <c r="XBV2" s="95" t="n"/>
      <c r="XBW2" s="95" t="n"/>
      <c r="XBX2" s="95" t="n"/>
      <c r="XBY2" s="95" t="n"/>
      <c r="XBZ2" s="95" t="n"/>
      <c r="XCA2" s="95" t="n"/>
      <c r="XCB2" s="95" t="n"/>
      <c r="XCC2" s="95" t="n"/>
      <c r="XCD2" s="95" t="n"/>
      <c r="XCE2" s="95" t="n"/>
      <c r="XCF2" s="95" t="n"/>
      <c r="XCG2" s="95" t="n"/>
      <c r="XCH2" s="95" t="n"/>
      <c r="XCI2" s="95" t="n"/>
      <c r="XCJ2" s="95" t="n"/>
      <c r="XCK2" s="95" t="n"/>
      <c r="XCL2" s="95" t="n"/>
      <c r="XCM2" s="95" t="n"/>
      <c r="XCN2" s="95" t="n"/>
      <c r="XCO2" s="95" t="n"/>
      <c r="XCP2" s="95" t="n"/>
      <c r="XCQ2" s="95" t="n"/>
      <c r="XCR2" s="95" t="n"/>
      <c r="XCS2" s="95" t="n"/>
      <c r="XCT2" s="95" t="n"/>
      <c r="XCU2" s="95" t="n"/>
      <c r="XCV2" s="95" t="n"/>
      <c r="XCW2" s="95" t="n"/>
      <c r="XCX2" s="95" t="n"/>
      <c r="XCY2" s="95" t="n"/>
      <c r="XCZ2" s="95" t="n"/>
      <c r="XDA2" s="95" t="n"/>
      <c r="XDB2" s="95" t="n"/>
      <c r="XDC2" s="95" t="n"/>
      <c r="XDD2" s="95" t="n"/>
      <c r="XDE2" s="95" t="n"/>
      <c r="XDF2" s="95" t="n"/>
      <c r="XDG2" s="95" t="n"/>
      <c r="XDH2" s="95" t="n"/>
      <c r="XDI2" s="95" t="n"/>
      <c r="XDJ2" s="95" t="n"/>
      <c r="XDK2" s="95" t="n"/>
      <c r="XDL2" s="95" t="n"/>
      <c r="XDM2" s="95" t="n"/>
      <c r="XDN2" s="95" t="n"/>
      <c r="XDO2" s="95" t="n"/>
      <c r="XDP2" s="95" t="n"/>
      <c r="XDQ2" s="95" t="n"/>
      <c r="XDR2" s="95" t="n"/>
      <c r="XDS2" s="95" t="n"/>
      <c r="XDT2" s="95" t="n"/>
      <c r="XDU2" s="95" t="n"/>
      <c r="XDV2" s="95" t="n"/>
      <c r="XDW2" s="95" t="n"/>
      <c r="XDX2" s="95" t="n"/>
      <c r="XDY2" s="95" t="n"/>
      <c r="XDZ2" s="95" t="n"/>
      <c r="XEA2" s="95" t="n"/>
      <c r="XEB2" s="95" t="n"/>
      <c r="XEC2" s="95" t="n"/>
      <c r="XED2" s="95" t="n"/>
      <c r="XEE2" s="95" t="n"/>
      <c r="XEF2" s="95" t="n"/>
      <c r="XEG2" s="95" t="n"/>
      <c r="XEH2" s="95" t="n"/>
      <c r="XEI2" s="95" t="n"/>
      <c r="XEJ2" s="95" t="n"/>
      <c r="XEK2" s="95" t="n"/>
      <c r="XEL2" s="95" t="n"/>
      <c r="XEM2" s="95" t="n"/>
      <c r="XEN2" s="95" t="n"/>
      <c r="XEO2" s="95" t="n"/>
      <c r="XEP2" s="95" t="n"/>
      <c r="XEQ2" s="95" t="n"/>
      <c r="XER2" s="95" t="n"/>
      <c r="XES2" s="95" t="n"/>
      <c r="XET2" s="95" t="n"/>
      <c r="XEU2" s="95" t="n"/>
      <c r="XEV2" s="95" t="n"/>
      <c r="XEW2" s="95" t="n"/>
      <c r="XEX2" s="95" t="n"/>
      <c r="XEY2" s="95" t="n"/>
      <c r="XEZ2" s="95" t="n"/>
      <c r="XFA2" s="95" t="n"/>
      <c r="XFB2" s="95" t="n"/>
      <c r="XFC2" s="95" t="n"/>
      <c r="XFD2" s="95" t="n"/>
    </row>
    <row r="3" ht="24.5" customFormat="1" customHeight="1" s="17">
      <c r="A3" s="95" t="n"/>
      <c r="B3" s="95" t="n"/>
      <c r="C3" s="95" t="n"/>
      <c r="D3" s="95" t="n"/>
      <c r="E3" s="225" t="n"/>
      <c r="F3" s="69" t="n"/>
      <c r="G3" s="69" t="n"/>
      <c r="H3" s="69" t="n"/>
      <c r="I3" s="69" t="n"/>
      <c r="J3" s="69" t="n"/>
      <c r="K3" s="69" t="n"/>
      <c r="L3" s="69" t="n"/>
      <c r="M3" s="69" t="n"/>
      <c r="N3" s="69" t="n"/>
      <c r="O3" s="69" t="n"/>
      <c r="P3" s="69" t="n"/>
      <c r="Q3" s="69" t="n"/>
      <c r="R3" s="95" t="n"/>
      <c r="S3" s="95" t="n"/>
      <c r="T3" s="95" t="n"/>
      <c r="U3" s="95" t="n"/>
      <c r="V3" s="95" t="n"/>
      <c r="W3" s="95" t="n"/>
      <c r="X3" s="95" t="n"/>
      <c r="Y3" s="95" t="n"/>
      <c r="Z3" s="95" t="n"/>
      <c r="AA3" s="95" t="n"/>
      <c r="AB3" s="95" t="n"/>
      <c r="AC3" s="95" t="n"/>
      <c r="AD3" s="95" t="n"/>
      <c r="AE3" s="95" t="n"/>
      <c r="AF3" s="95" t="n"/>
      <c r="AG3" s="95" t="n"/>
      <c r="AH3" s="95" t="n"/>
      <c r="AI3" s="95" t="n"/>
      <c r="AJ3" s="95" t="n"/>
      <c r="AK3" s="95" t="n"/>
      <c r="AL3" s="95" t="n"/>
      <c r="AM3" s="95" t="n"/>
      <c r="AN3" s="95" t="n"/>
      <c r="AO3" s="95" t="n"/>
      <c r="AP3" s="95" t="n"/>
      <c r="AQ3" s="95" t="n"/>
      <c r="AR3" s="95" t="n"/>
      <c r="AS3" s="95" t="n"/>
      <c r="AT3" s="95" t="n"/>
      <c r="AU3" s="95" t="n"/>
      <c r="AV3" s="95" t="n"/>
      <c r="AW3" s="95"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5" t="n"/>
      <c r="CE3" s="95" t="n"/>
      <c r="CF3" s="95" t="n"/>
      <c r="CG3" s="95" t="n"/>
      <c r="CH3" s="95" t="n"/>
      <c r="CI3" s="95" t="n"/>
      <c r="CJ3" s="95" t="n"/>
      <c r="CK3" s="95" t="n"/>
      <c r="CL3" s="95" t="n"/>
      <c r="CM3" s="95" t="n"/>
      <c r="CN3" s="95" t="n"/>
      <c r="CO3" s="95" t="n"/>
      <c r="CP3" s="95" t="n"/>
      <c r="CQ3" s="95" t="n"/>
      <c r="CR3" s="95" t="n"/>
      <c r="CS3" s="95" t="n"/>
      <c r="CT3" s="95" t="n"/>
      <c r="CU3" s="95" t="n"/>
      <c r="CV3" s="95" t="n"/>
      <c r="CW3" s="95" t="n"/>
      <c r="CX3" s="95" t="n"/>
      <c r="CY3" s="95" t="n"/>
      <c r="CZ3" s="95" t="n"/>
      <c r="DA3" s="95" t="n"/>
      <c r="DB3" s="95" t="n"/>
      <c r="DC3" s="95" t="n"/>
      <c r="DD3" s="95" t="n"/>
      <c r="DE3" s="95" t="n"/>
      <c r="DF3" s="95" t="n"/>
      <c r="DG3" s="95" t="n"/>
      <c r="DH3" s="95" t="n"/>
      <c r="DI3" s="95" t="n"/>
      <c r="DJ3" s="95" t="n"/>
      <c r="DK3" s="95" t="n"/>
      <c r="DL3" s="95" t="n"/>
      <c r="DM3" s="95" t="n"/>
      <c r="DN3" s="95" t="n"/>
      <c r="DO3" s="95" t="n"/>
      <c r="DP3" s="95" t="n"/>
      <c r="DQ3" s="95" t="n"/>
      <c r="DR3" s="95" t="n"/>
      <c r="DS3" s="95" t="n"/>
      <c r="DT3" s="95" t="n"/>
      <c r="DU3" s="95" t="n"/>
      <c r="DV3" s="95" t="n"/>
      <c r="DW3" s="95" t="n"/>
      <c r="DX3" s="95" t="n"/>
      <c r="DY3" s="95" t="n"/>
      <c r="DZ3" s="95" t="n"/>
      <c r="EA3" s="95" t="n"/>
      <c r="EB3" s="95" t="n"/>
      <c r="EC3" s="95" t="n"/>
      <c r="ED3" s="95" t="n"/>
      <c r="EE3" s="95" t="n"/>
      <c r="EF3" s="95" t="n"/>
      <c r="EG3" s="95" t="n"/>
      <c r="EH3" s="95" t="n"/>
      <c r="EI3" s="95" t="n"/>
      <c r="EJ3" s="95" t="n"/>
      <c r="EK3" s="95" t="n"/>
      <c r="EL3" s="95" t="n"/>
      <c r="EM3" s="95" t="n"/>
      <c r="EN3" s="95" t="n"/>
      <c r="EO3" s="95" t="n"/>
      <c r="EP3" s="95" t="n"/>
      <c r="EQ3" s="95" t="n"/>
      <c r="ER3" s="95" t="n"/>
      <c r="ES3" s="95" t="n"/>
      <c r="ET3" s="95" t="n"/>
      <c r="EU3" s="95" t="n"/>
      <c r="EV3" s="95" t="n"/>
      <c r="EW3" s="95" t="n"/>
      <c r="EX3" s="95" t="n"/>
      <c r="EY3" s="95" t="n"/>
      <c r="EZ3" s="95" t="n"/>
      <c r="FA3" s="95" t="n"/>
      <c r="FB3" s="95" t="n"/>
      <c r="FC3" s="95" t="n"/>
      <c r="FD3" s="95" t="n"/>
      <c r="FE3" s="95" t="n"/>
      <c r="FF3" s="95" t="n"/>
      <c r="FG3" s="95" t="n"/>
      <c r="FH3" s="95" t="n"/>
      <c r="FI3" s="95" t="n"/>
      <c r="FJ3" s="95" t="n"/>
      <c r="FK3" s="95" t="n"/>
      <c r="FL3" s="95" t="n"/>
      <c r="FM3" s="95" t="n"/>
      <c r="FN3" s="95" t="n"/>
      <c r="FO3" s="95" t="n"/>
      <c r="FP3" s="95" t="n"/>
      <c r="FQ3" s="95" t="n"/>
      <c r="FR3" s="95" t="n"/>
      <c r="FS3" s="95" t="n"/>
      <c r="FT3" s="95" t="n"/>
      <c r="FU3" s="95" t="n"/>
      <c r="FV3" s="95" t="n"/>
      <c r="FW3" s="95" t="n"/>
      <c r="FX3" s="95" t="n"/>
      <c r="FY3" s="95" t="n"/>
      <c r="FZ3" s="95" t="n"/>
      <c r="GA3" s="95" t="n"/>
      <c r="GB3" s="95" t="n"/>
      <c r="GC3" s="95" t="n"/>
      <c r="GD3" s="95" t="n"/>
      <c r="GE3" s="95" t="n"/>
      <c r="GF3" s="95" t="n"/>
      <c r="GG3" s="95" t="n"/>
      <c r="GH3" s="95" t="n"/>
      <c r="GI3" s="95" t="n"/>
      <c r="GJ3" s="95" t="n"/>
      <c r="GK3" s="95" t="n"/>
      <c r="GL3" s="95" t="n"/>
      <c r="GM3" s="95" t="n"/>
      <c r="GN3" s="95" t="n"/>
      <c r="GO3" s="95" t="n"/>
      <c r="GP3" s="95" t="n"/>
      <c r="GQ3" s="95" t="n"/>
      <c r="GR3" s="95" t="n"/>
      <c r="GS3" s="95" t="n"/>
      <c r="GT3" s="95" t="n"/>
      <c r="GU3" s="95" t="n"/>
      <c r="GV3" s="95" t="n"/>
      <c r="GW3" s="95" t="n"/>
      <c r="GX3" s="95" t="n"/>
      <c r="GY3" s="95" t="n"/>
      <c r="GZ3" s="95" t="n"/>
      <c r="HA3" s="95" t="n"/>
      <c r="HB3" s="95" t="n"/>
      <c r="HC3" s="95" t="n"/>
      <c r="HD3" s="95" t="n"/>
      <c r="HE3" s="95" t="n"/>
      <c r="HF3" s="95" t="n"/>
      <c r="HG3" s="95" t="n"/>
      <c r="HH3" s="95" t="n"/>
      <c r="HI3" s="95" t="n"/>
      <c r="HJ3" s="95" t="n"/>
      <c r="HK3" s="95" t="n"/>
      <c r="HL3" s="95" t="n"/>
      <c r="HM3" s="95" t="n"/>
      <c r="HN3" s="95" t="n"/>
      <c r="HO3" s="95" t="n"/>
      <c r="HP3" s="95" t="n"/>
      <c r="HQ3" s="95" t="n"/>
      <c r="HR3" s="95" t="n"/>
      <c r="HS3" s="95" t="n"/>
      <c r="HT3" s="95" t="n"/>
      <c r="HU3" s="95" t="n"/>
      <c r="HV3" s="95" t="n"/>
      <c r="HW3" s="95" t="n"/>
      <c r="HX3" s="95" t="n"/>
      <c r="HY3" s="95" t="n"/>
      <c r="HZ3" s="95" t="n"/>
      <c r="IA3" s="95" t="n"/>
      <c r="IB3" s="95" t="n"/>
      <c r="IC3" s="95" t="n"/>
      <c r="ID3" s="95" t="n"/>
      <c r="IE3" s="95" t="n"/>
      <c r="IF3" s="95" t="n"/>
      <c r="IG3" s="95" t="n"/>
      <c r="IH3" s="95" t="n"/>
      <c r="II3" s="95" t="n"/>
      <c r="IJ3" s="95" t="n"/>
      <c r="IK3" s="95" t="n"/>
      <c r="IL3" s="95" t="n"/>
      <c r="IM3" s="95" t="n"/>
      <c r="IN3" s="95" t="n"/>
      <c r="IO3" s="95" t="n"/>
      <c r="IP3" s="95" t="n"/>
      <c r="IQ3" s="95" t="n"/>
      <c r="IR3" s="95" t="n"/>
      <c r="IS3" s="95" t="n"/>
      <c r="IT3" s="95" t="n"/>
      <c r="IU3" s="95" t="n"/>
      <c r="IV3" s="95" t="n"/>
      <c r="IW3" s="95" t="n"/>
      <c r="IX3" s="95" t="n"/>
      <c r="IY3" s="95" t="n"/>
      <c r="IZ3" s="95" t="n"/>
      <c r="JA3" s="95" t="n"/>
      <c r="JB3" s="95" t="n"/>
      <c r="JC3" s="95" t="n"/>
      <c r="JD3" s="95" t="n"/>
      <c r="JE3" s="95" t="n"/>
      <c r="JF3" s="95" t="n"/>
      <c r="JG3" s="95" t="n"/>
      <c r="JH3" s="95" t="n"/>
      <c r="JI3" s="95" t="n"/>
      <c r="JJ3" s="95" t="n"/>
      <c r="JK3" s="95" t="n"/>
      <c r="JL3" s="95" t="n"/>
      <c r="JM3" s="95" t="n"/>
      <c r="JN3" s="95" t="n"/>
      <c r="JO3" s="95" t="n"/>
      <c r="JP3" s="95" t="n"/>
      <c r="JQ3" s="95" t="n"/>
      <c r="JR3" s="95" t="n"/>
      <c r="JS3" s="95" t="n"/>
      <c r="JT3" s="95" t="n"/>
      <c r="JU3" s="95" t="n"/>
      <c r="JV3" s="95" t="n"/>
      <c r="JW3" s="95" t="n"/>
      <c r="JX3" s="95" t="n"/>
      <c r="JY3" s="95" t="n"/>
      <c r="JZ3" s="95" t="n"/>
      <c r="KA3" s="95" t="n"/>
      <c r="KB3" s="95" t="n"/>
      <c r="KC3" s="95" t="n"/>
      <c r="KD3" s="95" t="n"/>
      <c r="KE3" s="95" t="n"/>
      <c r="KF3" s="95" t="n"/>
      <c r="KG3" s="95" t="n"/>
      <c r="KH3" s="95" t="n"/>
      <c r="KI3" s="95" t="n"/>
      <c r="KJ3" s="95" t="n"/>
      <c r="KK3" s="95" t="n"/>
      <c r="KL3" s="95" t="n"/>
      <c r="KM3" s="95" t="n"/>
      <c r="KN3" s="95" t="n"/>
      <c r="KO3" s="95" t="n"/>
      <c r="KP3" s="95" t="n"/>
      <c r="KQ3" s="95" t="n"/>
      <c r="KR3" s="95" t="n"/>
      <c r="KS3" s="95" t="n"/>
      <c r="KT3" s="95" t="n"/>
      <c r="KU3" s="95" t="n"/>
      <c r="KV3" s="95" t="n"/>
      <c r="KW3" s="95" t="n"/>
      <c r="KX3" s="95" t="n"/>
      <c r="KY3" s="95" t="n"/>
      <c r="KZ3" s="95" t="n"/>
      <c r="LA3" s="95" t="n"/>
      <c r="LB3" s="95" t="n"/>
      <c r="LC3" s="95" t="n"/>
      <c r="LD3" s="95" t="n"/>
      <c r="LE3" s="95" t="n"/>
      <c r="LF3" s="95" t="n"/>
      <c r="LG3" s="95" t="n"/>
      <c r="LH3" s="95" t="n"/>
      <c r="LI3" s="95" t="n"/>
      <c r="LJ3" s="95" t="n"/>
      <c r="LK3" s="95" t="n"/>
      <c r="LL3" s="95" t="n"/>
      <c r="LM3" s="95" t="n"/>
      <c r="LN3" s="95" t="n"/>
      <c r="LO3" s="95" t="n"/>
      <c r="LP3" s="95" t="n"/>
      <c r="LQ3" s="95" t="n"/>
      <c r="LR3" s="95" t="n"/>
      <c r="LS3" s="95" t="n"/>
      <c r="LT3" s="95" t="n"/>
      <c r="LU3" s="95" t="n"/>
      <c r="LV3" s="95" t="n"/>
      <c r="LW3" s="95" t="n"/>
      <c r="LX3" s="95" t="n"/>
      <c r="LY3" s="95" t="n"/>
      <c r="LZ3" s="95" t="n"/>
      <c r="MA3" s="95" t="n"/>
      <c r="MB3" s="95" t="n"/>
      <c r="MC3" s="95" t="n"/>
      <c r="MD3" s="95" t="n"/>
      <c r="ME3" s="95" t="n"/>
      <c r="MF3" s="95" t="n"/>
      <c r="MG3" s="95" t="n"/>
      <c r="MH3" s="95" t="n"/>
      <c r="MI3" s="95" t="n"/>
      <c r="MJ3" s="95" t="n"/>
      <c r="MK3" s="95" t="n"/>
      <c r="ML3" s="95" t="n"/>
      <c r="MM3" s="95" t="n"/>
      <c r="MN3" s="95" t="n"/>
      <c r="MO3" s="95" t="n"/>
      <c r="MP3" s="95" t="n"/>
      <c r="MQ3" s="95" t="n"/>
      <c r="MR3" s="95" t="n"/>
      <c r="MS3" s="95" t="n"/>
      <c r="MT3" s="95" t="n"/>
      <c r="MU3" s="95" t="n"/>
      <c r="MV3" s="95" t="n"/>
      <c r="MW3" s="95" t="n"/>
      <c r="MX3" s="95" t="n"/>
      <c r="MY3" s="95" t="n"/>
      <c r="MZ3" s="95" t="n"/>
      <c r="NA3" s="95" t="n"/>
      <c r="NB3" s="95" t="n"/>
      <c r="NC3" s="95" t="n"/>
      <c r="ND3" s="95" t="n"/>
      <c r="NE3" s="95" t="n"/>
      <c r="NF3" s="95" t="n"/>
      <c r="NG3" s="95" t="n"/>
      <c r="NH3" s="95" t="n"/>
      <c r="NI3" s="95" t="n"/>
      <c r="NJ3" s="95" t="n"/>
      <c r="NK3" s="95" t="n"/>
      <c r="NL3" s="95" t="n"/>
      <c r="NM3" s="95" t="n"/>
      <c r="NN3" s="95" t="n"/>
      <c r="NO3" s="95" t="n"/>
      <c r="NP3" s="95" t="n"/>
      <c r="NQ3" s="95" t="n"/>
      <c r="NR3" s="95" t="n"/>
      <c r="NS3" s="95" t="n"/>
      <c r="NT3" s="95" t="n"/>
      <c r="NU3" s="95" t="n"/>
      <c r="NV3" s="95" t="n"/>
      <c r="NW3" s="95" t="n"/>
      <c r="NX3" s="95" t="n"/>
      <c r="NY3" s="95" t="n"/>
      <c r="NZ3" s="95" t="n"/>
      <c r="OA3" s="95" t="n"/>
      <c r="OB3" s="95" t="n"/>
      <c r="OC3" s="95" t="n"/>
      <c r="OD3" s="95" t="n"/>
      <c r="OE3" s="95" t="n"/>
      <c r="OF3" s="95" t="n"/>
      <c r="OG3" s="95" t="n"/>
      <c r="OH3" s="95" t="n"/>
      <c r="OI3" s="95" t="n"/>
      <c r="OJ3" s="95" t="n"/>
      <c r="OK3" s="95" t="n"/>
      <c r="OL3" s="95" t="n"/>
      <c r="OM3" s="95" t="n"/>
      <c r="ON3" s="95" t="n"/>
      <c r="OO3" s="95" t="n"/>
      <c r="OP3" s="95" t="n"/>
      <c r="OQ3" s="95" t="n"/>
      <c r="OR3" s="95" t="n"/>
      <c r="OS3" s="95" t="n"/>
      <c r="OT3" s="95" t="n"/>
      <c r="OU3" s="95" t="n"/>
      <c r="OV3" s="95" t="n"/>
      <c r="OW3" s="95" t="n"/>
      <c r="OX3" s="95" t="n"/>
      <c r="OY3" s="95" t="n"/>
      <c r="OZ3" s="95" t="n"/>
      <c r="PA3" s="95" t="n"/>
      <c r="PB3" s="95" t="n"/>
      <c r="PC3" s="95" t="n"/>
      <c r="PD3" s="95" t="n"/>
      <c r="PE3" s="95" t="n"/>
      <c r="PF3" s="95" t="n"/>
      <c r="PG3" s="95" t="n"/>
      <c r="PH3" s="95" t="n"/>
      <c r="PI3" s="95" t="n"/>
      <c r="PJ3" s="95" t="n"/>
      <c r="PK3" s="95" t="n"/>
      <c r="PL3" s="95" t="n"/>
      <c r="PM3" s="95" t="n"/>
      <c r="PN3" s="95" t="n"/>
      <c r="PO3" s="95" t="n"/>
      <c r="PP3" s="95" t="n"/>
      <c r="PQ3" s="95" t="n"/>
      <c r="PR3" s="95" t="n"/>
      <c r="PS3" s="95" t="n"/>
      <c r="PT3" s="95" t="n"/>
      <c r="PU3" s="95" t="n"/>
      <c r="PV3" s="95" t="n"/>
      <c r="PW3" s="95" t="n"/>
      <c r="PX3" s="95" t="n"/>
      <c r="PY3" s="95" t="n"/>
      <c r="PZ3" s="95" t="n"/>
      <c r="QA3" s="95" t="n"/>
      <c r="QB3" s="95" t="n"/>
      <c r="QC3" s="95" t="n"/>
      <c r="QD3" s="95" t="n"/>
      <c r="QE3" s="95" t="n"/>
      <c r="QF3" s="95" t="n"/>
      <c r="QG3" s="95" t="n"/>
      <c r="QH3" s="95" t="n"/>
      <c r="QI3" s="95" t="n"/>
      <c r="QJ3" s="95" t="n"/>
      <c r="QK3" s="95" t="n"/>
      <c r="QL3" s="95" t="n"/>
      <c r="QM3" s="95" t="n"/>
      <c r="QN3" s="95" t="n"/>
      <c r="QO3" s="95" t="n"/>
      <c r="QP3" s="95" t="n"/>
      <c r="QQ3" s="95" t="n"/>
      <c r="QR3" s="95" t="n"/>
      <c r="QS3" s="95" t="n"/>
      <c r="QT3" s="95" t="n"/>
      <c r="QU3" s="95" t="n"/>
      <c r="QV3" s="95" t="n"/>
      <c r="QW3" s="95" t="n"/>
      <c r="QX3" s="95" t="n"/>
      <c r="QY3" s="95" t="n"/>
      <c r="QZ3" s="95" t="n"/>
      <c r="RA3" s="95" t="n"/>
      <c r="RB3" s="95" t="n"/>
      <c r="RC3" s="95" t="n"/>
      <c r="RD3" s="95" t="n"/>
      <c r="RE3" s="95" t="n"/>
      <c r="RF3" s="95" t="n"/>
      <c r="RG3" s="95" t="n"/>
      <c r="RH3" s="95" t="n"/>
      <c r="RI3" s="95" t="n"/>
      <c r="RJ3" s="95" t="n"/>
      <c r="RK3" s="95" t="n"/>
      <c r="RL3" s="95" t="n"/>
      <c r="RM3" s="95" t="n"/>
      <c r="RN3" s="95" t="n"/>
      <c r="RO3" s="95" t="n"/>
      <c r="RP3" s="95" t="n"/>
      <c r="RQ3" s="95" t="n"/>
      <c r="RR3" s="95" t="n"/>
      <c r="RS3" s="95" t="n"/>
      <c r="RT3" s="95" t="n"/>
      <c r="RU3" s="95" t="n"/>
      <c r="RV3" s="95" t="n"/>
      <c r="RW3" s="95" t="n"/>
      <c r="RX3" s="95" t="n"/>
      <c r="RY3" s="95" t="n"/>
      <c r="RZ3" s="95" t="n"/>
      <c r="SA3" s="95" t="n"/>
      <c r="SB3" s="95" t="n"/>
      <c r="SC3" s="95" t="n"/>
      <c r="SD3" s="95" t="n"/>
      <c r="SE3" s="95" t="n"/>
      <c r="SF3" s="95" t="n"/>
      <c r="SG3" s="95" t="n"/>
      <c r="SH3" s="95" t="n"/>
      <c r="SI3" s="95" t="n"/>
      <c r="SJ3" s="95" t="n"/>
      <c r="SK3" s="95" t="n"/>
      <c r="SL3" s="95" t="n"/>
      <c r="SM3" s="95" t="n"/>
      <c r="SN3" s="95" t="n"/>
      <c r="SO3" s="95" t="n"/>
      <c r="SP3" s="95" t="n"/>
      <c r="SQ3" s="95" t="n"/>
      <c r="SR3" s="95" t="n"/>
      <c r="SS3" s="95" t="n"/>
      <c r="ST3" s="95" t="n"/>
      <c r="SU3" s="95" t="n"/>
      <c r="SV3" s="95" t="n"/>
      <c r="SW3" s="95" t="n"/>
      <c r="SX3" s="95" t="n"/>
      <c r="SY3" s="95" t="n"/>
      <c r="SZ3" s="95" t="n"/>
      <c r="TA3" s="95" t="n"/>
      <c r="TB3" s="95" t="n"/>
      <c r="TC3" s="95" t="n"/>
      <c r="TD3" s="95" t="n"/>
      <c r="TE3" s="95" t="n"/>
      <c r="TF3" s="95" t="n"/>
      <c r="TG3" s="95" t="n"/>
      <c r="TH3" s="95" t="n"/>
      <c r="TI3" s="95" t="n"/>
      <c r="TJ3" s="95" t="n"/>
      <c r="TK3" s="95" t="n"/>
      <c r="TL3" s="95" t="n"/>
      <c r="TM3" s="95" t="n"/>
      <c r="TN3" s="95" t="n"/>
      <c r="TO3" s="95" t="n"/>
      <c r="TP3" s="95" t="n"/>
      <c r="TQ3" s="95" t="n"/>
      <c r="TR3" s="95" t="n"/>
      <c r="TS3" s="95" t="n"/>
      <c r="TT3" s="95" t="n"/>
      <c r="TU3" s="95" t="n"/>
      <c r="TV3" s="95" t="n"/>
      <c r="TW3" s="95" t="n"/>
      <c r="TX3" s="95" t="n"/>
      <c r="TY3" s="95" t="n"/>
      <c r="TZ3" s="95" t="n"/>
      <c r="UA3" s="95" t="n"/>
      <c r="UB3" s="95" t="n"/>
      <c r="UC3" s="95" t="n"/>
      <c r="UD3" s="95" t="n"/>
      <c r="UE3" s="95" t="n"/>
      <c r="UF3" s="95" t="n"/>
      <c r="UG3" s="95" t="n"/>
      <c r="UH3" s="95" t="n"/>
      <c r="UI3" s="95" t="n"/>
      <c r="UJ3" s="95" t="n"/>
      <c r="UK3" s="95" t="n"/>
      <c r="UL3" s="95" t="n"/>
      <c r="UM3" s="95" t="n"/>
      <c r="UN3" s="95" t="n"/>
      <c r="UO3" s="95" t="n"/>
      <c r="UP3" s="95" t="n"/>
      <c r="UQ3" s="95" t="n"/>
      <c r="UR3" s="95" t="n"/>
      <c r="US3" s="95" t="n"/>
      <c r="UT3" s="95" t="n"/>
      <c r="UU3" s="95" t="n"/>
      <c r="UV3" s="95" t="n"/>
      <c r="UW3" s="95" t="n"/>
      <c r="UX3" s="95" t="n"/>
      <c r="UY3" s="95" t="n"/>
      <c r="UZ3" s="95" t="n"/>
      <c r="VA3" s="95" t="n"/>
      <c r="VB3" s="95" t="n"/>
      <c r="VC3" s="95" t="n"/>
      <c r="VD3" s="95" t="n"/>
      <c r="VE3" s="95" t="n"/>
      <c r="VF3" s="95" t="n"/>
      <c r="VG3" s="95" t="n"/>
      <c r="VH3" s="95" t="n"/>
      <c r="VI3" s="95" t="n"/>
      <c r="VJ3" s="95" t="n"/>
      <c r="VK3" s="95" t="n"/>
      <c r="VL3" s="95" t="n"/>
      <c r="VM3" s="95" t="n"/>
      <c r="VN3" s="95" t="n"/>
      <c r="VO3" s="95" t="n"/>
      <c r="VP3" s="95" t="n"/>
      <c r="VQ3" s="95" t="n"/>
      <c r="VR3" s="95" t="n"/>
      <c r="VS3" s="95" t="n"/>
      <c r="VT3" s="95" t="n"/>
      <c r="VU3" s="95" t="n"/>
      <c r="VV3" s="95" t="n"/>
      <c r="VW3" s="95" t="n"/>
      <c r="VX3" s="95" t="n"/>
      <c r="VY3" s="95" t="n"/>
      <c r="VZ3" s="95" t="n"/>
      <c r="WA3" s="95" t="n"/>
      <c r="WB3" s="95" t="n"/>
      <c r="WC3" s="95" t="n"/>
      <c r="WD3" s="95" t="n"/>
      <c r="WE3" s="95" t="n"/>
      <c r="WF3" s="95" t="n"/>
      <c r="WG3" s="95" t="n"/>
      <c r="WH3" s="95" t="n"/>
      <c r="WI3" s="95" t="n"/>
      <c r="WJ3" s="95" t="n"/>
      <c r="WK3" s="95" t="n"/>
      <c r="WL3" s="95" t="n"/>
      <c r="WM3" s="95" t="n"/>
      <c r="WN3" s="95" t="n"/>
      <c r="WO3" s="95" t="n"/>
      <c r="WP3" s="95" t="n"/>
      <c r="WQ3" s="95" t="n"/>
      <c r="WR3" s="95" t="n"/>
      <c r="WS3" s="95" t="n"/>
      <c r="WT3" s="95" t="n"/>
      <c r="WU3" s="95" t="n"/>
      <c r="WV3" s="95" t="n"/>
      <c r="WW3" s="95" t="n"/>
      <c r="WX3" s="95" t="n"/>
      <c r="WY3" s="95" t="n"/>
      <c r="WZ3" s="95" t="n"/>
      <c r="XA3" s="95" t="n"/>
      <c r="XB3" s="95" t="n"/>
      <c r="XC3" s="95" t="n"/>
      <c r="XD3" s="95" t="n"/>
      <c r="XE3" s="95" t="n"/>
      <c r="XF3" s="95" t="n"/>
      <c r="XG3" s="95" t="n"/>
      <c r="XH3" s="95" t="n"/>
      <c r="XI3" s="95" t="n"/>
      <c r="XJ3" s="95" t="n"/>
      <c r="XK3" s="95" t="n"/>
      <c r="XL3" s="95" t="n"/>
      <c r="XM3" s="95" t="n"/>
      <c r="XN3" s="95" t="n"/>
      <c r="XO3" s="95" t="n"/>
      <c r="XP3" s="95" t="n"/>
      <c r="XQ3" s="95" t="n"/>
      <c r="XR3" s="95" t="n"/>
      <c r="XS3" s="95" t="n"/>
      <c r="XT3" s="95" t="n"/>
      <c r="XU3" s="95" t="n"/>
      <c r="XV3" s="95" t="n"/>
      <c r="XW3" s="95" t="n"/>
      <c r="XX3" s="95" t="n"/>
      <c r="XY3" s="95" t="n"/>
      <c r="XZ3" s="95" t="n"/>
      <c r="YA3" s="95" t="n"/>
      <c r="YB3" s="95" t="n"/>
      <c r="YC3" s="95" t="n"/>
      <c r="YD3" s="95" t="n"/>
      <c r="YE3" s="95" t="n"/>
      <c r="YF3" s="95" t="n"/>
      <c r="YG3" s="95" t="n"/>
      <c r="YH3" s="95" t="n"/>
      <c r="YI3" s="95" t="n"/>
      <c r="YJ3" s="95" t="n"/>
      <c r="YK3" s="95" t="n"/>
      <c r="YL3" s="95" t="n"/>
      <c r="YM3" s="95" t="n"/>
      <c r="YN3" s="95" t="n"/>
      <c r="YO3" s="95" t="n"/>
      <c r="YP3" s="95" t="n"/>
      <c r="YQ3" s="95" t="n"/>
      <c r="YR3" s="95" t="n"/>
      <c r="YS3" s="95" t="n"/>
      <c r="YT3" s="95" t="n"/>
      <c r="YU3" s="95" t="n"/>
      <c r="YV3" s="95" t="n"/>
      <c r="YW3" s="95" t="n"/>
      <c r="YX3" s="95" t="n"/>
      <c r="YY3" s="95" t="n"/>
      <c r="YZ3" s="95" t="n"/>
      <c r="ZA3" s="95" t="n"/>
      <c r="ZB3" s="95" t="n"/>
      <c r="ZC3" s="95" t="n"/>
      <c r="ZD3" s="95" t="n"/>
      <c r="ZE3" s="95" t="n"/>
      <c r="ZF3" s="95" t="n"/>
      <c r="ZG3" s="95" t="n"/>
      <c r="ZH3" s="95" t="n"/>
      <c r="ZI3" s="95" t="n"/>
      <c r="ZJ3" s="95" t="n"/>
      <c r="ZK3" s="95" t="n"/>
      <c r="ZL3" s="95" t="n"/>
      <c r="ZM3" s="95" t="n"/>
      <c r="ZN3" s="95" t="n"/>
      <c r="ZO3" s="95" t="n"/>
      <c r="ZP3" s="95" t="n"/>
      <c r="ZQ3" s="95" t="n"/>
      <c r="ZR3" s="95" t="n"/>
      <c r="ZS3" s="95" t="n"/>
      <c r="ZT3" s="95" t="n"/>
      <c r="ZU3" s="95" t="n"/>
      <c r="ZV3" s="95" t="n"/>
      <c r="ZW3" s="95" t="n"/>
      <c r="ZX3" s="95" t="n"/>
      <c r="ZY3" s="95" t="n"/>
      <c r="ZZ3" s="95" t="n"/>
      <c r="AAA3" s="95" t="n"/>
      <c r="AAB3" s="95" t="n"/>
      <c r="AAC3" s="95" t="n"/>
      <c r="AAD3" s="95" t="n"/>
      <c r="AAE3" s="95" t="n"/>
      <c r="AAF3" s="95" t="n"/>
      <c r="AAG3" s="95" t="n"/>
      <c r="AAH3" s="95" t="n"/>
      <c r="AAI3" s="95" t="n"/>
      <c r="AAJ3" s="95" t="n"/>
      <c r="AAK3" s="95" t="n"/>
      <c r="AAL3" s="95" t="n"/>
      <c r="AAM3" s="95" t="n"/>
      <c r="AAN3" s="95" t="n"/>
      <c r="AAO3" s="95" t="n"/>
      <c r="AAP3" s="95" t="n"/>
      <c r="AAQ3" s="95" t="n"/>
      <c r="AAR3" s="95" t="n"/>
      <c r="AAS3" s="95" t="n"/>
      <c r="AAT3" s="95" t="n"/>
      <c r="AAU3" s="95" t="n"/>
      <c r="AAV3" s="95" t="n"/>
      <c r="AAW3" s="95" t="n"/>
      <c r="AAX3" s="95" t="n"/>
      <c r="AAY3" s="95" t="n"/>
      <c r="AAZ3" s="95" t="n"/>
      <c r="ABA3" s="95" t="n"/>
      <c r="ABB3" s="95" t="n"/>
      <c r="ABC3" s="95" t="n"/>
      <c r="ABD3" s="95" t="n"/>
      <c r="ABE3" s="95" t="n"/>
      <c r="ABF3" s="95" t="n"/>
      <c r="ABG3" s="95" t="n"/>
      <c r="ABH3" s="95" t="n"/>
      <c r="ABI3" s="95" t="n"/>
      <c r="ABJ3" s="95" t="n"/>
      <c r="ABK3" s="95" t="n"/>
      <c r="ABL3" s="95" t="n"/>
      <c r="ABM3" s="95" t="n"/>
      <c r="ABN3" s="95" t="n"/>
      <c r="ABO3" s="95" t="n"/>
      <c r="ABP3" s="95" t="n"/>
      <c r="ABQ3" s="95" t="n"/>
      <c r="ABR3" s="95" t="n"/>
      <c r="ABS3" s="95" t="n"/>
      <c r="ABT3" s="95" t="n"/>
      <c r="ABU3" s="95" t="n"/>
      <c r="ABV3" s="95" t="n"/>
      <c r="ABW3" s="95" t="n"/>
      <c r="ABX3" s="95" t="n"/>
      <c r="ABY3" s="95" t="n"/>
      <c r="ABZ3" s="95" t="n"/>
      <c r="ACA3" s="95" t="n"/>
      <c r="ACB3" s="95" t="n"/>
      <c r="ACC3" s="95" t="n"/>
      <c r="ACD3" s="95" t="n"/>
      <c r="ACE3" s="95" t="n"/>
      <c r="ACF3" s="95" t="n"/>
      <c r="ACG3" s="95" t="n"/>
      <c r="ACH3" s="95" t="n"/>
      <c r="ACI3" s="95" t="n"/>
      <c r="ACJ3" s="95" t="n"/>
      <c r="ACK3" s="95" t="n"/>
      <c r="ACL3" s="95" t="n"/>
      <c r="ACM3" s="95" t="n"/>
      <c r="ACN3" s="95" t="n"/>
      <c r="ACO3" s="95" t="n"/>
      <c r="ACP3" s="95" t="n"/>
      <c r="ACQ3" s="95" t="n"/>
      <c r="ACR3" s="95" t="n"/>
      <c r="ACS3" s="95" t="n"/>
      <c r="ACT3" s="95" t="n"/>
      <c r="ACU3" s="95" t="n"/>
      <c r="ACV3" s="95" t="n"/>
      <c r="ACW3" s="95" t="n"/>
      <c r="ACX3" s="95" t="n"/>
      <c r="ACY3" s="95" t="n"/>
      <c r="ACZ3" s="95" t="n"/>
      <c r="ADA3" s="95" t="n"/>
      <c r="ADB3" s="95" t="n"/>
      <c r="ADC3" s="95" t="n"/>
      <c r="ADD3" s="95" t="n"/>
      <c r="ADE3" s="95" t="n"/>
      <c r="ADF3" s="95" t="n"/>
      <c r="ADG3" s="95" t="n"/>
      <c r="ADH3" s="95" t="n"/>
      <c r="ADI3" s="95" t="n"/>
      <c r="ADJ3" s="95" t="n"/>
      <c r="ADK3" s="95" t="n"/>
      <c r="ADL3" s="95" t="n"/>
      <c r="ADM3" s="95" t="n"/>
      <c r="ADN3" s="95" t="n"/>
      <c r="ADO3" s="95" t="n"/>
      <c r="ADP3" s="95" t="n"/>
      <c r="ADQ3" s="95" t="n"/>
      <c r="ADR3" s="95" t="n"/>
      <c r="ADS3" s="95" t="n"/>
      <c r="ADT3" s="95" t="n"/>
      <c r="ADU3" s="95" t="n"/>
      <c r="ADV3" s="95" t="n"/>
      <c r="ADW3" s="95" t="n"/>
      <c r="ADX3" s="95" t="n"/>
      <c r="ADY3" s="95" t="n"/>
      <c r="ADZ3" s="95" t="n"/>
      <c r="AEA3" s="95" t="n"/>
      <c r="AEB3" s="95" t="n"/>
      <c r="AEC3" s="95" t="n"/>
      <c r="AED3" s="95" t="n"/>
      <c r="AEE3" s="95" t="n"/>
      <c r="AEF3" s="95" t="n"/>
      <c r="AEG3" s="95" t="n"/>
      <c r="AEH3" s="95" t="n"/>
      <c r="AEI3" s="95" t="n"/>
      <c r="AEJ3" s="95" t="n"/>
      <c r="AEK3" s="95" t="n"/>
      <c r="AEL3" s="95" t="n"/>
      <c r="AEM3" s="95" t="n"/>
      <c r="AEN3" s="95" t="n"/>
      <c r="AEO3" s="95" t="n"/>
      <c r="AEP3" s="95" t="n"/>
      <c r="AEQ3" s="95" t="n"/>
      <c r="AER3" s="95" t="n"/>
      <c r="AES3" s="95" t="n"/>
      <c r="AET3" s="95" t="n"/>
      <c r="AEU3" s="95" t="n"/>
      <c r="AEV3" s="95" t="n"/>
      <c r="AEW3" s="95" t="n"/>
      <c r="AEX3" s="95" t="n"/>
      <c r="AEY3" s="95" t="n"/>
      <c r="AEZ3" s="95" t="n"/>
      <c r="AFA3" s="95" t="n"/>
      <c r="AFB3" s="95" t="n"/>
      <c r="AFC3" s="95" t="n"/>
      <c r="AFD3" s="95" t="n"/>
      <c r="AFE3" s="95" t="n"/>
      <c r="AFF3" s="95" t="n"/>
      <c r="AFG3" s="95" t="n"/>
      <c r="AFH3" s="95" t="n"/>
      <c r="AFI3" s="95" t="n"/>
      <c r="AFJ3" s="95" t="n"/>
      <c r="AFK3" s="95" t="n"/>
      <c r="AFL3" s="95" t="n"/>
      <c r="AFM3" s="95" t="n"/>
      <c r="AFN3" s="95" t="n"/>
      <c r="AFO3" s="95" t="n"/>
      <c r="AFP3" s="95" t="n"/>
      <c r="AFQ3" s="95" t="n"/>
      <c r="AFR3" s="95" t="n"/>
      <c r="AFS3" s="95" t="n"/>
      <c r="AFT3" s="95" t="n"/>
      <c r="AFU3" s="95" t="n"/>
      <c r="AFV3" s="95" t="n"/>
      <c r="AFW3" s="95" t="n"/>
      <c r="AFX3" s="95" t="n"/>
      <c r="AFY3" s="95" t="n"/>
      <c r="AFZ3" s="95" t="n"/>
      <c r="AGA3" s="95" t="n"/>
      <c r="AGB3" s="95" t="n"/>
      <c r="AGC3" s="95" t="n"/>
      <c r="AGD3" s="95" t="n"/>
      <c r="AGE3" s="95" t="n"/>
      <c r="AGF3" s="95" t="n"/>
      <c r="AGG3" s="95" t="n"/>
      <c r="AGH3" s="95" t="n"/>
      <c r="AGI3" s="95" t="n"/>
      <c r="AGJ3" s="95" t="n"/>
      <c r="AGK3" s="95" t="n"/>
      <c r="AGL3" s="95" t="n"/>
      <c r="AGM3" s="95" t="n"/>
      <c r="AGN3" s="95" t="n"/>
      <c r="AGO3" s="95" t="n"/>
      <c r="AGP3" s="95" t="n"/>
      <c r="AGQ3" s="95" t="n"/>
      <c r="AGR3" s="95" t="n"/>
      <c r="AGS3" s="95" t="n"/>
      <c r="AGT3" s="95" t="n"/>
      <c r="AGU3" s="95" t="n"/>
      <c r="AGV3" s="95" t="n"/>
      <c r="AGW3" s="95" t="n"/>
      <c r="AGX3" s="95" t="n"/>
      <c r="AGY3" s="95" t="n"/>
      <c r="AGZ3" s="95" t="n"/>
      <c r="AHA3" s="95" t="n"/>
      <c r="AHB3" s="95" t="n"/>
      <c r="AHC3" s="95" t="n"/>
      <c r="AHD3" s="95" t="n"/>
      <c r="AHE3" s="95" t="n"/>
      <c r="AHF3" s="95" t="n"/>
      <c r="AHG3" s="95" t="n"/>
      <c r="AHH3" s="95" t="n"/>
      <c r="AHI3" s="95" t="n"/>
      <c r="AHJ3" s="95" t="n"/>
      <c r="AHK3" s="95" t="n"/>
      <c r="AHL3" s="95" t="n"/>
      <c r="AHM3" s="95" t="n"/>
      <c r="AHN3" s="95" t="n"/>
      <c r="AHO3" s="95" t="n"/>
      <c r="AHP3" s="95" t="n"/>
      <c r="AHQ3" s="95" t="n"/>
      <c r="AHR3" s="95" t="n"/>
      <c r="AHS3" s="95" t="n"/>
      <c r="AHT3" s="95" t="n"/>
      <c r="AHU3" s="95" t="n"/>
      <c r="AHV3" s="95" t="n"/>
      <c r="AHW3" s="95" t="n"/>
      <c r="AHX3" s="95" t="n"/>
      <c r="AHY3" s="95" t="n"/>
      <c r="AHZ3" s="95" t="n"/>
      <c r="AIA3" s="95" t="n"/>
      <c r="AIB3" s="95" t="n"/>
      <c r="AIC3" s="95" t="n"/>
      <c r="AID3" s="95" t="n"/>
      <c r="AIE3" s="95" t="n"/>
      <c r="AIF3" s="95" t="n"/>
      <c r="AIG3" s="95" t="n"/>
      <c r="AIH3" s="95" t="n"/>
      <c r="AII3" s="95" t="n"/>
      <c r="AIJ3" s="95" t="n"/>
      <c r="AIK3" s="95" t="n"/>
      <c r="AIL3" s="95" t="n"/>
      <c r="AIM3" s="95" t="n"/>
      <c r="AIN3" s="95" t="n"/>
      <c r="AIO3" s="95" t="n"/>
      <c r="AIP3" s="95" t="n"/>
      <c r="AIQ3" s="95" t="n"/>
      <c r="AIR3" s="95" t="n"/>
      <c r="AIS3" s="95" t="n"/>
      <c r="AIT3" s="95" t="n"/>
      <c r="AIU3" s="95" t="n"/>
      <c r="AIV3" s="95" t="n"/>
      <c r="AIW3" s="95" t="n"/>
      <c r="AIX3" s="95" t="n"/>
      <c r="AIY3" s="95" t="n"/>
      <c r="AIZ3" s="95" t="n"/>
      <c r="AJA3" s="95" t="n"/>
      <c r="AJB3" s="95" t="n"/>
      <c r="AJC3" s="95" t="n"/>
      <c r="AJD3" s="95" t="n"/>
      <c r="AJE3" s="95" t="n"/>
      <c r="AJF3" s="95" t="n"/>
      <c r="AJG3" s="95" t="n"/>
      <c r="AJH3" s="95" t="n"/>
      <c r="AJI3" s="95" t="n"/>
      <c r="AJJ3" s="95" t="n"/>
      <c r="AJK3" s="95" t="n"/>
      <c r="AJL3" s="95" t="n"/>
      <c r="AJM3" s="95" t="n"/>
      <c r="AJN3" s="95" t="n"/>
      <c r="AJO3" s="95" t="n"/>
      <c r="AJP3" s="95" t="n"/>
      <c r="AJQ3" s="95" t="n"/>
      <c r="AJR3" s="95" t="n"/>
      <c r="AJS3" s="95" t="n"/>
      <c r="AJT3" s="95" t="n"/>
      <c r="AJU3" s="95" t="n"/>
      <c r="AJV3" s="95" t="n"/>
      <c r="AJW3" s="95" t="n"/>
      <c r="AJX3" s="95" t="n"/>
      <c r="AJY3" s="95" t="n"/>
      <c r="AJZ3" s="95" t="n"/>
      <c r="AKA3" s="95" t="n"/>
      <c r="AKB3" s="95" t="n"/>
      <c r="AKC3" s="95" t="n"/>
      <c r="AKD3" s="95" t="n"/>
      <c r="AKE3" s="95" t="n"/>
      <c r="AKF3" s="95" t="n"/>
      <c r="AKG3" s="95" t="n"/>
      <c r="AKH3" s="95" t="n"/>
      <c r="AKI3" s="95" t="n"/>
      <c r="AKJ3" s="95" t="n"/>
      <c r="AKK3" s="95" t="n"/>
      <c r="AKL3" s="95" t="n"/>
      <c r="AKM3" s="95" t="n"/>
      <c r="AKN3" s="95" t="n"/>
      <c r="AKO3" s="95" t="n"/>
      <c r="AKP3" s="95" t="n"/>
      <c r="AKQ3" s="95" t="n"/>
      <c r="AKR3" s="95" t="n"/>
      <c r="AKS3" s="95" t="n"/>
      <c r="AKT3" s="95" t="n"/>
      <c r="AKU3" s="95" t="n"/>
      <c r="AKV3" s="95" t="n"/>
      <c r="AKW3" s="95" t="n"/>
      <c r="AKX3" s="95" t="n"/>
      <c r="AKY3" s="95" t="n"/>
      <c r="AKZ3" s="95" t="n"/>
      <c r="ALA3" s="95" t="n"/>
      <c r="ALB3" s="95" t="n"/>
      <c r="ALC3" s="95" t="n"/>
      <c r="ALD3" s="95" t="n"/>
      <c r="ALE3" s="95" t="n"/>
      <c r="ALF3" s="95" t="n"/>
      <c r="ALG3" s="95" t="n"/>
      <c r="ALH3" s="95" t="n"/>
      <c r="ALI3" s="95" t="n"/>
      <c r="ALJ3" s="95" t="n"/>
      <c r="ALK3" s="95" t="n"/>
      <c r="ALL3" s="95" t="n"/>
      <c r="ALM3" s="95" t="n"/>
      <c r="ALN3" s="95" t="n"/>
      <c r="ALO3" s="95" t="n"/>
      <c r="ALP3" s="95" t="n"/>
      <c r="ALQ3" s="95" t="n"/>
      <c r="ALR3" s="95" t="n"/>
      <c r="ALS3" s="95" t="n"/>
      <c r="ALT3" s="95" t="n"/>
      <c r="ALU3" s="95" t="n"/>
      <c r="ALV3" s="95" t="n"/>
      <c r="ALW3" s="95" t="n"/>
      <c r="ALX3" s="95" t="n"/>
      <c r="ALY3" s="95" t="n"/>
      <c r="ALZ3" s="95" t="n"/>
      <c r="AMA3" s="95" t="n"/>
      <c r="AMB3" s="95" t="n"/>
      <c r="AMC3" s="95" t="n"/>
      <c r="AMD3" s="95" t="n"/>
      <c r="AME3" s="95" t="n"/>
      <c r="AMF3" s="95" t="n"/>
      <c r="AMG3" s="95" t="n"/>
      <c r="AMH3" s="95" t="n"/>
      <c r="AMI3" s="95" t="n"/>
      <c r="AMJ3" s="95" t="n"/>
      <c r="AMK3" s="95" t="n"/>
      <c r="AML3" s="95" t="n"/>
      <c r="AMM3" s="95" t="n"/>
      <c r="AMN3" s="95" t="n"/>
      <c r="AMO3" s="95" t="n"/>
      <c r="AMP3" s="95" t="n"/>
      <c r="AMQ3" s="95" t="n"/>
      <c r="AMR3" s="95" t="n"/>
      <c r="AMS3" s="95" t="n"/>
      <c r="AMT3" s="95" t="n"/>
      <c r="AMU3" s="95" t="n"/>
      <c r="AMV3" s="95" t="n"/>
      <c r="AMW3" s="95" t="n"/>
      <c r="AMX3" s="95" t="n"/>
      <c r="AMY3" s="95" t="n"/>
      <c r="AMZ3" s="95" t="n"/>
      <c r="ANA3" s="95" t="n"/>
      <c r="ANB3" s="95" t="n"/>
      <c r="ANC3" s="95" t="n"/>
      <c r="AND3" s="95" t="n"/>
      <c r="ANE3" s="95" t="n"/>
      <c r="ANF3" s="95" t="n"/>
      <c r="ANG3" s="95" t="n"/>
      <c r="ANH3" s="95" t="n"/>
      <c r="ANI3" s="95" t="n"/>
      <c r="ANJ3" s="95" t="n"/>
      <c r="ANK3" s="95" t="n"/>
      <c r="ANL3" s="95" t="n"/>
      <c r="ANM3" s="95" t="n"/>
      <c r="ANN3" s="95" t="n"/>
      <c r="ANO3" s="95" t="n"/>
      <c r="ANP3" s="95" t="n"/>
      <c r="ANQ3" s="95" t="n"/>
      <c r="ANR3" s="95" t="n"/>
      <c r="ANS3" s="95" t="n"/>
      <c r="ANT3" s="95" t="n"/>
      <c r="ANU3" s="95" t="n"/>
      <c r="ANV3" s="95" t="n"/>
      <c r="ANW3" s="95" t="n"/>
      <c r="ANX3" s="95" t="n"/>
      <c r="ANY3" s="95" t="n"/>
      <c r="ANZ3" s="95" t="n"/>
      <c r="AOA3" s="95" t="n"/>
      <c r="AOB3" s="95" t="n"/>
      <c r="AOC3" s="95" t="n"/>
      <c r="AOD3" s="95" t="n"/>
      <c r="AOE3" s="95" t="n"/>
      <c r="AOF3" s="95" t="n"/>
      <c r="AOG3" s="95" t="n"/>
      <c r="AOH3" s="95" t="n"/>
      <c r="AOI3" s="95" t="n"/>
      <c r="AOJ3" s="95" t="n"/>
      <c r="AOK3" s="95" t="n"/>
      <c r="AOL3" s="95" t="n"/>
      <c r="AOM3" s="95" t="n"/>
      <c r="AON3" s="95" t="n"/>
      <c r="AOO3" s="95" t="n"/>
      <c r="AOP3" s="95" t="n"/>
      <c r="AOQ3" s="95" t="n"/>
      <c r="AOR3" s="95" t="n"/>
      <c r="AOS3" s="95" t="n"/>
      <c r="AOT3" s="95" t="n"/>
      <c r="AOU3" s="95" t="n"/>
      <c r="AOV3" s="95" t="n"/>
      <c r="AOW3" s="95" t="n"/>
      <c r="AOX3" s="95" t="n"/>
      <c r="AOY3" s="95" t="n"/>
      <c r="AOZ3" s="95" t="n"/>
      <c r="APA3" s="95" t="n"/>
      <c r="APB3" s="95" t="n"/>
      <c r="APC3" s="95" t="n"/>
      <c r="APD3" s="95" t="n"/>
      <c r="APE3" s="95" t="n"/>
      <c r="APF3" s="95" t="n"/>
      <c r="APG3" s="95" t="n"/>
      <c r="APH3" s="95" t="n"/>
      <c r="API3" s="95" t="n"/>
      <c r="APJ3" s="95" t="n"/>
      <c r="APK3" s="95" t="n"/>
      <c r="APL3" s="95" t="n"/>
      <c r="APM3" s="95" t="n"/>
      <c r="APN3" s="95" t="n"/>
      <c r="APO3" s="95" t="n"/>
      <c r="APP3" s="95" t="n"/>
      <c r="APQ3" s="95" t="n"/>
      <c r="APR3" s="95" t="n"/>
      <c r="APS3" s="95" t="n"/>
      <c r="APT3" s="95" t="n"/>
      <c r="APU3" s="95" t="n"/>
      <c r="APV3" s="95" t="n"/>
      <c r="APW3" s="95" t="n"/>
      <c r="APX3" s="95" t="n"/>
      <c r="APY3" s="95" t="n"/>
      <c r="APZ3" s="95" t="n"/>
      <c r="AQA3" s="95" t="n"/>
      <c r="AQB3" s="95" t="n"/>
      <c r="AQC3" s="95" t="n"/>
      <c r="AQD3" s="95" t="n"/>
      <c r="AQE3" s="95" t="n"/>
      <c r="AQF3" s="95" t="n"/>
      <c r="AQG3" s="95" t="n"/>
      <c r="AQH3" s="95" t="n"/>
      <c r="AQI3" s="95" t="n"/>
      <c r="AQJ3" s="95" t="n"/>
      <c r="AQK3" s="95" t="n"/>
      <c r="AQL3" s="95" t="n"/>
      <c r="AQM3" s="95" t="n"/>
      <c r="AQN3" s="95" t="n"/>
      <c r="AQO3" s="95" t="n"/>
      <c r="AQP3" s="95" t="n"/>
      <c r="AQQ3" s="95" t="n"/>
      <c r="AQR3" s="95" t="n"/>
      <c r="AQS3" s="95" t="n"/>
      <c r="AQT3" s="95" t="n"/>
      <c r="AQU3" s="95" t="n"/>
      <c r="AQV3" s="95" t="n"/>
      <c r="AQW3" s="95" t="n"/>
      <c r="AQX3" s="95" t="n"/>
      <c r="AQY3" s="95" t="n"/>
      <c r="AQZ3" s="95" t="n"/>
      <c r="ARA3" s="95" t="n"/>
      <c r="ARB3" s="95" t="n"/>
      <c r="ARC3" s="95" t="n"/>
      <c r="ARD3" s="95" t="n"/>
      <c r="ARE3" s="95" t="n"/>
      <c r="ARF3" s="95" t="n"/>
      <c r="ARG3" s="95" t="n"/>
      <c r="ARH3" s="95" t="n"/>
      <c r="ARI3" s="95" t="n"/>
      <c r="ARJ3" s="95" t="n"/>
      <c r="ARK3" s="95" t="n"/>
      <c r="ARL3" s="95" t="n"/>
      <c r="ARM3" s="95" t="n"/>
      <c r="ARN3" s="95" t="n"/>
      <c r="ARO3" s="95" t="n"/>
      <c r="ARP3" s="95" t="n"/>
      <c r="ARQ3" s="95" t="n"/>
      <c r="ARR3" s="95" t="n"/>
      <c r="ARS3" s="95" t="n"/>
      <c r="ART3" s="95" t="n"/>
      <c r="ARU3" s="95" t="n"/>
      <c r="ARV3" s="95" t="n"/>
      <c r="ARW3" s="95" t="n"/>
      <c r="ARX3" s="95" t="n"/>
      <c r="ARY3" s="95" t="n"/>
      <c r="ARZ3" s="95" t="n"/>
      <c r="ASA3" s="95" t="n"/>
      <c r="ASB3" s="95" t="n"/>
      <c r="ASC3" s="95" t="n"/>
      <c r="ASD3" s="95" t="n"/>
      <c r="ASE3" s="95" t="n"/>
      <c r="ASF3" s="95" t="n"/>
      <c r="ASG3" s="95" t="n"/>
      <c r="ASH3" s="95" t="n"/>
      <c r="ASI3" s="95" t="n"/>
      <c r="ASJ3" s="95" t="n"/>
      <c r="ASK3" s="95" t="n"/>
      <c r="ASL3" s="95" t="n"/>
      <c r="ASM3" s="95" t="n"/>
      <c r="ASN3" s="95" t="n"/>
      <c r="ASO3" s="95" t="n"/>
      <c r="ASP3" s="95" t="n"/>
      <c r="ASQ3" s="95" t="n"/>
      <c r="ASR3" s="95" t="n"/>
      <c r="ASS3" s="95" t="n"/>
      <c r="AST3" s="95" t="n"/>
      <c r="ASU3" s="95" t="n"/>
      <c r="ASV3" s="95" t="n"/>
      <c r="ASW3" s="95" t="n"/>
      <c r="ASX3" s="95" t="n"/>
      <c r="ASY3" s="95" t="n"/>
      <c r="ASZ3" s="95" t="n"/>
      <c r="ATA3" s="95" t="n"/>
      <c r="ATB3" s="95" t="n"/>
      <c r="ATC3" s="95" t="n"/>
      <c r="ATD3" s="95" t="n"/>
      <c r="ATE3" s="95" t="n"/>
      <c r="ATF3" s="95" t="n"/>
      <c r="ATG3" s="95" t="n"/>
      <c r="ATH3" s="95" t="n"/>
      <c r="ATI3" s="95" t="n"/>
      <c r="ATJ3" s="95" t="n"/>
      <c r="ATK3" s="95" t="n"/>
      <c r="ATL3" s="95" t="n"/>
      <c r="ATM3" s="95" t="n"/>
      <c r="ATN3" s="95" t="n"/>
      <c r="ATO3" s="95" t="n"/>
      <c r="ATP3" s="95" t="n"/>
      <c r="ATQ3" s="95" t="n"/>
      <c r="ATR3" s="95" t="n"/>
      <c r="ATS3" s="95" t="n"/>
      <c r="ATT3" s="95" t="n"/>
      <c r="ATU3" s="95" t="n"/>
      <c r="ATV3" s="95" t="n"/>
      <c r="ATW3" s="95" t="n"/>
      <c r="ATX3" s="95" t="n"/>
      <c r="ATY3" s="95" t="n"/>
      <c r="ATZ3" s="95" t="n"/>
      <c r="AUA3" s="95" t="n"/>
      <c r="AUB3" s="95" t="n"/>
      <c r="AUC3" s="95" t="n"/>
      <c r="AUD3" s="95" t="n"/>
      <c r="AUE3" s="95" t="n"/>
      <c r="AUF3" s="95" t="n"/>
      <c r="AUG3" s="95" t="n"/>
      <c r="AUH3" s="95" t="n"/>
      <c r="AUI3" s="95" t="n"/>
      <c r="AUJ3" s="95" t="n"/>
      <c r="AUK3" s="95" t="n"/>
      <c r="AUL3" s="95" t="n"/>
      <c r="AUM3" s="95" t="n"/>
      <c r="AUN3" s="95" t="n"/>
      <c r="AUO3" s="95" t="n"/>
      <c r="AUP3" s="95" t="n"/>
      <c r="AUQ3" s="95" t="n"/>
      <c r="AUR3" s="95" t="n"/>
      <c r="AUS3" s="95" t="n"/>
      <c r="AUT3" s="95" t="n"/>
      <c r="AUU3" s="95" t="n"/>
      <c r="AUV3" s="95" t="n"/>
      <c r="AUW3" s="95" t="n"/>
      <c r="AUX3" s="95" t="n"/>
      <c r="AUY3" s="95" t="n"/>
      <c r="AUZ3" s="95" t="n"/>
      <c r="AVA3" s="95" t="n"/>
      <c r="AVB3" s="95" t="n"/>
      <c r="AVC3" s="95" t="n"/>
      <c r="AVD3" s="95" t="n"/>
      <c r="AVE3" s="95" t="n"/>
      <c r="AVF3" s="95" t="n"/>
      <c r="AVG3" s="95" t="n"/>
      <c r="AVH3" s="95" t="n"/>
      <c r="AVI3" s="95" t="n"/>
      <c r="AVJ3" s="95" t="n"/>
      <c r="AVK3" s="95" t="n"/>
      <c r="AVL3" s="95" t="n"/>
      <c r="AVM3" s="95" t="n"/>
      <c r="AVN3" s="95" t="n"/>
      <c r="AVO3" s="95" t="n"/>
      <c r="AVP3" s="95" t="n"/>
      <c r="AVQ3" s="95" t="n"/>
      <c r="AVR3" s="95" t="n"/>
      <c r="AVS3" s="95" t="n"/>
      <c r="AVT3" s="95" t="n"/>
      <c r="AVU3" s="95" t="n"/>
      <c r="AVV3" s="95" t="n"/>
      <c r="AVW3" s="95" t="n"/>
      <c r="AVX3" s="95" t="n"/>
      <c r="AVY3" s="95" t="n"/>
      <c r="AVZ3" s="95" t="n"/>
      <c r="AWA3" s="95" t="n"/>
      <c r="AWB3" s="95" t="n"/>
      <c r="AWC3" s="95" t="n"/>
      <c r="AWD3" s="95" t="n"/>
      <c r="AWE3" s="95" t="n"/>
      <c r="AWF3" s="95" t="n"/>
      <c r="AWG3" s="95" t="n"/>
      <c r="AWH3" s="95" t="n"/>
      <c r="AWI3" s="95" t="n"/>
      <c r="AWJ3" s="95" t="n"/>
      <c r="AWK3" s="95" t="n"/>
      <c r="AWL3" s="95" t="n"/>
      <c r="AWM3" s="95" t="n"/>
      <c r="AWN3" s="95" t="n"/>
      <c r="AWO3" s="95" t="n"/>
      <c r="AWP3" s="95" t="n"/>
      <c r="AWQ3" s="95" t="n"/>
      <c r="AWR3" s="95" t="n"/>
      <c r="AWS3" s="95" t="n"/>
      <c r="AWT3" s="95" t="n"/>
      <c r="AWU3" s="95" t="n"/>
      <c r="AWV3" s="95" t="n"/>
      <c r="AWW3" s="95" t="n"/>
      <c r="AWX3" s="95" t="n"/>
      <c r="AWY3" s="95" t="n"/>
      <c r="AWZ3" s="95" t="n"/>
      <c r="AXA3" s="95" t="n"/>
      <c r="AXB3" s="95" t="n"/>
      <c r="AXC3" s="95" t="n"/>
      <c r="AXD3" s="95" t="n"/>
      <c r="AXE3" s="95" t="n"/>
      <c r="AXF3" s="95" t="n"/>
      <c r="AXG3" s="95" t="n"/>
      <c r="AXH3" s="95" t="n"/>
      <c r="AXI3" s="95" t="n"/>
      <c r="AXJ3" s="95" t="n"/>
      <c r="AXK3" s="95" t="n"/>
      <c r="AXL3" s="95" t="n"/>
      <c r="AXM3" s="95" t="n"/>
      <c r="AXN3" s="95" t="n"/>
      <c r="AXO3" s="95" t="n"/>
      <c r="AXP3" s="95" t="n"/>
      <c r="AXQ3" s="95" t="n"/>
      <c r="AXR3" s="95" t="n"/>
      <c r="AXS3" s="95" t="n"/>
      <c r="AXT3" s="95" t="n"/>
      <c r="AXU3" s="95" t="n"/>
      <c r="AXV3" s="95" t="n"/>
      <c r="AXW3" s="95" t="n"/>
      <c r="AXX3" s="95" t="n"/>
      <c r="AXY3" s="95" t="n"/>
      <c r="AXZ3" s="95" t="n"/>
      <c r="AYA3" s="95" t="n"/>
      <c r="AYB3" s="95" t="n"/>
      <c r="AYC3" s="95" t="n"/>
      <c r="AYD3" s="95" t="n"/>
      <c r="AYE3" s="95" t="n"/>
      <c r="AYF3" s="95" t="n"/>
      <c r="AYG3" s="95" t="n"/>
      <c r="AYH3" s="95" t="n"/>
      <c r="AYI3" s="95" t="n"/>
      <c r="AYJ3" s="95" t="n"/>
      <c r="AYK3" s="95" t="n"/>
      <c r="AYL3" s="95" t="n"/>
      <c r="AYM3" s="95" t="n"/>
      <c r="AYN3" s="95" t="n"/>
      <c r="AYO3" s="95" t="n"/>
      <c r="AYP3" s="95" t="n"/>
      <c r="AYQ3" s="95" t="n"/>
      <c r="AYR3" s="95" t="n"/>
      <c r="AYS3" s="95" t="n"/>
      <c r="AYT3" s="95" t="n"/>
      <c r="AYU3" s="95" t="n"/>
      <c r="AYV3" s="95" t="n"/>
      <c r="AYW3" s="95" t="n"/>
      <c r="AYX3" s="95" t="n"/>
      <c r="AYY3" s="95" t="n"/>
      <c r="AYZ3" s="95" t="n"/>
      <c r="AZA3" s="95" t="n"/>
      <c r="AZB3" s="95" t="n"/>
      <c r="AZC3" s="95" t="n"/>
      <c r="AZD3" s="95" t="n"/>
      <c r="AZE3" s="95" t="n"/>
      <c r="AZF3" s="95" t="n"/>
      <c r="AZG3" s="95" t="n"/>
      <c r="AZH3" s="95" t="n"/>
      <c r="AZI3" s="95" t="n"/>
      <c r="AZJ3" s="95" t="n"/>
      <c r="AZK3" s="95" t="n"/>
      <c r="AZL3" s="95" t="n"/>
      <c r="AZM3" s="95" t="n"/>
      <c r="AZN3" s="95" t="n"/>
      <c r="AZO3" s="95" t="n"/>
      <c r="AZP3" s="95" t="n"/>
      <c r="AZQ3" s="95" t="n"/>
      <c r="AZR3" s="95" t="n"/>
      <c r="AZS3" s="95" t="n"/>
      <c r="AZT3" s="95" t="n"/>
      <c r="AZU3" s="95" t="n"/>
      <c r="AZV3" s="95" t="n"/>
      <c r="AZW3" s="95" t="n"/>
      <c r="AZX3" s="95" t="n"/>
      <c r="AZY3" s="95" t="n"/>
      <c r="AZZ3" s="95" t="n"/>
      <c r="BAA3" s="95" t="n"/>
      <c r="BAB3" s="95" t="n"/>
      <c r="BAC3" s="95" t="n"/>
      <c r="BAD3" s="95" t="n"/>
      <c r="BAE3" s="95" t="n"/>
      <c r="BAF3" s="95" t="n"/>
      <c r="BAG3" s="95" t="n"/>
      <c r="BAH3" s="95" t="n"/>
      <c r="BAI3" s="95" t="n"/>
      <c r="BAJ3" s="95" t="n"/>
      <c r="BAK3" s="95" t="n"/>
      <c r="BAL3" s="95" t="n"/>
      <c r="BAM3" s="95" t="n"/>
      <c r="BAN3" s="95" t="n"/>
      <c r="BAO3" s="95" t="n"/>
      <c r="BAP3" s="95" t="n"/>
      <c r="BAQ3" s="95" t="n"/>
      <c r="BAR3" s="95" t="n"/>
      <c r="BAS3" s="95" t="n"/>
      <c r="BAT3" s="95" t="n"/>
      <c r="BAU3" s="95" t="n"/>
      <c r="BAV3" s="95" t="n"/>
      <c r="BAW3" s="95" t="n"/>
      <c r="BAX3" s="95" t="n"/>
      <c r="BAY3" s="95" t="n"/>
      <c r="BAZ3" s="95" t="n"/>
      <c r="BBA3" s="95" t="n"/>
      <c r="BBB3" s="95" t="n"/>
      <c r="BBC3" s="95" t="n"/>
      <c r="BBD3" s="95" t="n"/>
      <c r="BBE3" s="95" t="n"/>
      <c r="BBF3" s="95" t="n"/>
      <c r="BBG3" s="95" t="n"/>
      <c r="BBH3" s="95" t="n"/>
      <c r="BBI3" s="95" t="n"/>
      <c r="BBJ3" s="95" t="n"/>
      <c r="BBK3" s="95" t="n"/>
      <c r="BBL3" s="95" t="n"/>
      <c r="BBM3" s="95" t="n"/>
      <c r="BBN3" s="95" t="n"/>
      <c r="BBO3" s="95" t="n"/>
      <c r="BBP3" s="95" t="n"/>
      <c r="BBQ3" s="95" t="n"/>
      <c r="BBR3" s="95" t="n"/>
      <c r="BBS3" s="95" t="n"/>
      <c r="BBT3" s="95" t="n"/>
      <c r="BBU3" s="95" t="n"/>
      <c r="BBV3" s="95" t="n"/>
      <c r="BBW3" s="95" t="n"/>
      <c r="BBX3" s="95" t="n"/>
      <c r="BBY3" s="95" t="n"/>
      <c r="BBZ3" s="95" t="n"/>
      <c r="BCA3" s="95" t="n"/>
      <c r="BCB3" s="95" t="n"/>
      <c r="BCC3" s="95" t="n"/>
      <c r="BCD3" s="95" t="n"/>
      <c r="BCE3" s="95" t="n"/>
      <c r="BCF3" s="95" t="n"/>
      <c r="BCG3" s="95" t="n"/>
      <c r="BCH3" s="95" t="n"/>
      <c r="BCI3" s="95" t="n"/>
      <c r="BCJ3" s="95" t="n"/>
      <c r="BCK3" s="95" t="n"/>
      <c r="BCL3" s="95" t="n"/>
      <c r="BCM3" s="95" t="n"/>
      <c r="BCN3" s="95" t="n"/>
      <c r="BCO3" s="95" t="n"/>
      <c r="BCP3" s="95" t="n"/>
      <c r="BCQ3" s="95" t="n"/>
      <c r="BCR3" s="95" t="n"/>
      <c r="BCS3" s="95" t="n"/>
      <c r="BCT3" s="95" t="n"/>
      <c r="BCU3" s="95" t="n"/>
      <c r="BCV3" s="95" t="n"/>
      <c r="BCW3" s="95" t="n"/>
      <c r="BCX3" s="95" t="n"/>
      <c r="BCY3" s="95" t="n"/>
      <c r="BCZ3" s="95" t="n"/>
      <c r="BDA3" s="95" t="n"/>
      <c r="BDB3" s="95" t="n"/>
      <c r="BDC3" s="95" t="n"/>
      <c r="BDD3" s="95" t="n"/>
      <c r="BDE3" s="95" t="n"/>
      <c r="BDF3" s="95" t="n"/>
      <c r="BDG3" s="95" t="n"/>
      <c r="BDH3" s="95" t="n"/>
      <c r="BDI3" s="95" t="n"/>
      <c r="BDJ3" s="95" t="n"/>
      <c r="BDK3" s="95" t="n"/>
      <c r="BDL3" s="95" t="n"/>
      <c r="BDM3" s="95" t="n"/>
      <c r="BDN3" s="95" t="n"/>
      <c r="BDO3" s="95" t="n"/>
      <c r="BDP3" s="95" t="n"/>
      <c r="BDQ3" s="95" t="n"/>
      <c r="BDR3" s="95" t="n"/>
      <c r="BDS3" s="95" t="n"/>
      <c r="BDT3" s="95" t="n"/>
      <c r="BDU3" s="95" t="n"/>
      <c r="BDV3" s="95" t="n"/>
      <c r="BDW3" s="95" t="n"/>
      <c r="BDX3" s="95" t="n"/>
      <c r="BDY3" s="95" t="n"/>
      <c r="BDZ3" s="95" t="n"/>
      <c r="BEA3" s="95" t="n"/>
      <c r="BEB3" s="95" t="n"/>
      <c r="BEC3" s="95" t="n"/>
      <c r="BED3" s="95" t="n"/>
      <c r="BEE3" s="95" t="n"/>
      <c r="BEF3" s="95" t="n"/>
      <c r="BEG3" s="95" t="n"/>
      <c r="BEH3" s="95" t="n"/>
      <c r="BEI3" s="95" t="n"/>
      <c r="BEJ3" s="95" t="n"/>
      <c r="BEK3" s="95" t="n"/>
      <c r="BEL3" s="95" t="n"/>
      <c r="BEM3" s="95" t="n"/>
      <c r="BEN3" s="95" t="n"/>
      <c r="BEO3" s="95" t="n"/>
      <c r="BEP3" s="95" t="n"/>
      <c r="BEQ3" s="95" t="n"/>
      <c r="BER3" s="95" t="n"/>
      <c r="BES3" s="95" t="n"/>
      <c r="BET3" s="95" t="n"/>
      <c r="BEU3" s="95" t="n"/>
      <c r="BEV3" s="95" t="n"/>
      <c r="BEW3" s="95" t="n"/>
      <c r="BEX3" s="95" t="n"/>
      <c r="BEY3" s="95" t="n"/>
      <c r="BEZ3" s="95" t="n"/>
      <c r="BFA3" s="95" t="n"/>
      <c r="BFB3" s="95" t="n"/>
      <c r="BFC3" s="95" t="n"/>
      <c r="BFD3" s="95" t="n"/>
      <c r="BFE3" s="95" t="n"/>
      <c r="BFF3" s="95" t="n"/>
      <c r="BFG3" s="95" t="n"/>
      <c r="BFH3" s="95" t="n"/>
      <c r="BFI3" s="95" t="n"/>
      <c r="BFJ3" s="95" t="n"/>
      <c r="BFK3" s="95" t="n"/>
      <c r="BFL3" s="95" t="n"/>
      <c r="BFM3" s="95" t="n"/>
      <c r="BFN3" s="95" t="n"/>
      <c r="BFO3" s="95" t="n"/>
      <c r="BFP3" s="95" t="n"/>
      <c r="BFQ3" s="95" t="n"/>
      <c r="BFR3" s="95" t="n"/>
      <c r="BFS3" s="95" t="n"/>
      <c r="BFT3" s="95" t="n"/>
      <c r="BFU3" s="95" t="n"/>
      <c r="BFV3" s="95" t="n"/>
      <c r="BFW3" s="95" t="n"/>
      <c r="BFX3" s="95" t="n"/>
      <c r="BFY3" s="95" t="n"/>
      <c r="BFZ3" s="95" t="n"/>
      <c r="BGA3" s="95" t="n"/>
      <c r="BGB3" s="95" t="n"/>
      <c r="BGC3" s="95" t="n"/>
      <c r="BGD3" s="95" t="n"/>
      <c r="BGE3" s="95" t="n"/>
      <c r="BGF3" s="95" t="n"/>
      <c r="BGG3" s="95" t="n"/>
      <c r="BGH3" s="95" t="n"/>
      <c r="BGI3" s="95" t="n"/>
      <c r="BGJ3" s="95" t="n"/>
      <c r="BGK3" s="95" t="n"/>
      <c r="BGL3" s="95" t="n"/>
      <c r="BGM3" s="95" t="n"/>
      <c r="BGN3" s="95" t="n"/>
      <c r="BGO3" s="95" t="n"/>
      <c r="BGP3" s="95" t="n"/>
      <c r="BGQ3" s="95" t="n"/>
      <c r="BGR3" s="95" t="n"/>
      <c r="BGS3" s="95" t="n"/>
      <c r="BGT3" s="95" t="n"/>
      <c r="BGU3" s="95" t="n"/>
      <c r="BGV3" s="95" t="n"/>
      <c r="BGW3" s="95" t="n"/>
      <c r="BGX3" s="95" t="n"/>
      <c r="BGY3" s="95" t="n"/>
      <c r="BGZ3" s="95" t="n"/>
      <c r="BHA3" s="95" t="n"/>
      <c r="BHB3" s="95" t="n"/>
      <c r="BHC3" s="95" t="n"/>
      <c r="BHD3" s="95" t="n"/>
      <c r="BHE3" s="95" t="n"/>
      <c r="BHF3" s="95" t="n"/>
      <c r="BHG3" s="95" t="n"/>
      <c r="BHH3" s="95" t="n"/>
      <c r="BHI3" s="95" t="n"/>
      <c r="BHJ3" s="95" t="n"/>
      <c r="BHK3" s="95" t="n"/>
      <c r="BHL3" s="95" t="n"/>
      <c r="BHM3" s="95" t="n"/>
      <c r="BHN3" s="95" t="n"/>
      <c r="BHO3" s="95" t="n"/>
      <c r="BHP3" s="95" t="n"/>
      <c r="BHQ3" s="95" t="n"/>
      <c r="BHR3" s="95" t="n"/>
      <c r="BHS3" s="95" t="n"/>
      <c r="BHT3" s="95" t="n"/>
      <c r="BHU3" s="95" t="n"/>
      <c r="BHV3" s="95" t="n"/>
      <c r="BHW3" s="95" t="n"/>
      <c r="BHX3" s="95" t="n"/>
      <c r="BHY3" s="95" t="n"/>
      <c r="BHZ3" s="95" t="n"/>
      <c r="BIA3" s="95" t="n"/>
      <c r="BIB3" s="95" t="n"/>
      <c r="BIC3" s="95" t="n"/>
      <c r="BID3" s="95" t="n"/>
      <c r="BIE3" s="95" t="n"/>
      <c r="BIF3" s="95" t="n"/>
      <c r="BIG3" s="95" t="n"/>
      <c r="BIH3" s="95" t="n"/>
      <c r="BII3" s="95" t="n"/>
      <c r="BIJ3" s="95" t="n"/>
      <c r="BIK3" s="95" t="n"/>
      <c r="BIL3" s="95" t="n"/>
      <c r="BIM3" s="95" t="n"/>
      <c r="BIN3" s="95" t="n"/>
      <c r="BIO3" s="95" t="n"/>
      <c r="BIP3" s="95" t="n"/>
      <c r="BIQ3" s="95" t="n"/>
      <c r="BIR3" s="95" t="n"/>
      <c r="BIS3" s="95" t="n"/>
      <c r="BIT3" s="95" t="n"/>
      <c r="BIU3" s="95" t="n"/>
      <c r="BIV3" s="95" t="n"/>
      <c r="BIW3" s="95" t="n"/>
      <c r="BIX3" s="95" t="n"/>
      <c r="BIY3" s="95" t="n"/>
      <c r="BIZ3" s="95" t="n"/>
      <c r="BJA3" s="95" t="n"/>
      <c r="BJB3" s="95" t="n"/>
      <c r="BJC3" s="95" t="n"/>
      <c r="BJD3" s="95" t="n"/>
      <c r="BJE3" s="95" t="n"/>
      <c r="BJF3" s="95" t="n"/>
      <c r="BJG3" s="95" t="n"/>
      <c r="BJH3" s="95" t="n"/>
      <c r="BJI3" s="95" t="n"/>
      <c r="BJJ3" s="95" t="n"/>
      <c r="BJK3" s="95" t="n"/>
      <c r="BJL3" s="95" t="n"/>
      <c r="BJM3" s="95" t="n"/>
      <c r="BJN3" s="95" t="n"/>
      <c r="BJO3" s="95" t="n"/>
      <c r="BJP3" s="95" t="n"/>
      <c r="BJQ3" s="95" t="n"/>
      <c r="BJR3" s="95" t="n"/>
      <c r="BJS3" s="95" t="n"/>
      <c r="BJT3" s="95" t="n"/>
      <c r="BJU3" s="95" t="n"/>
      <c r="BJV3" s="95" t="n"/>
      <c r="BJW3" s="95" t="n"/>
      <c r="BJX3" s="95" t="n"/>
      <c r="BJY3" s="95" t="n"/>
      <c r="BJZ3" s="95" t="n"/>
      <c r="BKA3" s="95" t="n"/>
      <c r="BKB3" s="95" t="n"/>
      <c r="BKC3" s="95" t="n"/>
      <c r="BKD3" s="95" t="n"/>
      <c r="BKE3" s="95" t="n"/>
      <c r="BKF3" s="95" t="n"/>
      <c r="BKG3" s="95" t="n"/>
      <c r="BKH3" s="95" t="n"/>
      <c r="BKI3" s="95" t="n"/>
      <c r="BKJ3" s="95" t="n"/>
      <c r="BKK3" s="95" t="n"/>
      <c r="BKL3" s="95" t="n"/>
      <c r="BKM3" s="95" t="n"/>
      <c r="BKN3" s="95" t="n"/>
      <c r="BKO3" s="95" t="n"/>
      <c r="BKP3" s="95" t="n"/>
      <c r="BKQ3" s="95" t="n"/>
      <c r="BKR3" s="95" t="n"/>
      <c r="BKS3" s="95" t="n"/>
      <c r="BKT3" s="95" t="n"/>
      <c r="BKU3" s="95" t="n"/>
      <c r="BKV3" s="95" t="n"/>
      <c r="BKW3" s="95" t="n"/>
      <c r="BKX3" s="95" t="n"/>
      <c r="BKY3" s="95" t="n"/>
      <c r="BKZ3" s="95" t="n"/>
      <c r="BLA3" s="95" t="n"/>
      <c r="BLB3" s="95" t="n"/>
      <c r="BLC3" s="95" t="n"/>
      <c r="BLD3" s="95" t="n"/>
      <c r="BLE3" s="95" t="n"/>
      <c r="BLF3" s="95" t="n"/>
      <c r="BLG3" s="95" t="n"/>
      <c r="BLH3" s="95" t="n"/>
      <c r="BLI3" s="95" t="n"/>
      <c r="BLJ3" s="95" t="n"/>
      <c r="BLK3" s="95" t="n"/>
      <c r="BLL3" s="95" t="n"/>
      <c r="BLM3" s="95" t="n"/>
      <c r="BLN3" s="95" t="n"/>
      <c r="BLO3" s="95" t="n"/>
      <c r="BLP3" s="95" t="n"/>
      <c r="BLQ3" s="95" t="n"/>
      <c r="BLR3" s="95" t="n"/>
      <c r="BLS3" s="95" t="n"/>
      <c r="BLT3" s="95" t="n"/>
      <c r="BLU3" s="95" t="n"/>
      <c r="BLV3" s="95" t="n"/>
      <c r="BLW3" s="95" t="n"/>
      <c r="BLX3" s="95" t="n"/>
      <c r="BLY3" s="95" t="n"/>
      <c r="BLZ3" s="95" t="n"/>
      <c r="BMA3" s="95" t="n"/>
      <c r="BMB3" s="95" t="n"/>
      <c r="BMC3" s="95" t="n"/>
      <c r="BMD3" s="95" t="n"/>
      <c r="BME3" s="95" t="n"/>
      <c r="BMF3" s="95" t="n"/>
      <c r="BMG3" s="95" t="n"/>
      <c r="BMH3" s="95" t="n"/>
      <c r="BMI3" s="95" t="n"/>
      <c r="BMJ3" s="95" t="n"/>
      <c r="BMK3" s="95" t="n"/>
      <c r="BML3" s="95" t="n"/>
      <c r="BMM3" s="95" t="n"/>
      <c r="BMN3" s="95" t="n"/>
      <c r="BMO3" s="95" t="n"/>
      <c r="BMP3" s="95" t="n"/>
      <c r="BMQ3" s="95" t="n"/>
      <c r="BMR3" s="95" t="n"/>
      <c r="BMS3" s="95" t="n"/>
      <c r="BMT3" s="95" t="n"/>
      <c r="BMU3" s="95" t="n"/>
      <c r="BMV3" s="95" t="n"/>
      <c r="BMW3" s="95" t="n"/>
      <c r="BMX3" s="95" t="n"/>
      <c r="BMY3" s="95" t="n"/>
      <c r="BMZ3" s="95" t="n"/>
      <c r="BNA3" s="95" t="n"/>
      <c r="BNB3" s="95" t="n"/>
      <c r="BNC3" s="95" t="n"/>
      <c r="BND3" s="95" t="n"/>
      <c r="BNE3" s="95" t="n"/>
      <c r="BNF3" s="95" t="n"/>
      <c r="BNG3" s="95" t="n"/>
      <c r="BNH3" s="95" t="n"/>
      <c r="BNI3" s="95" t="n"/>
      <c r="BNJ3" s="95" t="n"/>
      <c r="BNK3" s="95" t="n"/>
      <c r="BNL3" s="95" t="n"/>
      <c r="BNM3" s="95" t="n"/>
      <c r="BNN3" s="95" t="n"/>
      <c r="BNO3" s="95" t="n"/>
      <c r="BNP3" s="95" t="n"/>
      <c r="BNQ3" s="95" t="n"/>
      <c r="BNR3" s="95" t="n"/>
      <c r="BNS3" s="95" t="n"/>
      <c r="BNT3" s="95" t="n"/>
      <c r="BNU3" s="95" t="n"/>
      <c r="BNV3" s="95" t="n"/>
      <c r="BNW3" s="95" t="n"/>
      <c r="BNX3" s="95" t="n"/>
      <c r="BNY3" s="95" t="n"/>
      <c r="BNZ3" s="95" t="n"/>
      <c r="BOA3" s="95" t="n"/>
      <c r="BOB3" s="95" t="n"/>
      <c r="BOC3" s="95" t="n"/>
      <c r="BOD3" s="95" t="n"/>
      <c r="BOE3" s="95" t="n"/>
      <c r="BOF3" s="95" t="n"/>
      <c r="BOG3" s="95" t="n"/>
      <c r="BOH3" s="95" t="n"/>
      <c r="BOI3" s="95" t="n"/>
      <c r="BOJ3" s="95" t="n"/>
      <c r="BOK3" s="95" t="n"/>
      <c r="BOL3" s="95" t="n"/>
      <c r="BOM3" s="95" t="n"/>
      <c r="BON3" s="95" t="n"/>
      <c r="BOO3" s="95" t="n"/>
      <c r="BOP3" s="95" t="n"/>
      <c r="BOQ3" s="95" t="n"/>
      <c r="BOR3" s="95" t="n"/>
      <c r="BOS3" s="95" t="n"/>
      <c r="BOT3" s="95" t="n"/>
      <c r="BOU3" s="95" t="n"/>
      <c r="BOV3" s="95" t="n"/>
      <c r="BOW3" s="95" t="n"/>
      <c r="BOX3" s="95" t="n"/>
      <c r="BOY3" s="95" t="n"/>
      <c r="BOZ3" s="95" t="n"/>
      <c r="BPA3" s="95" t="n"/>
      <c r="BPB3" s="95" t="n"/>
      <c r="BPC3" s="95" t="n"/>
      <c r="BPD3" s="95" t="n"/>
      <c r="BPE3" s="95" t="n"/>
      <c r="BPF3" s="95" t="n"/>
      <c r="BPG3" s="95" t="n"/>
      <c r="BPH3" s="95" t="n"/>
      <c r="BPI3" s="95" t="n"/>
      <c r="BPJ3" s="95" t="n"/>
      <c r="BPK3" s="95" t="n"/>
      <c r="BPL3" s="95" t="n"/>
      <c r="BPM3" s="95" t="n"/>
      <c r="BPN3" s="95" t="n"/>
      <c r="BPO3" s="95" t="n"/>
      <c r="BPP3" s="95" t="n"/>
      <c r="BPQ3" s="95" t="n"/>
      <c r="BPR3" s="95" t="n"/>
      <c r="BPS3" s="95" t="n"/>
      <c r="BPT3" s="95" t="n"/>
      <c r="BPU3" s="95" t="n"/>
      <c r="BPV3" s="95" t="n"/>
      <c r="BPW3" s="95" t="n"/>
      <c r="BPX3" s="95" t="n"/>
      <c r="BPY3" s="95" t="n"/>
      <c r="BPZ3" s="95" t="n"/>
      <c r="BQA3" s="95" t="n"/>
      <c r="BQB3" s="95" t="n"/>
      <c r="BQC3" s="95" t="n"/>
      <c r="BQD3" s="95" t="n"/>
      <c r="BQE3" s="95" t="n"/>
      <c r="BQF3" s="95" t="n"/>
      <c r="BQG3" s="95" t="n"/>
      <c r="BQH3" s="95" t="n"/>
      <c r="BQI3" s="95" t="n"/>
      <c r="BQJ3" s="95" t="n"/>
      <c r="BQK3" s="95" t="n"/>
      <c r="BQL3" s="95" t="n"/>
      <c r="BQM3" s="95" t="n"/>
      <c r="BQN3" s="95" t="n"/>
      <c r="BQO3" s="95" t="n"/>
      <c r="BQP3" s="95" t="n"/>
      <c r="BQQ3" s="95" t="n"/>
      <c r="BQR3" s="95" t="n"/>
      <c r="BQS3" s="95" t="n"/>
      <c r="BQT3" s="95" t="n"/>
      <c r="BQU3" s="95" t="n"/>
      <c r="BQV3" s="95" t="n"/>
      <c r="BQW3" s="95" t="n"/>
      <c r="BQX3" s="95" t="n"/>
      <c r="BQY3" s="95" t="n"/>
      <c r="BQZ3" s="95" t="n"/>
      <c r="BRA3" s="95" t="n"/>
      <c r="BRB3" s="95" t="n"/>
      <c r="BRC3" s="95" t="n"/>
      <c r="BRD3" s="95" t="n"/>
      <c r="BRE3" s="95" t="n"/>
      <c r="BRF3" s="95" t="n"/>
      <c r="BRG3" s="95" t="n"/>
      <c r="BRH3" s="95" t="n"/>
      <c r="BRI3" s="95" t="n"/>
      <c r="BRJ3" s="95" t="n"/>
      <c r="BRK3" s="95" t="n"/>
      <c r="BRL3" s="95" t="n"/>
      <c r="BRM3" s="95" t="n"/>
      <c r="BRN3" s="95" t="n"/>
      <c r="BRO3" s="95" t="n"/>
      <c r="BRP3" s="95" t="n"/>
      <c r="BRQ3" s="95" t="n"/>
      <c r="BRR3" s="95" t="n"/>
      <c r="BRS3" s="95" t="n"/>
      <c r="BRT3" s="95" t="n"/>
      <c r="BRU3" s="95" t="n"/>
      <c r="BRV3" s="95" t="n"/>
      <c r="BRW3" s="95" t="n"/>
      <c r="BRX3" s="95" t="n"/>
      <c r="BRY3" s="95" t="n"/>
      <c r="BRZ3" s="95" t="n"/>
      <c r="BSA3" s="95" t="n"/>
      <c r="BSB3" s="95" t="n"/>
      <c r="BSC3" s="95" t="n"/>
      <c r="BSD3" s="95" t="n"/>
      <c r="BSE3" s="95" t="n"/>
      <c r="BSF3" s="95" t="n"/>
      <c r="BSG3" s="95" t="n"/>
      <c r="BSH3" s="95" t="n"/>
      <c r="BSI3" s="95" t="n"/>
      <c r="BSJ3" s="95" t="n"/>
      <c r="BSK3" s="95" t="n"/>
      <c r="BSL3" s="95" t="n"/>
      <c r="BSM3" s="95" t="n"/>
      <c r="BSN3" s="95" t="n"/>
      <c r="BSO3" s="95" t="n"/>
      <c r="BSP3" s="95" t="n"/>
      <c r="BSQ3" s="95" t="n"/>
      <c r="BSR3" s="95" t="n"/>
      <c r="BSS3" s="95" t="n"/>
      <c r="BST3" s="95" t="n"/>
      <c r="BSU3" s="95" t="n"/>
      <c r="BSV3" s="95" t="n"/>
      <c r="BSW3" s="95" t="n"/>
      <c r="BSX3" s="95" t="n"/>
      <c r="BSY3" s="95" t="n"/>
      <c r="BSZ3" s="95" t="n"/>
      <c r="BTA3" s="95" t="n"/>
      <c r="BTB3" s="95" t="n"/>
      <c r="BTC3" s="95" t="n"/>
      <c r="BTD3" s="95" t="n"/>
      <c r="BTE3" s="95" t="n"/>
      <c r="BTF3" s="95" t="n"/>
      <c r="BTG3" s="95" t="n"/>
      <c r="BTH3" s="95" t="n"/>
      <c r="BTI3" s="95" t="n"/>
      <c r="BTJ3" s="95" t="n"/>
      <c r="BTK3" s="95" t="n"/>
      <c r="BTL3" s="95" t="n"/>
      <c r="BTM3" s="95" t="n"/>
      <c r="BTN3" s="95" t="n"/>
      <c r="BTO3" s="95" t="n"/>
      <c r="BTP3" s="95" t="n"/>
      <c r="BTQ3" s="95" t="n"/>
      <c r="BTR3" s="95" t="n"/>
      <c r="BTS3" s="95" t="n"/>
      <c r="BTT3" s="95" t="n"/>
      <c r="BTU3" s="95" t="n"/>
      <c r="BTV3" s="95" t="n"/>
      <c r="BTW3" s="95" t="n"/>
      <c r="BTX3" s="95" t="n"/>
      <c r="BTY3" s="95" t="n"/>
      <c r="BTZ3" s="95" t="n"/>
      <c r="BUA3" s="95" t="n"/>
      <c r="BUB3" s="95" t="n"/>
      <c r="BUC3" s="95" t="n"/>
      <c r="BUD3" s="95" t="n"/>
      <c r="BUE3" s="95" t="n"/>
      <c r="BUF3" s="95" t="n"/>
      <c r="BUG3" s="95" t="n"/>
      <c r="BUH3" s="95" t="n"/>
      <c r="BUI3" s="95" t="n"/>
      <c r="BUJ3" s="95" t="n"/>
      <c r="BUK3" s="95" t="n"/>
      <c r="BUL3" s="95" t="n"/>
      <c r="BUM3" s="95" t="n"/>
      <c r="BUN3" s="95" t="n"/>
      <c r="BUO3" s="95" t="n"/>
      <c r="BUP3" s="95" t="n"/>
      <c r="BUQ3" s="95" t="n"/>
      <c r="BUR3" s="95" t="n"/>
      <c r="BUS3" s="95" t="n"/>
      <c r="BUT3" s="95" t="n"/>
      <c r="BUU3" s="95" t="n"/>
      <c r="BUV3" s="95" t="n"/>
      <c r="BUW3" s="95" t="n"/>
      <c r="BUX3" s="95" t="n"/>
      <c r="BUY3" s="95" t="n"/>
      <c r="BUZ3" s="95" t="n"/>
      <c r="BVA3" s="95" t="n"/>
      <c r="BVB3" s="95" t="n"/>
      <c r="BVC3" s="95" t="n"/>
      <c r="BVD3" s="95" t="n"/>
      <c r="BVE3" s="95" t="n"/>
      <c r="BVF3" s="95" t="n"/>
      <c r="BVG3" s="95" t="n"/>
      <c r="BVH3" s="95" t="n"/>
      <c r="BVI3" s="95" t="n"/>
      <c r="BVJ3" s="95" t="n"/>
      <c r="BVK3" s="95" t="n"/>
      <c r="BVL3" s="95" t="n"/>
      <c r="BVM3" s="95" t="n"/>
      <c r="BVN3" s="95" t="n"/>
      <c r="BVO3" s="95" t="n"/>
      <c r="BVP3" s="95" t="n"/>
      <c r="BVQ3" s="95" t="n"/>
      <c r="BVR3" s="95" t="n"/>
      <c r="BVS3" s="95" t="n"/>
      <c r="BVT3" s="95" t="n"/>
      <c r="BVU3" s="95" t="n"/>
      <c r="BVV3" s="95" t="n"/>
      <c r="BVW3" s="95" t="n"/>
      <c r="BVX3" s="95" t="n"/>
      <c r="BVY3" s="95" t="n"/>
      <c r="BVZ3" s="95" t="n"/>
      <c r="BWA3" s="95" t="n"/>
      <c r="BWB3" s="95" t="n"/>
      <c r="BWC3" s="95" t="n"/>
      <c r="BWD3" s="95" t="n"/>
      <c r="BWE3" s="95" t="n"/>
      <c r="BWF3" s="95" t="n"/>
      <c r="BWG3" s="95" t="n"/>
      <c r="BWH3" s="95" t="n"/>
      <c r="BWI3" s="95" t="n"/>
      <c r="BWJ3" s="95" t="n"/>
      <c r="BWK3" s="95" t="n"/>
      <c r="BWL3" s="95" t="n"/>
      <c r="BWM3" s="95" t="n"/>
      <c r="BWN3" s="95" t="n"/>
      <c r="BWO3" s="95" t="n"/>
      <c r="BWP3" s="95" t="n"/>
      <c r="BWQ3" s="95" t="n"/>
      <c r="BWR3" s="95" t="n"/>
      <c r="BWS3" s="95" t="n"/>
      <c r="BWT3" s="95" t="n"/>
      <c r="BWU3" s="95" t="n"/>
      <c r="BWV3" s="95" t="n"/>
      <c r="BWW3" s="95" t="n"/>
      <c r="BWX3" s="95" t="n"/>
      <c r="BWY3" s="95" t="n"/>
      <c r="BWZ3" s="95" t="n"/>
      <c r="BXA3" s="95" t="n"/>
      <c r="BXB3" s="95" t="n"/>
      <c r="BXC3" s="95" t="n"/>
      <c r="BXD3" s="95" t="n"/>
      <c r="BXE3" s="95" t="n"/>
      <c r="BXF3" s="95" t="n"/>
      <c r="BXG3" s="95" t="n"/>
      <c r="BXH3" s="95" t="n"/>
      <c r="BXI3" s="95" t="n"/>
      <c r="BXJ3" s="95" t="n"/>
      <c r="BXK3" s="95" t="n"/>
      <c r="BXL3" s="95" t="n"/>
      <c r="BXM3" s="95" t="n"/>
      <c r="BXN3" s="95" t="n"/>
      <c r="BXO3" s="95" t="n"/>
      <c r="BXP3" s="95" t="n"/>
      <c r="BXQ3" s="95" t="n"/>
      <c r="BXR3" s="95" t="n"/>
      <c r="BXS3" s="95" t="n"/>
      <c r="BXT3" s="95" t="n"/>
      <c r="BXU3" s="95" t="n"/>
      <c r="BXV3" s="95" t="n"/>
      <c r="BXW3" s="95" t="n"/>
      <c r="BXX3" s="95" t="n"/>
      <c r="BXY3" s="95" t="n"/>
      <c r="BXZ3" s="95" t="n"/>
      <c r="BYA3" s="95" t="n"/>
      <c r="BYB3" s="95" t="n"/>
      <c r="BYC3" s="95" t="n"/>
      <c r="BYD3" s="95" t="n"/>
      <c r="BYE3" s="95" t="n"/>
      <c r="BYF3" s="95" t="n"/>
      <c r="BYG3" s="95" t="n"/>
      <c r="BYH3" s="95" t="n"/>
      <c r="BYI3" s="95" t="n"/>
      <c r="BYJ3" s="95" t="n"/>
      <c r="BYK3" s="95" t="n"/>
      <c r="BYL3" s="95" t="n"/>
      <c r="BYM3" s="95" t="n"/>
      <c r="BYN3" s="95" t="n"/>
      <c r="BYO3" s="95" t="n"/>
      <c r="BYP3" s="95" t="n"/>
      <c r="BYQ3" s="95" t="n"/>
      <c r="BYR3" s="95" t="n"/>
      <c r="BYS3" s="95" t="n"/>
      <c r="BYT3" s="95" t="n"/>
      <c r="BYU3" s="95" t="n"/>
      <c r="BYV3" s="95" t="n"/>
      <c r="BYW3" s="95" t="n"/>
      <c r="BYX3" s="95" t="n"/>
      <c r="BYY3" s="95" t="n"/>
      <c r="BYZ3" s="95" t="n"/>
      <c r="BZA3" s="95" t="n"/>
      <c r="BZB3" s="95" t="n"/>
      <c r="BZC3" s="95" t="n"/>
      <c r="BZD3" s="95" t="n"/>
      <c r="BZE3" s="95" t="n"/>
      <c r="BZF3" s="95" t="n"/>
      <c r="BZG3" s="95" t="n"/>
      <c r="BZH3" s="95" t="n"/>
      <c r="BZI3" s="95" t="n"/>
      <c r="BZJ3" s="95" t="n"/>
      <c r="BZK3" s="95" t="n"/>
      <c r="BZL3" s="95" t="n"/>
      <c r="BZM3" s="95" t="n"/>
      <c r="BZN3" s="95" t="n"/>
      <c r="BZO3" s="95" t="n"/>
      <c r="BZP3" s="95" t="n"/>
      <c r="BZQ3" s="95" t="n"/>
      <c r="BZR3" s="95" t="n"/>
      <c r="BZS3" s="95" t="n"/>
      <c r="BZT3" s="95" t="n"/>
      <c r="BZU3" s="95" t="n"/>
      <c r="BZV3" s="95" t="n"/>
      <c r="BZW3" s="95" t="n"/>
      <c r="BZX3" s="95" t="n"/>
      <c r="BZY3" s="95" t="n"/>
      <c r="BZZ3" s="95" t="n"/>
      <c r="CAA3" s="95" t="n"/>
      <c r="CAB3" s="95" t="n"/>
      <c r="CAC3" s="95" t="n"/>
      <c r="CAD3" s="95" t="n"/>
      <c r="CAE3" s="95" t="n"/>
      <c r="CAF3" s="95" t="n"/>
      <c r="CAG3" s="95" t="n"/>
      <c r="CAH3" s="95" t="n"/>
      <c r="CAI3" s="95" t="n"/>
      <c r="CAJ3" s="95" t="n"/>
      <c r="CAK3" s="95" t="n"/>
      <c r="CAL3" s="95" t="n"/>
      <c r="CAM3" s="95" t="n"/>
      <c r="CAN3" s="95" t="n"/>
      <c r="CAO3" s="95" t="n"/>
      <c r="CAP3" s="95" t="n"/>
      <c r="CAQ3" s="95" t="n"/>
      <c r="CAR3" s="95" t="n"/>
      <c r="CAS3" s="95" t="n"/>
      <c r="CAT3" s="95" t="n"/>
      <c r="CAU3" s="95" t="n"/>
      <c r="CAV3" s="95" t="n"/>
      <c r="CAW3" s="95" t="n"/>
      <c r="CAX3" s="95" t="n"/>
      <c r="CAY3" s="95" t="n"/>
      <c r="CAZ3" s="95" t="n"/>
      <c r="CBA3" s="95" t="n"/>
      <c r="CBB3" s="95" t="n"/>
      <c r="CBC3" s="95" t="n"/>
      <c r="CBD3" s="95" t="n"/>
      <c r="CBE3" s="95" t="n"/>
      <c r="CBF3" s="95" t="n"/>
      <c r="CBG3" s="95" t="n"/>
      <c r="CBH3" s="95" t="n"/>
      <c r="CBI3" s="95" t="n"/>
      <c r="CBJ3" s="95" t="n"/>
      <c r="CBK3" s="95" t="n"/>
      <c r="CBL3" s="95" t="n"/>
      <c r="CBM3" s="95" t="n"/>
      <c r="CBN3" s="95" t="n"/>
      <c r="CBO3" s="95" t="n"/>
      <c r="CBP3" s="95" t="n"/>
      <c r="CBQ3" s="95" t="n"/>
      <c r="CBR3" s="95" t="n"/>
      <c r="CBS3" s="95" t="n"/>
      <c r="CBT3" s="95" t="n"/>
      <c r="CBU3" s="95" t="n"/>
      <c r="CBV3" s="95" t="n"/>
      <c r="CBW3" s="95" t="n"/>
      <c r="CBX3" s="95" t="n"/>
      <c r="CBY3" s="95" t="n"/>
      <c r="CBZ3" s="95" t="n"/>
      <c r="CCA3" s="95" t="n"/>
      <c r="CCB3" s="95" t="n"/>
      <c r="CCC3" s="95" t="n"/>
      <c r="CCD3" s="95" t="n"/>
      <c r="CCE3" s="95" t="n"/>
      <c r="CCF3" s="95" t="n"/>
      <c r="CCG3" s="95" t="n"/>
      <c r="CCH3" s="95" t="n"/>
      <c r="CCI3" s="95" t="n"/>
      <c r="CCJ3" s="95" t="n"/>
      <c r="CCK3" s="95" t="n"/>
      <c r="CCL3" s="95" t="n"/>
      <c r="CCM3" s="95" t="n"/>
      <c r="CCN3" s="95" t="n"/>
      <c r="CCO3" s="95" t="n"/>
      <c r="CCP3" s="95" t="n"/>
      <c r="CCQ3" s="95" t="n"/>
      <c r="CCR3" s="95" t="n"/>
      <c r="CCS3" s="95" t="n"/>
      <c r="CCT3" s="95" t="n"/>
      <c r="CCU3" s="95" t="n"/>
      <c r="CCV3" s="95" t="n"/>
      <c r="CCW3" s="95" t="n"/>
      <c r="CCX3" s="95" t="n"/>
      <c r="CCY3" s="95" t="n"/>
      <c r="CCZ3" s="95" t="n"/>
      <c r="CDA3" s="95" t="n"/>
      <c r="CDB3" s="95" t="n"/>
      <c r="CDC3" s="95" t="n"/>
      <c r="CDD3" s="95" t="n"/>
      <c r="CDE3" s="95" t="n"/>
      <c r="CDF3" s="95" t="n"/>
      <c r="CDG3" s="95" t="n"/>
      <c r="CDH3" s="95" t="n"/>
      <c r="CDI3" s="95" t="n"/>
      <c r="CDJ3" s="95" t="n"/>
      <c r="CDK3" s="95" t="n"/>
      <c r="CDL3" s="95" t="n"/>
      <c r="CDM3" s="95" t="n"/>
      <c r="CDN3" s="95" t="n"/>
      <c r="CDO3" s="95" t="n"/>
      <c r="CDP3" s="95" t="n"/>
      <c r="CDQ3" s="95" t="n"/>
      <c r="CDR3" s="95" t="n"/>
      <c r="CDS3" s="95" t="n"/>
      <c r="CDT3" s="95" t="n"/>
      <c r="CDU3" s="95" t="n"/>
      <c r="CDV3" s="95" t="n"/>
      <c r="CDW3" s="95" t="n"/>
      <c r="CDX3" s="95" t="n"/>
      <c r="CDY3" s="95" t="n"/>
      <c r="CDZ3" s="95" t="n"/>
      <c r="CEA3" s="95" t="n"/>
      <c r="CEB3" s="95" t="n"/>
      <c r="CEC3" s="95" t="n"/>
      <c r="CED3" s="95" t="n"/>
      <c r="CEE3" s="95" t="n"/>
      <c r="CEF3" s="95" t="n"/>
      <c r="CEG3" s="95" t="n"/>
      <c r="CEH3" s="95" t="n"/>
      <c r="CEI3" s="95" t="n"/>
      <c r="CEJ3" s="95" t="n"/>
      <c r="CEK3" s="95" t="n"/>
      <c r="CEL3" s="95" t="n"/>
      <c r="CEM3" s="95" t="n"/>
      <c r="CEN3" s="95" t="n"/>
      <c r="CEO3" s="95" t="n"/>
      <c r="CEP3" s="95" t="n"/>
      <c r="CEQ3" s="95" t="n"/>
      <c r="CER3" s="95" t="n"/>
      <c r="CES3" s="95" t="n"/>
      <c r="CET3" s="95" t="n"/>
      <c r="CEU3" s="95" t="n"/>
      <c r="CEV3" s="95" t="n"/>
      <c r="CEW3" s="95" t="n"/>
      <c r="CEX3" s="95" t="n"/>
      <c r="CEY3" s="95" t="n"/>
      <c r="CEZ3" s="95" t="n"/>
      <c r="CFA3" s="95" t="n"/>
      <c r="CFB3" s="95" t="n"/>
      <c r="CFC3" s="95" t="n"/>
      <c r="CFD3" s="95" t="n"/>
      <c r="CFE3" s="95" t="n"/>
      <c r="CFF3" s="95" t="n"/>
      <c r="CFG3" s="95" t="n"/>
      <c r="CFH3" s="95" t="n"/>
      <c r="CFI3" s="95" t="n"/>
      <c r="CFJ3" s="95" t="n"/>
      <c r="CFK3" s="95" t="n"/>
      <c r="CFL3" s="95" t="n"/>
      <c r="CFM3" s="95" t="n"/>
      <c r="CFN3" s="95" t="n"/>
      <c r="CFO3" s="95" t="n"/>
      <c r="CFP3" s="95" t="n"/>
      <c r="CFQ3" s="95" t="n"/>
      <c r="CFR3" s="95" t="n"/>
      <c r="CFS3" s="95" t="n"/>
      <c r="CFT3" s="95" t="n"/>
      <c r="CFU3" s="95" t="n"/>
      <c r="CFV3" s="95" t="n"/>
      <c r="CFW3" s="95" t="n"/>
      <c r="CFX3" s="95" t="n"/>
      <c r="CFY3" s="95" t="n"/>
      <c r="CFZ3" s="95" t="n"/>
      <c r="CGA3" s="95" t="n"/>
      <c r="CGB3" s="95" t="n"/>
      <c r="CGC3" s="95" t="n"/>
      <c r="CGD3" s="95" t="n"/>
      <c r="CGE3" s="95" t="n"/>
      <c r="CGF3" s="95" t="n"/>
      <c r="CGG3" s="95" t="n"/>
      <c r="CGH3" s="95" t="n"/>
      <c r="CGI3" s="95" t="n"/>
      <c r="CGJ3" s="95" t="n"/>
      <c r="CGK3" s="95" t="n"/>
      <c r="CGL3" s="95" t="n"/>
      <c r="CGM3" s="95" t="n"/>
      <c r="CGN3" s="95" t="n"/>
      <c r="CGO3" s="95" t="n"/>
      <c r="CGP3" s="95" t="n"/>
      <c r="CGQ3" s="95" t="n"/>
      <c r="CGR3" s="95" t="n"/>
      <c r="CGS3" s="95" t="n"/>
      <c r="CGT3" s="95" t="n"/>
      <c r="CGU3" s="95" t="n"/>
      <c r="CGV3" s="95" t="n"/>
      <c r="CGW3" s="95" t="n"/>
      <c r="CGX3" s="95" t="n"/>
      <c r="CGY3" s="95" t="n"/>
      <c r="CGZ3" s="95" t="n"/>
      <c r="CHA3" s="95" t="n"/>
      <c r="CHB3" s="95" t="n"/>
      <c r="CHC3" s="95" t="n"/>
      <c r="CHD3" s="95" t="n"/>
      <c r="CHE3" s="95" t="n"/>
      <c r="CHF3" s="95" t="n"/>
      <c r="CHG3" s="95" t="n"/>
      <c r="CHH3" s="95" t="n"/>
      <c r="CHI3" s="95" t="n"/>
      <c r="CHJ3" s="95" t="n"/>
      <c r="CHK3" s="95" t="n"/>
      <c r="CHL3" s="95" t="n"/>
      <c r="CHM3" s="95" t="n"/>
      <c r="CHN3" s="95" t="n"/>
      <c r="CHO3" s="95" t="n"/>
      <c r="CHP3" s="95" t="n"/>
      <c r="CHQ3" s="95" t="n"/>
      <c r="CHR3" s="95" t="n"/>
      <c r="CHS3" s="95" t="n"/>
      <c r="CHT3" s="95" t="n"/>
      <c r="CHU3" s="95" t="n"/>
      <c r="CHV3" s="95" t="n"/>
      <c r="CHW3" s="95" t="n"/>
      <c r="CHX3" s="95" t="n"/>
      <c r="CHY3" s="95" t="n"/>
      <c r="CHZ3" s="95" t="n"/>
      <c r="CIA3" s="95" t="n"/>
      <c r="CIB3" s="95" t="n"/>
      <c r="CIC3" s="95" t="n"/>
      <c r="CID3" s="95" t="n"/>
      <c r="CIE3" s="95" t="n"/>
      <c r="CIF3" s="95" t="n"/>
      <c r="CIG3" s="95" t="n"/>
      <c r="CIH3" s="95" t="n"/>
      <c r="CII3" s="95" t="n"/>
      <c r="CIJ3" s="95" t="n"/>
      <c r="CIK3" s="95" t="n"/>
      <c r="CIL3" s="95" t="n"/>
      <c r="CIM3" s="95" t="n"/>
      <c r="CIN3" s="95" t="n"/>
      <c r="CIO3" s="95" t="n"/>
      <c r="CIP3" s="95" t="n"/>
      <c r="CIQ3" s="95" t="n"/>
      <c r="CIR3" s="95" t="n"/>
      <c r="CIS3" s="95" t="n"/>
      <c r="CIT3" s="95" t="n"/>
      <c r="CIU3" s="95" t="n"/>
      <c r="CIV3" s="95" t="n"/>
      <c r="CIW3" s="95" t="n"/>
      <c r="CIX3" s="95" t="n"/>
      <c r="CIY3" s="95" t="n"/>
      <c r="CIZ3" s="95" t="n"/>
      <c r="CJA3" s="95" t="n"/>
      <c r="CJB3" s="95" t="n"/>
      <c r="CJC3" s="95" t="n"/>
      <c r="CJD3" s="95" t="n"/>
      <c r="CJE3" s="95" t="n"/>
      <c r="CJF3" s="95" t="n"/>
      <c r="CJG3" s="95" t="n"/>
      <c r="CJH3" s="95" t="n"/>
      <c r="CJI3" s="95" t="n"/>
      <c r="CJJ3" s="95" t="n"/>
      <c r="CJK3" s="95" t="n"/>
      <c r="CJL3" s="95" t="n"/>
      <c r="CJM3" s="95" t="n"/>
      <c r="CJN3" s="95" t="n"/>
      <c r="CJO3" s="95" t="n"/>
      <c r="CJP3" s="95" t="n"/>
      <c r="CJQ3" s="95" t="n"/>
      <c r="CJR3" s="95" t="n"/>
      <c r="CJS3" s="95" t="n"/>
      <c r="CJT3" s="95" t="n"/>
      <c r="CJU3" s="95" t="n"/>
      <c r="CJV3" s="95" t="n"/>
      <c r="CJW3" s="95" t="n"/>
      <c r="CJX3" s="95" t="n"/>
      <c r="CJY3" s="95" t="n"/>
      <c r="CJZ3" s="95" t="n"/>
      <c r="CKA3" s="95" t="n"/>
      <c r="CKB3" s="95" t="n"/>
      <c r="CKC3" s="95" t="n"/>
      <c r="CKD3" s="95" t="n"/>
      <c r="CKE3" s="95" t="n"/>
      <c r="CKF3" s="95" t="n"/>
      <c r="CKG3" s="95" t="n"/>
      <c r="CKH3" s="95" t="n"/>
      <c r="CKI3" s="95" t="n"/>
      <c r="CKJ3" s="95" t="n"/>
      <c r="CKK3" s="95" t="n"/>
      <c r="CKL3" s="95" t="n"/>
      <c r="CKM3" s="95" t="n"/>
      <c r="CKN3" s="95" t="n"/>
      <c r="CKO3" s="95" t="n"/>
      <c r="CKP3" s="95" t="n"/>
      <c r="CKQ3" s="95" t="n"/>
      <c r="CKR3" s="95" t="n"/>
      <c r="CKS3" s="95" t="n"/>
      <c r="CKT3" s="95" t="n"/>
      <c r="CKU3" s="95" t="n"/>
      <c r="CKV3" s="95" t="n"/>
      <c r="CKW3" s="95" t="n"/>
      <c r="CKX3" s="95" t="n"/>
      <c r="CKY3" s="95" t="n"/>
      <c r="CKZ3" s="95" t="n"/>
      <c r="CLA3" s="95" t="n"/>
      <c r="CLB3" s="95" t="n"/>
      <c r="CLC3" s="95" t="n"/>
      <c r="CLD3" s="95" t="n"/>
      <c r="CLE3" s="95" t="n"/>
      <c r="CLF3" s="95" t="n"/>
      <c r="CLG3" s="95" t="n"/>
      <c r="CLH3" s="95" t="n"/>
      <c r="CLI3" s="95" t="n"/>
      <c r="CLJ3" s="95" t="n"/>
      <c r="CLK3" s="95" t="n"/>
      <c r="CLL3" s="95" t="n"/>
      <c r="CLM3" s="95" t="n"/>
      <c r="CLN3" s="95" t="n"/>
      <c r="CLO3" s="95" t="n"/>
      <c r="CLP3" s="95" t="n"/>
      <c r="CLQ3" s="95" t="n"/>
      <c r="CLR3" s="95" t="n"/>
      <c r="CLS3" s="95" t="n"/>
      <c r="CLT3" s="95" t="n"/>
      <c r="CLU3" s="95" t="n"/>
      <c r="CLV3" s="95" t="n"/>
      <c r="CLW3" s="95" t="n"/>
      <c r="CLX3" s="95" t="n"/>
      <c r="CLY3" s="95" t="n"/>
      <c r="CLZ3" s="95" t="n"/>
      <c r="CMA3" s="95" t="n"/>
      <c r="CMB3" s="95" t="n"/>
      <c r="CMC3" s="95" t="n"/>
      <c r="CMD3" s="95" t="n"/>
      <c r="CME3" s="95" t="n"/>
      <c r="CMF3" s="95" t="n"/>
      <c r="CMG3" s="95" t="n"/>
      <c r="CMH3" s="95" t="n"/>
      <c r="CMI3" s="95" t="n"/>
      <c r="CMJ3" s="95" t="n"/>
      <c r="CMK3" s="95" t="n"/>
      <c r="CML3" s="95" t="n"/>
      <c r="CMM3" s="95" t="n"/>
      <c r="CMN3" s="95" t="n"/>
      <c r="CMO3" s="95" t="n"/>
      <c r="CMP3" s="95" t="n"/>
      <c r="CMQ3" s="95" t="n"/>
      <c r="CMR3" s="95" t="n"/>
      <c r="CMS3" s="95" t="n"/>
      <c r="CMT3" s="95" t="n"/>
      <c r="CMU3" s="95" t="n"/>
      <c r="CMV3" s="95" t="n"/>
      <c r="CMW3" s="95" t="n"/>
      <c r="CMX3" s="95" t="n"/>
      <c r="CMY3" s="95" t="n"/>
      <c r="CMZ3" s="95" t="n"/>
      <c r="CNA3" s="95" t="n"/>
      <c r="CNB3" s="95" t="n"/>
      <c r="CNC3" s="95" t="n"/>
      <c r="CND3" s="95" t="n"/>
      <c r="CNE3" s="95" t="n"/>
      <c r="CNF3" s="95" t="n"/>
      <c r="CNG3" s="95" t="n"/>
      <c r="CNH3" s="95" t="n"/>
      <c r="CNI3" s="95" t="n"/>
      <c r="CNJ3" s="95" t="n"/>
      <c r="CNK3" s="95" t="n"/>
      <c r="CNL3" s="95" t="n"/>
      <c r="CNM3" s="95" t="n"/>
      <c r="CNN3" s="95" t="n"/>
      <c r="CNO3" s="95" t="n"/>
      <c r="CNP3" s="95" t="n"/>
      <c r="CNQ3" s="95" t="n"/>
      <c r="CNR3" s="95" t="n"/>
      <c r="CNS3" s="95" t="n"/>
      <c r="CNT3" s="95" t="n"/>
      <c r="CNU3" s="95" t="n"/>
      <c r="CNV3" s="95" t="n"/>
      <c r="CNW3" s="95" t="n"/>
      <c r="CNX3" s="95" t="n"/>
      <c r="CNY3" s="95" t="n"/>
      <c r="CNZ3" s="95" t="n"/>
      <c r="COA3" s="95" t="n"/>
      <c r="COB3" s="95" t="n"/>
      <c r="COC3" s="95" t="n"/>
      <c r="COD3" s="95" t="n"/>
      <c r="COE3" s="95" t="n"/>
      <c r="COF3" s="95" t="n"/>
      <c r="COG3" s="95" t="n"/>
      <c r="COH3" s="95" t="n"/>
      <c r="COI3" s="95" t="n"/>
      <c r="COJ3" s="95" t="n"/>
      <c r="COK3" s="95" t="n"/>
      <c r="COL3" s="95" t="n"/>
      <c r="COM3" s="95" t="n"/>
      <c r="CON3" s="95" t="n"/>
      <c r="COO3" s="95" t="n"/>
      <c r="COP3" s="95" t="n"/>
      <c r="COQ3" s="95" t="n"/>
      <c r="COR3" s="95" t="n"/>
      <c r="COS3" s="95" t="n"/>
      <c r="COT3" s="95" t="n"/>
      <c r="COU3" s="95" t="n"/>
      <c r="COV3" s="95" t="n"/>
      <c r="COW3" s="95" t="n"/>
      <c r="COX3" s="95" t="n"/>
      <c r="COY3" s="95" t="n"/>
      <c r="COZ3" s="95" t="n"/>
      <c r="CPA3" s="95" t="n"/>
      <c r="CPB3" s="95" t="n"/>
      <c r="CPC3" s="95" t="n"/>
      <c r="CPD3" s="95" t="n"/>
      <c r="CPE3" s="95" t="n"/>
      <c r="CPF3" s="95" t="n"/>
      <c r="CPG3" s="95" t="n"/>
      <c r="CPH3" s="95" t="n"/>
      <c r="CPI3" s="95" t="n"/>
      <c r="CPJ3" s="95" t="n"/>
      <c r="CPK3" s="95" t="n"/>
      <c r="CPL3" s="95" t="n"/>
      <c r="CPM3" s="95" t="n"/>
      <c r="CPN3" s="95" t="n"/>
      <c r="CPO3" s="95" t="n"/>
      <c r="CPP3" s="95" t="n"/>
      <c r="CPQ3" s="95" t="n"/>
      <c r="CPR3" s="95" t="n"/>
      <c r="CPS3" s="95" t="n"/>
      <c r="CPT3" s="95" t="n"/>
      <c r="CPU3" s="95" t="n"/>
      <c r="CPV3" s="95" t="n"/>
      <c r="CPW3" s="95" t="n"/>
      <c r="CPX3" s="95" t="n"/>
      <c r="CPY3" s="95" t="n"/>
      <c r="CPZ3" s="95" t="n"/>
      <c r="CQA3" s="95" t="n"/>
      <c r="CQB3" s="95" t="n"/>
      <c r="CQC3" s="95" t="n"/>
      <c r="CQD3" s="95" t="n"/>
      <c r="CQE3" s="95" t="n"/>
      <c r="CQF3" s="95" t="n"/>
      <c r="CQG3" s="95" t="n"/>
      <c r="CQH3" s="95" t="n"/>
      <c r="CQI3" s="95" t="n"/>
      <c r="CQJ3" s="95" t="n"/>
      <c r="CQK3" s="95" t="n"/>
      <c r="CQL3" s="95" t="n"/>
      <c r="CQM3" s="95" t="n"/>
      <c r="CQN3" s="95" t="n"/>
      <c r="CQO3" s="95" t="n"/>
      <c r="CQP3" s="95" t="n"/>
      <c r="CQQ3" s="95" t="n"/>
      <c r="CQR3" s="95" t="n"/>
      <c r="CQS3" s="95" t="n"/>
      <c r="CQT3" s="95" t="n"/>
      <c r="CQU3" s="95" t="n"/>
      <c r="CQV3" s="95" t="n"/>
      <c r="CQW3" s="95" t="n"/>
      <c r="CQX3" s="95" t="n"/>
      <c r="CQY3" s="95" t="n"/>
      <c r="CQZ3" s="95" t="n"/>
      <c r="CRA3" s="95" t="n"/>
      <c r="CRB3" s="95" t="n"/>
      <c r="CRC3" s="95" t="n"/>
      <c r="CRD3" s="95" t="n"/>
      <c r="CRE3" s="95" t="n"/>
      <c r="CRF3" s="95" t="n"/>
      <c r="CRG3" s="95" t="n"/>
      <c r="CRH3" s="95" t="n"/>
      <c r="CRI3" s="95" t="n"/>
      <c r="CRJ3" s="95" t="n"/>
      <c r="CRK3" s="95" t="n"/>
      <c r="CRL3" s="95" t="n"/>
      <c r="CRM3" s="95" t="n"/>
      <c r="CRN3" s="95" t="n"/>
      <c r="CRO3" s="95" t="n"/>
      <c r="CRP3" s="95" t="n"/>
      <c r="CRQ3" s="95" t="n"/>
      <c r="CRR3" s="95" t="n"/>
      <c r="CRS3" s="95" t="n"/>
      <c r="CRT3" s="95" t="n"/>
      <c r="CRU3" s="95" t="n"/>
      <c r="CRV3" s="95" t="n"/>
      <c r="CRW3" s="95" t="n"/>
      <c r="CRX3" s="95" t="n"/>
      <c r="CRY3" s="95" t="n"/>
      <c r="CRZ3" s="95" t="n"/>
      <c r="CSA3" s="95" t="n"/>
      <c r="CSB3" s="95" t="n"/>
      <c r="CSC3" s="95" t="n"/>
      <c r="CSD3" s="95" t="n"/>
      <c r="CSE3" s="95" t="n"/>
      <c r="CSF3" s="95" t="n"/>
      <c r="CSG3" s="95" t="n"/>
      <c r="CSH3" s="95" t="n"/>
      <c r="CSI3" s="95" t="n"/>
      <c r="CSJ3" s="95" t="n"/>
      <c r="CSK3" s="95" t="n"/>
      <c r="CSL3" s="95" t="n"/>
      <c r="CSM3" s="95" t="n"/>
      <c r="CSN3" s="95" t="n"/>
      <c r="CSO3" s="95" t="n"/>
      <c r="CSP3" s="95" t="n"/>
      <c r="CSQ3" s="95" t="n"/>
      <c r="CSR3" s="95" t="n"/>
      <c r="CSS3" s="95" t="n"/>
      <c r="CST3" s="95" t="n"/>
      <c r="CSU3" s="95" t="n"/>
      <c r="CSV3" s="95" t="n"/>
      <c r="CSW3" s="95" t="n"/>
      <c r="CSX3" s="95" t="n"/>
      <c r="CSY3" s="95" t="n"/>
      <c r="CSZ3" s="95" t="n"/>
      <c r="CTA3" s="95" t="n"/>
      <c r="CTB3" s="95" t="n"/>
      <c r="CTC3" s="95" t="n"/>
      <c r="CTD3" s="95" t="n"/>
      <c r="CTE3" s="95" t="n"/>
      <c r="CTF3" s="95" t="n"/>
      <c r="CTG3" s="95" t="n"/>
      <c r="CTH3" s="95" t="n"/>
      <c r="CTI3" s="95" t="n"/>
      <c r="CTJ3" s="95" t="n"/>
      <c r="CTK3" s="95" t="n"/>
      <c r="CTL3" s="95" t="n"/>
      <c r="CTM3" s="95" t="n"/>
      <c r="CTN3" s="95" t="n"/>
      <c r="CTO3" s="95" t="n"/>
      <c r="CTP3" s="95" t="n"/>
      <c r="CTQ3" s="95" t="n"/>
      <c r="CTR3" s="95" t="n"/>
      <c r="CTS3" s="95" t="n"/>
      <c r="CTT3" s="95" t="n"/>
      <c r="CTU3" s="95" t="n"/>
      <c r="CTV3" s="95" t="n"/>
      <c r="CTW3" s="95" t="n"/>
      <c r="CTX3" s="95" t="n"/>
      <c r="CTY3" s="95" t="n"/>
      <c r="CTZ3" s="95" t="n"/>
      <c r="CUA3" s="95" t="n"/>
      <c r="CUB3" s="95" t="n"/>
      <c r="CUC3" s="95" t="n"/>
      <c r="CUD3" s="95" t="n"/>
      <c r="CUE3" s="95" t="n"/>
      <c r="CUF3" s="95" t="n"/>
      <c r="CUG3" s="95" t="n"/>
      <c r="CUH3" s="95" t="n"/>
      <c r="CUI3" s="95" t="n"/>
      <c r="CUJ3" s="95" t="n"/>
      <c r="CUK3" s="95" t="n"/>
      <c r="CUL3" s="95" t="n"/>
      <c r="CUM3" s="95" t="n"/>
      <c r="CUN3" s="95" t="n"/>
      <c r="CUO3" s="95" t="n"/>
      <c r="CUP3" s="95" t="n"/>
      <c r="CUQ3" s="95" t="n"/>
      <c r="CUR3" s="95" t="n"/>
      <c r="CUS3" s="95" t="n"/>
      <c r="CUT3" s="95" t="n"/>
      <c r="CUU3" s="95" t="n"/>
      <c r="CUV3" s="95" t="n"/>
      <c r="CUW3" s="95" t="n"/>
      <c r="CUX3" s="95" t="n"/>
      <c r="CUY3" s="95" t="n"/>
      <c r="CUZ3" s="95" t="n"/>
      <c r="CVA3" s="95" t="n"/>
      <c r="CVB3" s="95" t="n"/>
      <c r="CVC3" s="95" t="n"/>
      <c r="CVD3" s="95" t="n"/>
      <c r="CVE3" s="95" t="n"/>
      <c r="CVF3" s="95" t="n"/>
      <c r="CVG3" s="95" t="n"/>
      <c r="CVH3" s="95" t="n"/>
      <c r="CVI3" s="95" t="n"/>
      <c r="CVJ3" s="95" t="n"/>
      <c r="CVK3" s="95" t="n"/>
      <c r="CVL3" s="95" t="n"/>
      <c r="CVM3" s="95" t="n"/>
      <c r="CVN3" s="95" t="n"/>
      <c r="CVO3" s="95" t="n"/>
      <c r="CVP3" s="95" t="n"/>
      <c r="CVQ3" s="95" t="n"/>
      <c r="CVR3" s="95" t="n"/>
      <c r="CVS3" s="95" t="n"/>
      <c r="CVT3" s="95" t="n"/>
      <c r="CVU3" s="95" t="n"/>
      <c r="CVV3" s="95" t="n"/>
      <c r="CVW3" s="95" t="n"/>
      <c r="CVX3" s="95" t="n"/>
      <c r="CVY3" s="95" t="n"/>
      <c r="CVZ3" s="95" t="n"/>
      <c r="CWA3" s="95" t="n"/>
      <c r="CWB3" s="95" t="n"/>
      <c r="CWC3" s="95" t="n"/>
      <c r="CWD3" s="95" t="n"/>
      <c r="CWE3" s="95" t="n"/>
      <c r="CWF3" s="95" t="n"/>
      <c r="CWG3" s="95" t="n"/>
      <c r="CWH3" s="95" t="n"/>
      <c r="CWI3" s="95" t="n"/>
      <c r="CWJ3" s="95" t="n"/>
      <c r="CWK3" s="95" t="n"/>
      <c r="CWL3" s="95" t="n"/>
      <c r="CWM3" s="95" t="n"/>
      <c r="CWN3" s="95" t="n"/>
      <c r="CWO3" s="95" t="n"/>
      <c r="CWP3" s="95" t="n"/>
      <c r="CWQ3" s="95" t="n"/>
      <c r="CWR3" s="95" t="n"/>
      <c r="CWS3" s="95" t="n"/>
      <c r="CWT3" s="95" t="n"/>
      <c r="CWU3" s="95" t="n"/>
      <c r="CWV3" s="95" t="n"/>
      <c r="CWW3" s="95" t="n"/>
      <c r="CWX3" s="95" t="n"/>
      <c r="CWY3" s="95" t="n"/>
      <c r="CWZ3" s="95" t="n"/>
      <c r="CXA3" s="95" t="n"/>
      <c r="CXB3" s="95" t="n"/>
      <c r="CXC3" s="95" t="n"/>
      <c r="CXD3" s="95" t="n"/>
      <c r="CXE3" s="95" t="n"/>
      <c r="CXF3" s="95" t="n"/>
      <c r="CXG3" s="95" t="n"/>
      <c r="CXH3" s="95" t="n"/>
      <c r="CXI3" s="95" t="n"/>
      <c r="CXJ3" s="95" t="n"/>
      <c r="CXK3" s="95" t="n"/>
      <c r="CXL3" s="95" t="n"/>
      <c r="CXM3" s="95" t="n"/>
      <c r="CXN3" s="95" t="n"/>
      <c r="CXO3" s="95" t="n"/>
      <c r="CXP3" s="95" t="n"/>
      <c r="CXQ3" s="95" t="n"/>
      <c r="CXR3" s="95" t="n"/>
      <c r="CXS3" s="95" t="n"/>
      <c r="CXT3" s="95" t="n"/>
      <c r="CXU3" s="95" t="n"/>
      <c r="CXV3" s="95" t="n"/>
      <c r="CXW3" s="95" t="n"/>
      <c r="CXX3" s="95" t="n"/>
      <c r="CXY3" s="95" t="n"/>
      <c r="CXZ3" s="95" t="n"/>
      <c r="CYA3" s="95" t="n"/>
      <c r="CYB3" s="95" t="n"/>
      <c r="CYC3" s="95" t="n"/>
      <c r="CYD3" s="95" t="n"/>
      <c r="CYE3" s="95" t="n"/>
      <c r="CYF3" s="95" t="n"/>
      <c r="CYG3" s="95" t="n"/>
      <c r="CYH3" s="95" t="n"/>
      <c r="CYI3" s="95" t="n"/>
      <c r="CYJ3" s="95" t="n"/>
      <c r="CYK3" s="95" t="n"/>
      <c r="CYL3" s="95" t="n"/>
      <c r="CYM3" s="95" t="n"/>
      <c r="CYN3" s="95" t="n"/>
      <c r="CYO3" s="95" t="n"/>
      <c r="CYP3" s="95" t="n"/>
      <c r="CYQ3" s="95" t="n"/>
      <c r="CYR3" s="95" t="n"/>
      <c r="CYS3" s="95" t="n"/>
      <c r="CYT3" s="95" t="n"/>
      <c r="CYU3" s="95" t="n"/>
      <c r="CYV3" s="95" t="n"/>
      <c r="CYW3" s="95" t="n"/>
      <c r="CYX3" s="95" t="n"/>
      <c r="CYY3" s="95" t="n"/>
      <c r="CYZ3" s="95" t="n"/>
      <c r="CZA3" s="95" t="n"/>
      <c r="CZB3" s="95" t="n"/>
      <c r="CZC3" s="95" t="n"/>
      <c r="CZD3" s="95" t="n"/>
      <c r="CZE3" s="95" t="n"/>
      <c r="CZF3" s="95" t="n"/>
      <c r="CZG3" s="95" t="n"/>
      <c r="CZH3" s="95" t="n"/>
      <c r="CZI3" s="95" t="n"/>
      <c r="CZJ3" s="95" t="n"/>
      <c r="CZK3" s="95" t="n"/>
      <c r="CZL3" s="95" t="n"/>
      <c r="CZM3" s="95" t="n"/>
      <c r="CZN3" s="95" t="n"/>
      <c r="CZO3" s="95" t="n"/>
      <c r="CZP3" s="95" t="n"/>
      <c r="CZQ3" s="95" t="n"/>
      <c r="CZR3" s="95" t="n"/>
      <c r="CZS3" s="95" t="n"/>
      <c r="CZT3" s="95" t="n"/>
      <c r="CZU3" s="95" t="n"/>
      <c r="CZV3" s="95" t="n"/>
      <c r="CZW3" s="95" t="n"/>
      <c r="CZX3" s="95" t="n"/>
      <c r="CZY3" s="95" t="n"/>
      <c r="CZZ3" s="95" t="n"/>
      <c r="DAA3" s="95" t="n"/>
      <c r="DAB3" s="95" t="n"/>
      <c r="DAC3" s="95" t="n"/>
      <c r="DAD3" s="95" t="n"/>
      <c r="DAE3" s="95" t="n"/>
      <c r="DAF3" s="95" t="n"/>
      <c r="DAG3" s="95" t="n"/>
      <c r="DAH3" s="95" t="n"/>
      <c r="DAI3" s="95" t="n"/>
      <c r="DAJ3" s="95" t="n"/>
      <c r="DAK3" s="95" t="n"/>
      <c r="DAL3" s="95" t="n"/>
      <c r="DAM3" s="95" t="n"/>
      <c r="DAN3" s="95" t="n"/>
      <c r="DAO3" s="95" t="n"/>
      <c r="DAP3" s="95" t="n"/>
      <c r="DAQ3" s="95" t="n"/>
      <c r="DAR3" s="95" t="n"/>
      <c r="DAS3" s="95" t="n"/>
      <c r="DAT3" s="95" t="n"/>
      <c r="DAU3" s="95" t="n"/>
      <c r="DAV3" s="95" t="n"/>
      <c r="DAW3" s="95" t="n"/>
      <c r="DAX3" s="95" t="n"/>
      <c r="DAY3" s="95" t="n"/>
      <c r="DAZ3" s="95" t="n"/>
      <c r="DBA3" s="95" t="n"/>
      <c r="DBB3" s="95" t="n"/>
      <c r="DBC3" s="95" t="n"/>
      <c r="DBD3" s="95" t="n"/>
      <c r="DBE3" s="95" t="n"/>
      <c r="DBF3" s="95" t="n"/>
      <c r="DBG3" s="95" t="n"/>
      <c r="DBH3" s="95" t="n"/>
      <c r="DBI3" s="95" t="n"/>
      <c r="DBJ3" s="95" t="n"/>
      <c r="DBK3" s="95" t="n"/>
      <c r="DBL3" s="95" t="n"/>
      <c r="DBM3" s="95" t="n"/>
      <c r="DBN3" s="95" t="n"/>
      <c r="DBO3" s="95" t="n"/>
      <c r="DBP3" s="95" t="n"/>
      <c r="DBQ3" s="95" t="n"/>
      <c r="DBR3" s="95" t="n"/>
      <c r="DBS3" s="95" t="n"/>
      <c r="DBT3" s="95" t="n"/>
      <c r="DBU3" s="95" t="n"/>
      <c r="DBV3" s="95" t="n"/>
      <c r="DBW3" s="95" t="n"/>
      <c r="DBX3" s="95" t="n"/>
      <c r="DBY3" s="95" t="n"/>
      <c r="DBZ3" s="95" t="n"/>
      <c r="DCA3" s="95" t="n"/>
      <c r="DCB3" s="95" t="n"/>
      <c r="DCC3" s="95" t="n"/>
      <c r="DCD3" s="95" t="n"/>
      <c r="DCE3" s="95" t="n"/>
      <c r="DCF3" s="95" t="n"/>
      <c r="DCG3" s="95" t="n"/>
      <c r="DCH3" s="95" t="n"/>
      <c r="DCI3" s="95" t="n"/>
      <c r="DCJ3" s="95" t="n"/>
      <c r="DCK3" s="95" t="n"/>
      <c r="DCL3" s="95" t="n"/>
      <c r="DCM3" s="95" t="n"/>
      <c r="DCN3" s="95" t="n"/>
      <c r="DCO3" s="95" t="n"/>
      <c r="DCP3" s="95" t="n"/>
      <c r="DCQ3" s="95" t="n"/>
      <c r="DCR3" s="95" t="n"/>
      <c r="DCS3" s="95" t="n"/>
      <c r="DCT3" s="95" t="n"/>
      <c r="DCU3" s="95" t="n"/>
      <c r="DCV3" s="95" t="n"/>
      <c r="DCW3" s="95" t="n"/>
      <c r="DCX3" s="95" t="n"/>
      <c r="DCY3" s="95" t="n"/>
      <c r="DCZ3" s="95" t="n"/>
      <c r="DDA3" s="95" t="n"/>
      <c r="DDB3" s="95" t="n"/>
      <c r="DDC3" s="95" t="n"/>
      <c r="DDD3" s="95" t="n"/>
      <c r="DDE3" s="95" t="n"/>
      <c r="DDF3" s="95" t="n"/>
      <c r="DDG3" s="95" t="n"/>
      <c r="DDH3" s="95" t="n"/>
      <c r="DDI3" s="95" t="n"/>
      <c r="DDJ3" s="95" t="n"/>
      <c r="DDK3" s="95" t="n"/>
      <c r="DDL3" s="95" t="n"/>
      <c r="DDM3" s="95" t="n"/>
      <c r="DDN3" s="95" t="n"/>
      <c r="DDO3" s="95" t="n"/>
      <c r="DDP3" s="95" t="n"/>
      <c r="DDQ3" s="95" t="n"/>
      <c r="DDR3" s="95" t="n"/>
      <c r="DDS3" s="95" t="n"/>
      <c r="DDT3" s="95" t="n"/>
      <c r="DDU3" s="95" t="n"/>
      <c r="DDV3" s="95" t="n"/>
      <c r="DDW3" s="95" t="n"/>
      <c r="DDX3" s="95" t="n"/>
      <c r="DDY3" s="95" t="n"/>
      <c r="DDZ3" s="95" t="n"/>
      <c r="DEA3" s="95" t="n"/>
      <c r="DEB3" s="95" t="n"/>
      <c r="DEC3" s="95" t="n"/>
      <c r="DED3" s="95" t="n"/>
      <c r="DEE3" s="95" t="n"/>
      <c r="DEF3" s="95" t="n"/>
      <c r="DEG3" s="95" t="n"/>
      <c r="DEH3" s="95" t="n"/>
      <c r="DEI3" s="95" t="n"/>
      <c r="DEJ3" s="95" t="n"/>
      <c r="DEK3" s="95" t="n"/>
      <c r="DEL3" s="95" t="n"/>
      <c r="DEM3" s="95" t="n"/>
      <c r="DEN3" s="95" t="n"/>
      <c r="DEO3" s="95" t="n"/>
      <c r="DEP3" s="95" t="n"/>
      <c r="DEQ3" s="95" t="n"/>
      <c r="DER3" s="95" t="n"/>
      <c r="DES3" s="95" t="n"/>
      <c r="DET3" s="95" t="n"/>
      <c r="DEU3" s="95" t="n"/>
      <c r="DEV3" s="95" t="n"/>
      <c r="DEW3" s="95" t="n"/>
      <c r="DEX3" s="95" t="n"/>
      <c r="DEY3" s="95" t="n"/>
      <c r="DEZ3" s="95" t="n"/>
      <c r="DFA3" s="95" t="n"/>
      <c r="DFB3" s="95" t="n"/>
      <c r="DFC3" s="95" t="n"/>
      <c r="DFD3" s="95" t="n"/>
      <c r="DFE3" s="95" t="n"/>
      <c r="DFF3" s="95" t="n"/>
      <c r="DFG3" s="95" t="n"/>
      <c r="DFH3" s="95" t="n"/>
      <c r="DFI3" s="95" t="n"/>
      <c r="DFJ3" s="95" t="n"/>
      <c r="DFK3" s="95" t="n"/>
      <c r="DFL3" s="95" t="n"/>
      <c r="DFM3" s="95" t="n"/>
      <c r="DFN3" s="95" t="n"/>
      <c r="DFO3" s="95" t="n"/>
      <c r="DFP3" s="95" t="n"/>
      <c r="DFQ3" s="95" t="n"/>
      <c r="DFR3" s="95" t="n"/>
      <c r="DFS3" s="95" t="n"/>
      <c r="DFT3" s="95" t="n"/>
      <c r="DFU3" s="95" t="n"/>
      <c r="DFV3" s="95" t="n"/>
      <c r="DFW3" s="95" t="n"/>
      <c r="DFX3" s="95" t="n"/>
      <c r="DFY3" s="95" t="n"/>
      <c r="DFZ3" s="95" t="n"/>
      <c r="DGA3" s="95" t="n"/>
      <c r="DGB3" s="95" t="n"/>
      <c r="DGC3" s="95" t="n"/>
      <c r="DGD3" s="95" t="n"/>
      <c r="DGE3" s="95" t="n"/>
      <c r="DGF3" s="95" t="n"/>
      <c r="DGG3" s="95" t="n"/>
      <c r="DGH3" s="95" t="n"/>
      <c r="DGI3" s="95" t="n"/>
      <c r="DGJ3" s="95" t="n"/>
      <c r="DGK3" s="95" t="n"/>
      <c r="DGL3" s="95" t="n"/>
      <c r="DGM3" s="95" t="n"/>
      <c r="DGN3" s="95" t="n"/>
      <c r="DGO3" s="95" t="n"/>
      <c r="DGP3" s="95" t="n"/>
      <c r="DGQ3" s="95" t="n"/>
      <c r="DGR3" s="95" t="n"/>
      <c r="DGS3" s="95" t="n"/>
      <c r="DGT3" s="95" t="n"/>
      <c r="DGU3" s="95" t="n"/>
      <c r="DGV3" s="95" t="n"/>
      <c r="DGW3" s="95" t="n"/>
      <c r="DGX3" s="95" t="n"/>
      <c r="DGY3" s="95" t="n"/>
      <c r="DGZ3" s="95" t="n"/>
      <c r="DHA3" s="95" t="n"/>
      <c r="DHB3" s="95" t="n"/>
      <c r="DHC3" s="95" t="n"/>
      <c r="DHD3" s="95" t="n"/>
      <c r="DHE3" s="95" t="n"/>
      <c r="DHF3" s="95" t="n"/>
      <c r="DHG3" s="95" t="n"/>
      <c r="DHH3" s="95" t="n"/>
      <c r="DHI3" s="95" t="n"/>
      <c r="DHJ3" s="95" t="n"/>
      <c r="DHK3" s="95" t="n"/>
      <c r="DHL3" s="95" t="n"/>
      <c r="DHM3" s="95" t="n"/>
      <c r="DHN3" s="95" t="n"/>
      <c r="DHO3" s="95" t="n"/>
      <c r="DHP3" s="95" t="n"/>
      <c r="DHQ3" s="95" t="n"/>
      <c r="DHR3" s="95" t="n"/>
      <c r="DHS3" s="95" t="n"/>
      <c r="DHT3" s="95" t="n"/>
      <c r="DHU3" s="95" t="n"/>
      <c r="DHV3" s="95" t="n"/>
      <c r="DHW3" s="95" t="n"/>
      <c r="DHX3" s="95" t="n"/>
      <c r="DHY3" s="95" t="n"/>
      <c r="DHZ3" s="95" t="n"/>
      <c r="DIA3" s="95" t="n"/>
      <c r="DIB3" s="95" t="n"/>
      <c r="DIC3" s="95" t="n"/>
      <c r="DID3" s="95" t="n"/>
      <c r="DIE3" s="95" t="n"/>
      <c r="DIF3" s="95" t="n"/>
      <c r="DIG3" s="95" t="n"/>
      <c r="DIH3" s="95" t="n"/>
      <c r="DII3" s="95" t="n"/>
      <c r="DIJ3" s="95" t="n"/>
      <c r="DIK3" s="95" t="n"/>
      <c r="DIL3" s="95" t="n"/>
      <c r="DIM3" s="95" t="n"/>
      <c r="DIN3" s="95" t="n"/>
      <c r="DIO3" s="95" t="n"/>
      <c r="DIP3" s="95" t="n"/>
      <c r="DIQ3" s="95" t="n"/>
      <c r="DIR3" s="95" t="n"/>
      <c r="DIS3" s="95" t="n"/>
      <c r="DIT3" s="95" t="n"/>
      <c r="DIU3" s="95" t="n"/>
      <c r="DIV3" s="95" t="n"/>
      <c r="DIW3" s="95" t="n"/>
      <c r="DIX3" s="95" t="n"/>
      <c r="DIY3" s="95" t="n"/>
      <c r="DIZ3" s="95" t="n"/>
      <c r="DJA3" s="95" t="n"/>
      <c r="DJB3" s="95" t="n"/>
      <c r="DJC3" s="95" t="n"/>
      <c r="DJD3" s="95" t="n"/>
      <c r="DJE3" s="95" t="n"/>
      <c r="DJF3" s="95" t="n"/>
      <c r="DJG3" s="95" t="n"/>
      <c r="DJH3" s="95" t="n"/>
      <c r="DJI3" s="95" t="n"/>
      <c r="DJJ3" s="95" t="n"/>
      <c r="DJK3" s="95" t="n"/>
      <c r="DJL3" s="95" t="n"/>
      <c r="DJM3" s="95" t="n"/>
      <c r="DJN3" s="95" t="n"/>
      <c r="DJO3" s="95" t="n"/>
      <c r="DJP3" s="95" t="n"/>
      <c r="DJQ3" s="95" t="n"/>
      <c r="DJR3" s="95" t="n"/>
      <c r="DJS3" s="95" t="n"/>
      <c r="DJT3" s="95" t="n"/>
      <c r="DJU3" s="95" t="n"/>
      <c r="DJV3" s="95" t="n"/>
      <c r="DJW3" s="95" t="n"/>
      <c r="DJX3" s="95" t="n"/>
      <c r="DJY3" s="95" t="n"/>
      <c r="DJZ3" s="95" t="n"/>
      <c r="DKA3" s="95" t="n"/>
      <c r="DKB3" s="95" t="n"/>
      <c r="DKC3" s="95" t="n"/>
      <c r="DKD3" s="95" t="n"/>
      <c r="DKE3" s="95" t="n"/>
      <c r="DKF3" s="95" t="n"/>
      <c r="DKG3" s="95" t="n"/>
      <c r="DKH3" s="95" t="n"/>
      <c r="DKI3" s="95" t="n"/>
      <c r="DKJ3" s="95" t="n"/>
      <c r="DKK3" s="95" t="n"/>
      <c r="DKL3" s="95" t="n"/>
      <c r="DKM3" s="95" t="n"/>
      <c r="DKN3" s="95" t="n"/>
      <c r="DKO3" s="95" t="n"/>
      <c r="DKP3" s="95" t="n"/>
      <c r="DKQ3" s="95" t="n"/>
      <c r="DKR3" s="95" t="n"/>
      <c r="DKS3" s="95" t="n"/>
      <c r="DKT3" s="95" t="n"/>
      <c r="DKU3" s="95" t="n"/>
      <c r="DKV3" s="95" t="n"/>
      <c r="DKW3" s="95" t="n"/>
      <c r="DKX3" s="95" t="n"/>
      <c r="DKY3" s="95" t="n"/>
      <c r="DKZ3" s="95" t="n"/>
      <c r="DLA3" s="95" t="n"/>
      <c r="DLB3" s="95" t="n"/>
      <c r="DLC3" s="95" t="n"/>
      <c r="DLD3" s="95" t="n"/>
      <c r="DLE3" s="95" t="n"/>
      <c r="DLF3" s="95" t="n"/>
      <c r="DLG3" s="95" t="n"/>
      <c r="DLH3" s="95" t="n"/>
      <c r="DLI3" s="95" t="n"/>
      <c r="DLJ3" s="95" t="n"/>
      <c r="DLK3" s="95" t="n"/>
      <c r="DLL3" s="95" t="n"/>
      <c r="DLM3" s="95" t="n"/>
      <c r="DLN3" s="95" t="n"/>
      <c r="DLO3" s="95" t="n"/>
      <c r="DLP3" s="95" t="n"/>
      <c r="DLQ3" s="95" t="n"/>
      <c r="DLR3" s="95" t="n"/>
      <c r="DLS3" s="95" t="n"/>
      <c r="DLT3" s="95" t="n"/>
      <c r="DLU3" s="95" t="n"/>
      <c r="DLV3" s="95" t="n"/>
      <c r="DLW3" s="95" t="n"/>
      <c r="DLX3" s="95" t="n"/>
      <c r="DLY3" s="95" t="n"/>
      <c r="DLZ3" s="95" t="n"/>
      <c r="DMA3" s="95" t="n"/>
      <c r="DMB3" s="95" t="n"/>
      <c r="DMC3" s="95" t="n"/>
      <c r="DMD3" s="95" t="n"/>
      <c r="DME3" s="95" t="n"/>
      <c r="DMF3" s="95" t="n"/>
      <c r="DMG3" s="95" t="n"/>
      <c r="DMH3" s="95" t="n"/>
      <c r="DMI3" s="95" t="n"/>
      <c r="DMJ3" s="95" t="n"/>
      <c r="DMK3" s="95" t="n"/>
      <c r="DML3" s="95" t="n"/>
      <c r="DMM3" s="95" t="n"/>
      <c r="DMN3" s="95" t="n"/>
      <c r="DMO3" s="95" t="n"/>
      <c r="DMP3" s="95" t="n"/>
      <c r="DMQ3" s="95" t="n"/>
      <c r="DMR3" s="95" t="n"/>
      <c r="DMS3" s="95" t="n"/>
      <c r="DMT3" s="95" t="n"/>
      <c r="DMU3" s="95" t="n"/>
      <c r="DMV3" s="95" t="n"/>
      <c r="DMW3" s="95" t="n"/>
      <c r="DMX3" s="95" t="n"/>
      <c r="DMY3" s="95" t="n"/>
      <c r="DMZ3" s="95" t="n"/>
      <c r="DNA3" s="95" t="n"/>
      <c r="DNB3" s="95" t="n"/>
      <c r="DNC3" s="95" t="n"/>
      <c r="DND3" s="95" t="n"/>
      <c r="DNE3" s="95" t="n"/>
      <c r="DNF3" s="95" t="n"/>
      <c r="DNG3" s="95" t="n"/>
      <c r="DNH3" s="95" t="n"/>
      <c r="DNI3" s="95" t="n"/>
      <c r="DNJ3" s="95" t="n"/>
      <c r="DNK3" s="95" t="n"/>
      <c r="DNL3" s="95" t="n"/>
      <c r="DNM3" s="95" t="n"/>
      <c r="DNN3" s="95" t="n"/>
      <c r="DNO3" s="95" t="n"/>
      <c r="DNP3" s="95" t="n"/>
      <c r="DNQ3" s="95" t="n"/>
      <c r="DNR3" s="95" t="n"/>
      <c r="DNS3" s="95" t="n"/>
      <c r="DNT3" s="95" t="n"/>
      <c r="DNU3" s="95" t="n"/>
      <c r="DNV3" s="95" t="n"/>
      <c r="DNW3" s="95" t="n"/>
      <c r="DNX3" s="95" t="n"/>
      <c r="DNY3" s="95" t="n"/>
      <c r="DNZ3" s="95" t="n"/>
      <c r="DOA3" s="95" t="n"/>
      <c r="DOB3" s="95" t="n"/>
      <c r="DOC3" s="95" t="n"/>
      <c r="DOD3" s="95" t="n"/>
      <c r="DOE3" s="95" t="n"/>
      <c r="DOF3" s="95" t="n"/>
      <c r="DOG3" s="95" t="n"/>
      <c r="DOH3" s="95" t="n"/>
      <c r="DOI3" s="95" t="n"/>
      <c r="DOJ3" s="95" t="n"/>
      <c r="DOK3" s="95" t="n"/>
      <c r="DOL3" s="95" t="n"/>
      <c r="DOM3" s="95" t="n"/>
      <c r="DON3" s="95" t="n"/>
      <c r="DOO3" s="95" t="n"/>
      <c r="DOP3" s="95" t="n"/>
      <c r="DOQ3" s="95" t="n"/>
      <c r="DOR3" s="95" t="n"/>
      <c r="DOS3" s="95" t="n"/>
      <c r="DOT3" s="95" t="n"/>
      <c r="DOU3" s="95" t="n"/>
      <c r="DOV3" s="95" t="n"/>
      <c r="DOW3" s="95" t="n"/>
      <c r="DOX3" s="95" t="n"/>
      <c r="DOY3" s="95" t="n"/>
      <c r="DOZ3" s="95" t="n"/>
      <c r="DPA3" s="95" t="n"/>
      <c r="DPB3" s="95" t="n"/>
      <c r="DPC3" s="95" t="n"/>
      <c r="DPD3" s="95" t="n"/>
      <c r="DPE3" s="95" t="n"/>
      <c r="DPF3" s="95" t="n"/>
      <c r="DPG3" s="95" t="n"/>
      <c r="DPH3" s="95" t="n"/>
      <c r="DPI3" s="95" t="n"/>
      <c r="DPJ3" s="95" t="n"/>
      <c r="DPK3" s="95" t="n"/>
      <c r="DPL3" s="95" t="n"/>
      <c r="DPM3" s="95" t="n"/>
      <c r="DPN3" s="95" t="n"/>
      <c r="DPO3" s="95" t="n"/>
      <c r="DPP3" s="95" t="n"/>
      <c r="DPQ3" s="95" t="n"/>
      <c r="DPR3" s="95" t="n"/>
      <c r="DPS3" s="95" t="n"/>
      <c r="DPT3" s="95" t="n"/>
      <c r="DPU3" s="95" t="n"/>
      <c r="DPV3" s="95" t="n"/>
      <c r="DPW3" s="95" t="n"/>
      <c r="DPX3" s="95" t="n"/>
      <c r="DPY3" s="95" t="n"/>
      <c r="DPZ3" s="95" t="n"/>
      <c r="DQA3" s="95" t="n"/>
      <c r="DQB3" s="95" t="n"/>
      <c r="DQC3" s="95" t="n"/>
      <c r="DQD3" s="95" t="n"/>
      <c r="DQE3" s="95" t="n"/>
      <c r="DQF3" s="95" t="n"/>
      <c r="DQG3" s="95" t="n"/>
      <c r="DQH3" s="95" t="n"/>
      <c r="DQI3" s="95" t="n"/>
      <c r="DQJ3" s="95" t="n"/>
      <c r="DQK3" s="95" t="n"/>
      <c r="DQL3" s="95" t="n"/>
      <c r="DQM3" s="95" t="n"/>
      <c r="DQN3" s="95" t="n"/>
      <c r="DQO3" s="95" t="n"/>
      <c r="DQP3" s="95" t="n"/>
      <c r="DQQ3" s="95" t="n"/>
      <c r="DQR3" s="95" t="n"/>
      <c r="DQS3" s="95" t="n"/>
      <c r="DQT3" s="95" t="n"/>
      <c r="DQU3" s="95" t="n"/>
      <c r="DQV3" s="95" t="n"/>
      <c r="DQW3" s="95" t="n"/>
      <c r="DQX3" s="95" t="n"/>
      <c r="DQY3" s="95" t="n"/>
      <c r="DQZ3" s="95" t="n"/>
      <c r="DRA3" s="95" t="n"/>
      <c r="DRB3" s="95" t="n"/>
      <c r="DRC3" s="95" t="n"/>
      <c r="DRD3" s="95" t="n"/>
      <c r="DRE3" s="95" t="n"/>
      <c r="DRF3" s="95" t="n"/>
      <c r="DRG3" s="95" t="n"/>
      <c r="DRH3" s="95" t="n"/>
      <c r="DRI3" s="95" t="n"/>
      <c r="DRJ3" s="95" t="n"/>
      <c r="DRK3" s="95" t="n"/>
      <c r="DRL3" s="95" t="n"/>
      <c r="DRM3" s="95" t="n"/>
      <c r="DRN3" s="95" t="n"/>
      <c r="DRO3" s="95" t="n"/>
      <c r="DRP3" s="95" t="n"/>
      <c r="DRQ3" s="95" t="n"/>
      <c r="DRR3" s="95" t="n"/>
      <c r="DRS3" s="95" t="n"/>
      <c r="DRT3" s="95" t="n"/>
      <c r="DRU3" s="95" t="n"/>
      <c r="DRV3" s="95" t="n"/>
      <c r="DRW3" s="95" t="n"/>
      <c r="DRX3" s="95" t="n"/>
      <c r="DRY3" s="95" t="n"/>
      <c r="DRZ3" s="95" t="n"/>
      <c r="DSA3" s="95" t="n"/>
      <c r="DSB3" s="95" t="n"/>
      <c r="DSC3" s="95" t="n"/>
      <c r="DSD3" s="95" t="n"/>
      <c r="DSE3" s="95" t="n"/>
      <c r="DSF3" s="95" t="n"/>
      <c r="DSG3" s="95" t="n"/>
      <c r="DSH3" s="95" t="n"/>
      <c r="DSI3" s="95" t="n"/>
      <c r="DSJ3" s="95" t="n"/>
      <c r="DSK3" s="95" t="n"/>
      <c r="DSL3" s="95" t="n"/>
      <c r="DSM3" s="95" t="n"/>
      <c r="DSN3" s="95" t="n"/>
      <c r="DSO3" s="95" t="n"/>
      <c r="DSP3" s="95" t="n"/>
      <c r="DSQ3" s="95" t="n"/>
      <c r="DSR3" s="95" t="n"/>
      <c r="DSS3" s="95" t="n"/>
      <c r="DST3" s="95" t="n"/>
      <c r="DSU3" s="95" t="n"/>
      <c r="DSV3" s="95" t="n"/>
      <c r="DSW3" s="95" t="n"/>
      <c r="DSX3" s="95" t="n"/>
      <c r="DSY3" s="95" t="n"/>
      <c r="DSZ3" s="95" t="n"/>
      <c r="DTA3" s="95" t="n"/>
      <c r="DTB3" s="95" t="n"/>
      <c r="DTC3" s="95" t="n"/>
      <c r="DTD3" s="95" t="n"/>
      <c r="DTE3" s="95" t="n"/>
      <c r="DTF3" s="95" t="n"/>
      <c r="DTG3" s="95" t="n"/>
      <c r="DTH3" s="95" t="n"/>
      <c r="DTI3" s="95" t="n"/>
      <c r="DTJ3" s="95" t="n"/>
      <c r="DTK3" s="95" t="n"/>
      <c r="DTL3" s="95" t="n"/>
      <c r="DTM3" s="95" t="n"/>
      <c r="DTN3" s="95" t="n"/>
      <c r="DTO3" s="95" t="n"/>
      <c r="DTP3" s="95" t="n"/>
      <c r="DTQ3" s="95" t="n"/>
      <c r="DTR3" s="95" t="n"/>
      <c r="DTS3" s="95" t="n"/>
      <c r="DTT3" s="95" t="n"/>
      <c r="DTU3" s="95" t="n"/>
      <c r="DTV3" s="95" t="n"/>
      <c r="DTW3" s="95" t="n"/>
      <c r="DTX3" s="95" t="n"/>
      <c r="DTY3" s="95" t="n"/>
      <c r="DTZ3" s="95" t="n"/>
      <c r="DUA3" s="95" t="n"/>
      <c r="DUB3" s="95" t="n"/>
      <c r="DUC3" s="95" t="n"/>
      <c r="DUD3" s="95" t="n"/>
      <c r="DUE3" s="95" t="n"/>
      <c r="DUF3" s="95" t="n"/>
      <c r="DUG3" s="95" t="n"/>
      <c r="DUH3" s="95" t="n"/>
      <c r="DUI3" s="95" t="n"/>
      <c r="DUJ3" s="95" t="n"/>
      <c r="DUK3" s="95" t="n"/>
      <c r="DUL3" s="95" t="n"/>
      <c r="DUM3" s="95" t="n"/>
      <c r="DUN3" s="95" t="n"/>
      <c r="DUO3" s="95" t="n"/>
      <c r="DUP3" s="95" t="n"/>
      <c r="DUQ3" s="95" t="n"/>
      <c r="DUR3" s="95" t="n"/>
      <c r="DUS3" s="95" t="n"/>
      <c r="DUT3" s="95" t="n"/>
      <c r="DUU3" s="95" t="n"/>
      <c r="DUV3" s="95" t="n"/>
      <c r="DUW3" s="95" t="n"/>
      <c r="DUX3" s="95" t="n"/>
      <c r="DUY3" s="95" t="n"/>
      <c r="DUZ3" s="95" t="n"/>
      <c r="DVA3" s="95" t="n"/>
      <c r="DVB3" s="95" t="n"/>
      <c r="DVC3" s="95" t="n"/>
      <c r="DVD3" s="95" t="n"/>
      <c r="DVE3" s="95" t="n"/>
      <c r="DVF3" s="95" t="n"/>
      <c r="DVG3" s="95" t="n"/>
      <c r="DVH3" s="95" t="n"/>
      <c r="DVI3" s="95" t="n"/>
      <c r="DVJ3" s="95" t="n"/>
      <c r="DVK3" s="95" t="n"/>
      <c r="DVL3" s="95" t="n"/>
      <c r="DVM3" s="95" t="n"/>
      <c r="DVN3" s="95" t="n"/>
      <c r="DVO3" s="95" t="n"/>
      <c r="DVP3" s="95" t="n"/>
      <c r="DVQ3" s="95" t="n"/>
      <c r="DVR3" s="95" t="n"/>
      <c r="DVS3" s="95" t="n"/>
      <c r="DVT3" s="95" t="n"/>
      <c r="DVU3" s="95" t="n"/>
      <c r="DVV3" s="95" t="n"/>
      <c r="DVW3" s="95" t="n"/>
      <c r="DVX3" s="95" t="n"/>
      <c r="DVY3" s="95" t="n"/>
      <c r="DVZ3" s="95" t="n"/>
      <c r="DWA3" s="95" t="n"/>
      <c r="DWB3" s="95" t="n"/>
      <c r="DWC3" s="95" t="n"/>
      <c r="DWD3" s="95" t="n"/>
      <c r="DWE3" s="95" t="n"/>
      <c r="DWF3" s="95" t="n"/>
      <c r="DWG3" s="95" t="n"/>
      <c r="DWH3" s="95" t="n"/>
      <c r="DWI3" s="95" t="n"/>
      <c r="DWJ3" s="95" t="n"/>
      <c r="DWK3" s="95" t="n"/>
      <c r="DWL3" s="95" t="n"/>
      <c r="DWM3" s="95" t="n"/>
      <c r="DWN3" s="95" t="n"/>
      <c r="DWO3" s="95" t="n"/>
      <c r="DWP3" s="95" t="n"/>
      <c r="DWQ3" s="95" t="n"/>
      <c r="DWR3" s="95" t="n"/>
      <c r="DWS3" s="95" t="n"/>
      <c r="DWT3" s="95" t="n"/>
      <c r="DWU3" s="95" t="n"/>
      <c r="DWV3" s="95" t="n"/>
      <c r="DWW3" s="95" t="n"/>
      <c r="DWX3" s="95" t="n"/>
      <c r="DWY3" s="95" t="n"/>
      <c r="DWZ3" s="95" t="n"/>
      <c r="DXA3" s="95" t="n"/>
      <c r="DXB3" s="95" t="n"/>
      <c r="DXC3" s="95" t="n"/>
      <c r="DXD3" s="95" t="n"/>
      <c r="DXE3" s="95" t="n"/>
      <c r="DXF3" s="95" t="n"/>
      <c r="DXG3" s="95" t="n"/>
      <c r="DXH3" s="95" t="n"/>
      <c r="DXI3" s="95" t="n"/>
      <c r="DXJ3" s="95" t="n"/>
      <c r="DXK3" s="95" t="n"/>
      <c r="DXL3" s="95" t="n"/>
      <c r="DXM3" s="95" t="n"/>
      <c r="DXN3" s="95" t="n"/>
      <c r="DXO3" s="95" t="n"/>
      <c r="DXP3" s="95" t="n"/>
      <c r="DXQ3" s="95" t="n"/>
      <c r="DXR3" s="95" t="n"/>
      <c r="DXS3" s="95" t="n"/>
      <c r="DXT3" s="95" t="n"/>
      <c r="DXU3" s="95" t="n"/>
      <c r="DXV3" s="95" t="n"/>
      <c r="DXW3" s="95" t="n"/>
      <c r="DXX3" s="95" t="n"/>
      <c r="DXY3" s="95" t="n"/>
      <c r="DXZ3" s="95" t="n"/>
      <c r="DYA3" s="95" t="n"/>
      <c r="DYB3" s="95" t="n"/>
      <c r="DYC3" s="95" t="n"/>
      <c r="DYD3" s="95" t="n"/>
      <c r="DYE3" s="95" t="n"/>
      <c r="DYF3" s="95" t="n"/>
      <c r="DYG3" s="95" t="n"/>
      <c r="DYH3" s="95" t="n"/>
      <c r="DYI3" s="95" t="n"/>
      <c r="DYJ3" s="95" t="n"/>
      <c r="DYK3" s="95" t="n"/>
      <c r="DYL3" s="95" t="n"/>
      <c r="DYM3" s="95" t="n"/>
      <c r="DYN3" s="95" t="n"/>
      <c r="DYO3" s="95" t="n"/>
      <c r="DYP3" s="95" t="n"/>
      <c r="DYQ3" s="95" t="n"/>
      <c r="DYR3" s="95" t="n"/>
      <c r="DYS3" s="95" t="n"/>
      <c r="DYT3" s="95" t="n"/>
      <c r="DYU3" s="95" t="n"/>
      <c r="DYV3" s="95" t="n"/>
      <c r="DYW3" s="95" t="n"/>
      <c r="DYX3" s="95" t="n"/>
      <c r="DYY3" s="95" t="n"/>
      <c r="DYZ3" s="95" t="n"/>
      <c r="DZA3" s="95" t="n"/>
      <c r="DZB3" s="95" t="n"/>
      <c r="DZC3" s="95" t="n"/>
      <c r="DZD3" s="95" t="n"/>
      <c r="DZE3" s="95" t="n"/>
      <c r="DZF3" s="95" t="n"/>
      <c r="DZG3" s="95" t="n"/>
      <c r="DZH3" s="95" t="n"/>
      <c r="DZI3" s="95" t="n"/>
      <c r="DZJ3" s="95" t="n"/>
      <c r="DZK3" s="95" t="n"/>
      <c r="DZL3" s="95" t="n"/>
      <c r="DZM3" s="95" t="n"/>
      <c r="DZN3" s="95" t="n"/>
      <c r="DZO3" s="95" t="n"/>
      <c r="DZP3" s="95" t="n"/>
      <c r="DZQ3" s="95" t="n"/>
      <c r="DZR3" s="95" t="n"/>
      <c r="DZS3" s="95" t="n"/>
      <c r="DZT3" s="95" t="n"/>
      <c r="DZU3" s="95" t="n"/>
      <c r="DZV3" s="95" t="n"/>
      <c r="DZW3" s="95" t="n"/>
      <c r="DZX3" s="95" t="n"/>
      <c r="DZY3" s="95" t="n"/>
      <c r="DZZ3" s="95" t="n"/>
      <c r="EAA3" s="95" t="n"/>
      <c r="EAB3" s="95" t="n"/>
      <c r="EAC3" s="95" t="n"/>
      <c r="EAD3" s="95" t="n"/>
      <c r="EAE3" s="95" t="n"/>
      <c r="EAF3" s="95" t="n"/>
      <c r="EAG3" s="95" t="n"/>
      <c r="EAH3" s="95" t="n"/>
      <c r="EAI3" s="95" t="n"/>
      <c r="EAJ3" s="95" t="n"/>
      <c r="EAK3" s="95" t="n"/>
      <c r="EAL3" s="95" t="n"/>
      <c r="EAM3" s="95" t="n"/>
      <c r="EAN3" s="95" t="n"/>
      <c r="EAO3" s="95" t="n"/>
      <c r="EAP3" s="95" t="n"/>
      <c r="EAQ3" s="95" t="n"/>
      <c r="EAR3" s="95" t="n"/>
      <c r="EAS3" s="95" t="n"/>
      <c r="EAT3" s="95" t="n"/>
      <c r="EAU3" s="95" t="n"/>
      <c r="EAV3" s="95" t="n"/>
      <c r="EAW3" s="95" t="n"/>
      <c r="EAX3" s="95" t="n"/>
      <c r="EAY3" s="95" t="n"/>
      <c r="EAZ3" s="95" t="n"/>
      <c r="EBA3" s="95" t="n"/>
      <c r="EBB3" s="95" t="n"/>
      <c r="EBC3" s="95" t="n"/>
      <c r="EBD3" s="95" t="n"/>
      <c r="EBE3" s="95" t="n"/>
      <c r="EBF3" s="95" t="n"/>
      <c r="EBG3" s="95" t="n"/>
      <c r="EBH3" s="95" t="n"/>
      <c r="EBI3" s="95" t="n"/>
      <c r="EBJ3" s="95" t="n"/>
      <c r="EBK3" s="95" t="n"/>
      <c r="EBL3" s="95" t="n"/>
      <c r="EBM3" s="95" t="n"/>
      <c r="EBN3" s="95" t="n"/>
      <c r="EBO3" s="95" t="n"/>
      <c r="EBP3" s="95" t="n"/>
      <c r="EBQ3" s="95" t="n"/>
      <c r="EBR3" s="95" t="n"/>
      <c r="EBS3" s="95" t="n"/>
      <c r="EBT3" s="95" t="n"/>
      <c r="EBU3" s="95" t="n"/>
      <c r="EBV3" s="95" t="n"/>
      <c r="EBW3" s="95" t="n"/>
      <c r="EBX3" s="95" t="n"/>
      <c r="EBY3" s="95" t="n"/>
      <c r="EBZ3" s="95" t="n"/>
      <c r="ECA3" s="95" t="n"/>
      <c r="ECB3" s="95" t="n"/>
      <c r="ECC3" s="95" t="n"/>
      <c r="ECD3" s="95" t="n"/>
      <c r="ECE3" s="95" t="n"/>
      <c r="ECF3" s="95" t="n"/>
      <c r="ECG3" s="95" t="n"/>
      <c r="ECH3" s="95" t="n"/>
      <c r="ECI3" s="95" t="n"/>
      <c r="ECJ3" s="95" t="n"/>
      <c r="ECK3" s="95" t="n"/>
      <c r="ECL3" s="95" t="n"/>
      <c r="ECM3" s="95" t="n"/>
      <c r="ECN3" s="95" t="n"/>
      <c r="ECO3" s="95" t="n"/>
      <c r="ECP3" s="95" t="n"/>
      <c r="ECQ3" s="95" t="n"/>
      <c r="ECR3" s="95" t="n"/>
      <c r="ECS3" s="95" t="n"/>
      <c r="ECT3" s="95" t="n"/>
      <c r="ECU3" s="95" t="n"/>
      <c r="ECV3" s="95" t="n"/>
      <c r="ECW3" s="95" t="n"/>
      <c r="ECX3" s="95" t="n"/>
      <c r="ECY3" s="95" t="n"/>
      <c r="ECZ3" s="95" t="n"/>
      <c r="EDA3" s="95" t="n"/>
      <c r="EDB3" s="95" t="n"/>
      <c r="EDC3" s="95" t="n"/>
      <c r="EDD3" s="95" t="n"/>
      <c r="EDE3" s="95" t="n"/>
      <c r="EDF3" s="95" t="n"/>
      <c r="EDG3" s="95" t="n"/>
      <c r="EDH3" s="95" t="n"/>
      <c r="EDI3" s="95" t="n"/>
      <c r="EDJ3" s="95" t="n"/>
      <c r="EDK3" s="95" t="n"/>
      <c r="EDL3" s="95" t="n"/>
      <c r="EDM3" s="95" t="n"/>
      <c r="EDN3" s="95" t="n"/>
      <c r="EDO3" s="95" t="n"/>
      <c r="EDP3" s="95" t="n"/>
      <c r="EDQ3" s="95" t="n"/>
      <c r="EDR3" s="95" t="n"/>
      <c r="EDS3" s="95" t="n"/>
      <c r="EDT3" s="95" t="n"/>
      <c r="EDU3" s="95" t="n"/>
      <c r="EDV3" s="95" t="n"/>
      <c r="EDW3" s="95" t="n"/>
      <c r="EDX3" s="95" t="n"/>
      <c r="EDY3" s="95" t="n"/>
      <c r="EDZ3" s="95" t="n"/>
      <c r="EEA3" s="95" t="n"/>
      <c r="EEB3" s="95" t="n"/>
      <c r="EEC3" s="95" t="n"/>
      <c r="EED3" s="95" t="n"/>
      <c r="EEE3" s="95" t="n"/>
      <c r="EEF3" s="95" t="n"/>
      <c r="EEG3" s="95" t="n"/>
      <c r="EEH3" s="95" t="n"/>
      <c r="EEI3" s="95" t="n"/>
      <c r="EEJ3" s="95" t="n"/>
      <c r="EEK3" s="95" t="n"/>
      <c r="EEL3" s="95" t="n"/>
      <c r="EEM3" s="95" t="n"/>
      <c r="EEN3" s="95" t="n"/>
      <c r="EEO3" s="95" t="n"/>
      <c r="EEP3" s="95" t="n"/>
      <c r="EEQ3" s="95" t="n"/>
      <c r="EER3" s="95" t="n"/>
      <c r="EES3" s="95" t="n"/>
      <c r="EET3" s="95" t="n"/>
      <c r="EEU3" s="95" t="n"/>
      <c r="EEV3" s="95" t="n"/>
      <c r="EEW3" s="95" t="n"/>
      <c r="EEX3" s="95" t="n"/>
      <c r="EEY3" s="95" t="n"/>
      <c r="EEZ3" s="95" t="n"/>
      <c r="EFA3" s="95" t="n"/>
      <c r="EFB3" s="95" t="n"/>
      <c r="EFC3" s="95" t="n"/>
      <c r="EFD3" s="95" t="n"/>
      <c r="EFE3" s="95" t="n"/>
      <c r="EFF3" s="95" t="n"/>
      <c r="EFG3" s="95" t="n"/>
      <c r="EFH3" s="95" t="n"/>
      <c r="EFI3" s="95" t="n"/>
      <c r="EFJ3" s="95" t="n"/>
      <c r="EFK3" s="95" t="n"/>
      <c r="EFL3" s="95" t="n"/>
      <c r="EFM3" s="95" t="n"/>
      <c r="EFN3" s="95" t="n"/>
      <c r="EFO3" s="95" t="n"/>
      <c r="EFP3" s="95" t="n"/>
      <c r="EFQ3" s="95" t="n"/>
      <c r="EFR3" s="95" t="n"/>
      <c r="EFS3" s="95" t="n"/>
      <c r="EFT3" s="95" t="n"/>
      <c r="EFU3" s="95" t="n"/>
      <c r="EFV3" s="95" t="n"/>
      <c r="EFW3" s="95" t="n"/>
      <c r="EFX3" s="95" t="n"/>
      <c r="EFY3" s="95" t="n"/>
      <c r="EFZ3" s="95" t="n"/>
      <c r="EGA3" s="95" t="n"/>
      <c r="EGB3" s="95" t="n"/>
      <c r="EGC3" s="95" t="n"/>
      <c r="EGD3" s="95" t="n"/>
      <c r="EGE3" s="95" t="n"/>
      <c r="EGF3" s="95" t="n"/>
      <c r="EGG3" s="95" t="n"/>
      <c r="EGH3" s="95" t="n"/>
      <c r="EGI3" s="95" t="n"/>
      <c r="EGJ3" s="95" t="n"/>
      <c r="EGK3" s="95" t="n"/>
      <c r="EGL3" s="95" t="n"/>
      <c r="EGM3" s="95" t="n"/>
      <c r="EGN3" s="95" t="n"/>
      <c r="EGO3" s="95" t="n"/>
      <c r="EGP3" s="95" t="n"/>
      <c r="EGQ3" s="95" t="n"/>
      <c r="EGR3" s="95" t="n"/>
      <c r="EGS3" s="95" t="n"/>
      <c r="EGT3" s="95" t="n"/>
      <c r="EGU3" s="95" t="n"/>
      <c r="EGV3" s="95" t="n"/>
      <c r="EGW3" s="95" t="n"/>
      <c r="EGX3" s="95" t="n"/>
      <c r="EGY3" s="95" t="n"/>
      <c r="EGZ3" s="95" t="n"/>
      <c r="EHA3" s="95" t="n"/>
      <c r="EHB3" s="95" t="n"/>
      <c r="EHC3" s="95" t="n"/>
      <c r="EHD3" s="95" t="n"/>
      <c r="EHE3" s="95" t="n"/>
      <c r="EHF3" s="95" t="n"/>
      <c r="EHG3" s="95" t="n"/>
      <c r="EHH3" s="95" t="n"/>
      <c r="EHI3" s="95" t="n"/>
      <c r="EHJ3" s="95" t="n"/>
      <c r="EHK3" s="95" t="n"/>
      <c r="EHL3" s="95" t="n"/>
      <c r="EHM3" s="95" t="n"/>
      <c r="EHN3" s="95" t="n"/>
      <c r="EHO3" s="95" t="n"/>
      <c r="EHP3" s="95" t="n"/>
      <c r="EHQ3" s="95" t="n"/>
      <c r="EHR3" s="95" t="n"/>
      <c r="EHS3" s="95" t="n"/>
      <c r="EHT3" s="95" t="n"/>
      <c r="EHU3" s="95" t="n"/>
      <c r="EHV3" s="95" t="n"/>
      <c r="EHW3" s="95" t="n"/>
      <c r="EHX3" s="95" t="n"/>
      <c r="EHY3" s="95" t="n"/>
      <c r="EHZ3" s="95" t="n"/>
      <c r="EIA3" s="95" t="n"/>
      <c r="EIB3" s="95" t="n"/>
      <c r="EIC3" s="95" t="n"/>
      <c r="EID3" s="95" t="n"/>
      <c r="EIE3" s="95" t="n"/>
      <c r="EIF3" s="95" t="n"/>
      <c r="EIG3" s="95" t="n"/>
      <c r="EIH3" s="95" t="n"/>
      <c r="EII3" s="95" t="n"/>
      <c r="EIJ3" s="95" t="n"/>
      <c r="EIK3" s="95" t="n"/>
      <c r="EIL3" s="95" t="n"/>
      <c r="EIM3" s="95" t="n"/>
      <c r="EIN3" s="95" t="n"/>
      <c r="EIO3" s="95" t="n"/>
      <c r="EIP3" s="95" t="n"/>
      <c r="EIQ3" s="95" t="n"/>
      <c r="EIR3" s="95" t="n"/>
      <c r="EIS3" s="95" t="n"/>
      <c r="EIT3" s="95" t="n"/>
      <c r="EIU3" s="95" t="n"/>
      <c r="EIV3" s="95" t="n"/>
      <c r="EIW3" s="95" t="n"/>
      <c r="EIX3" s="95" t="n"/>
      <c r="EIY3" s="95" t="n"/>
      <c r="EIZ3" s="95" t="n"/>
      <c r="EJA3" s="95" t="n"/>
      <c r="EJB3" s="95" t="n"/>
      <c r="EJC3" s="95" t="n"/>
      <c r="EJD3" s="95" t="n"/>
      <c r="EJE3" s="95" t="n"/>
      <c r="EJF3" s="95" t="n"/>
      <c r="EJG3" s="95" t="n"/>
      <c r="EJH3" s="95" t="n"/>
      <c r="EJI3" s="95" t="n"/>
      <c r="EJJ3" s="95" t="n"/>
      <c r="EJK3" s="95" t="n"/>
      <c r="EJL3" s="95" t="n"/>
      <c r="EJM3" s="95" t="n"/>
      <c r="EJN3" s="95" t="n"/>
      <c r="EJO3" s="95" t="n"/>
      <c r="EJP3" s="95" t="n"/>
      <c r="EJQ3" s="95" t="n"/>
      <c r="EJR3" s="95" t="n"/>
      <c r="EJS3" s="95" t="n"/>
      <c r="EJT3" s="95" t="n"/>
      <c r="EJU3" s="95" t="n"/>
      <c r="EJV3" s="95" t="n"/>
      <c r="EJW3" s="95" t="n"/>
      <c r="EJX3" s="95" t="n"/>
      <c r="EJY3" s="95" t="n"/>
      <c r="EJZ3" s="95" t="n"/>
      <c r="EKA3" s="95" t="n"/>
      <c r="EKB3" s="95" t="n"/>
      <c r="EKC3" s="95" t="n"/>
      <c r="EKD3" s="95" t="n"/>
      <c r="EKE3" s="95" t="n"/>
      <c r="EKF3" s="95" t="n"/>
      <c r="EKG3" s="95" t="n"/>
      <c r="EKH3" s="95" t="n"/>
      <c r="EKI3" s="95" t="n"/>
      <c r="EKJ3" s="95" t="n"/>
      <c r="EKK3" s="95" t="n"/>
      <c r="EKL3" s="95" t="n"/>
      <c r="EKM3" s="95" t="n"/>
      <c r="EKN3" s="95" t="n"/>
      <c r="EKO3" s="95" t="n"/>
      <c r="EKP3" s="95" t="n"/>
      <c r="EKQ3" s="95" t="n"/>
      <c r="EKR3" s="95" t="n"/>
      <c r="EKS3" s="95" t="n"/>
      <c r="EKT3" s="95" t="n"/>
      <c r="EKU3" s="95" t="n"/>
      <c r="EKV3" s="95" t="n"/>
      <c r="EKW3" s="95" t="n"/>
      <c r="EKX3" s="95" t="n"/>
      <c r="EKY3" s="95" t="n"/>
      <c r="EKZ3" s="95" t="n"/>
      <c r="ELA3" s="95" t="n"/>
      <c r="ELB3" s="95" t="n"/>
      <c r="ELC3" s="95" t="n"/>
      <c r="ELD3" s="95" t="n"/>
      <c r="ELE3" s="95" t="n"/>
      <c r="ELF3" s="95" t="n"/>
      <c r="ELG3" s="95" t="n"/>
      <c r="ELH3" s="95" t="n"/>
      <c r="ELI3" s="95" t="n"/>
      <c r="ELJ3" s="95" t="n"/>
      <c r="ELK3" s="95" t="n"/>
      <c r="ELL3" s="95" t="n"/>
      <c r="ELM3" s="95" t="n"/>
      <c r="ELN3" s="95" t="n"/>
      <c r="ELO3" s="95" t="n"/>
      <c r="ELP3" s="95" t="n"/>
      <c r="ELQ3" s="95" t="n"/>
      <c r="ELR3" s="95" t="n"/>
      <c r="ELS3" s="95" t="n"/>
      <c r="ELT3" s="95" t="n"/>
      <c r="ELU3" s="95" t="n"/>
      <c r="ELV3" s="95" t="n"/>
      <c r="ELW3" s="95" t="n"/>
      <c r="ELX3" s="95" t="n"/>
      <c r="ELY3" s="95" t="n"/>
      <c r="ELZ3" s="95" t="n"/>
      <c r="EMA3" s="95" t="n"/>
      <c r="EMB3" s="95" t="n"/>
      <c r="EMC3" s="95" t="n"/>
      <c r="EMD3" s="95" t="n"/>
      <c r="EME3" s="95" t="n"/>
      <c r="EMF3" s="95" t="n"/>
      <c r="EMG3" s="95" t="n"/>
      <c r="EMH3" s="95" t="n"/>
      <c r="EMI3" s="95" t="n"/>
      <c r="EMJ3" s="95" t="n"/>
      <c r="EMK3" s="95" t="n"/>
      <c r="EML3" s="95" t="n"/>
      <c r="EMM3" s="95" t="n"/>
      <c r="EMN3" s="95" t="n"/>
      <c r="EMO3" s="95" t="n"/>
      <c r="EMP3" s="95" t="n"/>
      <c r="EMQ3" s="95" t="n"/>
      <c r="EMR3" s="95" t="n"/>
      <c r="EMS3" s="95" t="n"/>
      <c r="EMT3" s="95" t="n"/>
      <c r="EMU3" s="95" t="n"/>
      <c r="EMV3" s="95" t="n"/>
      <c r="EMW3" s="95" t="n"/>
      <c r="EMX3" s="95" t="n"/>
      <c r="EMY3" s="95" t="n"/>
      <c r="EMZ3" s="95" t="n"/>
      <c r="ENA3" s="95" t="n"/>
      <c r="ENB3" s="95" t="n"/>
      <c r="ENC3" s="95" t="n"/>
      <c r="END3" s="95" t="n"/>
      <c r="ENE3" s="95" t="n"/>
      <c r="ENF3" s="95" t="n"/>
      <c r="ENG3" s="95" t="n"/>
      <c r="ENH3" s="95" t="n"/>
      <c r="ENI3" s="95" t="n"/>
      <c r="ENJ3" s="95" t="n"/>
      <c r="ENK3" s="95" t="n"/>
      <c r="ENL3" s="95" t="n"/>
      <c r="ENM3" s="95" t="n"/>
      <c r="ENN3" s="95" t="n"/>
      <c r="ENO3" s="95" t="n"/>
      <c r="ENP3" s="95" t="n"/>
      <c r="ENQ3" s="95" t="n"/>
      <c r="ENR3" s="95" t="n"/>
      <c r="ENS3" s="95" t="n"/>
      <c r="ENT3" s="95" t="n"/>
      <c r="ENU3" s="95" t="n"/>
      <c r="ENV3" s="95" t="n"/>
      <c r="ENW3" s="95" t="n"/>
      <c r="ENX3" s="95" t="n"/>
      <c r="ENY3" s="95" t="n"/>
      <c r="ENZ3" s="95" t="n"/>
      <c r="EOA3" s="95" t="n"/>
      <c r="EOB3" s="95" t="n"/>
      <c r="EOC3" s="95" t="n"/>
      <c r="EOD3" s="95" t="n"/>
      <c r="EOE3" s="95" t="n"/>
      <c r="EOF3" s="95" t="n"/>
      <c r="EOG3" s="95" t="n"/>
      <c r="EOH3" s="95" t="n"/>
      <c r="EOI3" s="95" t="n"/>
      <c r="EOJ3" s="95" t="n"/>
      <c r="EOK3" s="95" t="n"/>
      <c r="EOL3" s="95" t="n"/>
      <c r="EOM3" s="95" t="n"/>
      <c r="EON3" s="95" t="n"/>
      <c r="EOO3" s="95" t="n"/>
      <c r="EOP3" s="95" t="n"/>
      <c r="EOQ3" s="95" t="n"/>
      <c r="EOR3" s="95" t="n"/>
      <c r="EOS3" s="95" t="n"/>
      <c r="EOT3" s="95" t="n"/>
      <c r="EOU3" s="95" t="n"/>
      <c r="EOV3" s="95" t="n"/>
      <c r="EOW3" s="95" t="n"/>
      <c r="EOX3" s="95" t="n"/>
      <c r="EOY3" s="95" t="n"/>
      <c r="EOZ3" s="95" t="n"/>
      <c r="EPA3" s="95" t="n"/>
      <c r="EPB3" s="95" t="n"/>
      <c r="EPC3" s="95" t="n"/>
      <c r="EPD3" s="95" t="n"/>
      <c r="EPE3" s="95" t="n"/>
      <c r="EPF3" s="95" t="n"/>
      <c r="EPG3" s="95" t="n"/>
      <c r="EPH3" s="95" t="n"/>
      <c r="EPI3" s="95" t="n"/>
      <c r="EPJ3" s="95" t="n"/>
      <c r="EPK3" s="95" t="n"/>
      <c r="EPL3" s="95" t="n"/>
      <c r="EPM3" s="95" t="n"/>
      <c r="EPN3" s="95" t="n"/>
      <c r="EPO3" s="95" t="n"/>
      <c r="EPP3" s="95" t="n"/>
      <c r="EPQ3" s="95" t="n"/>
      <c r="EPR3" s="95" t="n"/>
      <c r="EPS3" s="95" t="n"/>
      <c r="EPT3" s="95" t="n"/>
      <c r="EPU3" s="95" t="n"/>
      <c r="EPV3" s="95" t="n"/>
      <c r="EPW3" s="95" t="n"/>
      <c r="EPX3" s="95" t="n"/>
      <c r="EPY3" s="95" t="n"/>
      <c r="EPZ3" s="95" t="n"/>
      <c r="EQA3" s="95" t="n"/>
      <c r="EQB3" s="95" t="n"/>
      <c r="EQC3" s="95" t="n"/>
      <c r="EQD3" s="95" t="n"/>
      <c r="EQE3" s="95" t="n"/>
      <c r="EQF3" s="95" t="n"/>
      <c r="EQG3" s="95" t="n"/>
      <c r="EQH3" s="95" t="n"/>
      <c r="EQI3" s="95" t="n"/>
      <c r="EQJ3" s="95" t="n"/>
      <c r="EQK3" s="95" t="n"/>
      <c r="EQL3" s="95" t="n"/>
      <c r="EQM3" s="95" t="n"/>
      <c r="EQN3" s="95" t="n"/>
      <c r="EQO3" s="95" t="n"/>
      <c r="EQP3" s="95" t="n"/>
      <c r="EQQ3" s="95" t="n"/>
      <c r="EQR3" s="95" t="n"/>
      <c r="EQS3" s="95" t="n"/>
      <c r="EQT3" s="95" t="n"/>
      <c r="EQU3" s="95" t="n"/>
      <c r="EQV3" s="95" t="n"/>
      <c r="EQW3" s="95" t="n"/>
      <c r="EQX3" s="95" t="n"/>
      <c r="EQY3" s="95" t="n"/>
      <c r="EQZ3" s="95" t="n"/>
      <c r="ERA3" s="95" t="n"/>
      <c r="ERB3" s="95" t="n"/>
      <c r="ERC3" s="95" t="n"/>
      <c r="ERD3" s="95" t="n"/>
      <c r="ERE3" s="95" t="n"/>
      <c r="ERF3" s="95" t="n"/>
      <c r="ERG3" s="95" t="n"/>
      <c r="ERH3" s="95" t="n"/>
      <c r="ERI3" s="95" t="n"/>
      <c r="ERJ3" s="95" t="n"/>
      <c r="ERK3" s="95" t="n"/>
      <c r="ERL3" s="95" t="n"/>
      <c r="ERM3" s="95" t="n"/>
      <c r="ERN3" s="95" t="n"/>
      <c r="ERO3" s="95" t="n"/>
      <c r="ERP3" s="95" t="n"/>
      <c r="ERQ3" s="95" t="n"/>
      <c r="ERR3" s="95" t="n"/>
      <c r="ERS3" s="95" t="n"/>
      <c r="ERT3" s="95" t="n"/>
      <c r="ERU3" s="95" t="n"/>
      <c r="ERV3" s="95" t="n"/>
      <c r="ERW3" s="95" t="n"/>
      <c r="ERX3" s="95" t="n"/>
      <c r="ERY3" s="95" t="n"/>
      <c r="ERZ3" s="95" t="n"/>
      <c r="ESA3" s="95" t="n"/>
      <c r="ESB3" s="95" t="n"/>
      <c r="ESC3" s="95" t="n"/>
      <c r="ESD3" s="95" t="n"/>
      <c r="ESE3" s="95" t="n"/>
      <c r="ESF3" s="95" t="n"/>
      <c r="ESG3" s="95" t="n"/>
      <c r="ESH3" s="95" t="n"/>
      <c r="ESI3" s="95" t="n"/>
      <c r="ESJ3" s="95" t="n"/>
      <c r="ESK3" s="95" t="n"/>
      <c r="ESL3" s="95" t="n"/>
      <c r="ESM3" s="95" t="n"/>
      <c r="ESN3" s="95" t="n"/>
      <c r="ESO3" s="95" t="n"/>
      <c r="ESP3" s="95" t="n"/>
      <c r="ESQ3" s="95" t="n"/>
      <c r="ESR3" s="95" t="n"/>
      <c r="ESS3" s="95" t="n"/>
      <c r="EST3" s="95" t="n"/>
      <c r="ESU3" s="95" t="n"/>
      <c r="ESV3" s="95" t="n"/>
      <c r="ESW3" s="95" t="n"/>
      <c r="ESX3" s="95" t="n"/>
      <c r="ESY3" s="95" t="n"/>
      <c r="ESZ3" s="95" t="n"/>
      <c r="ETA3" s="95" t="n"/>
      <c r="ETB3" s="95" t="n"/>
      <c r="ETC3" s="95" t="n"/>
      <c r="ETD3" s="95" t="n"/>
      <c r="ETE3" s="95" t="n"/>
      <c r="ETF3" s="95" t="n"/>
      <c r="ETG3" s="95" t="n"/>
      <c r="ETH3" s="95" t="n"/>
      <c r="ETI3" s="95" t="n"/>
      <c r="ETJ3" s="95" t="n"/>
      <c r="ETK3" s="95" t="n"/>
      <c r="ETL3" s="95" t="n"/>
      <c r="ETM3" s="95" t="n"/>
      <c r="ETN3" s="95" t="n"/>
      <c r="ETO3" s="95" t="n"/>
      <c r="ETP3" s="95" t="n"/>
      <c r="ETQ3" s="95" t="n"/>
      <c r="ETR3" s="95" t="n"/>
      <c r="ETS3" s="95" t="n"/>
      <c r="ETT3" s="95" t="n"/>
      <c r="ETU3" s="95" t="n"/>
      <c r="ETV3" s="95" t="n"/>
      <c r="ETW3" s="95" t="n"/>
      <c r="ETX3" s="95" t="n"/>
      <c r="ETY3" s="95" t="n"/>
      <c r="ETZ3" s="95" t="n"/>
      <c r="EUA3" s="95" t="n"/>
      <c r="EUB3" s="95" t="n"/>
      <c r="EUC3" s="95" t="n"/>
      <c r="EUD3" s="95" t="n"/>
      <c r="EUE3" s="95" t="n"/>
      <c r="EUF3" s="95" t="n"/>
      <c r="EUG3" s="95" t="n"/>
      <c r="EUH3" s="95" t="n"/>
      <c r="EUI3" s="95" t="n"/>
      <c r="EUJ3" s="95" t="n"/>
      <c r="EUK3" s="95" t="n"/>
      <c r="EUL3" s="95" t="n"/>
      <c r="EUM3" s="95" t="n"/>
      <c r="EUN3" s="95" t="n"/>
      <c r="EUO3" s="95" t="n"/>
      <c r="EUP3" s="95" t="n"/>
      <c r="EUQ3" s="95" t="n"/>
      <c r="EUR3" s="95" t="n"/>
      <c r="EUS3" s="95" t="n"/>
      <c r="EUT3" s="95" t="n"/>
      <c r="EUU3" s="95" t="n"/>
      <c r="EUV3" s="95" t="n"/>
      <c r="EUW3" s="95" t="n"/>
      <c r="EUX3" s="95" t="n"/>
      <c r="EUY3" s="95" t="n"/>
      <c r="EUZ3" s="95" t="n"/>
      <c r="EVA3" s="95" t="n"/>
      <c r="EVB3" s="95" t="n"/>
      <c r="EVC3" s="95" t="n"/>
      <c r="EVD3" s="95" t="n"/>
      <c r="EVE3" s="95" t="n"/>
      <c r="EVF3" s="95" t="n"/>
      <c r="EVG3" s="95" t="n"/>
      <c r="EVH3" s="95" t="n"/>
      <c r="EVI3" s="95" t="n"/>
      <c r="EVJ3" s="95" t="n"/>
      <c r="EVK3" s="95" t="n"/>
      <c r="EVL3" s="95" t="n"/>
      <c r="EVM3" s="95" t="n"/>
      <c r="EVN3" s="95" t="n"/>
      <c r="EVO3" s="95" t="n"/>
      <c r="EVP3" s="95" t="n"/>
      <c r="EVQ3" s="95" t="n"/>
      <c r="EVR3" s="95" t="n"/>
      <c r="EVS3" s="95" t="n"/>
      <c r="EVT3" s="95" t="n"/>
      <c r="EVU3" s="95" t="n"/>
      <c r="EVV3" s="95" t="n"/>
      <c r="EVW3" s="95" t="n"/>
      <c r="EVX3" s="95" t="n"/>
      <c r="EVY3" s="95" t="n"/>
      <c r="EVZ3" s="95" t="n"/>
      <c r="EWA3" s="95" t="n"/>
      <c r="EWB3" s="95" t="n"/>
      <c r="EWC3" s="95" t="n"/>
      <c r="EWD3" s="95" t="n"/>
      <c r="EWE3" s="95" t="n"/>
      <c r="EWF3" s="95" t="n"/>
      <c r="EWG3" s="95" t="n"/>
      <c r="EWH3" s="95" t="n"/>
      <c r="EWI3" s="95" t="n"/>
      <c r="EWJ3" s="95" t="n"/>
      <c r="EWK3" s="95" t="n"/>
      <c r="EWL3" s="95" t="n"/>
      <c r="EWM3" s="95" t="n"/>
      <c r="EWN3" s="95" t="n"/>
      <c r="EWO3" s="95" t="n"/>
      <c r="EWP3" s="95" t="n"/>
      <c r="EWQ3" s="95" t="n"/>
      <c r="EWR3" s="95" t="n"/>
      <c r="EWS3" s="95" t="n"/>
      <c r="EWT3" s="95" t="n"/>
      <c r="EWU3" s="95" t="n"/>
      <c r="EWV3" s="95" t="n"/>
      <c r="EWW3" s="95" t="n"/>
      <c r="EWX3" s="95" t="n"/>
      <c r="EWY3" s="95" t="n"/>
      <c r="EWZ3" s="95" t="n"/>
      <c r="EXA3" s="95" t="n"/>
      <c r="EXB3" s="95" t="n"/>
      <c r="EXC3" s="95" t="n"/>
      <c r="EXD3" s="95" t="n"/>
      <c r="EXE3" s="95" t="n"/>
      <c r="EXF3" s="95" t="n"/>
      <c r="EXG3" s="95" t="n"/>
      <c r="EXH3" s="95" t="n"/>
      <c r="EXI3" s="95" t="n"/>
      <c r="EXJ3" s="95" t="n"/>
      <c r="EXK3" s="95" t="n"/>
      <c r="EXL3" s="95" t="n"/>
      <c r="EXM3" s="95" t="n"/>
      <c r="EXN3" s="95" t="n"/>
      <c r="EXO3" s="95" t="n"/>
      <c r="EXP3" s="95" t="n"/>
      <c r="EXQ3" s="95" t="n"/>
      <c r="EXR3" s="95" t="n"/>
      <c r="EXS3" s="95" t="n"/>
      <c r="EXT3" s="95" t="n"/>
      <c r="EXU3" s="95" t="n"/>
      <c r="EXV3" s="95" t="n"/>
      <c r="EXW3" s="95" t="n"/>
      <c r="EXX3" s="95" t="n"/>
      <c r="EXY3" s="95" t="n"/>
      <c r="EXZ3" s="95" t="n"/>
      <c r="EYA3" s="95" t="n"/>
      <c r="EYB3" s="95" t="n"/>
      <c r="EYC3" s="95" t="n"/>
      <c r="EYD3" s="95" t="n"/>
      <c r="EYE3" s="95" t="n"/>
      <c r="EYF3" s="95" t="n"/>
      <c r="EYG3" s="95" t="n"/>
      <c r="EYH3" s="95" t="n"/>
      <c r="EYI3" s="95" t="n"/>
      <c r="EYJ3" s="95" t="n"/>
      <c r="EYK3" s="95" t="n"/>
      <c r="EYL3" s="95" t="n"/>
      <c r="EYM3" s="95" t="n"/>
      <c r="EYN3" s="95" t="n"/>
      <c r="EYO3" s="95" t="n"/>
      <c r="EYP3" s="95" t="n"/>
      <c r="EYQ3" s="95" t="n"/>
      <c r="EYR3" s="95" t="n"/>
      <c r="EYS3" s="95" t="n"/>
      <c r="EYT3" s="95" t="n"/>
      <c r="EYU3" s="95" t="n"/>
      <c r="EYV3" s="95" t="n"/>
      <c r="EYW3" s="95" t="n"/>
      <c r="EYX3" s="95" t="n"/>
      <c r="EYY3" s="95" t="n"/>
      <c r="EYZ3" s="95" t="n"/>
      <c r="EZA3" s="95" t="n"/>
      <c r="EZB3" s="95" t="n"/>
      <c r="EZC3" s="95" t="n"/>
      <c r="EZD3" s="95" t="n"/>
      <c r="EZE3" s="95" t="n"/>
      <c r="EZF3" s="95" t="n"/>
      <c r="EZG3" s="95" t="n"/>
      <c r="EZH3" s="95" t="n"/>
      <c r="EZI3" s="95" t="n"/>
      <c r="EZJ3" s="95" t="n"/>
      <c r="EZK3" s="95" t="n"/>
      <c r="EZL3" s="95" t="n"/>
      <c r="EZM3" s="95" t="n"/>
      <c r="EZN3" s="95" t="n"/>
      <c r="EZO3" s="95" t="n"/>
      <c r="EZP3" s="95" t="n"/>
      <c r="EZQ3" s="95" t="n"/>
      <c r="EZR3" s="95" t="n"/>
      <c r="EZS3" s="95" t="n"/>
      <c r="EZT3" s="95" t="n"/>
      <c r="EZU3" s="95" t="n"/>
      <c r="EZV3" s="95" t="n"/>
      <c r="EZW3" s="95" t="n"/>
      <c r="EZX3" s="95" t="n"/>
      <c r="EZY3" s="95" t="n"/>
      <c r="EZZ3" s="95" t="n"/>
      <c r="FAA3" s="95" t="n"/>
      <c r="FAB3" s="95" t="n"/>
      <c r="FAC3" s="95" t="n"/>
      <c r="FAD3" s="95" t="n"/>
      <c r="FAE3" s="95" t="n"/>
      <c r="FAF3" s="95" t="n"/>
      <c r="FAG3" s="95" t="n"/>
      <c r="FAH3" s="95" t="n"/>
      <c r="FAI3" s="95" t="n"/>
      <c r="FAJ3" s="95" t="n"/>
      <c r="FAK3" s="95" t="n"/>
      <c r="FAL3" s="95" t="n"/>
      <c r="FAM3" s="95" t="n"/>
      <c r="FAN3" s="95" t="n"/>
      <c r="FAO3" s="95" t="n"/>
      <c r="FAP3" s="95" t="n"/>
      <c r="FAQ3" s="95" t="n"/>
      <c r="FAR3" s="95" t="n"/>
      <c r="FAS3" s="95" t="n"/>
      <c r="FAT3" s="95" t="n"/>
      <c r="FAU3" s="95" t="n"/>
      <c r="FAV3" s="95" t="n"/>
      <c r="FAW3" s="95" t="n"/>
      <c r="FAX3" s="95" t="n"/>
      <c r="FAY3" s="95" t="n"/>
      <c r="FAZ3" s="95" t="n"/>
      <c r="FBA3" s="95" t="n"/>
      <c r="FBB3" s="95" t="n"/>
      <c r="FBC3" s="95" t="n"/>
      <c r="FBD3" s="95" t="n"/>
      <c r="FBE3" s="95" t="n"/>
      <c r="FBF3" s="95" t="n"/>
      <c r="FBG3" s="95" t="n"/>
      <c r="FBH3" s="95" t="n"/>
      <c r="FBI3" s="95" t="n"/>
      <c r="FBJ3" s="95" t="n"/>
      <c r="FBK3" s="95" t="n"/>
      <c r="FBL3" s="95" t="n"/>
      <c r="FBM3" s="95" t="n"/>
      <c r="FBN3" s="95" t="n"/>
      <c r="FBO3" s="95" t="n"/>
      <c r="FBP3" s="95" t="n"/>
      <c r="FBQ3" s="95" t="n"/>
      <c r="FBR3" s="95" t="n"/>
      <c r="FBS3" s="95" t="n"/>
      <c r="FBT3" s="95" t="n"/>
      <c r="FBU3" s="95" t="n"/>
      <c r="FBV3" s="95" t="n"/>
      <c r="FBW3" s="95" t="n"/>
      <c r="FBX3" s="95" t="n"/>
      <c r="FBY3" s="95" t="n"/>
      <c r="FBZ3" s="95" t="n"/>
      <c r="FCA3" s="95" t="n"/>
      <c r="FCB3" s="95" t="n"/>
      <c r="FCC3" s="95" t="n"/>
      <c r="FCD3" s="95" t="n"/>
      <c r="FCE3" s="95" t="n"/>
      <c r="FCF3" s="95" t="n"/>
      <c r="FCG3" s="95" t="n"/>
      <c r="FCH3" s="95" t="n"/>
      <c r="FCI3" s="95" t="n"/>
      <c r="FCJ3" s="95" t="n"/>
      <c r="FCK3" s="95" t="n"/>
      <c r="FCL3" s="95" t="n"/>
      <c r="FCM3" s="95" t="n"/>
      <c r="FCN3" s="95" t="n"/>
      <c r="FCO3" s="95" t="n"/>
      <c r="FCP3" s="95" t="n"/>
      <c r="FCQ3" s="95" t="n"/>
      <c r="FCR3" s="95" t="n"/>
      <c r="FCS3" s="95" t="n"/>
      <c r="FCT3" s="95" t="n"/>
      <c r="FCU3" s="95" t="n"/>
      <c r="FCV3" s="95" t="n"/>
      <c r="FCW3" s="95" t="n"/>
      <c r="FCX3" s="95" t="n"/>
      <c r="FCY3" s="95" t="n"/>
      <c r="FCZ3" s="95" t="n"/>
      <c r="FDA3" s="95" t="n"/>
      <c r="FDB3" s="95" t="n"/>
      <c r="FDC3" s="95" t="n"/>
      <c r="FDD3" s="95" t="n"/>
      <c r="FDE3" s="95" t="n"/>
      <c r="FDF3" s="95" t="n"/>
      <c r="FDG3" s="95" t="n"/>
      <c r="FDH3" s="95" t="n"/>
      <c r="FDI3" s="95" t="n"/>
      <c r="FDJ3" s="95" t="n"/>
      <c r="FDK3" s="95" t="n"/>
      <c r="FDL3" s="95" t="n"/>
      <c r="FDM3" s="95" t="n"/>
      <c r="FDN3" s="95" t="n"/>
      <c r="FDO3" s="95" t="n"/>
      <c r="FDP3" s="95" t="n"/>
      <c r="FDQ3" s="95" t="n"/>
      <c r="FDR3" s="95" t="n"/>
      <c r="FDS3" s="95" t="n"/>
      <c r="FDT3" s="95" t="n"/>
      <c r="FDU3" s="95" t="n"/>
      <c r="FDV3" s="95" t="n"/>
      <c r="FDW3" s="95" t="n"/>
      <c r="FDX3" s="95" t="n"/>
      <c r="FDY3" s="95" t="n"/>
      <c r="FDZ3" s="95" t="n"/>
      <c r="FEA3" s="95" t="n"/>
      <c r="FEB3" s="95" t="n"/>
      <c r="FEC3" s="95" t="n"/>
      <c r="FED3" s="95" t="n"/>
      <c r="FEE3" s="95" t="n"/>
      <c r="FEF3" s="95" t="n"/>
      <c r="FEG3" s="95" t="n"/>
      <c r="FEH3" s="95" t="n"/>
      <c r="FEI3" s="95" t="n"/>
      <c r="FEJ3" s="95" t="n"/>
      <c r="FEK3" s="95" t="n"/>
      <c r="FEL3" s="95" t="n"/>
      <c r="FEM3" s="95" t="n"/>
      <c r="FEN3" s="95" t="n"/>
      <c r="FEO3" s="95" t="n"/>
      <c r="FEP3" s="95" t="n"/>
      <c r="FEQ3" s="95" t="n"/>
      <c r="FER3" s="95" t="n"/>
      <c r="FES3" s="95" t="n"/>
      <c r="FET3" s="95" t="n"/>
      <c r="FEU3" s="95" t="n"/>
      <c r="FEV3" s="95" t="n"/>
      <c r="FEW3" s="95" t="n"/>
      <c r="FEX3" s="95" t="n"/>
      <c r="FEY3" s="95" t="n"/>
      <c r="FEZ3" s="95" t="n"/>
      <c r="FFA3" s="95" t="n"/>
      <c r="FFB3" s="95" t="n"/>
      <c r="FFC3" s="95" t="n"/>
      <c r="FFD3" s="95" t="n"/>
      <c r="FFE3" s="95" t="n"/>
      <c r="FFF3" s="95" t="n"/>
      <c r="FFG3" s="95" t="n"/>
      <c r="FFH3" s="95" t="n"/>
      <c r="FFI3" s="95" t="n"/>
      <c r="FFJ3" s="95" t="n"/>
      <c r="FFK3" s="95" t="n"/>
      <c r="FFL3" s="95" t="n"/>
      <c r="FFM3" s="95" t="n"/>
      <c r="FFN3" s="95" t="n"/>
      <c r="FFO3" s="95" t="n"/>
      <c r="FFP3" s="95" t="n"/>
      <c r="FFQ3" s="95" t="n"/>
      <c r="FFR3" s="95" t="n"/>
      <c r="FFS3" s="95" t="n"/>
      <c r="FFT3" s="95" t="n"/>
      <c r="FFU3" s="95" t="n"/>
      <c r="FFV3" s="95" t="n"/>
      <c r="FFW3" s="95" t="n"/>
      <c r="FFX3" s="95" t="n"/>
      <c r="FFY3" s="95" t="n"/>
      <c r="FFZ3" s="95" t="n"/>
      <c r="FGA3" s="95" t="n"/>
      <c r="FGB3" s="95" t="n"/>
      <c r="FGC3" s="95" t="n"/>
      <c r="FGD3" s="95" t="n"/>
      <c r="FGE3" s="95" t="n"/>
      <c r="FGF3" s="95" t="n"/>
      <c r="FGG3" s="95" t="n"/>
      <c r="FGH3" s="95" t="n"/>
      <c r="FGI3" s="95" t="n"/>
      <c r="FGJ3" s="95" t="n"/>
      <c r="FGK3" s="95" t="n"/>
      <c r="FGL3" s="95" t="n"/>
      <c r="FGM3" s="95" t="n"/>
      <c r="FGN3" s="95" t="n"/>
      <c r="FGO3" s="95" t="n"/>
      <c r="FGP3" s="95" t="n"/>
      <c r="FGQ3" s="95" t="n"/>
      <c r="FGR3" s="95" t="n"/>
      <c r="FGS3" s="95" t="n"/>
      <c r="FGT3" s="95" t="n"/>
      <c r="FGU3" s="95" t="n"/>
      <c r="FGV3" s="95" t="n"/>
      <c r="FGW3" s="95" t="n"/>
      <c r="FGX3" s="95" t="n"/>
      <c r="FGY3" s="95" t="n"/>
      <c r="FGZ3" s="95" t="n"/>
      <c r="FHA3" s="95" t="n"/>
      <c r="FHB3" s="95" t="n"/>
      <c r="FHC3" s="95" t="n"/>
      <c r="FHD3" s="95" t="n"/>
      <c r="FHE3" s="95" t="n"/>
      <c r="FHF3" s="95" t="n"/>
      <c r="FHG3" s="95" t="n"/>
      <c r="FHH3" s="95" t="n"/>
      <c r="FHI3" s="95" t="n"/>
      <c r="FHJ3" s="95" t="n"/>
      <c r="FHK3" s="95" t="n"/>
      <c r="FHL3" s="95" t="n"/>
      <c r="FHM3" s="95" t="n"/>
      <c r="FHN3" s="95" t="n"/>
      <c r="FHO3" s="95" t="n"/>
      <c r="FHP3" s="95" t="n"/>
      <c r="FHQ3" s="95" t="n"/>
      <c r="FHR3" s="95" t="n"/>
      <c r="FHS3" s="95" t="n"/>
      <c r="FHT3" s="95" t="n"/>
      <c r="FHU3" s="95" t="n"/>
      <c r="FHV3" s="95" t="n"/>
      <c r="FHW3" s="95" t="n"/>
      <c r="FHX3" s="95" t="n"/>
      <c r="FHY3" s="95" t="n"/>
      <c r="FHZ3" s="95" t="n"/>
      <c r="FIA3" s="95" t="n"/>
      <c r="FIB3" s="95" t="n"/>
      <c r="FIC3" s="95" t="n"/>
      <c r="FID3" s="95" t="n"/>
      <c r="FIE3" s="95" t="n"/>
      <c r="FIF3" s="95" t="n"/>
      <c r="FIG3" s="95" t="n"/>
      <c r="FIH3" s="95" t="n"/>
      <c r="FII3" s="95" t="n"/>
      <c r="FIJ3" s="95" t="n"/>
      <c r="FIK3" s="95" t="n"/>
      <c r="FIL3" s="95" t="n"/>
      <c r="FIM3" s="95" t="n"/>
      <c r="FIN3" s="95" t="n"/>
      <c r="FIO3" s="95" t="n"/>
      <c r="FIP3" s="95" t="n"/>
      <c r="FIQ3" s="95" t="n"/>
      <c r="FIR3" s="95" t="n"/>
      <c r="FIS3" s="95" t="n"/>
      <c r="FIT3" s="95" t="n"/>
      <c r="FIU3" s="95" t="n"/>
      <c r="FIV3" s="95" t="n"/>
      <c r="FIW3" s="95" t="n"/>
      <c r="FIX3" s="95" t="n"/>
      <c r="FIY3" s="95" t="n"/>
      <c r="FIZ3" s="95" t="n"/>
      <c r="FJA3" s="95" t="n"/>
      <c r="FJB3" s="95" t="n"/>
      <c r="FJC3" s="95" t="n"/>
      <c r="FJD3" s="95" t="n"/>
      <c r="FJE3" s="95" t="n"/>
      <c r="FJF3" s="95" t="n"/>
      <c r="FJG3" s="95" t="n"/>
      <c r="FJH3" s="95" t="n"/>
      <c r="FJI3" s="95" t="n"/>
      <c r="FJJ3" s="95" t="n"/>
      <c r="FJK3" s="95" t="n"/>
      <c r="FJL3" s="95" t="n"/>
      <c r="FJM3" s="95" t="n"/>
      <c r="FJN3" s="95" t="n"/>
      <c r="FJO3" s="95" t="n"/>
      <c r="FJP3" s="95" t="n"/>
      <c r="FJQ3" s="95" t="n"/>
      <c r="FJR3" s="95" t="n"/>
      <c r="FJS3" s="95" t="n"/>
      <c r="FJT3" s="95" t="n"/>
      <c r="FJU3" s="95" t="n"/>
      <c r="FJV3" s="95" t="n"/>
      <c r="FJW3" s="95" t="n"/>
      <c r="FJX3" s="95" t="n"/>
      <c r="FJY3" s="95" t="n"/>
      <c r="FJZ3" s="95" t="n"/>
      <c r="FKA3" s="95" t="n"/>
      <c r="FKB3" s="95" t="n"/>
      <c r="FKC3" s="95" t="n"/>
      <c r="FKD3" s="95" t="n"/>
      <c r="FKE3" s="95" t="n"/>
      <c r="FKF3" s="95" t="n"/>
      <c r="FKG3" s="95" t="n"/>
      <c r="FKH3" s="95" t="n"/>
      <c r="FKI3" s="95" t="n"/>
      <c r="FKJ3" s="95" t="n"/>
      <c r="FKK3" s="95" t="n"/>
      <c r="FKL3" s="95" t="n"/>
      <c r="FKM3" s="95" t="n"/>
      <c r="FKN3" s="95" t="n"/>
      <c r="FKO3" s="95" t="n"/>
      <c r="FKP3" s="95" t="n"/>
      <c r="FKQ3" s="95" t="n"/>
      <c r="FKR3" s="95" t="n"/>
      <c r="FKS3" s="95" t="n"/>
      <c r="FKT3" s="95" t="n"/>
      <c r="FKU3" s="95" t="n"/>
      <c r="FKV3" s="95" t="n"/>
      <c r="FKW3" s="95" t="n"/>
      <c r="FKX3" s="95" t="n"/>
      <c r="FKY3" s="95" t="n"/>
      <c r="FKZ3" s="95" t="n"/>
      <c r="FLA3" s="95" t="n"/>
      <c r="FLB3" s="95" t="n"/>
      <c r="FLC3" s="95" t="n"/>
      <c r="FLD3" s="95" t="n"/>
      <c r="FLE3" s="95" t="n"/>
      <c r="FLF3" s="95" t="n"/>
      <c r="FLG3" s="95" t="n"/>
      <c r="FLH3" s="95" t="n"/>
      <c r="FLI3" s="95" t="n"/>
      <c r="FLJ3" s="95" t="n"/>
      <c r="FLK3" s="95" t="n"/>
      <c r="FLL3" s="95" t="n"/>
      <c r="FLM3" s="95" t="n"/>
      <c r="FLN3" s="95" t="n"/>
      <c r="FLO3" s="95" t="n"/>
      <c r="FLP3" s="95" t="n"/>
      <c r="FLQ3" s="95" t="n"/>
      <c r="FLR3" s="95" t="n"/>
      <c r="FLS3" s="95" t="n"/>
      <c r="FLT3" s="95" t="n"/>
      <c r="FLU3" s="95" t="n"/>
      <c r="FLV3" s="95" t="n"/>
      <c r="FLW3" s="95" t="n"/>
      <c r="FLX3" s="95" t="n"/>
      <c r="FLY3" s="95" t="n"/>
      <c r="FLZ3" s="95" t="n"/>
      <c r="FMA3" s="95" t="n"/>
      <c r="FMB3" s="95" t="n"/>
      <c r="FMC3" s="95" t="n"/>
      <c r="FMD3" s="95" t="n"/>
      <c r="FME3" s="95" t="n"/>
      <c r="FMF3" s="95" t="n"/>
      <c r="FMG3" s="95" t="n"/>
      <c r="FMH3" s="95" t="n"/>
      <c r="FMI3" s="95" t="n"/>
      <c r="FMJ3" s="95" t="n"/>
      <c r="FMK3" s="95" t="n"/>
      <c r="FML3" s="95" t="n"/>
      <c r="FMM3" s="95" t="n"/>
      <c r="FMN3" s="95" t="n"/>
      <c r="FMO3" s="95" t="n"/>
      <c r="FMP3" s="95" t="n"/>
      <c r="FMQ3" s="95" t="n"/>
      <c r="FMR3" s="95" t="n"/>
      <c r="FMS3" s="95" t="n"/>
      <c r="FMT3" s="95" t="n"/>
      <c r="FMU3" s="95" t="n"/>
      <c r="FMV3" s="95" t="n"/>
      <c r="FMW3" s="95" t="n"/>
      <c r="FMX3" s="95" t="n"/>
      <c r="FMY3" s="95" t="n"/>
      <c r="FMZ3" s="95" t="n"/>
      <c r="FNA3" s="95" t="n"/>
      <c r="FNB3" s="95" t="n"/>
      <c r="FNC3" s="95" t="n"/>
      <c r="FND3" s="95" t="n"/>
      <c r="FNE3" s="95" t="n"/>
      <c r="FNF3" s="95" t="n"/>
      <c r="FNG3" s="95" t="n"/>
      <c r="FNH3" s="95" t="n"/>
      <c r="FNI3" s="95" t="n"/>
      <c r="FNJ3" s="95" t="n"/>
      <c r="FNK3" s="95" t="n"/>
      <c r="FNL3" s="95" t="n"/>
      <c r="FNM3" s="95" t="n"/>
      <c r="FNN3" s="95" t="n"/>
      <c r="FNO3" s="95" t="n"/>
      <c r="FNP3" s="95" t="n"/>
      <c r="FNQ3" s="95" t="n"/>
      <c r="FNR3" s="95" t="n"/>
      <c r="FNS3" s="95" t="n"/>
      <c r="FNT3" s="95" t="n"/>
      <c r="FNU3" s="95" t="n"/>
      <c r="FNV3" s="95" t="n"/>
      <c r="FNW3" s="95" t="n"/>
      <c r="FNX3" s="95" t="n"/>
      <c r="FNY3" s="95" t="n"/>
      <c r="FNZ3" s="95" t="n"/>
      <c r="FOA3" s="95" t="n"/>
      <c r="FOB3" s="95" t="n"/>
      <c r="FOC3" s="95" t="n"/>
      <c r="FOD3" s="95" t="n"/>
      <c r="FOE3" s="95" t="n"/>
      <c r="FOF3" s="95" t="n"/>
      <c r="FOG3" s="95" t="n"/>
      <c r="FOH3" s="95" t="n"/>
      <c r="FOI3" s="95" t="n"/>
      <c r="FOJ3" s="95" t="n"/>
      <c r="FOK3" s="95" t="n"/>
      <c r="FOL3" s="95" t="n"/>
      <c r="FOM3" s="95" t="n"/>
      <c r="FON3" s="95" t="n"/>
      <c r="FOO3" s="95" t="n"/>
      <c r="FOP3" s="95" t="n"/>
      <c r="FOQ3" s="95" t="n"/>
      <c r="FOR3" s="95" t="n"/>
      <c r="FOS3" s="95" t="n"/>
      <c r="FOT3" s="95" t="n"/>
      <c r="FOU3" s="95" t="n"/>
      <c r="FOV3" s="95" t="n"/>
      <c r="FOW3" s="95" t="n"/>
      <c r="FOX3" s="95" t="n"/>
      <c r="FOY3" s="95" t="n"/>
      <c r="FOZ3" s="95" t="n"/>
      <c r="FPA3" s="95" t="n"/>
      <c r="FPB3" s="95" t="n"/>
      <c r="FPC3" s="95" t="n"/>
      <c r="FPD3" s="95" t="n"/>
      <c r="FPE3" s="95" t="n"/>
      <c r="FPF3" s="95" t="n"/>
      <c r="FPG3" s="95" t="n"/>
      <c r="FPH3" s="95" t="n"/>
      <c r="FPI3" s="95" t="n"/>
      <c r="FPJ3" s="95" t="n"/>
      <c r="FPK3" s="95" t="n"/>
      <c r="FPL3" s="95" t="n"/>
      <c r="FPM3" s="95" t="n"/>
      <c r="FPN3" s="95" t="n"/>
      <c r="FPO3" s="95" t="n"/>
      <c r="FPP3" s="95" t="n"/>
      <c r="FPQ3" s="95" t="n"/>
      <c r="FPR3" s="95" t="n"/>
      <c r="FPS3" s="95" t="n"/>
      <c r="FPT3" s="95" t="n"/>
      <c r="FPU3" s="95" t="n"/>
      <c r="FPV3" s="95" t="n"/>
      <c r="FPW3" s="95" t="n"/>
      <c r="FPX3" s="95" t="n"/>
      <c r="FPY3" s="95" t="n"/>
      <c r="FPZ3" s="95" t="n"/>
      <c r="FQA3" s="95" t="n"/>
      <c r="FQB3" s="95" t="n"/>
      <c r="FQC3" s="95" t="n"/>
      <c r="FQD3" s="95" t="n"/>
      <c r="FQE3" s="95" t="n"/>
      <c r="FQF3" s="95" t="n"/>
      <c r="FQG3" s="95" t="n"/>
      <c r="FQH3" s="95" t="n"/>
      <c r="FQI3" s="95" t="n"/>
      <c r="FQJ3" s="95" t="n"/>
      <c r="FQK3" s="95" t="n"/>
      <c r="FQL3" s="95" t="n"/>
      <c r="FQM3" s="95" t="n"/>
      <c r="FQN3" s="95" t="n"/>
      <c r="FQO3" s="95" t="n"/>
      <c r="FQP3" s="95" t="n"/>
      <c r="FQQ3" s="95" t="n"/>
      <c r="FQR3" s="95" t="n"/>
      <c r="FQS3" s="95" t="n"/>
      <c r="FQT3" s="95" t="n"/>
      <c r="FQU3" s="95" t="n"/>
      <c r="FQV3" s="95" t="n"/>
      <c r="FQW3" s="95" t="n"/>
      <c r="FQX3" s="95" t="n"/>
      <c r="FQY3" s="95" t="n"/>
      <c r="FQZ3" s="95" t="n"/>
      <c r="FRA3" s="95" t="n"/>
      <c r="FRB3" s="95" t="n"/>
      <c r="FRC3" s="95" t="n"/>
      <c r="FRD3" s="95" t="n"/>
      <c r="FRE3" s="95" t="n"/>
      <c r="FRF3" s="95" t="n"/>
      <c r="FRG3" s="95" t="n"/>
      <c r="FRH3" s="95" t="n"/>
      <c r="FRI3" s="95" t="n"/>
      <c r="FRJ3" s="95" t="n"/>
      <c r="FRK3" s="95" t="n"/>
      <c r="FRL3" s="95" t="n"/>
      <c r="FRM3" s="95" t="n"/>
      <c r="FRN3" s="95" t="n"/>
      <c r="FRO3" s="95" t="n"/>
      <c r="FRP3" s="95" t="n"/>
      <c r="FRQ3" s="95" t="n"/>
      <c r="FRR3" s="95" t="n"/>
      <c r="FRS3" s="95" t="n"/>
      <c r="FRT3" s="95" t="n"/>
      <c r="FRU3" s="95" t="n"/>
      <c r="FRV3" s="95" t="n"/>
      <c r="FRW3" s="95" t="n"/>
      <c r="FRX3" s="95" t="n"/>
      <c r="FRY3" s="95" t="n"/>
      <c r="FRZ3" s="95" t="n"/>
      <c r="FSA3" s="95" t="n"/>
      <c r="FSB3" s="95" t="n"/>
      <c r="FSC3" s="95" t="n"/>
      <c r="FSD3" s="95" t="n"/>
      <c r="FSE3" s="95" t="n"/>
      <c r="FSF3" s="95" t="n"/>
      <c r="FSG3" s="95" t="n"/>
      <c r="FSH3" s="95" t="n"/>
      <c r="FSI3" s="95" t="n"/>
      <c r="FSJ3" s="95" t="n"/>
      <c r="FSK3" s="95" t="n"/>
      <c r="FSL3" s="95" t="n"/>
      <c r="FSM3" s="95" t="n"/>
      <c r="FSN3" s="95" t="n"/>
      <c r="FSO3" s="95" t="n"/>
      <c r="FSP3" s="95" t="n"/>
      <c r="FSQ3" s="95" t="n"/>
      <c r="FSR3" s="95" t="n"/>
      <c r="FSS3" s="95" t="n"/>
      <c r="FST3" s="95" t="n"/>
      <c r="FSU3" s="95" t="n"/>
      <c r="FSV3" s="95" t="n"/>
      <c r="FSW3" s="95" t="n"/>
      <c r="FSX3" s="95" t="n"/>
      <c r="FSY3" s="95" t="n"/>
      <c r="FSZ3" s="95" t="n"/>
      <c r="FTA3" s="95" t="n"/>
      <c r="FTB3" s="95" t="n"/>
      <c r="FTC3" s="95" t="n"/>
      <c r="FTD3" s="95" t="n"/>
      <c r="FTE3" s="95" t="n"/>
      <c r="FTF3" s="95" t="n"/>
      <c r="FTG3" s="95" t="n"/>
      <c r="FTH3" s="95" t="n"/>
      <c r="FTI3" s="95" t="n"/>
      <c r="FTJ3" s="95" t="n"/>
      <c r="FTK3" s="95" t="n"/>
      <c r="FTL3" s="95" t="n"/>
      <c r="FTM3" s="95" t="n"/>
      <c r="FTN3" s="95" t="n"/>
      <c r="FTO3" s="95" t="n"/>
      <c r="FTP3" s="95" t="n"/>
      <c r="FTQ3" s="95" t="n"/>
      <c r="FTR3" s="95" t="n"/>
      <c r="FTS3" s="95" t="n"/>
      <c r="FTT3" s="95" t="n"/>
      <c r="FTU3" s="95" t="n"/>
      <c r="FTV3" s="95" t="n"/>
      <c r="FTW3" s="95" t="n"/>
      <c r="FTX3" s="95" t="n"/>
      <c r="FTY3" s="95" t="n"/>
      <c r="FTZ3" s="95" t="n"/>
      <c r="FUA3" s="95" t="n"/>
      <c r="FUB3" s="95" t="n"/>
      <c r="FUC3" s="95" t="n"/>
      <c r="FUD3" s="95" t="n"/>
      <c r="FUE3" s="95" t="n"/>
      <c r="FUF3" s="95" t="n"/>
      <c r="FUG3" s="95" t="n"/>
      <c r="FUH3" s="95" t="n"/>
      <c r="FUI3" s="95" t="n"/>
      <c r="FUJ3" s="95" t="n"/>
      <c r="FUK3" s="95" t="n"/>
      <c r="FUL3" s="95" t="n"/>
      <c r="FUM3" s="95" t="n"/>
      <c r="FUN3" s="95" t="n"/>
      <c r="FUO3" s="95" t="n"/>
      <c r="FUP3" s="95" t="n"/>
      <c r="FUQ3" s="95" t="n"/>
      <c r="FUR3" s="95" t="n"/>
      <c r="FUS3" s="95" t="n"/>
      <c r="FUT3" s="95" t="n"/>
      <c r="FUU3" s="95" t="n"/>
      <c r="FUV3" s="95" t="n"/>
      <c r="FUW3" s="95" t="n"/>
      <c r="FUX3" s="95" t="n"/>
      <c r="FUY3" s="95" t="n"/>
      <c r="FUZ3" s="95" t="n"/>
      <c r="FVA3" s="95" t="n"/>
      <c r="FVB3" s="95" t="n"/>
      <c r="FVC3" s="95" t="n"/>
      <c r="FVD3" s="95" t="n"/>
      <c r="FVE3" s="95" t="n"/>
      <c r="FVF3" s="95" t="n"/>
      <c r="FVG3" s="95" t="n"/>
      <c r="FVH3" s="95" t="n"/>
      <c r="FVI3" s="95" t="n"/>
      <c r="FVJ3" s="95" t="n"/>
      <c r="FVK3" s="95" t="n"/>
      <c r="FVL3" s="95" t="n"/>
      <c r="FVM3" s="95" t="n"/>
      <c r="FVN3" s="95" t="n"/>
      <c r="FVO3" s="95" t="n"/>
      <c r="FVP3" s="95" t="n"/>
      <c r="FVQ3" s="95" t="n"/>
      <c r="FVR3" s="95" t="n"/>
      <c r="FVS3" s="95" t="n"/>
      <c r="FVT3" s="95" t="n"/>
      <c r="FVU3" s="95" t="n"/>
      <c r="FVV3" s="95" t="n"/>
      <c r="FVW3" s="95" t="n"/>
      <c r="FVX3" s="95" t="n"/>
      <c r="FVY3" s="95" t="n"/>
      <c r="FVZ3" s="95" t="n"/>
      <c r="FWA3" s="95" t="n"/>
      <c r="FWB3" s="95" t="n"/>
      <c r="FWC3" s="95" t="n"/>
      <c r="FWD3" s="95" t="n"/>
      <c r="FWE3" s="95" t="n"/>
      <c r="FWF3" s="95" t="n"/>
      <c r="FWG3" s="95" t="n"/>
      <c r="FWH3" s="95" t="n"/>
      <c r="FWI3" s="95" t="n"/>
      <c r="FWJ3" s="95" t="n"/>
      <c r="FWK3" s="95" t="n"/>
      <c r="FWL3" s="95" t="n"/>
      <c r="FWM3" s="95" t="n"/>
      <c r="FWN3" s="95" t="n"/>
      <c r="FWO3" s="95" t="n"/>
      <c r="FWP3" s="95" t="n"/>
      <c r="FWQ3" s="95" t="n"/>
      <c r="FWR3" s="95" t="n"/>
      <c r="FWS3" s="95" t="n"/>
      <c r="FWT3" s="95" t="n"/>
      <c r="FWU3" s="95" t="n"/>
      <c r="FWV3" s="95" t="n"/>
      <c r="FWW3" s="95" t="n"/>
      <c r="FWX3" s="95" t="n"/>
      <c r="FWY3" s="95" t="n"/>
      <c r="FWZ3" s="95" t="n"/>
      <c r="FXA3" s="95" t="n"/>
      <c r="FXB3" s="95" t="n"/>
      <c r="FXC3" s="95" t="n"/>
      <c r="FXD3" s="95" t="n"/>
      <c r="FXE3" s="95" t="n"/>
      <c r="FXF3" s="95" t="n"/>
      <c r="FXG3" s="95" t="n"/>
      <c r="FXH3" s="95" t="n"/>
      <c r="FXI3" s="95" t="n"/>
      <c r="FXJ3" s="95" t="n"/>
      <c r="FXK3" s="95" t="n"/>
      <c r="FXL3" s="95" t="n"/>
      <c r="FXM3" s="95" t="n"/>
      <c r="FXN3" s="95" t="n"/>
      <c r="FXO3" s="95" t="n"/>
      <c r="FXP3" s="95" t="n"/>
      <c r="FXQ3" s="95" t="n"/>
      <c r="FXR3" s="95" t="n"/>
      <c r="FXS3" s="95" t="n"/>
      <c r="FXT3" s="95" t="n"/>
      <c r="FXU3" s="95" t="n"/>
      <c r="FXV3" s="95" t="n"/>
      <c r="FXW3" s="95" t="n"/>
      <c r="FXX3" s="95" t="n"/>
      <c r="FXY3" s="95" t="n"/>
      <c r="FXZ3" s="95" t="n"/>
      <c r="FYA3" s="95" t="n"/>
      <c r="FYB3" s="95" t="n"/>
      <c r="FYC3" s="95" t="n"/>
      <c r="FYD3" s="95" t="n"/>
      <c r="FYE3" s="95" t="n"/>
      <c r="FYF3" s="95" t="n"/>
      <c r="FYG3" s="95" t="n"/>
      <c r="FYH3" s="95" t="n"/>
      <c r="FYI3" s="95" t="n"/>
      <c r="FYJ3" s="95" t="n"/>
      <c r="FYK3" s="95" t="n"/>
      <c r="FYL3" s="95" t="n"/>
      <c r="FYM3" s="95" t="n"/>
      <c r="FYN3" s="95" t="n"/>
      <c r="FYO3" s="95" t="n"/>
      <c r="FYP3" s="95" t="n"/>
      <c r="FYQ3" s="95" t="n"/>
      <c r="FYR3" s="95" t="n"/>
      <c r="FYS3" s="95" t="n"/>
      <c r="FYT3" s="95" t="n"/>
      <c r="FYU3" s="95" t="n"/>
      <c r="FYV3" s="95" t="n"/>
      <c r="FYW3" s="95" t="n"/>
      <c r="FYX3" s="95" t="n"/>
      <c r="FYY3" s="95" t="n"/>
      <c r="FYZ3" s="95" t="n"/>
      <c r="FZA3" s="95" t="n"/>
      <c r="FZB3" s="95" t="n"/>
      <c r="FZC3" s="95" t="n"/>
      <c r="FZD3" s="95" t="n"/>
      <c r="FZE3" s="95" t="n"/>
      <c r="FZF3" s="95" t="n"/>
      <c r="FZG3" s="95" t="n"/>
      <c r="FZH3" s="95" t="n"/>
      <c r="FZI3" s="95" t="n"/>
      <c r="FZJ3" s="95" t="n"/>
      <c r="FZK3" s="95" t="n"/>
      <c r="FZL3" s="95" t="n"/>
      <c r="FZM3" s="95" t="n"/>
      <c r="FZN3" s="95" t="n"/>
      <c r="FZO3" s="95" t="n"/>
      <c r="FZP3" s="95" t="n"/>
      <c r="FZQ3" s="95" t="n"/>
      <c r="FZR3" s="95" t="n"/>
      <c r="FZS3" s="95" t="n"/>
      <c r="FZT3" s="95" t="n"/>
      <c r="FZU3" s="95" t="n"/>
      <c r="FZV3" s="95" t="n"/>
      <c r="FZW3" s="95" t="n"/>
      <c r="FZX3" s="95" t="n"/>
      <c r="FZY3" s="95" t="n"/>
      <c r="FZZ3" s="95" t="n"/>
      <c r="GAA3" s="95" t="n"/>
      <c r="GAB3" s="95" t="n"/>
      <c r="GAC3" s="95" t="n"/>
      <c r="GAD3" s="95" t="n"/>
      <c r="GAE3" s="95" t="n"/>
      <c r="GAF3" s="95" t="n"/>
      <c r="GAG3" s="95" t="n"/>
      <c r="GAH3" s="95" t="n"/>
      <c r="GAI3" s="95" t="n"/>
      <c r="GAJ3" s="95" t="n"/>
      <c r="GAK3" s="95" t="n"/>
      <c r="GAL3" s="95" t="n"/>
      <c r="GAM3" s="95" t="n"/>
      <c r="GAN3" s="95" t="n"/>
      <c r="GAO3" s="95" t="n"/>
      <c r="GAP3" s="95" t="n"/>
      <c r="GAQ3" s="95" t="n"/>
      <c r="GAR3" s="95" t="n"/>
      <c r="GAS3" s="95" t="n"/>
      <c r="GAT3" s="95" t="n"/>
      <c r="GAU3" s="95" t="n"/>
      <c r="GAV3" s="95" t="n"/>
      <c r="GAW3" s="95" t="n"/>
      <c r="GAX3" s="95" t="n"/>
      <c r="GAY3" s="95" t="n"/>
      <c r="GAZ3" s="95" t="n"/>
      <c r="GBA3" s="95" t="n"/>
      <c r="GBB3" s="95" t="n"/>
      <c r="GBC3" s="95" t="n"/>
      <c r="GBD3" s="95" t="n"/>
      <c r="GBE3" s="95" t="n"/>
      <c r="GBF3" s="95" t="n"/>
      <c r="GBG3" s="95" t="n"/>
      <c r="GBH3" s="95" t="n"/>
      <c r="GBI3" s="95" t="n"/>
      <c r="GBJ3" s="95" t="n"/>
      <c r="GBK3" s="95" t="n"/>
      <c r="GBL3" s="95" t="n"/>
      <c r="GBM3" s="95" t="n"/>
      <c r="GBN3" s="95" t="n"/>
      <c r="GBO3" s="95" t="n"/>
      <c r="GBP3" s="95" t="n"/>
      <c r="GBQ3" s="95" t="n"/>
      <c r="GBR3" s="95" t="n"/>
      <c r="GBS3" s="95" t="n"/>
      <c r="GBT3" s="95" t="n"/>
      <c r="GBU3" s="95" t="n"/>
      <c r="GBV3" s="95" t="n"/>
      <c r="GBW3" s="95" t="n"/>
      <c r="GBX3" s="95" t="n"/>
      <c r="GBY3" s="95" t="n"/>
      <c r="GBZ3" s="95" t="n"/>
      <c r="GCA3" s="95" t="n"/>
      <c r="GCB3" s="95" t="n"/>
      <c r="GCC3" s="95" t="n"/>
      <c r="GCD3" s="95" t="n"/>
      <c r="GCE3" s="95" t="n"/>
      <c r="GCF3" s="95" t="n"/>
      <c r="GCG3" s="95" t="n"/>
      <c r="GCH3" s="95" t="n"/>
      <c r="GCI3" s="95" t="n"/>
      <c r="GCJ3" s="95" t="n"/>
      <c r="GCK3" s="95" t="n"/>
      <c r="GCL3" s="95" t="n"/>
      <c r="GCM3" s="95" t="n"/>
      <c r="GCN3" s="95" t="n"/>
      <c r="GCO3" s="95" t="n"/>
      <c r="GCP3" s="95" t="n"/>
      <c r="GCQ3" s="95" t="n"/>
      <c r="GCR3" s="95" t="n"/>
      <c r="GCS3" s="95" t="n"/>
      <c r="GCT3" s="95" t="n"/>
      <c r="GCU3" s="95" t="n"/>
      <c r="GCV3" s="95" t="n"/>
      <c r="GCW3" s="95" t="n"/>
      <c r="GCX3" s="95" t="n"/>
      <c r="GCY3" s="95" t="n"/>
      <c r="GCZ3" s="95" t="n"/>
      <c r="GDA3" s="95" t="n"/>
      <c r="GDB3" s="95" t="n"/>
      <c r="GDC3" s="95" t="n"/>
      <c r="GDD3" s="95" t="n"/>
      <c r="GDE3" s="95" t="n"/>
      <c r="GDF3" s="95" t="n"/>
      <c r="GDG3" s="95" t="n"/>
      <c r="GDH3" s="95" t="n"/>
      <c r="GDI3" s="95" t="n"/>
      <c r="GDJ3" s="95" t="n"/>
      <c r="GDK3" s="95" t="n"/>
      <c r="GDL3" s="95" t="n"/>
      <c r="GDM3" s="95" t="n"/>
      <c r="GDN3" s="95" t="n"/>
      <c r="GDO3" s="95" t="n"/>
      <c r="GDP3" s="95" t="n"/>
      <c r="GDQ3" s="95" t="n"/>
      <c r="GDR3" s="95" t="n"/>
      <c r="GDS3" s="95" t="n"/>
      <c r="GDT3" s="95" t="n"/>
      <c r="GDU3" s="95" t="n"/>
      <c r="GDV3" s="95" t="n"/>
      <c r="GDW3" s="95" t="n"/>
      <c r="GDX3" s="95" t="n"/>
      <c r="GDY3" s="95" t="n"/>
      <c r="GDZ3" s="95" t="n"/>
      <c r="GEA3" s="95" t="n"/>
      <c r="GEB3" s="95" t="n"/>
      <c r="GEC3" s="95" t="n"/>
      <c r="GED3" s="95" t="n"/>
      <c r="GEE3" s="95" t="n"/>
      <c r="GEF3" s="95" t="n"/>
      <c r="GEG3" s="95" t="n"/>
      <c r="GEH3" s="95" t="n"/>
      <c r="GEI3" s="95" t="n"/>
      <c r="GEJ3" s="95" t="n"/>
      <c r="GEK3" s="95" t="n"/>
      <c r="GEL3" s="95" t="n"/>
      <c r="GEM3" s="95" t="n"/>
      <c r="GEN3" s="95" t="n"/>
      <c r="GEO3" s="95" t="n"/>
      <c r="GEP3" s="95" t="n"/>
      <c r="GEQ3" s="95" t="n"/>
      <c r="GER3" s="95" t="n"/>
      <c r="GES3" s="95" t="n"/>
      <c r="GET3" s="95" t="n"/>
      <c r="GEU3" s="95" t="n"/>
      <c r="GEV3" s="95" t="n"/>
      <c r="GEW3" s="95" t="n"/>
      <c r="GEX3" s="95" t="n"/>
      <c r="GEY3" s="95" t="n"/>
      <c r="GEZ3" s="95" t="n"/>
      <c r="GFA3" s="95" t="n"/>
      <c r="GFB3" s="95" t="n"/>
      <c r="GFC3" s="95" t="n"/>
      <c r="GFD3" s="95" t="n"/>
      <c r="GFE3" s="95" t="n"/>
      <c r="GFF3" s="95" t="n"/>
      <c r="GFG3" s="95" t="n"/>
      <c r="GFH3" s="95" t="n"/>
      <c r="GFI3" s="95" t="n"/>
      <c r="GFJ3" s="95" t="n"/>
      <c r="GFK3" s="95" t="n"/>
      <c r="GFL3" s="95" t="n"/>
      <c r="GFM3" s="95" t="n"/>
      <c r="GFN3" s="95" t="n"/>
      <c r="GFO3" s="95" t="n"/>
      <c r="GFP3" s="95" t="n"/>
      <c r="GFQ3" s="95" t="n"/>
      <c r="GFR3" s="95" t="n"/>
      <c r="GFS3" s="95" t="n"/>
      <c r="GFT3" s="95" t="n"/>
      <c r="GFU3" s="95" t="n"/>
      <c r="GFV3" s="95" t="n"/>
      <c r="GFW3" s="95" t="n"/>
      <c r="GFX3" s="95" t="n"/>
      <c r="GFY3" s="95" t="n"/>
      <c r="GFZ3" s="95" t="n"/>
      <c r="GGA3" s="95" t="n"/>
      <c r="GGB3" s="95" t="n"/>
      <c r="GGC3" s="95" t="n"/>
      <c r="GGD3" s="95" t="n"/>
      <c r="GGE3" s="95" t="n"/>
      <c r="GGF3" s="95" t="n"/>
      <c r="GGG3" s="95" t="n"/>
      <c r="GGH3" s="95" t="n"/>
      <c r="GGI3" s="95" t="n"/>
      <c r="GGJ3" s="95" t="n"/>
      <c r="GGK3" s="95" t="n"/>
      <c r="GGL3" s="95" t="n"/>
      <c r="GGM3" s="95" t="n"/>
      <c r="GGN3" s="95" t="n"/>
      <c r="GGO3" s="95" t="n"/>
      <c r="GGP3" s="95" t="n"/>
      <c r="GGQ3" s="95" t="n"/>
      <c r="GGR3" s="95" t="n"/>
      <c r="GGS3" s="95" t="n"/>
      <c r="GGT3" s="95" t="n"/>
      <c r="GGU3" s="95" t="n"/>
      <c r="GGV3" s="95" t="n"/>
      <c r="GGW3" s="95" t="n"/>
      <c r="GGX3" s="95" t="n"/>
      <c r="GGY3" s="95" t="n"/>
      <c r="GGZ3" s="95" t="n"/>
      <c r="GHA3" s="95" t="n"/>
      <c r="GHB3" s="95" t="n"/>
      <c r="GHC3" s="95" t="n"/>
      <c r="GHD3" s="95" t="n"/>
      <c r="GHE3" s="95" t="n"/>
      <c r="GHF3" s="95" t="n"/>
      <c r="GHG3" s="95" t="n"/>
      <c r="GHH3" s="95" t="n"/>
      <c r="GHI3" s="95" t="n"/>
      <c r="GHJ3" s="95" t="n"/>
      <c r="GHK3" s="95" t="n"/>
      <c r="GHL3" s="95" t="n"/>
      <c r="GHM3" s="95" t="n"/>
      <c r="GHN3" s="95" t="n"/>
      <c r="GHO3" s="95" t="n"/>
      <c r="GHP3" s="95" t="n"/>
      <c r="GHQ3" s="95" t="n"/>
      <c r="GHR3" s="95" t="n"/>
      <c r="GHS3" s="95" t="n"/>
      <c r="GHT3" s="95" t="n"/>
      <c r="GHU3" s="95" t="n"/>
      <c r="GHV3" s="95" t="n"/>
      <c r="GHW3" s="95" t="n"/>
      <c r="GHX3" s="95" t="n"/>
      <c r="GHY3" s="95" t="n"/>
      <c r="GHZ3" s="95" t="n"/>
      <c r="GIA3" s="95" t="n"/>
      <c r="GIB3" s="95" t="n"/>
      <c r="GIC3" s="95" t="n"/>
      <c r="GID3" s="95" t="n"/>
      <c r="GIE3" s="95" t="n"/>
      <c r="GIF3" s="95" t="n"/>
      <c r="GIG3" s="95" t="n"/>
      <c r="GIH3" s="95" t="n"/>
      <c r="GII3" s="95" t="n"/>
      <c r="GIJ3" s="95" t="n"/>
      <c r="GIK3" s="95" t="n"/>
      <c r="GIL3" s="95" t="n"/>
      <c r="GIM3" s="95" t="n"/>
      <c r="GIN3" s="95" t="n"/>
      <c r="GIO3" s="95" t="n"/>
      <c r="GIP3" s="95" t="n"/>
      <c r="GIQ3" s="95" t="n"/>
      <c r="GIR3" s="95" t="n"/>
      <c r="GIS3" s="95" t="n"/>
      <c r="GIT3" s="95" t="n"/>
      <c r="GIU3" s="95" t="n"/>
      <c r="GIV3" s="95" t="n"/>
      <c r="GIW3" s="95" t="n"/>
      <c r="GIX3" s="95" t="n"/>
      <c r="GIY3" s="95" t="n"/>
      <c r="GIZ3" s="95" t="n"/>
      <c r="GJA3" s="95" t="n"/>
      <c r="GJB3" s="95" t="n"/>
      <c r="GJC3" s="95" t="n"/>
      <c r="GJD3" s="95" t="n"/>
      <c r="GJE3" s="95" t="n"/>
      <c r="GJF3" s="95" t="n"/>
      <c r="GJG3" s="95" t="n"/>
      <c r="GJH3" s="95" t="n"/>
      <c r="GJI3" s="95" t="n"/>
      <c r="GJJ3" s="95" t="n"/>
      <c r="GJK3" s="95" t="n"/>
      <c r="GJL3" s="95" t="n"/>
      <c r="GJM3" s="95" t="n"/>
      <c r="GJN3" s="95" t="n"/>
      <c r="GJO3" s="95" t="n"/>
      <c r="GJP3" s="95" t="n"/>
      <c r="GJQ3" s="95" t="n"/>
      <c r="GJR3" s="95" t="n"/>
      <c r="GJS3" s="95" t="n"/>
      <c r="GJT3" s="95" t="n"/>
      <c r="GJU3" s="95" t="n"/>
      <c r="GJV3" s="95" t="n"/>
      <c r="GJW3" s="95" t="n"/>
      <c r="GJX3" s="95" t="n"/>
      <c r="GJY3" s="95" t="n"/>
      <c r="GJZ3" s="95" t="n"/>
      <c r="GKA3" s="95" t="n"/>
      <c r="GKB3" s="95" t="n"/>
      <c r="GKC3" s="95" t="n"/>
      <c r="GKD3" s="95" t="n"/>
      <c r="GKE3" s="95" t="n"/>
      <c r="GKF3" s="95" t="n"/>
      <c r="GKG3" s="95" t="n"/>
      <c r="GKH3" s="95" t="n"/>
      <c r="GKI3" s="95" t="n"/>
      <c r="GKJ3" s="95" t="n"/>
      <c r="GKK3" s="95" t="n"/>
      <c r="GKL3" s="95" t="n"/>
      <c r="GKM3" s="95" t="n"/>
      <c r="GKN3" s="95" t="n"/>
      <c r="GKO3" s="95" t="n"/>
      <c r="GKP3" s="95" t="n"/>
      <c r="GKQ3" s="95" t="n"/>
      <c r="GKR3" s="95" t="n"/>
      <c r="GKS3" s="95" t="n"/>
      <c r="GKT3" s="95" t="n"/>
      <c r="GKU3" s="95" t="n"/>
      <c r="GKV3" s="95" t="n"/>
      <c r="GKW3" s="95" t="n"/>
      <c r="GKX3" s="95" t="n"/>
      <c r="GKY3" s="95" t="n"/>
      <c r="GKZ3" s="95" t="n"/>
      <c r="GLA3" s="95" t="n"/>
      <c r="GLB3" s="95" t="n"/>
      <c r="GLC3" s="95" t="n"/>
      <c r="GLD3" s="95" t="n"/>
      <c r="GLE3" s="95" t="n"/>
      <c r="GLF3" s="95" t="n"/>
      <c r="GLG3" s="95" t="n"/>
      <c r="GLH3" s="95" t="n"/>
      <c r="GLI3" s="95" t="n"/>
      <c r="GLJ3" s="95" t="n"/>
      <c r="GLK3" s="95" t="n"/>
      <c r="GLL3" s="95" t="n"/>
      <c r="GLM3" s="95" t="n"/>
      <c r="GLN3" s="95" t="n"/>
      <c r="GLO3" s="95" t="n"/>
      <c r="GLP3" s="95" t="n"/>
      <c r="GLQ3" s="95" t="n"/>
      <c r="GLR3" s="95" t="n"/>
      <c r="GLS3" s="95" t="n"/>
      <c r="GLT3" s="95" t="n"/>
      <c r="GLU3" s="95" t="n"/>
      <c r="GLV3" s="95" t="n"/>
      <c r="GLW3" s="95" t="n"/>
      <c r="GLX3" s="95" t="n"/>
      <c r="GLY3" s="95" t="n"/>
      <c r="GLZ3" s="95" t="n"/>
      <c r="GMA3" s="95" t="n"/>
      <c r="GMB3" s="95" t="n"/>
      <c r="GMC3" s="95" t="n"/>
      <c r="GMD3" s="95" t="n"/>
      <c r="GME3" s="95" t="n"/>
      <c r="GMF3" s="95" t="n"/>
      <c r="GMG3" s="95" t="n"/>
      <c r="GMH3" s="95" t="n"/>
      <c r="GMI3" s="95" t="n"/>
      <c r="GMJ3" s="95" t="n"/>
      <c r="GMK3" s="95" t="n"/>
      <c r="GML3" s="95" t="n"/>
      <c r="GMM3" s="95" t="n"/>
      <c r="GMN3" s="95" t="n"/>
      <c r="GMO3" s="95" t="n"/>
      <c r="GMP3" s="95" t="n"/>
      <c r="GMQ3" s="95" t="n"/>
      <c r="GMR3" s="95" t="n"/>
      <c r="GMS3" s="95" t="n"/>
      <c r="GMT3" s="95" t="n"/>
      <c r="GMU3" s="95" t="n"/>
      <c r="GMV3" s="95" t="n"/>
      <c r="GMW3" s="95" t="n"/>
      <c r="GMX3" s="95" t="n"/>
      <c r="GMY3" s="95" t="n"/>
      <c r="GMZ3" s="95" t="n"/>
      <c r="GNA3" s="95" t="n"/>
      <c r="GNB3" s="95" t="n"/>
      <c r="GNC3" s="95" t="n"/>
      <c r="GND3" s="95" t="n"/>
      <c r="GNE3" s="95" t="n"/>
      <c r="GNF3" s="95" t="n"/>
      <c r="GNG3" s="95" t="n"/>
      <c r="GNH3" s="95" t="n"/>
      <c r="GNI3" s="95" t="n"/>
      <c r="GNJ3" s="95" t="n"/>
      <c r="GNK3" s="95" t="n"/>
      <c r="GNL3" s="95" t="n"/>
      <c r="GNM3" s="95" t="n"/>
      <c r="GNN3" s="95" t="n"/>
      <c r="GNO3" s="95" t="n"/>
      <c r="GNP3" s="95" t="n"/>
      <c r="GNQ3" s="95" t="n"/>
      <c r="GNR3" s="95" t="n"/>
      <c r="GNS3" s="95" t="n"/>
      <c r="GNT3" s="95" t="n"/>
      <c r="GNU3" s="95" t="n"/>
      <c r="GNV3" s="95" t="n"/>
      <c r="GNW3" s="95" t="n"/>
      <c r="GNX3" s="95" t="n"/>
      <c r="GNY3" s="95" t="n"/>
      <c r="GNZ3" s="95" t="n"/>
      <c r="GOA3" s="95" t="n"/>
      <c r="GOB3" s="95" t="n"/>
      <c r="GOC3" s="95" t="n"/>
      <c r="GOD3" s="95" t="n"/>
      <c r="GOE3" s="95" t="n"/>
      <c r="GOF3" s="95" t="n"/>
      <c r="GOG3" s="95" t="n"/>
      <c r="GOH3" s="95" t="n"/>
      <c r="GOI3" s="95" t="n"/>
      <c r="GOJ3" s="95" t="n"/>
      <c r="GOK3" s="95" t="n"/>
      <c r="GOL3" s="95" t="n"/>
      <c r="GOM3" s="95" t="n"/>
      <c r="GON3" s="95" t="n"/>
      <c r="GOO3" s="95" t="n"/>
      <c r="GOP3" s="95" t="n"/>
      <c r="GOQ3" s="95" t="n"/>
      <c r="GOR3" s="95" t="n"/>
      <c r="GOS3" s="95" t="n"/>
      <c r="GOT3" s="95" t="n"/>
      <c r="GOU3" s="95" t="n"/>
      <c r="GOV3" s="95" t="n"/>
      <c r="GOW3" s="95" t="n"/>
      <c r="GOX3" s="95" t="n"/>
      <c r="GOY3" s="95" t="n"/>
      <c r="GOZ3" s="95" t="n"/>
      <c r="GPA3" s="95" t="n"/>
      <c r="GPB3" s="95" t="n"/>
      <c r="GPC3" s="95" t="n"/>
      <c r="GPD3" s="95" t="n"/>
      <c r="GPE3" s="95" t="n"/>
      <c r="GPF3" s="95" t="n"/>
      <c r="GPG3" s="95" t="n"/>
      <c r="GPH3" s="95" t="n"/>
      <c r="GPI3" s="95" t="n"/>
      <c r="GPJ3" s="95" t="n"/>
      <c r="GPK3" s="95" t="n"/>
      <c r="GPL3" s="95" t="n"/>
      <c r="GPM3" s="95" t="n"/>
      <c r="GPN3" s="95" t="n"/>
      <c r="GPO3" s="95" t="n"/>
      <c r="GPP3" s="95" t="n"/>
      <c r="GPQ3" s="95" t="n"/>
      <c r="GPR3" s="95" t="n"/>
      <c r="GPS3" s="95" t="n"/>
      <c r="GPT3" s="95" t="n"/>
      <c r="GPU3" s="95" t="n"/>
      <c r="GPV3" s="95" t="n"/>
      <c r="GPW3" s="95" t="n"/>
      <c r="GPX3" s="95" t="n"/>
      <c r="GPY3" s="95" t="n"/>
      <c r="GPZ3" s="95" t="n"/>
      <c r="GQA3" s="95" t="n"/>
      <c r="GQB3" s="95" t="n"/>
      <c r="GQC3" s="95" t="n"/>
      <c r="GQD3" s="95" t="n"/>
      <c r="GQE3" s="95" t="n"/>
      <c r="GQF3" s="95" t="n"/>
      <c r="GQG3" s="95" t="n"/>
      <c r="GQH3" s="95" t="n"/>
      <c r="GQI3" s="95" t="n"/>
      <c r="GQJ3" s="95" t="n"/>
      <c r="GQK3" s="95" t="n"/>
      <c r="GQL3" s="95" t="n"/>
      <c r="GQM3" s="95" t="n"/>
      <c r="GQN3" s="95" t="n"/>
      <c r="GQO3" s="95" t="n"/>
      <c r="GQP3" s="95" t="n"/>
      <c r="GQQ3" s="95" t="n"/>
      <c r="GQR3" s="95" t="n"/>
      <c r="GQS3" s="95" t="n"/>
      <c r="GQT3" s="95" t="n"/>
      <c r="GQU3" s="95" t="n"/>
      <c r="GQV3" s="95" t="n"/>
      <c r="GQW3" s="95" t="n"/>
      <c r="GQX3" s="95" t="n"/>
      <c r="GQY3" s="95" t="n"/>
      <c r="GQZ3" s="95" t="n"/>
      <c r="GRA3" s="95" t="n"/>
      <c r="GRB3" s="95" t="n"/>
      <c r="GRC3" s="95" t="n"/>
      <c r="GRD3" s="95" t="n"/>
      <c r="GRE3" s="95" t="n"/>
      <c r="GRF3" s="95" t="n"/>
      <c r="GRG3" s="95" t="n"/>
      <c r="GRH3" s="95" t="n"/>
      <c r="GRI3" s="95" t="n"/>
      <c r="GRJ3" s="95" t="n"/>
      <c r="GRK3" s="95" t="n"/>
      <c r="GRL3" s="95" t="n"/>
      <c r="GRM3" s="95" t="n"/>
      <c r="GRN3" s="95" t="n"/>
      <c r="GRO3" s="95" t="n"/>
      <c r="GRP3" s="95" t="n"/>
      <c r="GRQ3" s="95" t="n"/>
      <c r="GRR3" s="95" t="n"/>
      <c r="GRS3" s="95" t="n"/>
      <c r="GRT3" s="95" t="n"/>
      <c r="GRU3" s="95" t="n"/>
      <c r="GRV3" s="95" t="n"/>
      <c r="GRW3" s="95" t="n"/>
      <c r="GRX3" s="95" t="n"/>
      <c r="GRY3" s="95" t="n"/>
      <c r="GRZ3" s="95" t="n"/>
      <c r="GSA3" s="95" t="n"/>
      <c r="GSB3" s="95" t="n"/>
      <c r="GSC3" s="95" t="n"/>
      <c r="GSD3" s="95" t="n"/>
      <c r="GSE3" s="95" t="n"/>
      <c r="GSF3" s="95" t="n"/>
      <c r="GSG3" s="95" t="n"/>
      <c r="GSH3" s="95" t="n"/>
      <c r="GSI3" s="95" t="n"/>
      <c r="GSJ3" s="95" t="n"/>
      <c r="GSK3" s="95" t="n"/>
      <c r="GSL3" s="95" t="n"/>
      <c r="GSM3" s="95" t="n"/>
      <c r="GSN3" s="95" t="n"/>
      <c r="GSO3" s="95" t="n"/>
      <c r="GSP3" s="95" t="n"/>
      <c r="GSQ3" s="95" t="n"/>
      <c r="GSR3" s="95" t="n"/>
      <c r="GSS3" s="95" t="n"/>
      <c r="GST3" s="95" t="n"/>
      <c r="GSU3" s="95" t="n"/>
      <c r="GSV3" s="95" t="n"/>
      <c r="GSW3" s="95" t="n"/>
      <c r="GSX3" s="95" t="n"/>
      <c r="GSY3" s="95" t="n"/>
      <c r="GSZ3" s="95" t="n"/>
      <c r="GTA3" s="95" t="n"/>
      <c r="GTB3" s="95" t="n"/>
      <c r="GTC3" s="95" t="n"/>
      <c r="GTD3" s="95" t="n"/>
      <c r="GTE3" s="95" t="n"/>
      <c r="GTF3" s="95" t="n"/>
      <c r="GTG3" s="95" t="n"/>
      <c r="GTH3" s="95" t="n"/>
      <c r="GTI3" s="95" t="n"/>
      <c r="GTJ3" s="95" t="n"/>
      <c r="GTK3" s="95" t="n"/>
      <c r="GTL3" s="95" t="n"/>
      <c r="GTM3" s="95" t="n"/>
      <c r="GTN3" s="95" t="n"/>
      <c r="GTO3" s="95" t="n"/>
      <c r="GTP3" s="95" t="n"/>
      <c r="GTQ3" s="95" t="n"/>
      <c r="GTR3" s="95" t="n"/>
      <c r="GTS3" s="95" t="n"/>
      <c r="GTT3" s="95" t="n"/>
      <c r="GTU3" s="95" t="n"/>
      <c r="GTV3" s="95" t="n"/>
      <c r="GTW3" s="95" t="n"/>
      <c r="GTX3" s="95" t="n"/>
      <c r="GTY3" s="95" t="n"/>
      <c r="GTZ3" s="95" t="n"/>
      <c r="GUA3" s="95" t="n"/>
      <c r="GUB3" s="95" t="n"/>
      <c r="GUC3" s="95" t="n"/>
      <c r="GUD3" s="95" t="n"/>
      <c r="GUE3" s="95" t="n"/>
      <c r="GUF3" s="95" t="n"/>
      <c r="GUG3" s="95" t="n"/>
      <c r="GUH3" s="95" t="n"/>
      <c r="GUI3" s="95" t="n"/>
      <c r="GUJ3" s="95" t="n"/>
      <c r="GUK3" s="95" t="n"/>
      <c r="GUL3" s="95" t="n"/>
      <c r="GUM3" s="95" t="n"/>
      <c r="GUN3" s="95" t="n"/>
      <c r="GUO3" s="95" t="n"/>
      <c r="GUP3" s="95" t="n"/>
      <c r="GUQ3" s="95" t="n"/>
      <c r="GUR3" s="95" t="n"/>
      <c r="GUS3" s="95" t="n"/>
      <c r="GUT3" s="95" t="n"/>
      <c r="GUU3" s="95" t="n"/>
      <c r="GUV3" s="95" t="n"/>
      <c r="GUW3" s="95" t="n"/>
      <c r="GUX3" s="95" t="n"/>
      <c r="GUY3" s="95" t="n"/>
      <c r="GUZ3" s="95" t="n"/>
      <c r="GVA3" s="95" t="n"/>
      <c r="GVB3" s="95" t="n"/>
      <c r="GVC3" s="95" t="n"/>
      <c r="GVD3" s="95" t="n"/>
      <c r="GVE3" s="95" t="n"/>
      <c r="GVF3" s="95" t="n"/>
      <c r="GVG3" s="95" t="n"/>
      <c r="GVH3" s="95" t="n"/>
      <c r="GVI3" s="95" t="n"/>
      <c r="GVJ3" s="95" t="n"/>
      <c r="GVK3" s="95" t="n"/>
      <c r="GVL3" s="95" t="n"/>
      <c r="GVM3" s="95" t="n"/>
      <c r="GVN3" s="95" t="n"/>
      <c r="GVO3" s="95" t="n"/>
      <c r="GVP3" s="95" t="n"/>
      <c r="GVQ3" s="95" t="n"/>
      <c r="GVR3" s="95" t="n"/>
      <c r="GVS3" s="95" t="n"/>
      <c r="GVT3" s="95" t="n"/>
      <c r="GVU3" s="95" t="n"/>
      <c r="GVV3" s="95" t="n"/>
      <c r="GVW3" s="95" t="n"/>
      <c r="GVX3" s="95" t="n"/>
      <c r="GVY3" s="95" t="n"/>
      <c r="GVZ3" s="95" t="n"/>
      <c r="GWA3" s="95" t="n"/>
      <c r="GWB3" s="95" t="n"/>
      <c r="GWC3" s="95" t="n"/>
      <c r="GWD3" s="95" t="n"/>
      <c r="GWE3" s="95" t="n"/>
      <c r="GWF3" s="95" t="n"/>
      <c r="GWG3" s="95" t="n"/>
      <c r="GWH3" s="95" t="n"/>
      <c r="GWI3" s="95" t="n"/>
      <c r="GWJ3" s="95" t="n"/>
      <c r="GWK3" s="95" t="n"/>
      <c r="GWL3" s="95" t="n"/>
      <c r="GWM3" s="95" t="n"/>
      <c r="GWN3" s="95" t="n"/>
      <c r="GWO3" s="95" t="n"/>
      <c r="GWP3" s="95" t="n"/>
      <c r="GWQ3" s="95" t="n"/>
      <c r="GWR3" s="95" t="n"/>
      <c r="GWS3" s="95" t="n"/>
      <c r="GWT3" s="95" t="n"/>
      <c r="GWU3" s="95" t="n"/>
      <c r="GWV3" s="95" t="n"/>
      <c r="GWW3" s="95" t="n"/>
      <c r="GWX3" s="95" t="n"/>
      <c r="GWY3" s="95" t="n"/>
      <c r="GWZ3" s="95" t="n"/>
      <c r="GXA3" s="95" t="n"/>
      <c r="GXB3" s="95" t="n"/>
      <c r="GXC3" s="95" t="n"/>
      <c r="GXD3" s="95" t="n"/>
      <c r="GXE3" s="95" t="n"/>
      <c r="GXF3" s="95" t="n"/>
      <c r="GXG3" s="95" t="n"/>
      <c r="GXH3" s="95" t="n"/>
      <c r="GXI3" s="95" t="n"/>
      <c r="GXJ3" s="95" t="n"/>
      <c r="GXK3" s="95" t="n"/>
      <c r="GXL3" s="95" t="n"/>
      <c r="GXM3" s="95" t="n"/>
      <c r="GXN3" s="95" t="n"/>
      <c r="GXO3" s="95" t="n"/>
      <c r="GXP3" s="95" t="n"/>
      <c r="GXQ3" s="95" t="n"/>
      <c r="GXR3" s="95" t="n"/>
      <c r="GXS3" s="95" t="n"/>
      <c r="GXT3" s="95" t="n"/>
      <c r="GXU3" s="95" t="n"/>
      <c r="GXV3" s="95" t="n"/>
      <c r="GXW3" s="95" t="n"/>
      <c r="GXX3" s="95" t="n"/>
      <c r="GXY3" s="95" t="n"/>
      <c r="GXZ3" s="95" t="n"/>
      <c r="GYA3" s="95" t="n"/>
      <c r="GYB3" s="95" t="n"/>
      <c r="GYC3" s="95" t="n"/>
      <c r="GYD3" s="95" t="n"/>
      <c r="GYE3" s="95" t="n"/>
      <c r="GYF3" s="95" t="n"/>
      <c r="GYG3" s="95" t="n"/>
      <c r="GYH3" s="95" t="n"/>
      <c r="GYI3" s="95" t="n"/>
      <c r="GYJ3" s="95" t="n"/>
      <c r="GYK3" s="95" t="n"/>
      <c r="GYL3" s="95" t="n"/>
      <c r="GYM3" s="95" t="n"/>
      <c r="GYN3" s="95" t="n"/>
      <c r="GYO3" s="95" t="n"/>
      <c r="GYP3" s="95" t="n"/>
      <c r="GYQ3" s="95" t="n"/>
      <c r="GYR3" s="95" t="n"/>
      <c r="GYS3" s="95" t="n"/>
      <c r="GYT3" s="95" t="n"/>
      <c r="GYU3" s="95" t="n"/>
      <c r="GYV3" s="95" t="n"/>
      <c r="GYW3" s="95" t="n"/>
      <c r="GYX3" s="95" t="n"/>
      <c r="GYY3" s="95" t="n"/>
      <c r="GYZ3" s="95" t="n"/>
      <c r="GZA3" s="95" t="n"/>
      <c r="GZB3" s="95" t="n"/>
      <c r="GZC3" s="95" t="n"/>
      <c r="GZD3" s="95" t="n"/>
      <c r="GZE3" s="95" t="n"/>
      <c r="GZF3" s="95" t="n"/>
      <c r="GZG3" s="95" t="n"/>
      <c r="GZH3" s="95" t="n"/>
      <c r="GZI3" s="95" t="n"/>
      <c r="GZJ3" s="95" t="n"/>
      <c r="GZK3" s="95" t="n"/>
      <c r="GZL3" s="95" t="n"/>
      <c r="GZM3" s="95" t="n"/>
      <c r="GZN3" s="95" t="n"/>
      <c r="GZO3" s="95" t="n"/>
      <c r="GZP3" s="95" t="n"/>
      <c r="GZQ3" s="95" t="n"/>
      <c r="GZR3" s="95" t="n"/>
      <c r="GZS3" s="95" t="n"/>
      <c r="GZT3" s="95" t="n"/>
      <c r="GZU3" s="95" t="n"/>
      <c r="GZV3" s="95" t="n"/>
      <c r="GZW3" s="95" t="n"/>
      <c r="GZX3" s="95" t="n"/>
      <c r="GZY3" s="95" t="n"/>
      <c r="GZZ3" s="95" t="n"/>
      <c r="HAA3" s="95" t="n"/>
      <c r="HAB3" s="95" t="n"/>
      <c r="HAC3" s="95" t="n"/>
      <c r="HAD3" s="95" t="n"/>
      <c r="HAE3" s="95" t="n"/>
      <c r="HAF3" s="95" t="n"/>
      <c r="HAG3" s="95" t="n"/>
      <c r="HAH3" s="95" t="n"/>
      <c r="HAI3" s="95" t="n"/>
      <c r="HAJ3" s="95" t="n"/>
      <c r="HAK3" s="95" t="n"/>
      <c r="HAL3" s="95" t="n"/>
      <c r="HAM3" s="95" t="n"/>
      <c r="HAN3" s="95" t="n"/>
      <c r="HAO3" s="95" t="n"/>
      <c r="HAP3" s="95" t="n"/>
      <c r="HAQ3" s="95" t="n"/>
      <c r="HAR3" s="95" t="n"/>
      <c r="HAS3" s="95" t="n"/>
      <c r="HAT3" s="95" t="n"/>
      <c r="HAU3" s="95" t="n"/>
      <c r="HAV3" s="95" t="n"/>
      <c r="HAW3" s="95" t="n"/>
      <c r="HAX3" s="95" t="n"/>
      <c r="HAY3" s="95" t="n"/>
      <c r="HAZ3" s="95" t="n"/>
      <c r="HBA3" s="95" t="n"/>
      <c r="HBB3" s="95" t="n"/>
      <c r="HBC3" s="95" t="n"/>
      <c r="HBD3" s="95" t="n"/>
      <c r="HBE3" s="95" t="n"/>
      <c r="HBF3" s="95" t="n"/>
      <c r="HBG3" s="95" t="n"/>
      <c r="HBH3" s="95" t="n"/>
      <c r="HBI3" s="95" t="n"/>
      <c r="HBJ3" s="95" t="n"/>
      <c r="HBK3" s="95" t="n"/>
      <c r="HBL3" s="95" t="n"/>
      <c r="HBM3" s="95" t="n"/>
      <c r="HBN3" s="95" t="n"/>
      <c r="HBO3" s="95" t="n"/>
      <c r="HBP3" s="95" t="n"/>
      <c r="HBQ3" s="95" t="n"/>
      <c r="HBR3" s="95" t="n"/>
      <c r="HBS3" s="95" t="n"/>
      <c r="HBT3" s="95" t="n"/>
      <c r="HBU3" s="95" t="n"/>
      <c r="HBV3" s="95" t="n"/>
      <c r="HBW3" s="95" t="n"/>
      <c r="HBX3" s="95" t="n"/>
      <c r="HBY3" s="95" t="n"/>
      <c r="HBZ3" s="95" t="n"/>
      <c r="HCA3" s="95" t="n"/>
      <c r="HCB3" s="95" t="n"/>
      <c r="HCC3" s="95" t="n"/>
      <c r="HCD3" s="95" t="n"/>
      <c r="HCE3" s="95" t="n"/>
      <c r="HCF3" s="95" t="n"/>
      <c r="HCG3" s="95" t="n"/>
      <c r="HCH3" s="95" t="n"/>
      <c r="HCI3" s="95" t="n"/>
      <c r="HCJ3" s="95" t="n"/>
      <c r="HCK3" s="95" t="n"/>
      <c r="HCL3" s="95" t="n"/>
      <c r="HCM3" s="95" t="n"/>
      <c r="HCN3" s="95" t="n"/>
      <c r="HCO3" s="95" t="n"/>
      <c r="HCP3" s="95" t="n"/>
      <c r="HCQ3" s="95" t="n"/>
      <c r="HCR3" s="95" t="n"/>
      <c r="HCS3" s="95" t="n"/>
      <c r="HCT3" s="95" t="n"/>
      <c r="HCU3" s="95" t="n"/>
      <c r="HCV3" s="95" t="n"/>
      <c r="HCW3" s="95" t="n"/>
      <c r="HCX3" s="95" t="n"/>
      <c r="HCY3" s="95" t="n"/>
      <c r="HCZ3" s="95" t="n"/>
      <c r="HDA3" s="95" t="n"/>
      <c r="HDB3" s="95" t="n"/>
      <c r="HDC3" s="95" t="n"/>
      <c r="HDD3" s="95" t="n"/>
      <c r="HDE3" s="95" t="n"/>
      <c r="HDF3" s="95" t="n"/>
      <c r="HDG3" s="95" t="n"/>
      <c r="HDH3" s="95" t="n"/>
      <c r="HDI3" s="95" t="n"/>
      <c r="HDJ3" s="95" t="n"/>
      <c r="HDK3" s="95" t="n"/>
      <c r="HDL3" s="95" t="n"/>
      <c r="HDM3" s="95" t="n"/>
      <c r="HDN3" s="95" t="n"/>
      <c r="HDO3" s="95" t="n"/>
      <c r="HDP3" s="95" t="n"/>
      <c r="HDQ3" s="95" t="n"/>
      <c r="HDR3" s="95" t="n"/>
      <c r="HDS3" s="95" t="n"/>
      <c r="HDT3" s="95" t="n"/>
      <c r="HDU3" s="95" t="n"/>
      <c r="HDV3" s="95" t="n"/>
      <c r="HDW3" s="95" t="n"/>
      <c r="HDX3" s="95" t="n"/>
      <c r="HDY3" s="95" t="n"/>
      <c r="HDZ3" s="95" t="n"/>
      <c r="HEA3" s="95" t="n"/>
      <c r="HEB3" s="95" t="n"/>
      <c r="HEC3" s="95" t="n"/>
      <c r="HED3" s="95" t="n"/>
      <c r="HEE3" s="95" t="n"/>
      <c r="HEF3" s="95" t="n"/>
      <c r="HEG3" s="95" t="n"/>
      <c r="HEH3" s="95" t="n"/>
      <c r="HEI3" s="95" t="n"/>
      <c r="HEJ3" s="95" t="n"/>
      <c r="HEK3" s="95" t="n"/>
      <c r="HEL3" s="95" t="n"/>
      <c r="HEM3" s="95" t="n"/>
      <c r="HEN3" s="95" t="n"/>
      <c r="HEO3" s="95" t="n"/>
      <c r="HEP3" s="95" t="n"/>
      <c r="HEQ3" s="95" t="n"/>
      <c r="HER3" s="95" t="n"/>
      <c r="HES3" s="95" t="n"/>
      <c r="HET3" s="95" t="n"/>
      <c r="HEU3" s="95" t="n"/>
      <c r="HEV3" s="95" t="n"/>
      <c r="HEW3" s="95" t="n"/>
      <c r="HEX3" s="95" t="n"/>
      <c r="HEY3" s="95" t="n"/>
      <c r="HEZ3" s="95" t="n"/>
      <c r="HFA3" s="95" t="n"/>
      <c r="HFB3" s="95" t="n"/>
      <c r="HFC3" s="95" t="n"/>
      <c r="HFD3" s="95" t="n"/>
      <c r="HFE3" s="95" t="n"/>
      <c r="HFF3" s="95" t="n"/>
      <c r="HFG3" s="95" t="n"/>
      <c r="HFH3" s="95" t="n"/>
      <c r="HFI3" s="95" t="n"/>
      <c r="HFJ3" s="95" t="n"/>
      <c r="HFK3" s="95" t="n"/>
      <c r="HFL3" s="95" t="n"/>
      <c r="HFM3" s="95" t="n"/>
      <c r="HFN3" s="95" t="n"/>
      <c r="HFO3" s="95" t="n"/>
      <c r="HFP3" s="95" t="n"/>
      <c r="HFQ3" s="95" t="n"/>
      <c r="HFR3" s="95" t="n"/>
      <c r="HFS3" s="95" t="n"/>
      <c r="HFT3" s="95" t="n"/>
      <c r="HFU3" s="95" t="n"/>
      <c r="HFV3" s="95" t="n"/>
      <c r="HFW3" s="95" t="n"/>
      <c r="HFX3" s="95" t="n"/>
      <c r="HFY3" s="95" t="n"/>
      <c r="HFZ3" s="95" t="n"/>
      <c r="HGA3" s="95" t="n"/>
      <c r="HGB3" s="95" t="n"/>
      <c r="HGC3" s="95" t="n"/>
      <c r="HGD3" s="95" t="n"/>
      <c r="HGE3" s="95" t="n"/>
      <c r="HGF3" s="95" t="n"/>
      <c r="HGG3" s="95" t="n"/>
      <c r="HGH3" s="95" t="n"/>
      <c r="HGI3" s="95" t="n"/>
      <c r="HGJ3" s="95" t="n"/>
      <c r="HGK3" s="95" t="n"/>
      <c r="HGL3" s="95" t="n"/>
      <c r="HGM3" s="95" t="n"/>
      <c r="HGN3" s="95" t="n"/>
      <c r="HGO3" s="95" t="n"/>
      <c r="HGP3" s="95" t="n"/>
      <c r="HGQ3" s="95" t="n"/>
      <c r="HGR3" s="95" t="n"/>
      <c r="HGS3" s="95" t="n"/>
      <c r="HGT3" s="95" t="n"/>
      <c r="HGU3" s="95" t="n"/>
      <c r="HGV3" s="95" t="n"/>
      <c r="HGW3" s="95" t="n"/>
      <c r="HGX3" s="95" t="n"/>
      <c r="HGY3" s="95" t="n"/>
      <c r="HGZ3" s="95" t="n"/>
      <c r="HHA3" s="95" t="n"/>
      <c r="HHB3" s="95" t="n"/>
      <c r="HHC3" s="95" t="n"/>
      <c r="HHD3" s="95" t="n"/>
      <c r="HHE3" s="95" t="n"/>
      <c r="HHF3" s="95" t="n"/>
      <c r="HHG3" s="95" t="n"/>
      <c r="HHH3" s="95" t="n"/>
      <c r="HHI3" s="95" t="n"/>
      <c r="HHJ3" s="95" t="n"/>
      <c r="HHK3" s="95" t="n"/>
      <c r="HHL3" s="95" t="n"/>
      <c r="HHM3" s="95" t="n"/>
      <c r="HHN3" s="95" t="n"/>
      <c r="HHO3" s="95" t="n"/>
      <c r="HHP3" s="95" t="n"/>
      <c r="HHQ3" s="95" t="n"/>
      <c r="HHR3" s="95" t="n"/>
      <c r="HHS3" s="95" t="n"/>
      <c r="HHT3" s="95" t="n"/>
      <c r="HHU3" s="95" t="n"/>
      <c r="HHV3" s="95" t="n"/>
      <c r="HHW3" s="95" t="n"/>
      <c r="HHX3" s="95" t="n"/>
      <c r="HHY3" s="95" t="n"/>
      <c r="HHZ3" s="95" t="n"/>
      <c r="HIA3" s="95" t="n"/>
      <c r="HIB3" s="95" t="n"/>
      <c r="HIC3" s="95" t="n"/>
      <c r="HID3" s="95" t="n"/>
      <c r="HIE3" s="95" t="n"/>
      <c r="HIF3" s="95" t="n"/>
      <c r="HIG3" s="95" t="n"/>
      <c r="HIH3" s="95" t="n"/>
      <c r="HII3" s="95" t="n"/>
      <c r="HIJ3" s="95" t="n"/>
      <c r="HIK3" s="95" t="n"/>
      <c r="HIL3" s="95" t="n"/>
      <c r="HIM3" s="95" t="n"/>
      <c r="HIN3" s="95" t="n"/>
      <c r="HIO3" s="95" t="n"/>
      <c r="HIP3" s="95" t="n"/>
      <c r="HIQ3" s="95" t="n"/>
      <c r="HIR3" s="95" t="n"/>
      <c r="HIS3" s="95" t="n"/>
      <c r="HIT3" s="95" t="n"/>
      <c r="HIU3" s="95" t="n"/>
      <c r="HIV3" s="95" t="n"/>
      <c r="HIW3" s="95" t="n"/>
      <c r="HIX3" s="95" t="n"/>
      <c r="HIY3" s="95" t="n"/>
      <c r="HIZ3" s="95" t="n"/>
      <c r="HJA3" s="95" t="n"/>
      <c r="HJB3" s="95" t="n"/>
      <c r="HJC3" s="95" t="n"/>
      <c r="HJD3" s="95" t="n"/>
      <c r="HJE3" s="95" t="n"/>
      <c r="HJF3" s="95" t="n"/>
      <c r="HJG3" s="95" t="n"/>
      <c r="HJH3" s="95" t="n"/>
      <c r="HJI3" s="95" t="n"/>
      <c r="HJJ3" s="95" t="n"/>
      <c r="HJK3" s="95" t="n"/>
      <c r="HJL3" s="95" t="n"/>
      <c r="HJM3" s="95" t="n"/>
      <c r="HJN3" s="95" t="n"/>
      <c r="HJO3" s="95" t="n"/>
      <c r="HJP3" s="95" t="n"/>
      <c r="HJQ3" s="95" t="n"/>
      <c r="HJR3" s="95" t="n"/>
      <c r="HJS3" s="95" t="n"/>
      <c r="HJT3" s="95" t="n"/>
      <c r="HJU3" s="95" t="n"/>
      <c r="HJV3" s="95" t="n"/>
      <c r="HJW3" s="95" t="n"/>
      <c r="HJX3" s="95" t="n"/>
      <c r="HJY3" s="95" t="n"/>
      <c r="HJZ3" s="95" t="n"/>
      <c r="HKA3" s="95" t="n"/>
      <c r="HKB3" s="95" t="n"/>
      <c r="HKC3" s="95" t="n"/>
      <c r="HKD3" s="95" t="n"/>
      <c r="HKE3" s="95" t="n"/>
      <c r="HKF3" s="95" t="n"/>
      <c r="HKG3" s="95" t="n"/>
      <c r="HKH3" s="95" t="n"/>
      <c r="HKI3" s="95" t="n"/>
      <c r="HKJ3" s="95" t="n"/>
      <c r="HKK3" s="95" t="n"/>
      <c r="HKL3" s="95" t="n"/>
      <c r="HKM3" s="95" t="n"/>
      <c r="HKN3" s="95" t="n"/>
      <c r="HKO3" s="95" t="n"/>
      <c r="HKP3" s="95" t="n"/>
      <c r="HKQ3" s="95" t="n"/>
      <c r="HKR3" s="95" t="n"/>
      <c r="HKS3" s="95" t="n"/>
      <c r="HKT3" s="95" t="n"/>
      <c r="HKU3" s="95" t="n"/>
      <c r="HKV3" s="95" t="n"/>
      <c r="HKW3" s="95" t="n"/>
      <c r="HKX3" s="95" t="n"/>
      <c r="HKY3" s="95" t="n"/>
      <c r="HKZ3" s="95" t="n"/>
      <c r="HLA3" s="95" t="n"/>
      <c r="HLB3" s="95" t="n"/>
      <c r="HLC3" s="95" t="n"/>
      <c r="HLD3" s="95" t="n"/>
      <c r="HLE3" s="95" t="n"/>
      <c r="HLF3" s="95" t="n"/>
      <c r="HLG3" s="95" t="n"/>
      <c r="HLH3" s="95" t="n"/>
      <c r="HLI3" s="95" t="n"/>
      <c r="HLJ3" s="95" t="n"/>
      <c r="HLK3" s="95" t="n"/>
      <c r="HLL3" s="95" t="n"/>
      <c r="HLM3" s="95" t="n"/>
      <c r="HLN3" s="95" t="n"/>
      <c r="HLO3" s="95" t="n"/>
      <c r="HLP3" s="95" t="n"/>
      <c r="HLQ3" s="95" t="n"/>
      <c r="HLR3" s="95" t="n"/>
      <c r="HLS3" s="95" t="n"/>
      <c r="HLT3" s="95" t="n"/>
      <c r="HLU3" s="95" t="n"/>
      <c r="HLV3" s="95" t="n"/>
      <c r="HLW3" s="95" t="n"/>
      <c r="HLX3" s="95" t="n"/>
      <c r="HLY3" s="95" t="n"/>
      <c r="HLZ3" s="95" t="n"/>
      <c r="HMA3" s="95" t="n"/>
      <c r="HMB3" s="95" t="n"/>
      <c r="HMC3" s="95" t="n"/>
      <c r="HMD3" s="95" t="n"/>
      <c r="HME3" s="95" t="n"/>
      <c r="HMF3" s="95" t="n"/>
      <c r="HMG3" s="95" t="n"/>
      <c r="HMH3" s="95" t="n"/>
      <c r="HMI3" s="95" t="n"/>
      <c r="HMJ3" s="95" t="n"/>
      <c r="HMK3" s="95" t="n"/>
      <c r="HML3" s="95" t="n"/>
      <c r="HMM3" s="95" t="n"/>
      <c r="HMN3" s="95" t="n"/>
      <c r="HMO3" s="95" t="n"/>
      <c r="HMP3" s="95" t="n"/>
      <c r="HMQ3" s="95" t="n"/>
      <c r="HMR3" s="95" t="n"/>
      <c r="HMS3" s="95" t="n"/>
      <c r="HMT3" s="95" t="n"/>
      <c r="HMU3" s="95" t="n"/>
      <c r="HMV3" s="95" t="n"/>
      <c r="HMW3" s="95" t="n"/>
      <c r="HMX3" s="95" t="n"/>
      <c r="HMY3" s="95" t="n"/>
      <c r="HMZ3" s="95" t="n"/>
      <c r="HNA3" s="95" t="n"/>
      <c r="HNB3" s="95" t="n"/>
      <c r="HNC3" s="95" t="n"/>
      <c r="HND3" s="95" t="n"/>
      <c r="HNE3" s="95" t="n"/>
      <c r="HNF3" s="95" t="n"/>
      <c r="HNG3" s="95" t="n"/>
      <c r="HNH3" s="95" t="n"/>
      <c r="HNI3" s="95" t="n"/>
      <c r="HNJ3" s="95" t="n"/>
      <c r="HNK3" s="95" t="n"/>
      <c r="HNL3" s="95" t="n"/>
      <c r="HNM3" s="95" t="n"/>
      <c r="HNN3" s="95" t="n"/>
      <c r="HNO3" s="95" t="n"/>
      <c r="HNP3" s="95" t="n"/>
      <c r="HNQ3" s="95" t="n"/>
      <c r="HNR3" s="95" t="n"/>
      <c r="HNS3" s="95" t="n"/>
      <c r="HNT3" s="95" t="n"/>
      <c r="HNU3" s="95" t="n"/>
      <c r="HNV3" s="95" t="n"/>
      <c r="HNW3" s="95" t="n"/>
      <c r="HNX3" s="95" t="n"/>
      <c r="HNY3" s="95" t="n"/>
      <c r="HNZ3" s="95" t="n"/>
      <c r="HOA3" s="95" t="n"/>
      <c r="HOB3" s="95" t="n"/>
      <c r="HOC3" s="95" t="n"/>
      <c r="HOD3" s="95" t="n"/>
      <c r="HOE3" s="95" t="n"/>
      <c r="HOF3" s="95" t="n"/>
      <c r="HOG3" s="95" t="n"/>
      <c r="HOH3" s="95" t="n"/>
      <c r="HOI3" s="95" t="n"/>
      <c r="HOJ3" s="95" t="n"/>
      <c r="HOK3" s="95" t="n"/>
      <c r="HOL3" s="95" t="n"/>
      <c r="HOM3" s="95" t="n"/>
      <c r="HON3" s="95" t="n"/>
      <c r="HOO3" s="95" t="n"/>
      <c r="HOP3" s="95" t="n"/>
      <c r="HOQ3" s="95" t="n"/>
      <c r="HOR3" s="95" t="n"/>
      <c r="HOS3" s="95" t="n"/>
      <c r="HOT3" s="95" t="n"/>
      <c r="HOU3" s="95" t="n"/>
      <c r="HOV3" s="95" t="n"/>
      <c r="HOW3" s="95" t="n"/>
      <c r="HOX3" s="95" t="n"/>
      <c r="HOY3" s="95" t="n"/>
      <c r="HOZ3" s="95" t="n"/>
      <c r="HPA3" s="95" t="n"/>
      <c r="HPB3" s="95" t="n"/>
      <c r="HPC3" s="95" t="n"/>
      <c r="HPD3" s="95" t="n"/>
      <c r="HPE3" s="95" t="n"/>
      <c r="HPF3" s="95" t="n"/>
      <c r="HPG3" s="95" t="n"/>
      <c r="HPH3" s="95" t="n"/>
      <c r="HPI3" s="95" t="n"/>
      <c r="HPJ3" s="95" t="n"/>
      <c r="HPK3" s="95" t="n"/>
      <c r="HPL3" s="95" t="n"/>
      <c r="HPM3" s="95" t="n"/>
      <c r="HPN3" s="95" t="n"/>
      <c r="HPO3" s="95" t="n"/>
      <c r="HPP3" s="95" t="n"/>
      <c r="HPQ3" s="95" t="n"/>
      <c r="HPR3" s="95" t="n"/>
      <c r="HPS3" s="95" t="n"/>
      <c r="HPT3" s="95" t="n"/>
      <c r="HPU3" s="95" t="n"/>
      <c r="HPV3" s="95" t="n"/>
      <c r="HPW3" s="95" t="n"/>
      <c r="HPX3" s="95" t="n"/>
      <c r="HPY3" s="95" t="n"/>
      <c r="HPZ3" s="95" t="n"/>
      <c r="HQA3" s="95" t="n"/>
      <c r="HQB3" s="95" t="n"/>
      <c r="HQC3" s="95" t="n"/>
      <c r="HQD3" s="95" t="n"/>
      <c r="HQE3" s="95" t="n"/>
      <c r="HQF3" s="95" t="n"/>
      <c r="HQG3" s="95" t="n"/>
      <c r="HQH3" s="95" t="n"/>
      <c r="HQI3" s="95" t="n"/>
      <c r="HQJ3" s="95" t="n"/>
      <c r="HQK3" s="95" t="n"/>
      <c r="HQL3" s="95" t="n"/>
      <c r="HQM3" s="95" t="n"/>
      <c r="HQN3" s="95" t="n"/>
      <c r="HQO3" s="95" t="n"/>
      <c r="HQP3" s="95" t="n"/>
      <c r="HQQ3" s="95" t="n"/>
      <c r="HQR3" s="95" t="n"/>
      <c r="HQS3" s="95" t="n"/>
      <c r="HQT3" s="95" t="n"/>
      <c r="HQU3" s="95" t="n"/>
      <c r="HQV3" s="95" t="n"/>
      <c r="HQW3" s="95" t="n"/>
      <c r="HQX3" s="95" t="n"/>
      <c r="HQY3" s="95" t="n"/>
      <c r="HQZ3" s="95" t="n"/>
      <c r="HRA3" s="95" t="n"/>
      <c r="HRB3" s="95" t="n"/>
      <c r="HRC3" s="95" t="n"/>
      <c r="HRD3" s="95" t="n"/>
      <c r="HRE3" s="95" t="n"/>
      <c r="HRF3" s="95" t="n"/>
      <c r="HRG3" s="95" t="n"/>
      <c r="HRH3" s="95" t="n"/>
      <c r="HRI3" s="95" t="n"/>
      <c r="HRJ3" s="95" t="n"/>
      <c r="HRK3" s="95" t="n"/>
      <c r="HRL3" s="95" t="n"/>
      <c r="HRM3" s="95" t="n"/>
      <c r="HRN3" s="95" t="n"/>
      <c r="HRO3" s="95" t="n"/>
      <c r="HRP3" s="95" t="n"/>
      <c r="HRQ3" s="95" t="n"/>
      <c r="HRR3" s="95" t="n"/>
      <c r="HRS3" s="95" t="n"/>
      <c r="HRT3" s="95" t="n"/>
      <c r="HRU3" s="95" t="n"/>
      <c r="HRV3" s="95" t="n"/>
      <c r="HRW3" s="95" t="n"/>
      <c r="HRX3" s="95" t="n"/>
      <c r="HRY3" s="95" t="n"/>
      <c r="HRZ3" s="95" t="n"/>
      <c r="HSA3" s="95" t="n"/>
      <c r="HSB3" s="95" t="n"/>
      <c r="HSC3" s="95" t="n"/>
      <c r="HSD3" s="95" t="n"/>
      <c r="HSE3" s="95" t="n"/>
      <c r="HSF3" s="95" t="n"/>
      <c r="HSG3" s="95" t="n"/>
      <c r="HSH3" s="95" t="n"/>
      <c r="HSI3" s="95" t="n"/>
      <c r="HSJ3" s="95" t="n"/>
      <c r="HSK3" s="95" t="n"/>
      <c r="HSL3" s="95" t="n"/>
      <c r="HSM3" s="95" t="n"/>
      <c r="HSN3" s="95" t="n"/>
      <c r="HSO3" s="95" t="n"/>
      <c r="HSP3" s="95" t="n"/>
      <c r="HSQ3" s="95" t="n"/>
      <c r="HSR3" s="95" t="n"/>
      <c r="HSS3" s="95" t="n"/>
      <c r="HST3" s="95" t="n"/>
      <c r="HSU3" s="95" t="n"/>
      <c r="HSV3" s="95" t="n"/>
      <c r="HSW3" s="95" t="n"/>
      <c r="HSX3" s="95" t="n"/>
      <c r="HSY3" s="95" t="n"/>
      <c r="HSZ3" s="95" t="n"/>
      <c r="HTA3" s="95" t="n"/>
      <c r="HTB3" s="95" t="n"/>
      <c r="HTC3" s="95" t="n"/>
      <c r="HTD3" s="95" t="n"/>
      <c r="HTE3" s="95" t="n"/>
      <c r="HTF3" s="95" t="n"/>
      <c r="HTG3" s="95" t="n"/>
      <c r="HTH3" s="95" t="n"/>
      <c r="HTI3" s="95" t="n"/>
      <c r="HTJ3" s="95" t="n"/>
      <c r="HTK3" s="95" t="n"/>
      <c r="HTL3" s="95" t="n"/>
      <c r="HTM3" s="95" t="n"/>
      <c r="HTN3" s="95" t="n"/>
      <c r="HTO3" s="95" t="n"/>
      <c r="HTP3" s="95" t="n"/>
      <c r="HTQ3" s="95" t="n"/>
      <c r="HTR3" s="95" t="n"/>
      <c r="HTS3" s="95" t="n"/>
      <c r="HTT3" s="95" t="n"/>
      <c r="HTU3" s="95" t="n"/>
      <c r="HTV3" s="95" t="n"/>
      <c r="HTW3" s="95" t="n"/>
      <c r="HTX3" s="95" t="n"/>
      <c r="HTY3" s="95" t="n"/>
      <c r="HTZ3" s="95" t="n"/>
      <c r="HUA3" s="95" t="n"/>
      <c r="HUB3" s="95" t="n"/>
      <c r="HUC3" s="95" t="n"/>
      <c r="HUD3" s="95" t="n"/>
      <c r="HUE3" s="95" t="n"/>
      <c r="HUF3" s="95" t="n"/>
      <c r="HUG3" s="95" t="n"/>
      <c r="HUH3" s="95" t="n"/>
      <c r="HUI3" s="95" t="n"/>
      <c r="HUJ3" s="95" t="n"/>
      <c r="HUK3" s="95" t="n"/>
      <c r="HUL3" s="95" t="n"/>
      <c r="HUM3" s="95" t="n"/>
      <c r="HUN3" s="95" t="n"/>
      <c r="HUO3" s="95" t="n"/>
      <c r="HUP3" s="95" t="n"/>
      <c r="HUQ3" s="95" t="n"/>
      <c r="HUR3" s="95" t="n"/>
      <c r="HUS3" s="95" t="n"/>
      <c r="HUT3" s="95" t="n"/>
      <c r="HUU3" s="95" t="n"/>
      <c r="HUV3" s="95" t="n"/>
      <c r="HUW3" s="95" t="n"/>
      <c r="HUX3" s="95" t="n"/>
      <c r="HUY3" s="95" t="n"/>
      <c r="HUZ3" s="95" t="n"/>
      <c r="HVA3" s="95" t="n"/>
      <c r="HVB3" s="95" t="n"/>
      <c r="HVC3" s="95" t="n"/>
      <c r="HVD3" s="95" t="n"/>
      <c r="HVE3" s="95" t="n"/>
      <c r="HVF3" s="95" t="n"/>
      <c r="HVG3" s="95" t="n"/>
      <c r="HVH3" s="95" t="n"/>
      <c r="HVI3" s="95" t="n"/>
      <c r="HVJ3" s="95" t="n"/>
      <c r="HVK3" s="95" t="n"/>
      <c r="HVL3" s="95" t="n"/>
      <c r="HVM3" s="95" t="n"/>
      <c r="HVN3" s="95" t="n"/>
      <c r="HVO3" s="95" t="n"/>
      <c r="HVP3" s="95" t="n"/>
      <c r="HVQ3" s="95" t="n"/>
      <c r="HVR3" s="95" t="n"/>
      <c r="HVS3" s="95" t="n"/>
      <c r="HVT3" s="95" t="n"/>
      <c r="HVU3" s="95" t="n"/>
      <c r="HVV3" s="95" t="n"/>
      <c r="HVW3" s="95" t="n"/>
      <c r="HVX3" s="95" t="n"/>
      <c r="HVY3" s="95" t="n"/>
      <c r="HVZ3" s="95" t="n"/>
      <c r="HWA3" s="95" t="n"/>
      <c r="HWB3" s="95" t="n"/>
      <c r="HWC3" s="95" t="n"/>
      <c r="HWD3" s="95" t="n"/>
      <c r="HWE3" s="95" t="n"/>
      <c r="HWF3" s="95" t="n"/>
      <c r="HWG3" s="95" t="n"/>
      <c r="HWH3" s="95" t="n"/>
      <c r="HWI3" s="95" t="n"/>
      <c r="HWJ3" s="95" t="n"/>
      <c r="HWK3" s="95" t="n"/>
      <c r="HWL3" s="95" t="n"/>
      <c r="HWM3" s="95" t="n"/>
      <c r="HWN3" s="95" t="n"/>
      <c r="HWO3" s="95" t="n"/>
      <c r="HWP3" s="95" t="n"/>
      <c r="HWQ3" s="95" t="n"/>
      <c r="HWR3" s="95" t="n"/>
      <c r="HWS3" s="95" t="n"/>
      <c r="HWT3" s="95" t="n"/>
      <c r="HWU3" s="95" t="n"/>
      <c r="HWV3" s="95" t="n"/>
      <c r="HWW3" s="95" t="n"/>
      <c r="HWX3" s="95" t="n"/>
      <c r="HWY3" s="95" t="n"/>
      <c r="HWZ3" s="95" t="n"/>
      <c r="HXA3" s="95" t="n"/>
      <c r="HXB3" s="95" t="n"/>
      <c r="HXC3" s="95" t="n"/>
      <c r="HXD3" s="95" t="n"/>
      <c r="HXE3" s="95" t="n"/>
      <c r="HXF3" s="95" t="n"/>
      <c r="HXG3" s="95" t="n"/>
      <c r="HXH3" s="95" t="n"/>
      <c r="HXI3" s="95" t="n"/>
      <c r="HXJ3" s="95" t="n"/>
      <c r="HXK3" s="95" t="n"/>
      <c r="HXL3" s="95" t="n"/>
      <c r="HXM3" s="95" t="n"/>
      <c r="HXN3" s="95" t="n"/>
      <c r="HXO3" s="95" t="n"/>
      <c r="HXP3" s="95" t="n"/>
      <c r="HXQ3" s="95" t="n"/>
      <c r="HXR3" s="95" t="n"/>
      <c r="HXS3" s="95" t="n"/>
      <c r="HXT3" s="95" t="n"/>
      <c r="HXU3" s="95" t="n"/>
      <c r="HXV3" s="95" t="n"/>
      <c r="HXW3" s="95" t="n"/>
      <c r="HXX3" s="95" t="n"/>
      <c r="HXY3" s="95" t="n"/>
      <c r="HXZ3" s="95" t="n"/>
      <c r="HYA3" s="95" t="n"/>
      <c r="HYB3" s="95" t="n"/>
      <c r="HYC3" s="95" t="n"/>
      <c r="HYD3" s="95" t="n"/>
      <c r="HYE3" s="95" t="n"/>
      <c r="HYF3" s="95" t="n"/>
      <c r="HYG3" s="95" t="n"/>
      <c r="HYH3" s="95" t="n"/>
      <c r="HYI3" s="95" t="n"/>
      <c r="HYJ3" s="95" t="n"/>
      <c r="HYK3" s="95" t="n"/>
      <c r="HYL3" s="95" t="n"/>
      <c r="HYM3" s="95" t="n"/>
      <c r="HYN3" s="95" t="n"/>
      <c r="HYO3" s="95" t="n"/>
      <c r="HYP3" s="95" t="n"/>
      <c r="HYQ3" s="95" t="n"/>
      <c r="HYR3" s="95" t="n"/>
      <c r="HYS3" s="95" t="n"/>
      <c r="HYT3" s="95" t="n"/>
      <c r="HYU3" s="95" t="n"/>
      <c r="HYV3" s="95" t="n"/>
      <c r="HYW3" s="95" t="n"/>
      <c r="HYX3" s="95" t="n"/>
      <c r="HYY3" s="95" t="n"/>
      <c r="HYZ3" s="95" t="n"/>
      <c r="HZA3" s="95" t="n"/>
      <c r="HZB3" s="95" t="n"/>
      <c r="HZC3" s="95" t="n"/>
      <c r="HZD3" s="95" t="n"/>
      <c r="HZE3" s="95" t="n"/>
      <c r="HZF3" s="95" t="n"/>
      <c r="HZG3" s="95" t="n"/>
      <c r="HZH3" s="95" t="n"/>
      <c r="HZI3" s="95" t="n"/>
      <c r="HZJ3" s="95" t="n"/>
      <c r="HZK3" s="95" t="n"/>
      <c r="HZL3" s="95" t="n"/>
      <c r="HZM3" s="95" t="n"/>
      <c r="HZN3" s="95" t="n"/>
      <c r="HZO3" s="95" t="n"/>
      <c r="HZP3" s="95" t="n"/>
      <c r="HZQ3" s="95" t="n"/>
      <c r="HZR3" s="95" t="n"/>
      <c r="HZS3" s="95" t="n"/>
      <c r="HZT3" s="95" t="n"/>
      <c r="HZU3" s="95" t="n"/>
      <c r="HZV3" s="95" t="n"/>
      <c r="HZW3" s="95" t="n"/>
      <c r="HZX3" s="95" t="n"/>
      <c r="HZY3" s="95" t="n"/>
      <c r="HZZ3" s="95" t="n"/>
      <c r="IAA3" s="95" t="n"/>
      <c r="IAB3" s="95" t="n"/>
      <c r="IAC3" s="95" t="n"/>
      <c r="IAD3" s="95" t="n"/>
      <c r="IAE3" s="95" t="n"/>
      <c r="IAF3" s="95" t="n"/>
      <c r="IAG3" s="95" t="n"/>
      <c r="IAH3" s="95" t="n"/>
      <c r="IAI3" s="95" t="n"/>
      <c r="IAJ3" s="95" t="n"/>
      <c r="IAK3" s="95" t="n"/>
      <c r="IAL3" s="95" t="n"/>
      <c r="IAM3" s="95" t="n"/>
      <c r="IAN3" s="95" t="n"/>
      <c r="IAO3" s="95" t="n"/>
      <c r="IAP3" s="95" t="n"/>
      <c r="IAQ3" s="95" t="n"/>
      <c r="IAR3" s="95" t="n"/>
      <c r="IAS3" s="95" t="n"/>
      <c r="IAT3" s="95" t="n"/>
      <c r="IAU3" s="95" t="n"/>
      <c r="IAV3" s="95" t="n"/>
      <c r="IAW3" s="95" t="n"/>
      <c r="IAX3" s="95" t="n"/>
      <c r="IAY3" s="95" t="n"/>
      <c r="IAZ3" s="95" t="n"/>
      <c r="IBA3" s="95" t="n"/>
      <c r="IBB3" s="95" t="n"/>
      <c r="IBC3" s="95" t="n"/>
      <c r="IBD3" s="95" t="n"/>
      <c r="IBE3" s="95" t="n"/>
      <c r="IBF3" s="95" t="n"/>
      <c r="IBG3" s="95" t="n"/>
      <c r="IBH3" s="95" t="n"/>
      <c r="IBI3" s="95" t="n"/>
      <c r="IBJ3" s="95" t="n"/>
      <c r="IBK3" s="95" t="n"/>
      <c r="IBL3" s="95" t="n"/>
      <c r="IBM3" s="95" t="n"/>
      <c r="IBN3" s="95" t="n"/>
      <c r="IBO3" s="95" t="n"/>
      <c r="IBP3" s="95" t="n"/>
      <c r="IBQ3" s="95" t="n"/>
      <c r="IBR3" s="95" t="n"/>
      <c r="IBS3" s="95" t="n"/>
      <c r="IBT3" s="95" t="n"/>
      <c r="IBU3" s="95" t="n"/>
      <c r="IBV3" s="95" t="n"/>
      <c r="IBW3" s="95" t="n"/>
      <c r="IBX3" s="95" t="n"/>
      <c r="IBY3" s="95" t="n"/>
      <c r="IBZ3" s="95" t="n"/>
      <c r="ICA3" s="95" t="n"/>
      <c r="ICB3" s="95" t="n"/>
      <c r="ICC3" s="95" t="n"/>
      <c r="ICD3" s="95" t="n"/>
      <c r="ICE3" s="95" t="n"/>
      <c r="ICF3" s="95" t="n"/>
      <c r="ICG3" s="95" t="n"/>
      <c r="ICH3" s="95" t="n"/>
      <c r="ICI3" s="95" t="n"/>
      <c r="ICJ3" s="95" t="n"/>
      <c r="ICK3" s="95" t="n"/>
      <c r="ICL3" s="95" t="n"/>
      <c r="ICM3" s="95" t="n"/>
      <c r="ICN3" s="95" t="n"/>
      <c r="ICO3" s="95" t="n"/>
      <c r="ICP3" s="95" t="n"/>
      <c r="ICQ3" s="95" t="n"/>
      <c r="ICR3" s="95" t="n"/>
      <c r="ICS3" s="95" t="n"/>
      <c r="ICT3" s="95" t="n"/>
      <c r="ICU3" s="95" t="n"/>
      <c r="ICV3" s="95" t="n"/>
      <c r="ICW3" s="95" t="n"/>
      <c r="ICX3" s="95" t="n"/>
      <c r="ICY3" s="95" t="n"/>
      <c r="ICZ3" s="95" t="n"/>
      <c r="IDA3" s="95" t="n"/>
      <c r="IDB3" s="95" t="n"/>
      <c r="IDC3" s="95" t="n"/>
      <c r="IDD3" s="95" t="n"/>
      <c r="IDE3" s="95" t="n"/>
      <c r="IDF3" s="95" t="n"/>
      <c r="IDG3" s="95" t="n"/>
      <c r="IDH3" s="95" t="n"/>
      <c r="IDI3" s="95" t="n"/>
      <c r="IDJ3" s="95" t="n"/>
      <c r="IDK3" s="95" t="n"/>
      <c r="IDL3" s="95" t="n"/>
      <c r="IDM3" s="95" t="n"/>
      <c r="IDN3" s="95" t="n"/>
      <c r="IDO3" s="95" t="n"/>
      <c r="IDP3" s="95" t="n"/>
      <c r="IDQ3" s="95" t="n"/>
      <c r="IDR3" s="95" t="n"/>
      <c r="IDS3" s="95" t="n"/>
      <c r="IDT3" s="95" t="n"/>
      <c r="IDU3" s="95" t="n"/>
      <c r="IDV3" s="95" t="n"/>
      <c r="IDW3" s="95" t="n"/>
      <c r="IDX3" s="95" t="n"/>
      <c r="IDY3" s="95" t="n"/>
      <c r="IDZ3" s="95" t="n"/>
      <c r="IEA3" s="95" t="n"/>
      <c r="IEB3" s="95" t="n"/>
      <c r="IEC3" s="95" t="n"/>
      <c r="IED3" s="95" t="n"/>
      <c r="IEE3" s="95" t="n"/>
      <c r="IEF3" s="95" t="n"/>
      <c r="IEG3" s="95" t="n"/>
      <c r="IEH3" s="95" t="n"/>
      <c r="IEI3" s="95" t="n"/>
      <c r="IEJ3" s="95" t="n"/>
      <c r="IEK3" s="95" t="n"/>
      <c r="IEL3" s="95" t="n"/>
      <c r="IEM3" s="95" t="n"/>
      <c r="IEN3" s="95" t="n"/>
      <c r="IEO3" s="95" t="n"/>
      <c r="IEP3" s="95" t="n"/>
      <c r="IEQ3" s="95" t="n"/>
      <c r="IER3" s="95" t="n"/>
      <c r="IES3" s="95" t="n"/>
      <c r="IET3" s="95" t="n"/>
      <c r="IEU3" s="95" t="n"/>
      <c r="IEV3" s="95" t="n"/>
      <c r="IEW3" s="95" t="n"/>
      <c r="IEX3" s="95" t="n"/>
      <c r="IEY3" s="95" t="n"/>
      <c r="IEZ3" s="95" t="n"/>
      <c r="IFA3" s="95" t="n"/>
      <c r="IFB3" s="95" t="n"/>
      <c r="IFC3" s="95" t="n"/>
      <c r="IFD3" s="95" t="n"/>
      <c r="IFE3" s="95" t="n"/>
      <c r="IFF3" s="95" t="n"/>
      <c r="IFG3" s="95" t="n"/>
      <c r="IFH3" s="95" t="n"/>
      <c r="IFI3" s="95" t="n"/>
      <c r="IFJ3" s="95" t="n"/>
      <c r="IFK3" s="95" t="n"/>
      <c r="IFL3" s="95" t="n"/>
      <c r="IFM3" s="95" t="n"/>
      <c r="IFN3" s="95" t="n"/>
      <c r="IFO3" s="95" t="n"/>
      <c r="IFP3" s="95" t="n"/>
      <c r="IFQ3" s="95" t="n"/>
      <c r="IFR3" s="95" t="n"/>
      <c r="IFS3" s="95" t="n"/>
      <c r="IFT3" s="95" t="n"/>
      <c r="IFU3" s="95" t="n"/>
      <c r="IFV3" s="95" t="n"/>
      <c r="IFW3" s="95" t="n"/>
      <c r="IFX3" s="95" t="n"/>
      <c r="IFY3" s="95" t="n"/>
      <c r="IFZ3" s="95" t="n"/>
      <c r="IGA3" s="95" t="n"/>
      <c r="IGB3" s="95" t="n"/>
      <c r="IGC3" s="95" t="n"/>
      <c r="IGD3" s="95" t="n"/>
      <c r="IGE3" s="95" t="n"/>
      <c r="IGF3" s="95" t="n"/>
      <c r="IGG3" s="95" t="n"/>
      <c r="IGH3" s="95" t="n"/>
      <c r="IGI3" s="95" t="n"/>
      <c r="IGJ3" s="95" t="n"/>
      <c r="IGK3" s="95" t="n"/>
      <c r="IGL3" s="95" t="n"/>
      <c r="IGM3" s="95" t="n"/>
      <c r="IGN3" s="95" t="n"/>
      <c r="IGO3" s="95" t="n"/>
      <c r="IGP3" s="95" t="n"/>
      <c r="IGQ3" s="95" t="n"/>
      <c r="IGR3" s="95" t="n"/>
      <c r="IGS3" s="95" t="n"/>
      <c r="IGT3" s="95" t="n"/>
      <c r="IGU3" s="95" t="n"/>
      <c r="IGV3" s="95" t="n"/>
      <c r="IGW3" s="95" t="n"/>
      <c r="IGX3" s="95" t="n"/>
      <c r="IGY3" s="95" t="n"/>
      <c r="IGZ3" s="95" t="n"/>
      <c r="IHA3" s="95" t="n"/>
      <c r="IHB3" s="95" t="n"/>
      <c r="IHC3" s="95" t="n"/>
      <c r="IHD3" s="95" t="n"/>
      <c r="IHE3" s="95" t="n"/>
      <c r="IHF3" s="95" t="n"/>
      <c r="IHG3" s="95" t="n"/>
      <c r="IHH3" s="95" t="n"/>
      <c r="IHI3" s="95" t="n"/>
      <c r="IHJ3" s="95" t="n"/>
      <c r="IHK3" s="95" t="n"/>
      <c r="IHL3" s="95" t="n"/>
      <c r="IHM3" s="95" t="n"/>
      <c r="IHN3" s="95" t="n"/>
      <c r="IHO3" s="95" t="n"/>
      <c r="IHP3" s="95" t="n"/>
      <c r="IHQ3" s="95" t="n"/>
      <c r="IHR3" s="95" t="n"/>
      <c r="IHS3" s="95" t="n"/>
      <c r="IHT3" s="95" t="n"/>
      <c r="IHU3" s="95" t="n"/>
      <c r="IHV3" s="95" t="n"/>
      <c r="IHW3" s="95" t="n"/>
      <c r="IHX3" s="95" t="n"/>
      <c r="IHY3" s="95" t="n"/>
      <c r="IHZ3" s="95" t="n"/>
      <c r="IIA3" s="95" t="n"/>
      <c r="IIB3" s="95" t="n"/>
      <c r="IIC3" s="95" t="n"/>
      <c r="IID3" s="95" t="n"/>
      <c r="IIE3" s="95" t="n"/>
      <c r="IIF3" s="95" t="n"/>
      <c r="IIG3" s="95" t="n"/>
      <c r="IIH3" s="95" t="n"/>
      <c r="III3" s="95" t="n"/>
      <c r="IIJ3" s="95" t="n"/>
      <c r="IIK3" s="95" t="n"/>
      <c r="IIL3" s="95" t="n"/>
      <c r="IIM3" s="95" t="n"/>
      <c r="IIN3" s="95" t="n"/>
      <c r="IIO3" s="95" t="n"/>
      <c r="IIP3" s="95" t="n"/>
      <c r="IIQ3" s="95" t="n"/>
      <c r="IIR3" s="95" t="n"/>
      <c r="IIS3" s="95" t="n"/>
      <c r="IIT3" s="95" t="n"/>
      <c r="IIU3" s="95" t="n"/>
      <c r="IIV3" s="95" t="n"/>
      <c r="IIW3" s="95" t="n"/>
      <c r="IIX3" s="95" t="n"/>
      <c r="IIY3" s="95" t="n"/>
      <c r="IIZ3" s="95" t="n"/>
      <c r="IJA3" s="95" t="n"/>
      <c r="IJB3" s="95" t="n"/>
      <c r="IJC3" s="95" t="n"/>
      <c r="IJD3" s="95" t="n"/>
      <c r="IJE3" s="95" t="n"/>
      <c r="IJF3" s="95" t="n"/>
      <c r="IJG3" s="95" t="n"/>
      <c r="IJH3" s="95" t="n"/>
      <c r="IJI3" s="95" t="n"/>
      <c r="IJJ3" s="95" t="n"/>
      <c r="IJK3" s="95" t="n"/>
      <c r="IJL3" s="95" t="n"/>
      <c r="IJM3" s="95" t="n"/>
      <c r="IJN3" s="95" t="n"/>
      <c r="IJO3" s="95" t="n"/>
      <c r="IJP3" s="95" t="n"/>
      <c r="IJQ3" s="95" t="n"/>
      <c r="IJR3" s="95" t="n"/>
      <c r="IJS3" s="95" t="n"/>
      <c r="IJT3" s="95" t="n"/>
      <c r="IJU3" s="95" t="n"/>
      <c r="IJV3" s="95" t="n"/>
      <c r="IJW3" s="95" t="n"/>
      <c r="IJX3" s="95" t="n"/>
      <c r="IJY3" s="95" t="n"/>
      <c r="IJZ3" s="95" t="n"/>
      <c r="IKA3" s="95" t="n"/>
      <c r="IKB3" s="95" t="n"/>
      <c r="IKC3" s="95" t="n"/>
      <c r="IKD3" s="95" t="n"/>
      <c r="IKE3" s="95" t="n"/>
      <c r="IKF3" s="95" t="n"/>
      <c r="IKG3" s="95" t="n"/>
      <c r="IKH3" s="95" t="n"/>
      <c r="IKI3" s="95" t="n"/>
      <c r="IKJ3" s="95" t="n"/>
      <c r="IKK3" s="95" t="n"/>
      <c r="IKL3" s="95" t="n"/>
      <c r="IKM3" s="95" t="n"/>
      <c r="IKN3" s="95" t="n"/>
      <c r="IKO3" s="95" t="n"/>
      <c r="IKP3" s="95" t="n"/>
      <c r="IKQ3" s="95" t="n"/>
      <c r="IKR3" s="95" t="n"/>
      <c r="IKS3" s="95" t="n"/>
      <c r="IKT3" s="95" t="n"/>
      <c r="IKU3" s="95" t="n"/>
      <c r="IKV3" s="95" t="n"/>
      <c r="IKW3" s="95" t="n"/>
      <c r="IKX3" s="95" t="n"/>
      <c r="IKY3" s="95" t="n"/>
      <c r="IKZ3" s="95" t="n"/>
      <c r="ILA3" s="95" t="n"/>
      <c r="ILB3" s="95" t="n"/>
      <c r="ILC3" s="95" t="n"/>
      <c r="ILD3" s="95" t="n"/>
      <c r="ILE3" s="95" t="n"/>
      <c r="ILF3" s="95" t="n"/>
      <c r="ILG3" s="95" t="n"/>
      <c r="ILH3" s="95" t="n"/>
      <c r="ILI3" s="95" t="n"/>
      <c r="ILJ3" s="95" t="n"/>
      <c r="ILK3" s="95" t="n"/>
      <c r="ILL3" s="95" t="n"/>
      <c r="ILM3" s="95" t="n"/>
      <c r="ILN3" s="95" t="n"/>
      <c r="ILO3" s="95" t="n"/>
      <c r="ILP3" s="95" t="n"/>
      <c r="ILQ3" s="95" t="n"/>
      <c r="ILR3" s="95" t="n"/>
      <c r="ILS3" s="95" t="n"/>
      <c r="ILT3" s="95" t="n"/>
      <c r="ILU3" s="95" t="n"/>
      <c r="ILV3" s="95" t="n"/>
      <c r="ILW3" s="95" t="n"/>
      <c r="ILX3" s="95" t="n"/>
      <c r="ILY3" s="95" t="n"/>
      <c r="ILZ3" s="95" t="n"/>
      <c r="IMA3" s="95" t="n"/>
      <c r="IMB3" s="95" t="n"/>
      <c r="IMC3" s="95" t="n"/>
      <c r="IMD3" s="95" t="n"/>
      <c r="IME3" s="95" t="n"/>
      <c r="IMF3" s="95" t="n"/>
      <c r="IMG3" s="95" t="n"/>
      <c r="IMH3" s="95" t="n"/>
      <c r="IMI3" s="95" t="n"/>
      <c r="IMJ3" s="95" t="n"/>
      <c r="IMK3" s="95" t="n"/>
      <c r="IML3" s="95" t="n"/>
      <c r="IMM3" s="95" t="n"/>
      <c r="IMN3" s="95" t="n"/>
      <c r="IMO3" s="95" t="n"/>
      <c r="IMP3" s="95" t="n"/>
      <c r="IMQ3" s="95" t="n"/>
      <c r="IMR3" s="95" t="n"/>
      <c r="IMS3" s="95" t="n"/>
      <c r="IMT3" s="95" t="n"/>
      <c r="IMU3" s="95" t="n"/>
      <c r="IMV3" s="95" t="n"/>
      <c r="IMW3" s="95" t="n"/>
      <c r="IMX3" s="95" t="n"/>
      <c r="IMY3" s="95" t="n"/>
      <c r="IMZ3" s="95" t="n"/>
      <c r="INA3" s="95" t="n"/>
      <c r="INB3" s="95" t="n"/>
      <c r="INC3" s="95" t="n"/>
      <c r="IND3" s="95" t="n"/>
      <c r="INE3" s="95" t="n"/>
      <c r="INF3" s="95" t="n"/>
      <c r="ING3" s="95" t="n"/>
      <c r="INH3" s="95" t="n"/>
      <c r="INI3" s="95" t="n"/>
      <c r="INJ3" s="95" t="n"/>
      <c r="INK3" s="95" t="n"/>
      <c r="INL3" s="95" t="n"/>
      <c r="INM3" s="95" t="n"/>
      <c r="INN3" s="95" t="n"/>
      <c r="INO3" s="95" t="n"/>
      <c r="INP3" s="95" t="n"/>
      <c r="INQ3" s="95" t="n"/>
      <c r="INR3" s="95" t="n"/>
      <c r="INS3" s="95" t="n"/>
      <c r="INT3" s="95" t="n"/>
      <c r="INU3" s="95" t="n"/>
      <c r="INV3" s="95" t="n"/>
      <c r="INW3" s="95" t="n"/>
      <c r="INX3" s="95" t="n"/>
      <c r="INY3" s="95" t="n"/>
      <c r="INZ3" s="95" t="n"/>
      <c r="IOA3" s="95" t="n"/>
      <c r="IOB3" s="95" t="n"/>
      <c r="IOC3" s="95" t="n"/>
      <c r="IOD3" s="95" t="n"/>
      <c r="IOE3" s="95" t="n"/>
      <c r="IOF3" s="95" t="n"/>
      <c r="IOG3" s="95" t="n"/>
      <c r="IOH3" s="95" t="n"/>
      <c r="IOI3" s="95" t="n"/>
      <c r="IOJ3" s="95" t="n"/>
      <c r="IOK3" s="95" t="n"/>
      <c r="IOL3" s="95" t="n"/>
      <c r="IOM3" s="95" t="n"/>
      <c r="ION3" s="95" t="n"/>
      <c r="IOO3" s="95" t="n"/>
      <c r="IOP3" s="95" t="n"/>
      <c r="IOQ3" s="95" t="n"/>
      <c r="IOR3" s="95" t="n"/>
      <c r="IOS3" s="95" t="n"/>
      <c r="IOT3" s="95" t="n"/>
      <c r="IOU3" s="95" t="n"/>
      <c r="IOV3" s="95" t="n"/>
      <c r="IOW3" s="95" t="n"/>
      <c r="IOX3" s="95" t="n"/>
      <c r="IOY3" s="95" t="n"/>
      <c r="IOZ3" s="95" t="n"/>
      <c r="IPA3" s="95" t="n"/>
      <c r="IPB3" s="95" t="n"/>
      <c r="IPC3" s="95" t="n"/>
      <c r="IPD3" s="95" t="n"/>
      <c r="IPE3" s="95" t="n"/>
      <c r="IPF3" s="95" t="n"/>
      <c r="IPG3" s="95" t="n"/>
      <c r="IPH3" s="95" t="n"/>
      <c r="IPI3" s="95" t="n"/>
      <c r="IPJ3" s="95" t="n"/>
      <c r="IPK3" s="95" t="n"/>
      <c r="IPL3" s="95" t="n"/>
      <c r="IPM3" s="95" t="n"/>
      <c r="IPN3" s="95" t="n"/>
      <c r="IPO3" s="95" t="n"/>
      <c r="IPP3" s="95" t="n"/>
      <c r="IPQ3" s="95" t="n"/>
      <c r="IPR3" s="95" t="n"/>
      <c r="IPS3" s="95" t="n"/>
      <c r="IPT3" s="95" t="n"/>
      <c r="IPU3" s="95" t="n"/>
      <c r="IPV3" s="95" t="n"/>
      <c r="IPW3" s="95" t="n"/>
      <c r="IPX3" s="95" t="n"/>
      <c r="IPY3" s="95" t="n"/>
      <c r="IPZ3" s="95" t="n"/>
      <c r="IQA3" s="95" t="n"/>
      <c r="IQB3" s="95" t="n"/>
      <c r="IQC3" s="95" t="n"/>
      <c r="IQD3" s="95" t="n"/>
      <c r="IQE3" s="95" t="n"/>
      <c r="IQF3" s="95" t="n"/>
      <c r="IQG3" s="95" t="n"/>
      <c r="IQH3" s="95" t="n"/>
      <c r="IQI3" s="95" t="n"/>
      <c r="IQJ3" s="95" t="n"/>
      <c r="IQK3" s="95" t="n"/>
      <c r="IQL3" s="95" t="n"/>
      <c r="IQM3" s="95" t="n"/>
      <c r="IQN3" s="95" t="n"/>
      <c r="IQO3" s="95" t="n"/>
      <c r="IQP3" s="95" t="n"/>
      <c r="IQQ3" s="95" t="n"/>
      <c r="IQR3" s="95" t="n"/>
      <c r="IQS3" s="95" t="n"/>
      <c r="IQT3" s="95" t="n"/>
      <c r="IQU3" s="95" t="n"/>
      <c r="IQV3" s="95" t="n"/>
      <c r="IQW3" s="95" t="n"/>
      <c r="IQX3" s="95" t="n"/>
      <c r="IQY3" s="95" t="n"/>
      <c r="IQZ3" s="95" t="n"/>
      <c r="IRA3" s="95" t="n"/>
      <c r="IRB3" s="95" t="n"/>
      <c r="IRC3" s="95" t="n"/>
      <c r="IRD3" s="95" t="n"/>
      <c r="IRE3" s="95" t="n"/>
      <c r="IRF3" s="95" t="n"/>
      <c r="IRG3" s="95" t="n"/>
      <c r="IRH3" s="95" t="n"/>
      <c r="IRI3" s="95" t="n"/>
      <c r="IRJ3" s="95" t="n"/>
      <c r="IRK3" s="95" t="n"/>
      <c r="IRL3" s="95" t="n"/>
      <c r="IRM3" s="95" t="n"/>
      <c r="IRN3" s="95" t="n"/>
      <c r="IRO3" s="95" t="n"/>
      <c r="IRP3" s="95" t="n"/>
      <c r="IRQ3" s="95" t="n"/>
      <c r="IRR3" s="95" t="n"/>
      <c r="IRS3" s="95" t="n"/>
      <c r="IRT3" s="95" t="n"/>
      <c r="IRU3" s="95" t="n"/>
      <c r="IRV3" s="95" t="n"/>
      <c r="IRW3" s="95" t="n"/>
      <c r="IRX3" s="95" t="n"/>
      <c r="IRY3" s="95" t="n"/>
      <c r="IRZ3" s="95" t="n"/>
      <c r="ISA3" s="95" t="n"/>
      <c r="ISB3" s="95" t="n"/>
      <c r="ISC3" s="95" t="n"/>
      <c r="ISD3" s="95" t="n"/>
      <c r="ISE3" s="95" t="n"/>
      <c r="ISF3" s="95" t="n"/>
      <c r="ISG3" s="95" t="n"/>
      <c r="ISH3" s="95" t="n"/>
      <c r="ISI3" s="95" t="n"/>
      <c r="ISJ3" s="95" t="n"/>
      <c r="ISK3" s="95" t="n"/>
      <c r="ISL3" s="95" t="n"/>
      <c r="ISM3" s="95" t="n"/>
      <c r="ISN3" s="95" t="n"/>
      <c r="ISO3" s="95" t="n"/>
      <c r="ISP3" s="95" t="n"/>
      <c r="ISQ3" s="95" t="n"/>
      <c r="ISR3" s="95" t="n"/>
      <c r="ISS3" s="95" t="n"/>
      <c r="IST3" s="95" t="n"/>
      <c r="ISU3" s="95" t="n"/>
      <c r="ISV3" s="95" t="n"/>
      <c r="ISW3" s="95" t="n"/>
      <c r="ISX3" s="95" t="n"/>
      <c r="ISY3" s="95" t="n"/>
      <c r="ISZ3" s="95" t="n"/>
      <c r="ITA3" s="95" t="n"/>
      <c r="ITB3" s="95" t="n"/>
      <c r="ITC3" s="95" t="n"/>
      <c r="ITD3" s="95" t="n"/>
      <c r="ITE3" s="95" t="n"/>
      <c r="ITF3" s="95" t="n"/>
      <c r="ITG3" s="95" t="n"/>
      <c r="ITH3" s="95" t="n"/>
      <c r="ITI3" s="95" t="n"/>
      <c r="ITJ3" s="95" t="n"/>
      <c r="ITK3" s="95" t="n"/>
      <c r="ITL3" s="95" t="n"/>
      <c r="ITM3" s="95" t="n"/>
      <c r="ITN3" s="95" t="n"/>
      <c r="ITO3" s="95" t="n"/>
      <c r="ITP3" s="95" t="n"/>
      <c r="ITQ3" s="95" t="n"/>
      <c r="ITR3" s="95" t="n"/>
      <c r="ITS3" s="95" t="n"/>
      <c r="ITT3" s="95" t="n"/>
      <c r="ITU3" s="95" t="n"/>
      <c r="ITV3" s="95" t="n"/>
      <c r="ITW3" s="95" t="n"/>
      <c r="ITX3" s="95" t="n"/>
      <c r="ITY3" s="95" t="n"/>
      <c r="ITZ3" s="95" t="n"/>
      <c r="IUA3" s="95" t="n"/>
      <c r="IUB3" s="95" t="n"/>
      <c r="IUC3" s="95" t="n"/>
      <c r="IUD3" s="95" t="n"/>
      <c r="IUE3" s="95" t="n"/>
      <c r="IUF3" s="95" t="n"/>
      <c r="IUG3" s="95" t="n"/>
      <c r="IUH3" s="95" t="n"/>
      <c r="IUI3" s="95" t="n"/>
      <c r="IUJ3" s="95" t="n"/>
      <c r="IUK3" s="95" t="n"/>
      <c r="IUL3" s="95" t="n"/>
      <c r="IUM3" s="95" t="n"/>
      <c r="IUN3" s="95" t="n"/>
      <c r="IUO3" s="95" t="n"/>
      <c r="IUP3" s="95" t="n"/>
      <c r="IUQ3" s="95" t="n"/>
      <c r="IUR3" s="95" t="n"/>
      <c r="IUS3" s="95" t="n"/>
      <c r="IUT3" s="95" t="n"/>
      <c r="IUU3" s="95" t="n"/>
      <c r="IUV3" s="95" t="n"/>
      <c r="IUW3" s="95" t="n"/>
      <c r="IUX3" s="95" t="n"/>
      <c r="IUY3" s="95" t="n"/>
      <c r="IUZ3" s="95" t="n"/>
      <c r="IVA3" s="95" t="n"/>
      <c r="IVB3" s="95" t="n"/>
      <c r="IVC3" s="95" t="n"/>
      <c r="IVD3" s="95" t="n"/>
      <c r="IVE3" s="95" t="n"/>
      <c r="IVF3" s="95" t="n"/>
      <c r="IVG3" s="95" t="n"/>
      <c r="IVH3" s="95" t="n"/>
      <c r="IVI3" s="95" t="n"/>
      <c r="IVJ3" s="95" t="n"/>
      <c r="IVK3" s="95" t="n"/>
      <c r="IVL3" s="95" t="n"/>
      <c r="IVM3" s="95" t="n"/>
      <c r="IVN3" s="95" t="n"/>
      <c r="IVO3" s="95" t="n"/>
      <c r="IVP3" s="95" t="n"/>
      <c r="IVQ3" s="95" t="n"/>
      <c r="IVR3" s="95" t="n"/>
      <c r="IVS3" s="95" t="n"/>
      <c r="IVT3" s="95" t="n"/>
      <c r="IVU3" s="95" t="n"/>
      <c r="IVV3" s="95" t="n"/>
      <c r="IVW3" s="95" t="n"/>
      <c r="IVX3" s="95" t="n"/>
      <c r="IVY3" s="95" t="n"/>
      <c r="IVZ3" s="95" t="n"/>
      <c r="IWA3" s="95" t="n"/>
      <c r="IWB3" s="95" t="n"/>
      <c r="IWC3" s="95" t="n"/>
      <c r="IWD3" s="95" t="n"/>
      <c r="IWE3" s="95" t="n"/>
      <c r="IWF3" s="95" t="n"/>
      <c r="IWG3" s="95" t="n"/>
      <c r="IWH3" s="95" t="n"/>
      <c r="IWI3" s="95" t="n"/>
      <c r="IWJ3" s="95" t="n"/>
      <c r="IWK3" s="95" t="n"/>
      <c r="IWL3" s="95" t="n"/>
      <c r="IWM3" s="95" t="n"/>
      <c r="IWN3" s="95" t="n"/>
      <c r="IWO3" s="95" t="n"/>
      <c r="IWP3" s="95" t="n"/>
      <c r="IWQ3" s="95" t="n"/>
      <c r="IWR3" s="95" t="n"/>
      <c r="IWS3" s="95" t="n"/>
      <c r="IWT3" s="95" t="n"/>
      <c r="IWU3" s="95" t="n"/>
      <c r="IWV3" s="95" t="n"/>
      <c r="IWW3" s="95" t="n"/>
      <c r="IWX3" s="95" t="n"/>
      <c r="IWY3" s="95" t="n"/>
      <c r="IWZ3" s="95" t="n"/>
      <c r="IXA3" s="95" t="n"/>
      <c r="IXB3" s="95" t="n"/>
      <c r="IXC3" s="95" t="n"/>
      <c r="IXD3" s="95" t="n"/>
      <c r="IXE3" s="95" t="n"/>
      <c r="IXF3" s="95" t="n"/>
      <c r="IXG3" s="95" t="n"/>
      <c r="IXH3" s="95" t="n"/>
      <c r="IXI3" s="95" t="n"/>
      <c r="IXJ3" s="95" t="n"/>
      <c r="IXK3" s="95" t="n"/>
      <c r="IXL3" s="95" t="n"/>
      <c r="IXM3" s="95" t="n"/>
      <c r="IXN3" s="95" t="n"/>
      <c r="IXO3" s="95" t="n"/>
      <c r="IXP3" s="95" t="n"/>
      <c r="IXQ3" s="95" t="n"/>
      <c r="IXR3" s="95" t="n"/>
      <c r="IXS3" s="95" t="n"/>
      <c r="IXT3" s="95" t="n"/>
      <c r="IXU3" s="95" t="n"/>
      <c r="IXV3" s="95" t="n"/>
      <c r="IXW3" s="95" t="n"/>
      <c r="IXX3" s="95" t="n"/>
      <c r="IXY3" s="95" t="n"/>
      <c r="IXZ3" s="95" t="n"/>
      <c r="IYA3" s="95" t="n"/>
      <c r="IYB3" s="95" t="n"/>
      <c r="IYC3" s="95" t="n"/>
      <c r="IYD3" s="95" t="n"/>
      <c r="IYE3" s="95" t="n"/>
      <c r="IYF3" s="95" t="n"/>
      <c r="IYG3" s="95" t="n"/>
      <c r="IYH3" s="95" t="n"/>
      <c r="IYI3" s="95" t="n"/>
      <c r="IYJ3" s="95" t="n"/>
      <c r="IYK3" s="95" t="n"/>
      <c r="IYL3" s="95" t="n"/>
      <c r="IYM3" s="95" t="n"/>
      <c r="IYN3" s="95" t="n"/>
      <c r="IYO3" s="95" t="n"/>
      <c r="IYP3" s="95" t="n"/>
      <c r="IYQ3" s="95" t="n"/>
      <c r="IYR3" s="95" t="n"/>
      <c r="IYS3" s="95" t="n"/>
      <c r="IYT3" s="95" t="n"/>
      <c r="IYU3" s="95" t="n"/>
      <c r="IYV3" s="95" t="n"/>
      <c r="IYW3" s="95" t="n"/>
      <c r="IYX3" s="95" t="n"/>
      <c r="IYY3" s="95" t="n"/>
      <c r="IYZ3" s="95" t="n"/>
      <c r="IZA3" s="95" t="n"/>
      <c r="IZB3" s="95" t="n"/>
      <c r="IZC3" s="95" t="n"/>
      <c r="IZD3" s="95" t="n"/>
      <c r="IZE3" s="95" t="n"/>
      <c r="IZF3" s="95" t="n"/>
      <c r="IZG3" s="95" t="n"/>
      <c r="IZH3" s="95" t="n"/>
      <c r="IZI3" s="95" t="n"/>
      <c r="IZJ3" s="95" t="n"/>
      <c r="IZK3" s="95" t="n"/>
      <c r="IZL3" s="95" t="n"/>
      <c r="IZM3" s="95" t="n"/>
      <c r="IZN3" s="95" t="n"/>
      <c r="IZO3" s="95" t="n"/>
      <c r="IZP3" s="95" t="n"/>
      <c r="IZQ3" s="95" t="n"/>
      <c r="IZR3" s="95" t="n"/>
      <c r="IZS3" s="95" t="n"/>
      <c r="IZT3" s="95" t="n"/>
      <c r="IZU3" s="95" t="n"/>
      <c r="IZV3" s="95" t="n"/>
      <c r="IZW3" s="95" t="n"/>
      <c r="IZX3" s="95" t="n"/>
      <c r="IZY3" s="95" t="n"/>
      <c r="IZZ3" s="95" t="n"/>
      <c r="JAA3" s="95" t="n"/>
      <c r="JAB3" s="95" t="n"/>
      <c r="JAC3" s="95" t="n"/>
      <c r="JAD3" s="95" t="n"/>
      <c r="JAE3" s="95" t="n"/>
      <c r="JAF3" s="95" t="n"/>
      <c r="JAG3" s="95" t="n"/>
      <c r="JAH3" s="95" t="n"/>
      <c r="JAI3" s="95" t="n"/>
      <c r="JAJ3" s="95" t="n"/>
      <c r="JAK3" s="95" t="n"/>
      <c r="JAL3" s="95" t="n"/>
      <c r="JAM3" s="95" t="n"/>
      <c r="JAN3" s="95" t="n"/>
      <c r="JAO3" s="95" t="n"/>
      <c r="JAP3" s="95" t="n"/>
      <c r="JAQ3" s="95" t="n"/>
      <c r="JAR3" s="95" t="n"/>
      <c r="JAS3" s="95" t="n"/>
      <c r="JAT3" s="95" t="n"/>
      <c r="JAU3" s="95" t="n"/>
      <c r="JAV3" s="95" t="n"/>
      <c r="JAW3" s="95" t="n"/>
      <c r="JAX3" s="95" t="n"/>
      <c r="JAY3" s="95" t="n"/>
      <c r="JAZ3" s="95" t="n"/>
      <c r="JBA3" s="95" t="n"/>
      <c r="JBB3" s="95" t="n"/>
      <c r="JBC3" s="95" t="n"/>
      <c r="JBD3" s="95" t="n"/>
      <c r="JBE3" s="95" t="n"/>
      <c r="JBF3" s="95" t="n"/>
      <c r="JBG3" s="95" t="n"/>
      <c r="JBH3" s="95" t="n"/>
      <c r="JBI3" s="95" t="n"/>
      <c r="JBJ3" s="95" t="n"/>
      <c r="JBK3" s="95" t="n"/>
      <c r="JBL3" s="95" t="n"/>
      <c r="JBM3" s="95" t="n"/>
      <c r="JBN3" s="95" t="n"/>
      <c r="JBO3" s="95" t="n"/>
      <c r="JBP3" s="95" t="n"/>
      <c r="JBQ3" s="95" t="n"/>
      <c r="JBR3" s="95" t="n"/>
      <c r="JBS3" s="95" t="n"/>
      <c r="JBT3" s="95" t="n"/>
      <c r="JBU3" s="95" t="n"/>
      <c r="JBV3" s="95" t="n"/>
      <c r="JBW3" s="95" t="n"/>
      <c r="JBX3" s="95" t="n"/>
      <c r="JBY3" s="95" t="n"/>
      <c r="JBZ3" s="95" t="n"/>
      <c r="JCA3" s="95" t="n"/>
      <c r="JCB3" s="95" t="n"/>
      <c r="JCC3" s="95" t="n"/>
      <c r="JCD3" s="95" t="n"/>
      <c r="JCE3" s="95" t="n"/>
      <c r="JCF3" s="95" t="n"/>
      <c r="JCG3" s="95" t="n"/>
      <c r="JCH3" s="95" t="n"/>
      <c r="JCI3" s="95" t="n"/>
      <c r="JCJ3" s="95" t="n"/>
      <c r="JCK3" s="95" t="n"/>
      <c r="JCL3" s="95" t="n"/>
      <c r="JCM3" s="95" t="n"/>
      <c r="JCN3" s="95" t="n"/>
      <c r="JCO3" s="95" t="n"/>
      <c r="JCP3" s="95" t="n"/>
      <c r="JCQ3" s="95" t="n"/>
      <c r="JCR3" s="95" t="n"/>
      <c r="JCS3" s="95" t="n"/>
      <c r="JCT3" s="95" t="n"/>
      <c r="JCU3" s="95" t="n"/>
      <c r="JCV3" s="95" t="n"/>
      <c r="JCW3" s="95" t="n"/>
      <c r="JCX3" s="95" t="n"/>
      <c r="JCY3" s="95" t="n"/>
      <c r="JCZ3" s="95" t="n"/>
      <c r="JDA3" s="95" t="n"/>
      <c r="JDB3" s="95" t="n"/>
      <c r="JDC3" s="95" t="n"/>
      <c r="JDD3" s="95" t="n"/>
      <c r="JDE3" s="95" t="n"/>
      <c r="JDF3" s="95" t="n"/>
      <c r="JDG3" s="95" t="n"/>
      <c r="JDH3" s="95" t="n"/>
      <c r="JDI3" s="95" t="n"/>
      <c r="JDJ3" s="95" t="n"/>
      <c r="JDK3" s="95" t="n"/>
      <c r="JDL3" s="95" t="n"/>
      <c r="JDM3" s="95" t="n"/>
      <c r="JDN3" s="95" t="n"/>
      <c r="JDO3" s="95" t="n"/>
      <c r="JDP3" s="95" t="n"/>
      <c r="JDQ3" s="95" t="n"/>
      <c r="JDR3" s="95" t="n"/>
      <c r="JDS3" s="95" t="n"/>
      <c r="JDT3" s="95" t="n"/>
      <c r="JDU3" s="95" t="n"/>
      <c r="JDV3" s="95" t="n"/>
      <c r="JDW3" s="95" t="n"/>
      <c r="JDX3" s="95" t="n"/>
      <c r="JDY3" s="95" t="n"/>
      <c r="JDZ3" s="95" t="n"/>
      <c r="JEA3" s="95" t="n"/>
      <c r="JEB3" s="95" t="n"/>
      <c r="JEC3" s="95" t="n"/>
      <c r="JED3" s="95" t="n"/>
      <c r="JEE3" s="95" t="n"/>
      <c r="JEF3" s="95" t="n"/>
      <c r="JEG3" s="95" t="n"/>
      <c r="JEH3" s="95" t="n"/>
      <c r="JEI3" s="95" t="n"/>
      <c r="JEJ3" s="95" t="n"/>
      <c r="JEK3" s="95" t="n"/>
      <c r="JEL3" s="95" t="n"/>
      <c r="JEM3" s="95" t="n"/>
      <c r="JEN3" s="95" t="n"/>
      <c r="JEO3" s="95" t="n"/>
      <c r="JEP3" s="95" t="n"/>
      <c r="JEQ3" s="95" t="n"/>
      <c r="JER3" s="95" t="n"/>
      <c r="JES3" s="95" t="n"/>
      <c r="JET3" s="95" t="n"/>
      <c r="JEU3" s="95" t="n"/>
      <c r="JEV3" s="95" t="n"/>
      <c r="JEW3" s="95" t="n"/>
      <c r="JEX3" s="95" t="n"/>
      <c r="JEY3" s="95" t="n"/>
      <c r="JEZ3" s="95" t="n"/>
      <c r="JFA3" s="95" t="n"/>
      <c r="JFB3" s="95" t="n"/>
      <c r="JFC3" s="95" t="n"/>
      <c r="JFD3" s="95" t="n"/>
      <c r="JFE3" s="95" t="n"/>
      <c r="JFF3" s="95" t="n"/>
      <c r="JFG3" s="95" t="n"/>
      <c r="JFH3" s="95" t="n"/>
      <c r="JFI3" s="95" t="n"/>
      <c r="JFJ3" s="95" t="n"/>
      <c r="JFK3" s="95" t="n"/>
      <c r="JFL3" s="95" t="n"/>
      <c r="JFM3" s="95" t="n"/>
      <c r="JFN3" s="95" t="n"/>
      <c r="JFO3" s="95" t="n"/>
      <c r="JFP3" s="95" t="n"/>
      <c r="JFQ3" s="95" t="n"/>
      <c r="JFR3" s="95" t="n"/>
      <c r="JFS3" s="95" t="n"/>
      <c r="JFT3" s="95" t="n"/>
      <c r="JFU3" s="95" t="n"/>
      <c r="JFV3" s="95" t="n"/>
      <c r="JFW3" s="95" t="n"/>
      <c r="JFX3" s="95" t="n"/>
      <c r="JFY3" s="95" t="n"/>
      <c r="JFZ3" s="95" t="n"/>
      <c r="JGA3" s="95" t="n"/>
      <c r="JGB3" s="95" t="n"/>
      <c r="JGC3" s="95" t="n"/>
      <c r="JGD3" s="95" t="n"/>
      <c r="JGE3" s="95" t="n"/>
      <c r="JGF3" s="95" t="n"/>
      <c r="JGG3" s="95" t="n"/>
      <c r="JGH3" s="95" t="n"/>
      <c r="JGI3" s="95" t="n"/>
      <c r="JGJ3" s="95" t="n"/>
      <c r="JGK3" s="95" t="n"/>
      <c r="JGL3" s="95" t="n"/>
      <c r="JGM3" s="95" t="n"/>
      <c r="JGN3" s="95" t="n"/>
      <c r="JGO3" s="95" t="n"/>
      <c r="JGP3" s="95" t="n"/>
      <c r="JGQ3" s="95" t="n"/>
      <c r="JGR3" s="95" t="n"/>
      <c r="JGS3" s="95" t="n"/>
      <c r="JGT3" s="95" t="n"/>
      <c r="JGU3" s="95" t="n"/>
      <c r="JGV3" s="95" t="n"/>
      <c r="JGW3" s="95" t="n"/>
      <c r="JGX3" s="95" t="n"/>
      <c r="JGY3" s="95" t="n"/>
      <c r="JGZ3" s="95" t="n"/>
      <c r="JHA3" s="95" t="n"/>
      <c r="JHB3" s="95" t="n"/>
      <c r="JHC3" s="95" t="n"/>
      <c r="JHD3" s="95" t="n"/>
      <c r="JHE3" s="95" t="n"/>
      <c r="JHF3" s="95" t="n"/>
      <c r="JHG3" s="95" t="n"/>
      <c r="JHH3" s="95" t="n"/>
      <c r="JHI3" s="95" t="n"/>
      <c r="JHJ3" s="95" t="n"/>
      <c r="JHK3" s="95" t="n"/>
      <c r="JHL3" s="95" t="n"/>
      <c r="JHM3" s="95" t="n"/>
      <c r="JHN3" s="95" t="n"/>
      <c r="JHO3" s="95" t="n"/>
      <c r="JHP3" s="95" t="n"/>
      <c r="JHQ3" s="95" t="n"/>
      <c r="JHR3" s="95" t="n"/>
      <c r="JHS3" s="95" t="n"/>
      <c r="JHT3" s="95" t="n"/>
      <c r="JHU3" s="95" t="n"/>
      <c r="JHV3" s="95" t="n"/>
      <c r="JHW3" s="95" t="n"/>
      <c r="JHX3" s="95" t="n"/>
      <c r="JHY3" s="95" t="n"/>
      <c r="JHZ3" s="95" t="n"/>
      <c r="JIA3" s="95" t="n"/>
      <c r="JIB3" s="95" t="n"/>
      <c r="JIC3" s="95" t="n"/>
      <c r="JID3" s="95" t="n"/>
      <c r="JIE3" s="95" t="n"/>
      <c r="JIF3" s="95" t="n"/>
      <c r="JIG3" s="95" t="n"/>
      <c r="JIH3" s="95" t="n"/>
      <c r="JII3" s="95" t="n"/>
      <c r="JIJ3" s="95" t="n"/>
      <c r="JIK3" s="95" t="n"/>
      <c r="JIL3" s="95" t="n"/>
      <c r="JIM3" s="95" t="n"/>
      <c r="JIN3" s="95" t="n"/>
      <c r="JIO3" s="95" t="n"/>
      <c r="JIP3" s="95" t="n"/>
      <c r="JIQ3" s="95" t="n"/>
      <c r="JIR3" s="95" t="n"/>
      <c r="JIS3" s="95" t="n"/>
      <c r="JIT3" s="95" t="n"/>
      <c r="JIU3" s="95" t="n"/>
      <c r="JIV3" s="95" t="n"/>
      <c r="JIW3" s="95" t="n"/>
      <c r="JIX3" s="95" t="n"/>
      <c r="JIY3" s="95" t="n"/>
      <c r="JIZ3" s="95" t="n"/>
      <c r="JJA3" s="95" t="n"/>
      <c r="JJB3" s="95" t="n"/>
      <c r="JJC3" s="95" t="n"/>
      <c r="JJD3" s="95" t="n"/>
      <c r="JJE3" s="95" t="n"/>
      <c r="JJF3" s="95" t="n"/>
      <c r="JJG3" s="95" t="n"/>
      <c r="JJH3" s="95" t="n"/>
      <c r="JJI3" s="95" t="n"/>
      <c r="JJJ3" s="95" t="n"/>
      <c r="JJK3" s="95" t="n"/>
      <c r="JJL3" s="95" t="n"/>
      <c r="JJM3" s="95" t="n"/>
      <c r="JJN3" s="95" t="n"/>
      <c r="JJO3" s="95" t="n"/>
      <c r="JJP3" s="95" t="n"/>
      <c r="JJQ3" s="95" t="n"/>
      <c r="JJR3" s="95" t="n"/>
      <c r="JJS3" s="95" t="n"/>
      <c r="JJT3" s="95" t="n"/>
      <c r="JJU3" s="95" t="n"/>
      <c r="JJV3" s="95" t="n"/>
      <c r="JJW3" s="95" t="n"/>
      <c r="JJX3" s="95" t="n"/>
      <c r="JJY3" s="95" t="n"/>
      <c r="JJZ3" s="95" t="n"/>
      <c r="JKA3" s="95" t="n"/>
      <c r="JKB3" s="95" t="n"/>
      <c r="JKC3" s="95" t="n"/>
      <c r="JKD3" s="95" t="n"/>
      <c r="JKE3" s="95" t="n"/>
      <c r="JKF3" s="95" t="n"/>
      <c r="JKG3" s="95" t="n"/>
      <c r="JKH3" s="95" t="n"/>
      <c r="JKI3" s="95" t="n"/>
      <c r="JKJ3" s="95" t="n"/>
      <c r="JKK3" s="95" t="n"/>
      <c r="JKL3" s="95" t="n"/>
      <c r="JKM3" s="95" t="n"/>
      <c r="JKN3" s="95" t="n"/>
      <c r="JKO3" s="95" t="n"/>
      <c r="JKP3" s="95" t="n"/>
      <c r="JKQ3" s="95" t="n"/>
      <c r="JKR3" s="95" t="n"/>
      <c r="JKS3" s="95" t="n"/>
      <c r="JKT3" s="95" t="n"/>
      <c r="JKU3" s="95" t="n"/>
      <c r="JKV3" s="95" t="n"/>
      <c r="JKW3" s="95" t="n"/>
      <c r="JKX3" s="95" t="n"/>
      <c r="JKY3" s="95" t="n"/>
      <c r="JKZ3" s="95" t="n"/>
      <c r="JLA3" s="95" t="n"/>
      <c r="JLB3" s="95" t="n"/>
      <c r="JLC3" s="95" t="n"/>
      <c r="JLD3" s="95" t="n"/>
      <c r="JLE3" s="95" t="n"/>
      <c r="JLF3" s="95" t="n"/>
      <c r="JLG3" s="95" t="n"/>
      <c r="JLH3" s="95" t="n"/>
      <c r="JLI3" s="95" t="n"/>
      <c r="JLJ3" s="95" t="n"/>
      <c r="JLK3" s="95" t="n"/>
      <c r="JLL3" s="95" t="n"/>
      <c r="JLM3" s="95" t="n"/>
      <c r="JLN3" s="95" t="n"/>
      <c r="JLO3" s="95" t="n"/>
      <c r="JLP3" s="95" t="n"/>
      <c r="JLQ3" s="95" t="n"/>
      <c r="JLR3" s="95" t="n"/>
      <c r="JLS3" s="95" t="n"/>
      <c r="JLT3" s="95" t="n"/>
      <c r="JLU3" s="95" t="n"/>
      <c r="JLV3" s="95" t="n"/>
      <c r="JLW3" s="95" t="n"/>
      <c r="JLX3" s="95" t="n"/>
      <c r="JLY3" s="95" t="n"/>
      <c r="JLZ3" s="95" t="n"/>
      <c r="JMA3" s="95" t="n"/>
      <c r="JMB3" s="95" t="n"/>
      <c r="JMC3" s="95" t="n"/>
      <c r="JMD3" s="95" t="n"/>
      <c r="JME3" s="95" t="n"/>
      <c r="JMF3" s="95" t="n"/>
      <c r="JMG3" s="95" t="n"/>
      <c r="JMH3" s="95" t="n"/>
      <c r="JMI3" s="95" t="n"/>
      <c r="JMJ3" s="95" t="n"/>
      <c r="JMK3" s="95" t="n"/>
      <c r="JML3" s="95" t="n"/>
      <c r="JMM3" s="95" t="n"/>
      <c r="JMN3" s="95" t="n"/>
      <c r="JMO3" s="95" t="n"/>
      <c r="JMP3" s="95" t="n"/>
      <c r="JMQ3" s="95" t="n"/>
      <c r="JMR3" s="95" t="n"/>
      <c r="JMS3" s="95" t="n"/>
      <c r="JMT3" s="95" t="n"/>
      <c r="JMU3" s="95" t="n"/>
      <c r="JMV3" s="95" t="n"/>
      <c r="JMW3" s="95" t="n"/>
      <c r="JMX3" s="95" t="n"/>
      <c r="JMY3" s="95" t="n"/>
      <c r="JMZ3" s="95" t="n"/>
      <c r="JNA3" s="95" t="n"/>
      <c r="JNB3" s="95" t="n"/>
      <c r="JNC3" s="95" t="n"/>
      <c r="JND3" s="95" t="n"/>
      <c r="JNE3" s="95" t="n"/>
      <c r="JNF3" s="95" t="n"/>
      <c r="JNG3" s="95" t="n"/>
      <c r="JNH3" s="95" t="n"/>
      <c r="JNI3" s="95" t="n"/>
      <c r="JNJ3" s="95" t="n"/>
      <c r="JNK3" s="95" t="n"/>
      <c r="JNL3" s="95" t="n"/>
      <c r="JNM3" s="95" t="n"/>
      <c r="JNN3" s="95" t="n"/>
      <c r="JNO3" s="95" t="n"/>
      <c r="JNP3" s="95" t="n"/>
      <c r="JNQ3" s="95" t="n"/>
      <c r="JNR3" s="95" t="n"/>
      <c r="JNS3" s="95" t="n"/>
      <c r="JNT3" s="95" t="n"/>
      <c r="JNU3" s="95" t="n"/>
      <c r="JNV3" s="95" t="n"/>
      <c r="JNW3" s="95" t="n"/>
      <c r="JNX3" s="95" t="n"/>
      <c r="JNY3" s="95" t="n"/>
      <c r="JNZ3" s="95" t="n"/>
      <c r="JOA3" s="95" t="n"/>
      <c r="JOB3" s="95" t="n"/>
      <c r="JOC3" s="95" t="n"/>
      <c r="JOD3" s="95" t="n"/>
      <c r="JOE3" s="95" t="n"/>
      <c r="JOF3" s="95" t="n"/>
      <c r="JOG3" s="95" t="n"/>
      <c r="JOH3" s="95" t="n"/>
      <c r="JOI3" s="95" t="n"/>
      <c r="JOJ3" s="95" t="n"/>
      <c r="JOK3" s="95" t="n"/>
      <c r="JOL3" s="95" t="n"/>
      <c r="JOM3" s="95" t="n"/>
      <c r="JON3" s="95" t="n"/>
      <c r="JOO3" s="95" t="n"/>
      <c r="JOP3" s="95" t="n"/>
      <c r="JOQ3" s="95" t="n"/>
      <c r="JOR3" s="95" t="n"/>
      <c r="JOS3" s="95" t="n"/>
      <c r="JOT3" s="95" t="n"/>
      <c r="JOU3" s="95" t="n"/>
      <c r="JOV3" s="95" t="n"/>
      <c r="JOW3" s="95" t="n"/>
      <c r="JOX3" s="95" t="n"/>
      <c r="JOY3" s="95" t="n"/>
      <c r="JOZ3" s="95" t="n"/>
      <c r="JPA3" s="95" t="n"/>
      <c r="JPB3" s="95" t="n"/>
      <c r="JPC3" s="95" t="n"/>
      <c r="JPD3" s="95" t="n"/>
      <c r="JPE3" s="95" t="n"/>
      <c r="JPF3" s="95" t="n"/>
      <c r="JPG3" s="95" t="n"/>
      <c r="JPH3" s="95" t="n"/>
      <c r="JPI3" s="95" t="n"/>
      <c r="JPJ3" s="95" t="n"/>
      <c r="JPK3" s="95" t="n"/>
      <c r="JPL3" s="95" t="n"/>
      <c r="JPM3" s="95" t="n"/>
      <c r="JPN3" s="95" t="n"/>
      <c r="JPO3" s="95" t="n"/>
      <c r="JPP3" s="95" t="n"/>
      <c r="JPQ3" s="95" t="n"/>
      <c r="JPR3" s="95" t="n"/>
      <c r="JPS3" s="95" t="n"/>
      <c r="JPT3" s="95" t="n"/>
      <c r="JPU3" s="95" t="n"/>
      <c r="JPV3" s="95" t="n"/>
      <c r="JPW3" s="95" t="n"/>
      <c r="JPX3" s="95" t="n"/>
      <c r="JPY3" s="95" t="n"/>
      <c r="JPZ3" s="95" t="n"/>
      <c r="JQA3" s="95" t="n"/>
      <c r="JQB3" s="95" t="n"/>
      <c r="JQC3" s="95" t="n"/>
      <c r="JQD3" s="95" t="n"/>
      <c r="JQE3" s="95" t="n"/>
      <c r="JQF3" s="95" t="n"/>
      <c r="JQG3" s="95" t="n"/>
      <c r="JQH3" s="95" t="n"/>
      <c r="JQI3" s="95" t="n"/>
      <c r="JQJ3" s="95" t="n"/>
      <c r="JQK3" s="95" t="n"/>
      <c r="JQL3" s="95" t="n"/>
      <c r="JQM3" s="95" t="n"/>
      <c r="JQN3" s="95" t="n"/>
      <c r="JQO3" s="95" t="n"/>
      <c r="JQP3" s="95" t="n"/>
      <c r="JQQ3" s="95" t="n"/>
      <c r="JQR3" s="95" t="n"/>
      <c r="JQS3" s="95" t="n"/>
      <c r="JQT3" s="95" t="n"/>
      <c r="JQU3" s="95" t="n"/>
      <c r="JQV3" s="95" t="n"/>
      <c r="JQW3" s="95" t="n"/>
      <c r="JQX3" s="95" t="n"/>
      <c r="JQY3" s="95" t="n"/>
      <c r="JQZ3" s="95" t="n"/>
      <c r="JRA3" s="95" t="n"/>
      <c r="JRB3" s="95" t="n"/>
      <c r="JRC3" s="95" t="n"/>
      <c r="JRD3" s="95" t="n"/>
      <c r="JRE3" s="95" t="n"/>
      <c r="JRF3" s="95" t="n"/>
      <c r="JRG3" s="95" t="n"/>
      <c r="JRH3" s="95" t="n"/>
      <c r="JRI3" s="95" t="n"/>
      <c r="JRJ3" s="95" t="n"/>
      <c r="JRK3" s="95" t="n"/>
      <c r="JRL3" s="95" t="n"/>
      <c r="JRM3" s="95" t="n"/>
      <c r="JRN3" s="95" t="n"/>
      <c r="JRO3" s="95" t="n"/>
      <c r="JRP3" s="95" t="n"/>
      <c r="JRQ3" s="95" t="n"/>
      <c r="JRR3" s="95" t="n"/>
      <c r="JRS3" s="95" t="n"/>
      <c r="JRT3" s="95" t="n"/>
      <c r="JRU3" s="95" t="n"/>
      <c r="JRV3" s="95" t="n"/>
      <c r="JRW3" s="95" t="n"/>
      <c r="JRX3" s="95" t="n"/>
      <c r="JRY3" s="95" t="n"/>
      <c r="JRZ3" s="95" t="n"/>
      <c r="JSA3" s="95" t="n"/>
      <c r="JSB3" s="95" t="n"/>
      <c r="JSC3" s="95" t="n"/>
      <c r="JSD3" s="95" t="n"/>
      <c r="JSE3" s="95" t="n"/>
      <c r="JSF3" s="95" t="n"/>
      <c r="JSG3" s="95" t="n"/>
      <c r="JSH3" s="95" t="n"/>
      <c r="JSI3" s="95" t="n"/>
      <c r="JSJ3" s="95" t="n"/>
      <c r="JSK3" s="95" t="n"/>
      <c r="JSL3" s="95" t="n"/>
      <c r="JSM3" s="95" t="n"/>
      <c r="JSN3" s="95" t="n"/>
      <c r="JSO3" s="95" t="n"/>
      <c r="JSP3" s="95" t="n"/>
      <c r="JSQ3" s="95" t="n"/>
      <c r="JSR3" s="95" t="n"/>
      <c r="JSS3" s="95" t="n"/>
      <c r="JST3" s="95" t="n"/>
      <c r="JSU3" s="95" t="n"/>
      <c r="JSV3" s="95" t="n"/>
      <c r="JSW3" s="95" t="n"/>
      <c r="JSX3" s="95" t="n"/>
      <c r="JSY3" s="95" t="n"/>
      <c r="JSZ3" s="95" t="n"/>
      <c r="JTA3" s="95" t="n"/>
      <c r="JTB3" s="95" t="n"/>
      <c r="JTC3" s="95" t="n"/>
      <c r="JTD3" s="95" t="n"/>
      <c r="JTE3" s="95" t="n"/>
      <c r="JTF3" s="95" t="n"/>
      <c r="JTG3" s="95" t="n"/>
      <c r="JTH3" s="95" t="n"/>
      <c r="JTI3" s="95" t="n"/>
      <c r="JTJ3" s="95" t="n"/>
      <c r="JTK3" s="95" t="n"/>
      <c r="JTL3" s="95" t="n"/>
      <c r="JTM3" s="95" t="n"/>
      <c r="JTN3" s="95" t="n"/>
      <c r="JTO3" s="95" t="n"/>
      <c r="JTP3" s="95" t="n"/>
      <c r="JTQ3" s="95" t="n"/>
      <c r="JTR3" s="95" t="n"/>
      <c r="JTS3" s="95" t="n"/>
      <c r="JTT3" s="95" t="n"/>
      <c r="JTU3" s="95" t="n"/>
      <c r="JTV3" s="95" t="n"/>
      <c r="JTW3" s="95" t="n"/>
      <c r="JTX3" s="95" t="n"/>
      <c r="JTY3" s="95" t="n"/>
      <c r="JTZ3" s="95" t="n"/>
      <c r="JUA3" s="95" t="n"/>
      <c r="JUB3" s="95" t="n"/>
      <c r="JUC3" s="95" t="n"/>
      <c r="JUD3" s="95" t="n"/>
      <c r="JUE3" s="95" t="n"/>
      <c r="JUF3" s="95" t="n"/>
      <c r="JUG3" s="95" t="n"/>
      <c r="JUH3" s="95" t="n"/>
      <c r="JUI3" s="95" t="n"/>
      <c r="JUJ3" s="95" t="n"/>
      <c r="JUK3" s="95" t="n"/>
      <c r="JUL3" s="95" t="n"/>
      <c r="JUM3" s="95" t="n"/>
      <c r="JUN3" s="95" t="n"/>
      <c r="JUO3" s="95" t="n"/>
      <c r="JUP3" s="95" t="n"/>
      <c r="JUQ3" s="95" t="n"/>
      <c r="JUR3" s="95" t="n"/>
      <c r="JUS3" s="95" t="n"/>
      <c r="JUT3" s="95" t="n"/>
      <c r="JUU3" s="95" t="n"/>
      <c r="JUV3" s="95" t="n"/>
      <c r="JUW3" s="95" t="n"/>
      <c r="JUX3" s="95" t="n"/>
      <c r="JUY3" s="95" t="n"/>
      <c r="JUZ3" s="95" t="n"/>
      <c r="JVA3" s="95" t="n"/>
      <c r="JVB3" s="95" t="n"/>
      <c r="JVC3" s="95" t="n"/>
      <c r="JVD3" s="95" t="n"/>
      <c r="JVE3" s="95" t="n"/>
      <c r="JVF3" s="95" t="n"/>
      <c r="JVG3" s="95" t="n"/>
      <c r="JVH3" s="95" t="n"/>
      <c r="JVI3" s="95" t="n"/>
      <c r="JVJ3" s="95" t="n"/>
      <c r="JVK3" s="95" t="n"/>
      <c r="JVL3" s="95" t="n"/>
      <c r="JVM3" s="95" t="n"/>
      <c r="JVN3" s="95" t="n"/>
      <c r="JVO3" s="95" t="n"/>
      <c r="JVP3" s="95" t="n"/>
      <c r="JVQ3" s="95" t="n"/>
      <c r="JVR3" s="95" t="n"/>
      <c r="JVS3" s="95" t="n"/>
      <c r="JVT3" s="95" t="n"/>
      <c r="JVU3" s="95" t="n"/>
      <c r="JVV3" s="95" t="n"/>
      <c r="JVW3" s="95" t="n"/>
      <c r="JVX3" s="95" t="n"/>
      <c r="JVY3" s="95" t="n"/>
      <c r="JVZ3" s="95" t="n"/>
      <c r="JWA3" s="95" t="n"/>
      <c r="JWB3" s="95" t="n"/>
      <c r="JWC3" s="95" t="n"/>
      <c r="JWD3" s="95" t="n"/>
      <c r="JWE3" s="95" t="n"/>
      <c r="JWF3" s="95" t="n"/>
      <c r="JWG3" s="95" t="n"/>
      <c r="JWH3" s="95" t="n"/>
      <c r="JWI3" s="95" t="n"/>
      <c r="JWJ3" s="95" t="n"/>
      <c r="JWK3" s="95" t="n"/>
      <c r="JWL3" s="95" t="n"/>
      <c r="JWM3" s="95" t="n"/>
      <c r="JWN3" s="95" t="n"/>
      <c r="JWO3" s="95" t="n"/>
      <c r="JWP3" s="95" t="n"/>
      <c r="JWQ3" s="95" t="n"/>
      <c r="JWR3" s="95" t="n"/>
      <c r="JWS3" s="95" t="n"/>
      <c r="JWT3" s="95" t="n"/>
      <c r="JWU3" s="95" t="n"/>
      <c r="JWV3" s="95" t="n"/>
      <c r="JWW3" s="95" t="n"/>
      <c r="JWX3" s="95" t="n"/>
      <c r="JWY3" s="95" t="n"/>
      <c r="JWZ3" s="95" t="n"/>
      <c r="JXA3" s="95" t="n"/>
      <c r="JXB3" s="95" t="n"/>
      <c r="JXC3" s="95" t="n"/>
      <c r="JXD3" s="95" t="n"/>
      <c r="JXE3" s="95" t="n"/>
      <c r="JXF3" s="95" t="n"/>
      <c r="JXG3" s="95" t="n"/>
      <c r="JXH3" s="95" t="n"/>
      <c r="JXI3" s="95" t="n"/>
      <c r="JXJ3" s="95" t="n"/>
      <c r="JXK3" s="95" t="n"/>
      <c r="JXL3" s="95" t="n"/>
      <c r="JXM3" s="95" t="n"/>
      <c r="JXN3" s="95" t="n"/>
      <c r="JXO3" s="95" t="n"/>
      <c r="JXP3" s="95" t="n"/>
      <c r="JXQ3" s="95" t="n"/>
      <c r="JXR3" s="95" t="n"/>
      <c r="JXS3" s="95" t="n"/>
      <c r="JXT3" s="95" t="n"/>
      <c r="JXU3" s="95" t="n"/>
      <c r="JXV3" s="95" t="n"/>
      <c r="JXW3" s="95" t="n"/>
      <c r="JXX3" s="95" t="n"/>
      <c r="JXY3" s="95" t="n"/>
      <c r="JXZ3" s="95" t="n"/>
      <c r="JYA3" s="95" t="n"/>
      <c r="JYB3" s="95" t="n"/>
      <c r="JYC3" s="95" t="n"/>
      <c r="JYD3" s="95" t="n"/>
      <c r="JYE3" s="95" t="n"/>
      <c r="JYF3" s="95" t="n"/>
      <c r="JYG3" s="95" t="n"/>
      <c r="JYH3" s="95" t="n"/>
      <c r="JYI3" s="95" t="n"/>
      <c r="JYJ3" s="95" t="n"/>
      <c r="JYK3" s="95" t="n"/>
      <c r="JYL3" s="95" t="n"/>
      <c r="JYM3" s="95" t="n"/>
      <c r="JYN3" s="95" t="n"/>
      <c r="JYO3" s="95" t="n"/>
      <c r="JYP3" s="95" t="n"/>
      <c r="JYQ3" s="95" t="n"/>
      <c r="JYR3" s="95" t="n"/>
      <c r="JYS3" s="95" t="n"/>
      <c r="JYT3" s="95" t="n"/>
      <c r="JYU3" s="95" t="n"/>
      <c r="JYV3" s="95" t="n"/>
      <c r="JYW3" s="95" t="n"/>
      <c r="JYX3" s="95" t="n"/>
      <c r="JYY3" s="95" t="n"/>
      <c r="JYZ3" s="95" t="n"/>
      <c r="JZA3" s="95" t="n"/>
      <c r="JZB3" s="95" t="n"/>
      <c r="JZC3" s="95" t="n"/>
      <c r="JZD3" s="95" t="n"/>
      <c r="JZE3" s="95" t="n"/>
      <c r="JZF3" s="95" t="n"/>
      <c r="JZG3" s="95" t="n"/>
      <c r="JZH3" s="95" t="n"/>
      <c r="JZI3" s="95" t="n"/>
      <c r="JZJ3" s="95" t="n"/>
      <c r="JZK3" s="95" t="n"/>
      <c r="JZL3" s="95" t="n"/>
      <c r="JZM3" s="95" t="n"/>
      <c r="JZN3" s="95" t="n"/>
      <c r="JZO3" s="95" t="n"/>
      <c r="JZP3" s="95" t="n"/>
      <c r="JZQ3" s="95" t="n"/>
      <c r="JZR3" s="95" t="n"/>
      <c r="JZS3" s="95" t="n"/>
      <c r="JZT3" s="95" t="n"/>
      <c r="JZU3" s="95" t="n"/>
      <c r="JZV3" s="95" t="n"/>
      <c r="JZW3" s="95" t="n"/>
      <c r="JZX3" s="95" t="n"/>
      <c r="JZY3" s="95" t="n"/>
      <c r="JZZ3" s="95" t="n"/>
      <c r="KAA3" s="95" t="n"/>
      <c r="KAB3" s="95" t="n"/>
      <c r="KAC3" s="95" t="n"/>
      <c r="KAD3" s="95" t="n"/>
      <c r="KAE3" s="95" t="n"/>
      <c r="KAF3" s="95" t="n"/>
      <c r="KAG3" s="95" t="n"/>
      <c r="KAH3" s="95" t="n"/>
      <c r="KAI3" s="95" t="n"/>
      <c r="KAJ3" s="95" t="n"/>
      <c r="KAK3" s="95" t="n"/>
      <c r="KAL3" s="95" t="n"/>
      <c r="KAM3" s="95" t="n"/>
      <c r="KAN3" s="95" t="n"/>
      <c r="KAO3" s="95" t="n"/>
      <c r="KAP3" s="95" t="n"/>
      <c r="KAQ3" s="95" t="n"/>
      <c r="KAR3" s="95" t="n"/>
      <c r="KAS3" s="95" t="n"/>
      <c r="KAT3" s="95" t="n"/>
      <c r="KAU3" s="95" t="n"/>
      <c r="KAV3" s="95" t="n"/>
      <c r="KAW3" s="95" t="n"/>
      <c r="KAX3" s="95" t="n"/>
      <c r="KAY3" s="95" t="n"/>
      <c r="KAZ3" s="95" t="n"/>
      <c r="KBA3" s="95" t="n"/>
      <c r="KBB3" s="95" t="n"/>
      <c r="KBC3" s="95" t="n"/>
      <c r="KBD3" s="95" t="n"/>
      <c r="KBE3" s="95" t="n"/>
      <c r="KBF3" s="95" t="n"/>
      <c r="KBG3" s="95" t="n"/>
      <c r="KBH3" s="95" t="n"/>
      <c r="KBI3" s="95" t="n"/>
      <c r="KBJ3" s="95" t="n"/>
      <c r="KBK3" s="95" t="n"/>
      <c r="KBL3" s="95" t="n"/>
      <c r="KBM3" s="95" t="n"/>
      <c r="KBN3" s="95" t="n"/>
      <c r="KBO3" s="95" t="n"/>
      <c r="KBP3" s="95" t="n"/>
      <c r="KBQ3" s="95" t="n"/>
      <c r="KBR3" s="95" t="n"/>
      <c r="KBS3" s="95" t="n"/>
      <c r="KBT3" s="95" t="n"/>
      <c r="KBU3" s="95" t="n"/>
      <c r="KBV3" s="95" t="n"/>
      <c r="KBW3" s="95" t="n"/>
      <c r="KBX3" s="95" t="n"/>
      <c r="KBY3" s="95" t="n"/>
      <c r="KBZ3" s="95" t="n"/>
      <c r="KCA3" s="95" t="n"/>
      <c r="KCB3" s="95" t="n"/>
      <c r="KCC3" s="95" t="n"/>
      <c r="KCD3" s="95" t="n"/>
      <c r="KCE3" s="95" t="n"/>
      <c r="KCF3" s="95" t="n"/>
      <c r="KCG3" s="95" t="n"/>
      <c r="KCH3" s="95" t="n"/>
      <c r="KCI3" s="95" t="n"/>
      <c r="KCJ3" s="95" t="n"/>
      <c r="KCK3" s="95" t="n"/>
      <c r="KCL3" s="95" t="n"/>
      <c r="KCM3" s="95" t="n"/>
      <c r="KCN3" s="95" t="n"/>
      <c r="KCO3" s="95" t="n"/>
      <c r="KCP3" s="95" t="n"/>
      <c r="KCQ3" s="95" t="n"/>
      <c r="KCR3" s="95" t="n"/>
      <c r="KCS3" s="95" t="n"/>
      <c r="KCT3" s="95" t="n"/>
      <c r="KCU3" s="95" t="n"/>
      <c r="KCV3" s="95" t="n"/>
      <c r="KCW3" s="95" t="n"/>
      <c r="KCX3" s="95" t="n"/>
      <c r="KCY3" s="95" t="n"/>
      <c r="KCZ3" s="95" t="n"/>
      <c r="KDA3" s="95" t="n"/>
      <c r="KDB3" s="95" t="n"/>
      <c r="KDC3" s="95" t="n"/>
      <c r="KDD3" s="95" t="n"/>
      <c r="KDE3" s="95" t="n"/>
      <c r="KDF3" s="95" t="n"/>
      <c r="KDG3" s="95" t="n"/>
      <c r="KDH3" s="95" t="n"/>
      <c r="KDI3" s="95" t="n"/>
      <c r="KDJ3" s="95" t="n"/>
      <c r="KDK3" s="95" t="n"/>
      <c r="KDL3" s="95" t="n"/>
      <c r="KDM3" s="95" t="n"/>
      <c r="KDN3" s="95" t="n"/>
      <c r="KDO3" s="95" t="n"/>
      <c r="KDP3" s="95" t="n"/>
      <c r="KDQ3" s="95" t="n"/>
      <c r="KDR3" s="95" t="n"/>
      <c r="KDS3" s="95" t="n"/>
      <c r="KDT3" s="95" t="n"/>
      <c r="KDU3" s="95" t="n"/>
      <c r="KDV3" s="95" t="n"/>
      <c r="KDW3" s="95" t="n"/>
      <c r="KDX3" s="95" t="n"/>
      <c r="KDY3" s="95" t="n"/>
      <c r="KDZ3" s="95" t="n"/>
      <c r="KEA3" s="95" t="n"/>
      <c r="KEB3" s="95" t="n"/>
      <c r="KEC3" s="95" t="n"/>
      <c r="KED3" s="95" t="n"/>
      <c r="KEE3" s="95" t="n"/>
      <c r="KEF3" s="95" t="n"/>
      <c r="KEG3" s="95" t="n"/>
      <c r="KEH3" s="95" t="n"/>
      <c r="KEI3" s="95" t="n"/>
      <c r="KEJ3" s="95" t="n"/>
      <c r="KEK3" s="95" t="n"/>
      <c r="KEL3" s="95" t="n"/>
      <c r="KEM3" s="95" t="n"/>
      <c r="KEN3" s="95" t="n"/>
      <c r="KEO3" s="95" t="n"/>
      <c r="KEP3" s="95" t="n"/>
      <c r="KEQ3" s="95" t="n"/>
      <c r="KER3" s="95" t="n"/>
      <c r="KES3" s="95" t="n"/>
      <c r="KET3" s="95" t="n"/>
      <c r="KEU3" s="95" t="n"/>
      <c r="KEV3" s="95" t="n"/>
      <c r="KEW3" s="95" t="n"/>
      <c r="KEX3" s="95" t="n"/>
      <c r="KEY3" s="95" t="n"/>
      <c r="KEZ3" s="95" t="n"/>
      <c r="KFA3" s="95" t="n"/>
      <c r="KFB3" s="95" t="n"/>
      <c r="KFC3" s="95" t="n"/>
      <c r="KFD3" s="95" t="n"/>
      <c r="KFE3" s="95" t="n"/>
      <c r="KFF3" s="95" t="n"/>
      <c r="KFG3" s="95" t="n"/>
      <c r="KFH3" s="95" t="n"/>
      <c r="KFI3" s="95" t="n"/>
      <c r="KFJ3" s="95" t="n"/>
      <c r="KFK3" s="95" t="n"/>
      <c r="KFL3" s="95" t="n"/>
      <c r="KFM3" s="95" t="n"/>
      <c r="KFN3" s="95" t="n"/>
      <c r="KFO3" s="95" t="n"/>
      <c r="KFP3" s="95" t="n"/>
      <c r="KFQ3" s="95" t="n"/>
      <c r="KFR3" s="95" t="n"/>
      <c r="KFS3" s="95" t="n"/>
      <c r="KFT3" s="95" t="n"/>
      <c r="KFU3" s="95" t="n"/>
      <c r="KFV3" s="95" t="n"/>
      <c r="KFW3" s="95" t="n"/>
      <c r="KFX3" s="95" t="n"/>
      <c r="KFY3" s="95" t="n"/>
      <c r="KFZ3" s="95" t="n"/>
      <c r="KGA3" s="95" t="n"/>
      <c r="KGB3" s="95" t="n"/>
      <c r="KGC3" s="95" t="n"/>
      <c r="KGD3" s="95" t="n"/>
      <c r="KGE3" s="95" t="n"/>
      <c r="KGF3" s="95" t="n"/>
      <c r="KGG3" s="95" t="n"/>
      <c r="KGH3" s="95" t="n"/>
      <c r="KGI3" s="95" t="n"/>
      <c r="KGJ3" s="95" t="n"/>
      <c r="KGK3" s="95" t="n"/>
      <c r="KGL3" s="95" t="n"/>
      <c r="KGM3" s="95" t="n"/>
      <c r="KGN3" s="95" t="n"/>
      <c r="KGO3" s="95" t="n"/>
      <c r="KGP3" s="95" t="n"/>
      <c r="KGQ3" s="95" t="n"/>
      <c r="KGR3" s="95" t="n"/>
      <c r="KGS3" s="95" t="n"/>
      <c r="KGT3" s="95" t="n"/>
      <c r="KGU3" s="95" t="n"/>
      <c r="KGV3" s="95" t="n"/>
      <c r="KGW3" s="95" t="n"/>
      <c r="KGX3" s="95" t="n"/>
      <c r="KGY3" s="95" t="n"/>
      <c r="KGZ3" s="95" t="n"/>
      <c r="KHA3" s="95" t="n"/>
      <c r="KHB3" s="95" t="n"/>
      <c r="KHC3" s="95" t="n"/>
      <c r="KHD3" s="95" t="n"/>
      <c r="KHE3" s="95" t="n"/>
      <c r="KHF3" s="95" t="n"/>
      <c r="KHG3" s="95" t="n"/>
      <c r="KHH3" s="95" t="n"/>
      <c r="KHI3" s="95" t="n"/>
      <c r="KHJ3" s="95" t="n"/>
      <c r="KHK3" s="95" t="n"/>
      <c r="KHL3" s="95" t="n"/>
      <c r="KHM3" s="95" t="n"/>
      <c r="KHN3" s="95" t="n"/>
      <c r="KHO3" s="95" t="n"/>
      <c r="KHP3" s="95" t="n"/>
      <c r="KHQ3" s="95" t="n"/>
      <c r="KHR3" s="95" t="n"/>
      <c r="KHS3" s="95" t="n"/>
      <c r="KHT3" s="95" t="n"/>
      <c r="KHU3" s="95" t="n"/>
      <c r="KHV3" s="95" t="n"/>
      <c r="KHW3" s="95" t="n"/>
      <c r="KHX3" s="95" t="n"/>
      <c r="KHY3" s="95" t="n"/>
      <c r="KHZ3" s="95" t="n"/>
      <c r="KIA3" s="95" t="n"/>
      <c r="KIB3" s="95" t="n"/>
      <c r="KIC3" s="95" t="n"/>
      <c r="KID3" s="95" t="n"/>
      <c r="KIE3" s="95" t="n"/>
      <c r="KIF3" s="95" t="n"/>
      <c r="KIG3" s="95" t="n"/>
      <c r="KIH3" s="95" t="n"/>
      <c r="KII3" s="95" t="n"/>
      <c r="KIJ3" s="95" t="n"/>
      <c r="KIK3" s="95" t="n"/>
      <c r="KIL3" s="95" t="n"/>
      <c r="KIM3" s="95" t="n"/>
      <c r="KIN3" s="95" t="n"/>
      <c r="KIO3" s="95" t="n"/>
      <c r="KIP3" s="95" t="n"/>
      <c r="KIQ3" s="95" t="n"/>
      <c r="KIR3" s="95" t="n"/>
      <c r="KIS3" s="95" t="n"/>
      <c r="KIT3" s="95" t="n"/>
      <c r="KIU3" s="95" t="n"/>
      <c r="KIV3" s="95" t="n"/>
      <c r="KIW3" s="95" t="n"/>
      <c r="KIX3" s="95" t="n"/>
      <c r="KIY3" s="95" t="n"/>
      <c r="KIZ3" s="95" t="n"/>
      <c r="KJA3" s="95" t="n"/>
      <c r="KJB3" s="95" t="n"/>
      <c r="KJC3" s="95" t="n"/>
      <c r="KJD3" s="95" t="n"/>
      <c r="KJE3" s="95" t="n"/>
      <c r="KJF3" s="95" t="n"/>
      <c r="KJG3" s="95" t="n"/>
      <c r="KJH3" s="95" t="n"/>
      <c r="KJI3" s="95" t="n"/>
      <c r="KJJ3" s="95" t="n"/>
      <c r="KJK3" s="95" t="n"/>
      <c r="KJL3" s="95" t="n"/>
      <c r="KJM3" s="95" t="n"/>
      <c r="KJN3" s="95" t="n"/>
      <c r="KJO3" s="95" t="n"/>
      <c r="KJP3" s="95" t="n"/>
      <c r="KJQ3" s="95" t="n"/>
      <c r="KJR3" s="95" t="n"/>
      <c r="KJS3" s="95" t="n"/>
      <c r="KJT3" s="95" t="n"/>
      <c r="KJU3" s="95" t="n"/>
      <c r="KJV3" s="95" t="n"/>
      <c r="KJW3" s="95" t="n"/>
      <c r="KJX3" s="95" t="n"/>
      <c r="KJY3" s="95" t="n"/>
      <c r="KJZ3" s="95" t="n"/>
      <c r="KKA3" s="95" t="n"/>
      <c r="KKB3" s="95" t="n"/>
      <c r="KKC3" s="95" t="n"/>
      <c r="KKD3" s="95" t="n"/>
      <c r="KKE3" s="95" t="n"/>
      <c r="KKF3" s="95" t="n"/>
      <c r="KKG3" s="95" t="n"/>
      <c r="KKH3" s="95" t="n"/>
      <c r="KKI3" s="95" t="n"/>
      <c r="KKJ3" s="95" t="n"/>
      <c r="KKK3" s="95" t="n"/>
      <c r="KKL3" s="95" t="n"/>
      <c r="KKM3" s="95" t="n"/>
      <c r="KKN3" s="95" t="n"/>
      <c r="KKO3" s="95" t="n"/>
      <c r="KKP3" s="95" t="n"/>
      <c r="KKQ3" s="95" t="n"/>
      <c r="KKR3" s="95" t="n"/>
      <c r="KKS3" s="95" t="n"/>
      <c r="KKT3" s="95" t="n"/>
      <c r="KKU3" s="95" t="n"/>
      <c r="KKV3" s="95" t="n"/>
      <c r="KKW3" s="95" t="n"/>
      <c r="KKX3" s="95" t="n"/>
      <c r="KKY3" s="95" t="n"/>
      <c r="KKZ3" s="95" t="n"/>
      <c r="KLA3" s="95" t="n"/>
      <c r="KLB3" s="95" t="n"/>
      <c r="KLC3" s="95" t="n"/>
      <c r="KLD3" s="95" t="n"/>
      <c r="KLE3" s="95" t="n"/>
      <c r="KLF3" s="95" t="n"/>
      <c r="KLG3" s="95" t="n"/>
      <c r="KLH3" s="95" t="n"/>
      <c r="KLI3" s="95" t="n"/>
      <c r="KLJ3" s="95" t="n"/>
      <c r="KLK3" s="95" t="n"/>
      <c r="KLL3" s="95" t="n"/>
      <c r="KLM3" s="95" t="n"/>
      <c r="KLN3" s="95" t="n"/>
      <c r="KLO3" s="95" t="n"/>
      <c r="KLP3" s="95" t="n"/>
      <c r="KLQ3" s="95" t="n"/>
      <c r="KLR3" s="95" t="n"/>
      <c r="KLS3" s="95" t="n"/>
      <c r="KLT3" s="95" t="n"/>
      <c r="KLU3" s="95" t="n"/>
      <c r="KLV3" s="95" t="n"/>
      <c r="KLW3" s="95" t="n"/>
      <c r="KLX3" s="95" t="n"/>
      <c r="KLY3" s="95" t="n"/>
      <c r="KLZ3" s="95" t="n"/>
      <c r="KMA3" s="95" t="n"/>
      <c r="KMB3" s="95" t="n"/>
      <c r="KMC3" s="95" t="n"/>
      <c r="KMD3" s="95" t="n"/>
      <c r="KME3" s="95" t="n"/>
      <c r="KMF3" s="95" t="n"/>
      <c r="KMG3" s="95" t="n"/>
      <c r="KMH3" s="95" t="n"/>
      <c r="KMI3" s="95" t="n"/>
      <c r="KMJ3" s="95" t="n"/>
      <c r="KMK3" s="95" t="n"/>
      <c r="KML3" s="95" t="n"/>
      <c r="KMM3" s="95" t="n"/>
      <c r="KMN3" s="95" t="n"/>
      <c r="KMO3" s="95" t="n"/>
      <c r="KMP3" s="95" t="n"/>
      <c r="KMQ3" s="95" t="n"/>
      <c r="KMR3" s="95" t="n"/>
      <c r="KMS3" s="95" t="n"/>
      <c r="KMT3" s="95" t="n"/>
      <c r="KMU3" s="95" t="n"/>
      <c r="KMV3" s="95" t="n"/>
      <c r="KMW3" s="95" t="n"/>
      <c r="KMX3" s="95" t="n"/>
      <c r="KMY3" s="95" t="n"/>
      <c r="KMZ3" s="95" t="n"/>
      <c r="KNA3" s="95" t="n"/>
      <c r="KNB3" s="95" t="n"/>
      <c r="KNC3" s="95" t="n"/>
      <c r="KND3" s="95" t="n"/>
      <c r="KNE3" s="95" t="n"/>
      <c r="KNF3" s="95" t="n"/>
      <c r="KNG3" s="95" t="n"/>
      <c r="KNH3" s="95" t="n"/>
      <c r="KNI3" s="95" t="n"/>
      <c r="KNJ3" s="95" t="n"/>
      <c r="KNK3" s="95" t="n"/>
      <c r="KNL3" s="95" t="n"/>
      <c r="KNM3" s="95" t="n"/>
      <c r="KNN3" s="95" t="n"/>
      <c r="KNO3" s="95" t="n"/>
      <c r="KNP3" s="95" t="n"/>
      <c r="KNQ3" s="95" t="n"/>
      <c r="KNR3" s="95" t="n"/>
      <c r="KNS3" s="95" t="n"/>
      <c r="KNT3" s="95" t="n"/>
      <c r="KNU3" s="95" t="n"/>
      <c r="KNV3" s="95" t="n"/>
      <c r="KNW3" s="95" t="n"/>
      <c r="KNX3" s="95" t="n"/>
      <c r="KNY3" s="95" t="n"/>
      <c r="KNZ3" s="95" t="n"/>
      <c r="KOA3" s="95" t="n"/>
      <c r="KOB3" s="95" t="n"/>
      <c r="KOC3" s="95" t="n"/>
      <c r="KOD3" s="95" t="n"/>
      <c r="KOE3" s="95" t="n"/>
      <c r="KOF3" s="95" t="n"/>
      <c r="KOG3" s="95" t="n"/>
      <c r="KOH3" s="95" t="n"/>
      <c r="KOI3" s="95" t="n"/>
      <c r="KOJ3" s="95" t="n"/>
      <c r="KOK3" s="95" t="n"/>
      <c r="KOL3" s="95" t="n"/>
      <c r="KOM3" s="95" t="n"/>
      <c r="KON3" s="95" t="n"/>
      <c r="KOO3" s="95" t="n"/>
      <c r="KOP3" s="95" t="n"/>
      <c r="KOQ3" s="95" t="n"/>
      <c r="KOR3" s="95" t="n"/>
      <c r="KOS3" s="95" t="n"/>
      <c r="KOT3" s="95" t="n"/>
      <c r="KOU3" s="95" t="n"/>
      <c r="KOV3" s="95" t="n"/>
      <c r="KOW3" s="95" t="n"/>
      <c r="KOX3" s="95" t="n"/>
      <c r="KOY3" s="95" t="n"/>
      <c r="KOZ3" s="95" t="n"/>
      <c r="KPA3" s="95" t="n"/>
      <c r="KPB3" s="95" t="n"/>
      <c r="KPC3" s="95" t="n"/>
      <c r="KPD3" s="95" t="n"/>
      <c r="KPE3" s="95" t="n"/>
      <c r="KPF3" s="95" t="n"/>
      <c r="KPG3" s="95" t="n"/>
      <c r="KPH3" s="95" t="n"/>
      <c r="KPI3" s="95" t="n"/>
      <c r="KPJ3" s="95" t="n"/>
      <c r="KPK3" s="95" t="n"/>
      <c r="KPL3" s="95" t="n"/>
      <c r="KPM3" s="95" t="n"/>
      <c r="KPN3" s="95" t="n"/>
      <c r="KPO3" s="95" t="n"/>
      <c r="KPP3" s="95" t="n"/>
      <c r="KPQ3" s="95" t="n"/>
      <c r="KPR3" s="95" t="n"/>
      <c r="KPS3" s="95" t="n"/>
      <c r="KPT3" s="95" t="n"/>
      <c r="KPU3" s="95" t="n"/>
      <c r="KPV3" s="95" t="n"/>
      <c r="KPW3" s="95" t="n"/>
      <c r="KPX3" s="95" t="n"/>
      <c r="KPY3" s="95" t="n"/>
      <c r="KPZ3" s="95" t="n"/>
      <c r="KQA3" s="95" t="n"/>
      <c r="KQB3" s="95" t="n"/>
      <c r="KQC3" s="95" t="n"/>
      <c r="KQD3" s="95" t="n"/>
      <c r="KQE3" s="95" t="n"/>
      <c r="KQF3" s="95" t="n"/>
      <c r="KQG3" s="95" t="n"/>
      <c r="KQH3" s="95" t="n"/>
      <c r="KQI3" s="95" t="n"/>
      <c r="KQJ3" s="95" t="n"/>
      <c r="KQK3" s="95" t="n"/>
      <c r="KQL3" s="95" t="n"/>
      <c r="KQM3" s="95" t="n"/>
      <c r="KQN3" s="95" t="n"/>
      <c r="KQO3" s="95" t="n"/>
      <c r="KQP3" s="95" t="n"/>
      <c r="KQQ3" s="95" t="n"/>
      <c r="KQR3" s="95" t="n"/>
      <c r="KQS3" s="95" t="n"/>
      <c r="KQT3" s="95" t="n"/>
      <c r="KQU3" s="95" t="n"/>
      <c r="KQV3" s="95" t="n"/>
      <c r="KQW3" s="95" t="n"/>
      <c r="KQX3" s="95" t="n"/>
      <c r="KQY3" s="95" t="n"/>
      <c r="KQZ3" s="95" t="n"/>
      <c r="KRA3" s="95" t="n"/>
      <c r="KRB3" s="95" t="n"/>
      <c r="KRC3" s="95" t="n"/>
      <c r="KRD3" s="95" t="n"/>
      <c r="KRE3" s="95" t="n"/>
      <c r="KRF3" s="95" t="n"/>
      <c r="KRG3" s="95" t="n"/>
      <c r="KRH3" s="95" t="n"/>
      <c r="KRI3" s="95" t="n"/>
      <c r="KRJ3" s="95" t="n"/>
      <c r="KRK3" s="95" t="n"/>
      <c r="KRL3" s="95" t="n"/>
      <c r="KRM3" s="95" t="n"/>
      <c r="KRN3" s="95" t="n"/>
      <c r="KRO3" s="95" t="n"/>
      <c r="KRP3" s="95" t="n"/>
      <c r="KRQ3" s="95" t="n"/>
      <c r="KRR3" s="95" t="n"/>
      <c r="KRS3" s="95" t="n"/>
      <c r="KRT3" s="95" t="n"/>
      <c r="KRU3" s="95" t="n"/>
      <c r="KRV3" s="95" t="n"/>
      <c r="KRW3" s="95" t="n"/>
      <c r="KRX3" s="95" t="n"/>
      <c r="KRY3" s="95" t="n"/>
      <c r="KRZ3" s="95" t="n"/>
      <c r="KSA3" s="95" t="n"/>
      <c r="KSB3" s="95" t="n"/>
      <c r="KSC3" s="95" t="n"/>
      <c r="KSD3" s="95" t="n"/>
      <c r="KSE3" s="95" t="n"/>
      <c r="KSF3" s="95" t="n"/>
      <c r="KSG3" s="95" t="n"/>
      <c r="KSH3" s="95" t="n"/>
      <c r="KSI3" s="95" t="n"/>
      <c r="KSJ3" s="95" t="n"/>
      <c r="KSK3" s="95" t="n"/>
      <c r="KSL3" s="95" t="n"/>
      <c r="KSM3" s="95" t="n"/>
      <c r="KSN3" s="95" t="n"/>
      <c r="KSO3" s="95" t="n"/>
      <c r="KSP3" s="95" t="n"/>
      <c r="KSQ3" s="95" t="n"/>
      <c r="KSR3" s="95" t="n"/>
      <c r="KSS3" s="95" t="n"/>
      <c r="KST3" s="95" t="n"/>
      <c r="KSU3" s="95" t="n"/>
      <c r="KSV3" s="95" t="n"/>
      <c r="KSW3" s="95" t="n"/>
      <c r="KSX3" s="95" t="n"/>
      <c r="KSY3" s="95" t="n"/>
      <c r="KSZ3" s="95" t="n"/>
      <c r="KTA3" s="95" t="n"/>
      <c r="KTB3" s="95" t="n"/>
      <c r="KTC3" s="95" t="n"/>
      <c r="KTD3" s="95" t="n"/>
      <c r="KTE3" s="95" t="n"/>
      <c r="KTF3" s="95" t="n"/>
      <c r="KTG3" s="95" t="n"/>
      <c r="KTH3" s="95" t="n"/>
      <c r="KTI3" s="95" t="n"/>
      <c r="KTJ3" s="95" t="n"/>
      <c r="KTK3" s="95" t="n"/>
      <c r="KTL3" s="95" t="n"/>
      <c r="KTM3" s="95" t="n"/>
      <c r="KTN3" s="95" t="n"/>
      <c r="KTO3" s="95" t="n"/>
      <c r="KTP3" s="95" t="n"/>
      <c r="KTQ3" s="95" t="n"/>
      <c r="KTR3" s="95" t="n"/>
      <c r="KTS3" s="95" t="n"/>
      <c r="KTT3" s="95" t="n"/>
      <c r="KTU3" s="95" t="n"/>
      <c r="KTV3" s="95" t="n"/>
      <c r="KTW3" s="95" t="n"/>
      <c r="KTX3" s="95" t="n"/>
      <c r="KTY3" s="95" t="n"/>
      <c r="KTZ3" s="95" t="n"/>
      <c r="KUA3" s="95" t="n"/>
      <c r="KUB3" s="95" t="n"/>
      <c r="KUC3" s="95" t="n"/>
      <c r="KUD3" s="95" t="n"/>
      <c r="KUE3" s="95" t="n"/>
      <c r="KUF3" s="95" t="n"/>
      <c r="KUG3" s="95" t="n"/>
      <c r="KUH3" s="95" t="n"/>
      <c r="KUI3" s="95" t="n"/>
      <c r="KUJ3" s="95" t="n"/>
      <c r="KUK3" s="95" t="n"/>
      <c r="KUL3" s="95" t="n"/>
      <c r="KUM3" s="95" t="n"/>
      <c r="KUN3" s="95" t="n"/>
      <c r="KUO3" s="95" t="n"/>
      <c r="KUP3" s="95" t="n"/>
      <c r="KUQ3" s="95" t="n"/>
      <c r="KUR3" s="95" t="n"/>
      <c r="KUS3" s="95" t="n"/>
      <c r="KUT3" s="95" t="n"/>
      <c r="KUU3" s="95" t="n"/>
      <c r="KUV3" s="95" t="n"/>
      <c r="KUW3" s="95" t="n"/>
      <c r="KUX3" s="95" t="n"/>
      <c r="KUY3" s="95" t="n"/>
      <c r="KUZ3" s="95" t="n"/>
      <c r="KVA3" s="95" t="n"/>
      <c r="KVB3" s="95" t="n"/>
      <c r="KVC3" s="95" t="n"/>
      <c r="KVD3" s="95" t="n"/>
      <c r="KVE3" s="95" t="n"/>
      <c r="KVF3" s="95" t="n"/>
      <c r="KVG3" s="95" t="n"/>
      <c r="KVH3" s="95" t="n"/>
      <c r="KVI3" s="95" t="n"/>
      <c r="KVJ3" s="95" t="n"/>
      <c r="KVK3" s="95" t="n"/>
      <c r="KVL3" s="95" t="n"/>
      <c r="KVM3" s="95" t="n"/>
      <c r="KVN3" s="95" t="n"/>
      <c r="KVO3" s="95" t="n"/>
      <c r="KVP3" s="95" t="n"/>
      <c r="KVQ3" s="95" t="n"/>
      <c r="KVR3" s="95" t="n"/>
      <c r="KVS3" s="95" t="n"/>
      <c r="KVT3" s="95" t="n"/>
      <c r="KVU3" s="95" t="n"/>
      <c r="KVV3" s="95" t="n"/>
      <c r="KVW3" s="95" t="n"/>
      <c r="KVX3" s="95" t="n"/>
      <c r="KVY3" s="95" t="n"/>
      <c r="KVZ3" s="95" t="n"/>
      <c r="KWA3" s="95" t="n"/>
      <c r="KWB3" s="95" t="n"/>
      <c r="KWC3" s="95" t="n"/>
      <c r="KWD3" s="95" t="n"/>
      <c r="KWE3" s="95" t="n"/>
      <c r="KWF3" s="95" t="n"/>
      <c r="KWG3" s="95" t="n"/>
      <c r="KWH3" s="95" t="n"/>
      <c r="KWI3" s="95" t="n"/>
      <c r="KWJ3" s="95" t="n"/>
      <c r="KWK3" s="95" t="n"/>
      <c r="KWL3" s="95" t="n"/>
      <c r="KWM3" s="95" t="n"/>
      <c r="KWN3" s="95" t="n"/>
      <c r="KWO3" s="95" t="n"/>
      <c r="KWP3" s="95" t="n"/>
      <c r="KWQ3" s="95" t="n"/>
      <c r="KWR3" s="95" t="n"/>
      <c r="KWS3" s="95" t="n"/>
      <c r="KWT3" s="95" t="n"/>
      <c r="KWU3" s="95" t="n"/>
      <c r="KWV3" s="95" t="n"/>
      <c r="KWW3" s="95" t="n"/>
      <c r="KWX3" s="95" t="n"/>
      <c r="KWY3" s="95" t="n"/>
      <c r="KWZ3" s="95" t="n"/>
      <c r="KXA3" s="95" t="n"/>
      <c r="KXB3" s="95" t="n"/>
      <c r="KXC3" s="95" t="n"/>
      <c r="KXD3" s="95" t="n"/>
      <c r="KXE3" s="95" t="n"/>
      <c r="KXF3" s="95" t="n"/>
      <c r="KXG3" s="95" t="n"/>
      <c r="KXH3" s="95" t="n"/>
      <c r="KXI3" s="95" t="n"/>
      <c r="KXJ3" s="95" t="n"/>
      <c r="KXK3" s="95" t="n"/>
      <c r="KXL3" s="95" t="n"/>
      <c r="KXM3" s="95" t="n"/>
      <c r="KXN3" s="95" t="n"/>
      <c r="KXO3" s="95" t="n"/>
      <c r="KXP3" s="95" t="n"/>
      <c r="KXQ3" s="95" t="n"/>
      <c r="KXR3" s="95" t="n"/>
      <c r="KXS3" s="95" t="n"/>
      <c r="KXT3" s="95" t="n"/>
      <c r="KXU3" s="95" t="n"/>
      <c r="KXV3" s="95" t="n"/>
      <c r="KXW3" s="95" t="n"/>
      <c r="KXX3" s="95" t="n"/>
      <c r="KXY3" s="95" t="n"/>
      <c r="KXZ3" s="95" t="n"/>
      <c r="KYA3" s="95" t="n"/>
      <c r="KYB3" s="95" t="n"/>
      <c r="KYC3" s="95" t="n"/>
      <c r="KYD3" s="95" t="n"/>
      <c r="KYE3" s="95" t="n"/>
      <c r="KYF3" s="95" t="n"/>
      <c r="KYG3" s="95" t="n"/>
      <c r="KYH3" s="95" t="n"/>
      <c r="KYI3" s="95" t="n"/>
      <c r="KYJ3" s="95" t="n"/>
      <c r="KYK3" s="95" t="n"/>
      <c r="KYL3" s="95" t="n"/>
      <c r="KYM3" s="95" t="n"/>
      <c r="KYN3" s="95" t="n"/>
      <c r="KYO3" s="95" t="n"/>
      <c r="KYP3" s="95" t="n"/>
      <c r="KYQ3" s="95" t="n"/>
      <c r="KYR3" s="95" t="n"/>
      <c r="KYS3" s="95" t="n"/>
      <c r="KYT3" s="95" t="n"/>
      <c r="KYU3" s="95" t="n"/>
      <c r="KYV3" s="95" t="n"/>
      <c r="KYW3" s="95" t="n"/>
      <c r="KYX3" s="95" t="n"/>
      <c r="KYY3" s="95" t="n"/>
      <c r="KYZ3" s="95" t="n"/>
      <c r="KZA3" s="95" t="n"/>
      <c r="KZB3" s="95" t="n"/>
      <c r="KZC3" s="95" t="n"/>
      <c r="KZD3" s="95" t="n"/>
      <c r="KZE3" s="95" t="n"/>
      <c r="KZF3" s="95" t="n"/>
      <c r="KZG3" s="95" t="n"/>
      <c r="KZH3" s="95" t="n"/>
      <c r="KZI3" s="95" t="n"/>
      <c r="KZJ3" s="95" t="n"/>
      <c r="KZK3" s="95" t="n"/>
      <c r="KZL3" s="95" t="n"/>
      <c r="KZM3" s="95" t="n"/>
      <c r="KZN3" s="95" t="n"/>
      <c r="KZO3" s="95" t="n"/>
      <c r="KZP3" s="95" t="n"/>
      <c r="KZQ3" s="95" t="n"/>
      <c r="KZR3" s="95" t="n"/>
      <c r="KZS3" s="95" t="n"/>
      <c r="KZT3" s="95" t="n"/>
      <c r="KZU3" s="95" t="n"/>
      <c r="KZV3" s="95" t="n"/>
      <c r="KZW3" s="95" t="n"/>
      <c r="KZX3" s="95" t="n"/>
      <c r="KZY3" s="95" t="n"/>
      <c r="KZZ3" s="95" t="n"/>
      <c r="LAA3" s="95" t="n"/>
      <c r="LAB3" s="95" t="n"/>
      <c r="LAC3" s="95" t="n"/>
      <c r="LAD3" s="95" t="n"/>
      <c r="LAE3" s="95" t="n"/>
      <c r="LAF3" s="95" t="n"/>
      <c r="LAG3" s="95" t="n"/>
      <c r="LAH3" s="95" t="n"/>
      <c r="LAI3" s="95" t="n"/>
      <c r="LAJ3" s="95" t="n"/>
      <c r="LAK3" s="95" t="n"/>
      <c r="LAL3" s="95" t="n"/>
      <c r="LAM3" s="95" t="n"/>
      <c r="LAN3" s="95" t="n"/>
      <c r="LAO3" s="95" t="n"/>
      <c r="LAP3" s="95" t="n"/>
      <c r="LAQ3" s="95" t="n"/>
      <c r="LAR3" s="95" t="n"/>
      <c r="LAS3" s="95" t="n"/>
      <c r="LAT3" s="95" t="n"/>
      <c r="LAU3" s="95" t="n"/>
      <c r="LAV3" s="95" t="n"/>
      <c r="LAW3" s="95" t="n"/>
      <c r="LAX3" s="95" t="n"/>
      <c r="LAY3" s="95" t="n"/>
      <c r="LAZ3" s="95" t="n"/>
      <c r="LBA3" s="95" t="n"/>
      <c r="LBB3" s="95" t="n"/>
      <c r="LBC3" s="95" t="n"/>
      <c r="LBD3" s="95" t="n"/>
      <c r="LBE3" s="95" t="n"/>
      <c r="LBF3" s="95" t="n"/>
      <c r="LBG3" s="95" t="n"/>
      <c r="LBH3" s="95" t="n"/>
      <c r="LBI3" s="95" t="n"/>
      <c r="LBJ3" s="95" t="n"/>
      <c r="LBK3" s="95" t="n"/>
      <c r="LBL3" s="95" t="n"/>
      <c r="LBM3" s="95" t="n"/>
      <c r="LBN3" s="95" t="n"/>
      <c r="LBO3" s="95" t="n"/>
      <c r="LBP3" s="95" t="n"/>
      <c r="LBQ3" s="95" t="n"/>
      <c r="LBR3" s="95" t="n"/>
      <c r="LBS3" s="95" t="n"/>
      <c r="LBT3" s="95" t="n"/>
      <c r="LBU3" s="95" t="n"/>
      <c r="LBV3" s="95" t="n"/>
      <c r="LBW3" s="95" t="n"/>
      <c r="LBX3" s="95" t="n"/>
      <c r="LBY3" s="95" t="n"/>
      <c r="LBZ3" s="95" t="n"/>
      <c r="LCA3" s="95" t="n"/>
      <c r="LCB3" s="95" t="n"/>
      <c r="LCC3" s="95" t="n"/>
      <c r="LCD3" s="95" t="n"/>
      <c r="LCE3" s="95" t="n"/>
      <c r="LCF3" s="95" t="n"/>
      <c r="LCG3" s="95" t="n"/>
      <c r="LCH3" s="95" t="n"/>
      <c r="LCI3" s="95" t="n"/>
      <c r="LCJ3" s="95" t="n"/>
      <c r="LCK3" s="95" t="n"/>
      <c r="LCL3" s="95" t="n"/>
      <c r="LCM3" s="95" t="n"/>
      <c r="LCN3" s="95" t="n"/>
      <c r="LCO3" s="95" t="n"/>
      <c r="LCP3" s="95" t="n"/>
      <c r="LCQ3" s="95" t="n"/>
      <c r="LCR3" s="95" t="n"/>
      <c r="LCS3" s="95" t="n"/>
      <c r="LCT3" s="95" t="n"/>
      <c r="LCU3" s="95" t="n"/>
      <c r="LCV3" s="95" t="n"/>
      <c r="LCW3" s="95" t="n"/>
      <c r="LCX3" s="95" t="n"/>
      <c r="LCY3" s="95" t="n"/>
      <c r="LCZ3" s="95" t="n"/>
      <c r="LDA3" s="95" t="n"/>
      <c r="LDB3" s="95" t="n"/>
      <c r="LDC3" s="95" t="n"/>
      <c r="LDD3" s="95" t="n"/>
      <c r="LDE3" s="95" t="n"/>
      <c r="LDF3" s="95" t="n"/>
      <c r="LDG3" s="95" t="n"/>
      <c r="LDH3" s="95" t="n"/>
      <c r="LDI3" s="95" t="n"/>
      <c r="LDJ3" s="95" t="n"/>
      <c r="LDK3" s="95" t="n"/>
      <c r="LDL3" s="95" t="n"/>
      <c r="LDM3" s="95" t="n"/>
      <c r="LDN3" s="95" t="n"/>
      <c r="LDO3" s="95" t="n"/>
      <c r="LDP3" s="95" t="n"/>
      <c r="LDQ3" s="95" t="n"/>
      <c r="LDR3" s="95" t="n"/>
      <c r="LDS3" s="95" t="n"/>
      <c r="LDT3" s="95" t="n"/>
      <c r="LDU3" s="95" t="n"/>
      <c r="LDV3" s="95" t="n"/>
      <c r="LDW3" s="95" t="n"/>
      <c r="LDX3" s="95" t="n"/>
      <c r="LDY3" s="95" t="n"/>
      <c r="LDZ3" s="95" t="n"/>
      <c r="LEA3" s="95" t="n"/>
      <c r="LEB3" s="95" t="n"/>
      <c r="LEC3" s="95" t="n"/>
      <c r="LED3" s="95" t="n"/>
      <c r="LEE3" s="95" t="n"/>
      <c r="LEF3" s="95" t="n"/>
      <c r="LEG3" s="95" t="n"/>
      <c r="LEH3" s="95" t="n"/>
      <c r="LEI3" s="95" t="n"/>
      <c r="LEJ3" s="95" t="n"/>
      <c r="LEK3" s="95" t="n"/>
      <c r="LEL3" s="95" t="n"/>
      <c r="LEM3" s="95" t="n"/>
      <c r="LEN3" s="95" t="n"/>
      <c r="LEO3" s="95" t="n"/>
      <c r="LEP3" s="95" t="n"/>
      <c r="LEQ3" s="95" t="n"/>
      <c r="LER3" s="95" t="n"/>
      <c r="LES3" s="95" t="n"/>
      <c r="LET3" s="95" t="n"/>
      <c r="LEU3" s="95" t="n"/>
      <c r="LEV3" s="95" t="n"/>
      <c r="LEW3" s="95" t="n"/>
      <c r="LEX3" s="95" t="n"/>
      <c r="LEY3" s="95" t="n"/>
      <c r="LEZ3" s="95" t="n"/>
      <c r="LFA3" s="95" t="n"/>
      <c r="LFB3" s="95" t="n"/>
      <c r="LFC3" s="95" t="n"/>
      <c r="LFD3" s="95" t="n"/>
      <c r="LFE3" s="95" t="n"/>
      <c r="LFF3" s="95" t="n"/>
      <c r="LFG3" s="95" t="n"/>
      <c r="LFH3" s="95" t="n"/>
      <c r="LFI3" s="95" t="n"/>
      <c r="LFJ3" s="95" t="n"/>
      <c r="LFK3" s="95" t="n"/>
      <c r="LFL3" s="95" t="n"/>
      <c r="LFM3" s="95" t="n"/>
      <c r="LFN3" s="95" t="n"/>
      <c r="LFO3" s="95" t="n"/>
      <c r="LFP3" s="95" t="n"/>
      <c r="LFQ3" s="95" t="n"/>
      <c r="LFR3" s="95" t="n"/>
      <c r="LFS3" s="95" t="n"/>
      <c r="LFT3" s="95" t="n"/>
      <c r="LFU3" s="95" t="n"/>
      <c r="LFV3" s="95" t="n"/>
      <c r="LFW3" s="95" t="n"/>
      <c r="LFX3" s="95" t="n"/>
      <c r="LFY3" s="95" t="n"/>
      <c r="LFZ3" s="95" t="n"/>
      <c r="LGA3" s="95" t="n"/>
      <c r="LGB3" s="95" t="n"/>
      <c r="LGC3" s="95" t="n"/>
      <c r="LGD3" s="95" t="n"/>
      <c r="LGE3" s="95" t="n"/>
      <c r="LGF3" s="95" t="n"/>
      <c r="LGG3" s="95" t="n"/>
      <c r="LGH3" s="95" t="n"/>
      <c r="LGI3" s="95" t="n"/>
      <c r="LGJ3" s="95" t="n"/>
      <c r="LGK3" s="95" t="n"/>
      <c r="LGL3" s="95" t="n"/>
      <c r="LGM3" s="95" t="n"/>
      <c r="LGN3" s="95" t="n"/>
      <c r="LGO3" s="95" t="n"/>
      <c r="LGP3" s="95" t="n"/>
      <c r="LGQ3" s="95" t="n"/>
      <c r="LGR3" s="95" t="n"/>
      <c r="LGS3" s="95" t="n"/>
      <c r="LGT3" s="95" t="n"/>
      <c r="LGU3" s="95" t="n"/>
      <c r="LGV3" s="95" t="n"/>
      <c r="LGW3" s="95" t="n"/>
      <c r="LGX3" s="95" t="n"/>
      <c r="LGY3" s="95" t="n"/>
      <c r="LGZ3" s="95" t="n"/>
      <c r="LHA3" s="95" t="n"/>
      <c r="LHB3" s="95" t="n"/>
      <c r="LHC3" s="95" t="n"/>
      <c r="LHD3" s="95" t="n"/>
      <c r="LHE3" s="95" t="n"/>
      <c r="LHF3" s="95" t="n"/>
      <c r="LHG3" s="95" t="n"/>
      <c r="LHH3" s="95" t="n"/>
      <c r="LHI3" s="95" t="n"/>
      <c r="LHJ3" s="95" t="n"/>
      <c r="LHK3" s="95" t="n"/>
      <c r="LHL3" s="95" t="n"/>
      <c r="LHM3" s="95" t="n"/>
      <c r="LHN3" s="95" t="n"/>
      <c r="LHO3" s="95" t="n"/>
      <c r="LHP3" s="95" t="n"/>
      <c r="LHQ3" s="95" t="n"/>
      <c r="LHR3" s="95" t="n"/>
      <c r="LHS3" s="95" t="n"/>
      <c r="LHT3" s="95" t="n"/>
      <c r="LHU3" s="95" t="n"/>
      <c r="LHV3" s="95" t="n"/>
      <c r="LHW3" s="95" t="n"/>
      <c r="LHX3" s="95" t="n"/>
      <c r="LHY3" s="95" t="n"/>
      <c r="LHZ3" s="95" t="n"/>
      <c r="LIA3" s="95" t="n"/>
      <c r="LIB3" s="95" t="n"/>
      <c r="LIC3" s="95" t="n"/>
      <c r="LID3" s="95" t="n"/>
      <c r="LIE3" s="95" t="n"/>
      <c r="LIF3" s="95" t="n"/>
      <c r="LIG3" s="95" t="n"/>
      <c r="LIH3" s="95" t="n"/>
      <c r="LII3" s="95" t="n"/>
      <c r="LIJ3" s="95" t="n"/>
      <c r="LIK3" s="95" t="n"/>
      <c r="LIL3" s="95" t="n"/>
      <c r="LIM3" s="95" t="n"/>
      <c r="LIN3" s="95" t="n"/>
      <c r="LIO3" s="95" t="n"/>
      <c r="LIP3" s="95" t="n"/>
      <c r="LIQ3" s="95" t="n"/>
      <c r="LIR3" s="95" t="n"/>
      <c r="LIS3" s="95" t="n"/>
      <c r="LIT3" s="95" t="n"/>
      <c r="LIU3" s="95" t="n"/>
      <c r="LIV3" s="95" t="n"/>
      <c r="LIW3" s="95" t="n"/>
      <c r="LIX3" s="95" t="n"/>
      <c r="LIY3" s="95" t="n"/>
      <c r="LIZ3" s="95" t="n"/>
      <c r="LJA3" s="95" t="n"/>
      <c r="LJB3" s="95" t="n"/>
      <c r="LJC3" s="95" t="n"/>
      <c r="LJD3" s="95" t="n"/>
      <c r="LJE3" s="95" t="n"/>
      <c r="LJF3" s="95" t="n"/>
      <c r="LJG3" s="95" t="n"/>
      <c r="LJH3" s="95" t="n"/>
      <c r="LJI3" s="95" t="n"/>
      <c r="LJJ3" s="95" t="n"/>
      <c r="LJK3" s="95" t="n"/>
      <c r="LJL3" s="95" t="n"/>
      <c r="LJM3" s="95" t="n"/>
      <c r="LJN3" s="95" t="n"/>
      <c r="LJO3" s="95" t="n"/>
      <c r="LJP3" s="95" t="n"/>
      <c r="LJQ3" s="95" t="n"/>
      <c r="LJR3" s="95" t="n"/>
      <c r="LJS3" s="95" t="n"/>
      <c r="LJT3" s="95" t="n"/>
      <c r="LJU3" s="95" t="n"/>
      <c r="LJV3" s="95" t="n"/>
      <c r="LJW3" s="95" t="n"/>
      <c r="LJX3" s="95" t="n"/>
      <c r="LJY3" s="95" t="n"/>
      <c r="LJZ3" s="95" t="n"/>
      <c r="LKA3" s="95" t="n"/>
      <c r="LKB3" s="95" t="n"/>
      <c r="LKC3" s="95" t="n"/>
      <c r="LKD3" s="95" t="n"/>
      <c r="LKE3" s="95" t="n"/>
      <c r="LKF3" s="95" t="n"/>
      <c r="LKG3" s="95" t="n"/>
      <c r="LKH3" s="95" t="n"/>
      <c r="LKI3" s="95" t="n"/>
      <c r="LKJ3" s="95" t="n"/>
      <c r="LKK3" s="95" t="n"/>
      <c r="LKL3" s="95" t="n"/>
      <c r="LKM3" s="95" t="n"/>
      <c r="LKN3" s="95" t="n"/>
      <c r="LKO3" s="95" t="n"/>
      <c r="LKP3" s="95" t="n"/>
      <c r="LKQ3" s="95" t="n"/>
      <c r="LKR3" s="95" t="n"/>
      <c r="LKS3" s="95" t="n"/>
      <c r="LKT3" s="95" t="n"/>
      <c r="LKU3" s="95" t="n"/>
      <c r="LKV3" s="95" t="n"/>
      <c r="LKW3" s="95" t="n"/>
      <c r="LKX3" s="95" t="n"/>
      <c r="LKY3" s="95" t="n"/>
      <c r="LKZ3" s="95" t="n"/>
      <c r="LLA3" s="95" t="n"/>
      <c r="LLB3" s="95" t="n"/>
      <c r="LLC3" s="95" t="n"/>
      <c r="LLD3" s="95" t="n"/>
      <c r="LLE3" s="95" t="n"/>
      <c r="LLF3" s="95" t="n"/>
      <c r="LLG3" s="95" t="n"/>
      <c r="LLH3" s="95" t="n"/>
      <c r="LLI3" s="95" t="n"/>
      <c r="LLJ3" s="95" t="n"/>
      <c r="LLK3" s="95" t="n"/>
      <c r="LLL3" s="95" t="n"/>
      <c r="LLM3" s="95" t="n"/>
      <c r="LLN3" s="95" t="n"/>
      <c r="LLO3" s="95" t="n"/>
      <c r="LLP3" s="95" t="n"/>
      <c r="LLQ3" s="95" t="n"/>
      <c r="LLR3" s="95" t="n"/>
      <c r="LLS3" s="95" t="n"/>
      <c r="LLT3" s="95" t="n"/>
      <c r="LLU3" s="95" t="n"/>
      <c r="LLV3" s="95" t="n"/>
      <c r="LLW3" s="95" t="n"/>
      <c r="LLX3" s="95" t="n"/>
      <c r="LLY3" s="95" t="n"/>
      <c r="LLZ3" s="95" t="n"/>
      <c r="LMA3" s="95" t="n"/>
      <c r="LMB3" s="95" t="n"/>
      <c r="LMC3" s="95" t="n"/>
      <c r="LMD3" s="95" t="n"/>
      <c r="LME3" s="95" t="n"/>
      <c r="LMF3" s="95" t="n"/>
      <c r="LMG3" s="95" t="n"/>
      <c r="LMH3" s="95" t="n"/>
      <c r="LMI3" s="95" t="n"/>
      <c r="LMJ3" s="95" t="n"/>
      <c r="LMK3" s="95" t="n"/>
      <c r="LML3" s="95" t="n"/>
      <c r="LMM3" s="95" t="n"/>
      <c r="LMN3" s="95" t="n"/>
      <c r="LMO3" s="95" t="n"/>
      <c r="LMP3" s="95" t="n"/>
      <c r="LMQ3" s="95" t="n"/>
      <c r="LMR3" s="95" t="n"/>
      <c r="LMS3" s="95" t="n"/>
      <c r="LMT3" s="95" t="n"/>
      <c r="LMU3" s="95" t="n"/>
      <c r="LMV3" s="95" t="n"/>
      <c r="LMW3" s="95" t="n"/>
      <c r="LMX3" s="95" t="n"/>
      <c r="LMY3" s="95" t="n"/>
      <c r="LMZ3" s="95" t="n"/>
      <c r="LNA3" s="95" t="n"/>
      <c r="LNB3" s="95" t="n"/>
      <c r="LNC3" s="95" t="n"/>
      <c r="LND3" s="95" t="n"/>
      <c r="LNE3" s="95" t="n"/>
      <c r="LNF3" s="95" t="n"/>
      <c r="LNG3" s="95" t="n"/>
      <c r="LNH3" s="95" t="n"/>
      <c r="LNI3" s="95" t="n"/>
      <c r="LNJ3" s="95" t="n"/>
      <c r="LNK3" s="95" t="n"/>
      <c r="LNL3" s="95" t="n"/>
      <c r="LNM3" s="95" t="n"/>
      <c r="LNN3" s="95" t="n"/>
      <c r="LNO3" s="95" t="n"/>
      <c r="LNP3" s="95" t="n"/>
      <c r="LNQ3" s="95" t="n"/>
      <c r="LNR3" s="95" t="n"/>
      <c r="LNS3" s="95" t="n"/>
      <c r="LNT3" s="95" t="n"/>
      <c r="LNU3" s="95" t="n"/>
      <c r="LNV3" s="95" t="n"/>
      <c r="LNW3" s="95" t="n"/>
      <c r="LNX3" s="95" t="n"/>
      <c r="LNY3" s="95" t="n"/>
      <c r="LNZ3" s="95" t="n"/>
      <c r="LOA3" s="95" t="n"/>
      <c r="LOB3" s="95" t="n"/>
      <c r="LOC3" s="95" t="n"/>
      <c r="LOD3" s="95" t="n"/>
      <c r="LOE3" s="95" t="n"/>
      <c r="LOF3" s="95" t="n"/>
      <c r="LOG3" s="95" t="n"/>
      <c r="LOH3" s="95" t="n"/>
      <c r="LOI3" s="95" t="n"/>
      <c r="LOJ3" s="95" t="n"/>
      <c r="LOK3" s="95" t="n"/>
      <c r="LOL3" s="95" t="n"/>
      <c r="LOM3" s="95" t="n"/>
      <c r="LON3" s="95" t="n"/>
      <c r="LOO3" s="95" t="n"/>
      <c r="LOP3" s="95" t="n"/>
      <c r="LOQ3" s="95" t="n"/>
      <c r="LOR3" s="95" t="n"/>
      <c r="LOS3" s="95" t="n"/>
      <c r="LOT3" s="95" t="n"/>
      <c r="LOU3" s="95" t="n"/>
      <c r="LOV3" s="95" t="n"/>
      <c r="LOW3" s="95" t="n"/>
      <c r="LOX3" s="95" t="n"/>
      <c r="LOY3" s="95" t="n"/>
      <c r="LOZ3" s="95" t="n"/>
      <c r="LPA3" s="95" t="n"/>
      <c r="LPB3" s="95" t="n"/>
      <c r="LPC3" s="95" t="n"/>
      <c r="LPD3" s="95" t="n"/>
      <c r="LPE3" s="95" t="n"/>
      <c r="LPF3" s="95" t="n"/>
      <c r="LPG3" s="95" t="n"/>
      <c r="LPH3" s="95" t="n"/>
      <c r="LPI3" s="95" t="n"/>
      <c r="LPJ3" s="95" t="n"/>
      <c r="LPK3" s="95" t="n"/>
      <c r="LPL3" s="95" t="n"/>
      <c r="LPM3" s="95" t="n"/>
      <c r="LPN3" s="95" t="n"/>
      <c r="LPO3" s="95" t="n"/>
      <c r="LPP3" s="95" t="n"/>
      <c r="LPQ3" s="95" t="n"/>
      <c r="LPR3" s="95" t="n"/>
      <c r="LPS3" s="95" t="n"/>
      <c r="LPT3" s="95" t="n"/>
      <c r="LPU3" s="95" t="n"/>
      <c r="LPV3" s="95" t="n"/>
      <c r="LPW3" s="95" t="n"/>
      <c r="LPX3" s="95" t="n"/>
      <c r="LPY3" s="95" t="n"/>
      <c r="LPZ3" s="95" t="n"/>
      <c r="LQA3" s="95" t="n"/>
      <c r="LQB3" s="95" t="n"/>
      <c r="LQC3" s="95" t="n"/>
      <c r="LQD3" s="95" t="n"/>
      <c r="LQE3" s="95" t="n"/>
      <c r="LQF3" s="95" t="n"/>
      <c r="LQG3" s="95" t="n"/>
      <c r="LQH3" s="95" t="n"/>
      <c r="LQI3" s="95" t="n"/>
      <c r="LQJ3" s="95" t="n"/>
      <c r="LQK3" s="95" t="n"/>
      <c r="LQL3" s="95" t="n"/>
      <c r="LQM3" s="95" t="n"/>
      <c r="LQN3" s="95" t="n"/>
      <c r="LQO3" s="95" t="n"/>
      <c r="LQP3" s="95" t="n"/>
      <c r="LQQ3" s="95" t="n"/>
      <c r="LQR3" s="95" t="n"/>
      <c r="LQS3" s="95" t="n"/>
      <c r="LQT3" s="95" t="n"/>
      <c r="LQU3" s="95" t="n"/>
      <c r="LQV3" s="95" t="n"/>
      <c r="LQW3" s="95" t="n"/>
      <c r="LQX3" s="95" t="n"/>
      <c r="LQY3" s="95" t="n"/>
      <c r="LQZ3" s="95" t="n"/>
      <c r="LRA3" s="95" t="n"/>
      <c r="LRB3" s="95" t="n"/>
      <c r="LRC3" s="95" t="n"/>
      <c r="LRD3" s="95" t="n"/>
      <c r="LRE3" s="95" t="n"/>
      <c r="LRF3" s="95" t="n"/>
      <c r="LRG3" s="95" t="n"/>
      <c r="LRH3" s="95" t="n"/>
      <c r="LRI3" s="95" t="n"/>
      <c r="LRJ3" s="95" t="n"/>
      <c r="LRK3" s="95" t="n"/>
      <c r="LRL3" s="95" t="n"/>
      <c r="LRM3" s="95" t="n"/>
      <c r="LRN3" s="95" t="n"/>
      <c r="LRO3" s="95" t="n"/>
      <c r="LRP3" s="95" t="n"/>
      <c r="LRQ3" s="95" t="n"/>
      <c r="LRR3" s="95" t="n"/>
      <c r="LRS3" s="95" t="n"/>
      <c r="LRT3" s="95" t="n"/>
      <c r="LRU3" s="95" t="n"/>
      <c r="LRV3" s="95" t="n"/>
      <c r="LRW3" s="95" t="n"/>
      <c r="LRX3" s="95" t="n"/>
      <c r="LRY3" s="95" t="n"/>
      <c r="LRZ3" s="95" t="n"/>
      <c r="LSA3" s="95" t="n"/>
      <c r="LSB3" s="95" t="n"/>
      <c r="LSC3" s="95" t="n"/>
      <c r="LSD3" s="95" t="n"/>
      <c r="LSE3" s="95" t="n"/>
      <c r="LSF3" s="95" t="n"/>
      <c r="LSG3" s="95" t="n"/>
      <c r="LSH3" s="95" t="n"/>
      <c r="LSI3" s="95" t="n"/>
      <c r="LSJ3" s="95" t="n"/>
      <c r="LSK3" s="95" t="n"/>
      <c r="LSL3" s="95" t="n"/>
      <c r="LSM3" s="95" t="n"/>
      <c r="LSN3" s="95" t="n"/>
      <c r="LSO3" s="95" t="n"/>
      <c r="LSP3" s="95" t="n"/>
      <c r="LSQ3" s="95" t="n"/>
      <c r="LSR3" s="95" t="n"/>
      <c r="LSS3" s="95" t="n"/>
      <c r="LST3" s="95" t="n"/>
      <c r="LSU3" s="95" t="n"/>
      <c r="LSV3" s="95" t="n"/>
      <c r="LSW3" s="95" t="n"/>
      <c r="LSX3" s="95" t="n"/>
      <c r="LSY3" s="95" t="n"/>
      <c r="LSZ3" s="95" t="n"/>
      <c r="LTA3" s="95" t="n"/>
      <c r="LTB3" s="95" t="n"/>
      <c r="LTC3" s="95" t="n"/>
      <c r="LTD3" s="95" t="n"/>
      <c r="LTE3" s="95" t="n"/>
      <c r="LTF3" s="95" t="n"/>
      <c r="LTG3" s="95" t="n"/>
      <c r="LTH3" s="95" t="n"/>
      <c r="LTI3" s="95" t="n"/>
      <c r="LTJ3" s="95" t="n"/>
      <c r="LTK3" s="95" t="n"/>
      <c r="LTL3" s="95" t="n"/>
      <c r="LTM3" s="95" t="n"/>
      <c r="LTN3" s="95" t="n"/>
      <c r="LTO3" s="95" t="n"/>
      <c r="LTP3" s="95" t="n"/>
      <c r="LTQ3" s="95" t="n"/>
      <c r="LTR3" s="95" t="n"/>
      <c r="LTS3" s="95" t="n"/>
      <c r="LTT3" s="95" t="n"/>
      <c r="LTU3" s="95" t="n"/>
      <c r="LTV3" s="95" t="n"/>
      <c r="LTW3" s="95" t="n"/>
      <c r="LTX3" s="95" t="n"/>
      <c r="LTY3" s="95" t="n"/>
      <c r="LTZ3" s="95" t="n"/>
      <c r="LUA3" s="95" t="n"/>
      <c r="LUB3" s="95" t="n"/>
      <c r="LUC3" s="95" t="n"/>
      <c r="LUD3" s="95" t="n"/>
      <c r="LUE3" s="95" t="n"/>
      <c r="LUF3" s="95" t="n"/>
      <c r="LUG3" s="95" t="n"/>
      <c r="LUH3" s="95" t="n"/>
      <c r="LUI3" s="95" t="n"/>
      <c r="LUJ3" s="95" t="n"/>
      <c r="LUK3" s="95" t="n"/>
      <c r="LUL3" s="95" t="n"/>
      <c r="LUM3" s="95" t="n"/>
      <c r="LUN3" s="95" t="n"/>
      <c r="LUO3" s="95" t="n"/>
      <c r="LUP3" s="95" t="n"/>
      <c r="LUQ3" s="95" t="n"/>
      <c r="LUR3" s="95" t="n"/>
      <c r="LUS3" s="95" t="n"/>
      <c r="LUT3" s="95" t="n"/>
      <c r="LUU3" s="95" t="n"/>
      <c r="LUV3" s="95" t="n"/>
      <c r="LUW3" s="95" t="n"/>
      <c r="LUX3" s="95" t="n"/>
      <c r="LUY3" s="95" t="n"/>
      <c r="LUZ3" s="95" t="n"/>
      <c r="LVA3" s="95" t="n"/>
      <c r="LVB3" s="95" t="n"/>
      <c r="LVC3" s="95" t="n"/>
      <c r="LVD3" s="95" t="n"/>
      <c r="LVE3" s="95" t="n"/>
      <c r="LVF3" s="95" t="n"/>
      <c r="LVG3" s="95" t="n"/>
      <c r="LVH3" s="95" t="n"/>
      <c r="LVI3" s="95" t="n"/>
      <c r="LVJ3" s="95" t="n"/>
      <c r="LVK3" s="95" t="n"/>
      <c r="LVL3" s="95" t="n"/>
      <c r="LVM3" s="95" t="n"/>
      <c r="LVN3" s="95" t="n"/>
      <c r="LVO3" s="95" t="n"/>
      <c r="LVP3" s="95" t="n"/>
      <c r="LVQ3" s="95" t="n"/>
      <c r="LVR3" s="95" t="n"/>
      <c r="LVS3" s="95" t="n"/>
      <c r="LVT3" s="95" t="n"/>
      <c r="LVU3" s="95" t="n"/>
      <c r="LVV3" s="95" t="n"/>
      <c r="LVW3" s="95" t="n"/>
      <c r="LVX3" s="95" t="n"/>
      <c r="LVY3" s="95" t="n"/>
      <c r="LVZ3" s="95" t="n"/>
      <c r="LWA3" s="95" t="n"/>
      <c r="LWB3" s="95" t="n"/>
      <c r="LWC3" s="95" t="n"/>
      <c r="LWD3" s="95" t="n"/>
      <c r="LWE3" s="95" t="n"/>
      <c r="LWF3" s="95" t="n"/>
      <c r="LWG3" s="95" t="n"/>
      <c r="LWH3" s="95" t="n"/>
      <c r="LWI3" s="95" t="n"/>
      <c r="LWJ3" s="95" t="n"/>
      <c r="LWK3" s="95" t="n"/>
      <c r="LWL3" s="95" t="n"/>
      <c r="LWM3" s="95" t="n"/>
      <c r="LWN3" s="95" t="n"/>
      <c r="LWO3" s="95" t="n"/>
      <c r="LWP3" s="95" t="n"/>
      <c r="LWQ3" s="95" t="n"/>
      <c r="LWR3" s="95" t="n"/>
      <c r="LWS3" s="95" t="n"/>
      <c r="LWT3" s="95" t="n"/>
      <c r="LWU3" s="95" t="n"/>
      <c r="LWV3" s="95" t="n"/>
      <c r="LWW3" s="95" t="n"/>
      <c r="LWX3" s="95" t="n"/>
      <c r="LWY3" s="95" t="n"/>
      <c r="LWZ3" s="95" t="n"/>
      <c r="LXA3" s="95" t="n"/>
      <c r="LXB3" s="95" t="n"/>
      <c r="LXC3" s="95" t="n"/>
      <c r="LXD3" s="95" t="n"/>
      <c r="LXE3" s="95" t="n"/>
      <c r="LXF3" s="95" t="n"/>
      <c r="LXG3" s="95" t="n"/>
      <c r="LXH3" s="95" t="n"/>
      <c r="LXI3" s="95" t="n"/>
      <c r="LXJ3" s="95" t="n"/>
      <c r="LXK3" s="95" t="n"/>
      <c r="LXL3" s="95" t="n"/>
      <c r="LXM3" s="95" t="n"/>
      <c r="LXN3" s="95" t="n"/>
      <c r="LXO3" s="95" t="n"/>
      <c r="LXP3" s="95" t="n"/>
      <c r="LXQ3" s="95" t="n"/>
      <c r="LXR3" s="95" t="n"/>
      <c r="LXS3" s="95" t="n"/>
      <c r="LXT3" s="95" t="n"/>
      <c r="LXU3" s="95" t="n"/>
      <c r="LXV3" s="95" t="n"/>
      <c r="LXW3" s="95" t="n"/>
      <c r="LXX3" s="95" t="n"/>
      <c r="LXY3" s="95" t="n"/>
      <c r="LXZ3" s="95" t="n"/>
      <c r="LYA3" s="95" t="n"/>
      <c r="LYB3" s="95" t="n"/>
      <c r="LYC3" s="95" t="n"/>
      <c r="LYD3" s="95" t="n"/>
      <c r="LYE3" s="95" t="n"/>
      <c r="LYF3" s="95" t="n"/>
      <c r="LYG3" s="95" t="n"/>
      <c r="LYH3" s="95" t="n"/>
      <c r="LYI3" s="95" t="n"/>
      <c r="LYJ3" s="95" t="n"/>
      <c r="LYK3" s="95" t="n"/>
      <c r="LYL3" s="95" t="n"/>
      <c r="LYM3" s="95" t="n"/>
      <c r="LYN3" s="95" t="n"/>
      <c r="LYO3" s="95" t="n"/>
      <c r="LYP3" s="95" t="n"/>
      <c r="LYQ3" s="95" t="n"/>
      <c r="LYR3" s="95" t="n"/>
      <c r="LYS3" s="95" t="n"/>
      <c r="LYT3" s="95" t="n"/>
      <c r="LYU3" s="95" t="n"/>
      <c r="LYV3" s="95" t="n"/>
      <c r="LYW3" s="95" t="n"/>
      <c r="LYX3" s="95" t="n"/>
      <c r="LYY3" s="95" t="n"/>
      <c r="LYZ3" s="95" t="n"/>
      <c r="LZA3" s="95" t="n"/>
      <c r="LZB3" s="95" t="n"/>
      <c r="LZC3" s="95" t="n"/>
      <c r="LZD3" s="95" t="n"/>
      <c r="LZE3" s="95" t="n"/>
      <c r="LZF3" s="95" t="n"/>
      <c r="LZG3" s="95" t="n"/>
      <c r="LZH3" s="95" t="n"/>
      <c r="LZI3" s="95" t="n"/>
      <c r="LZJ3" s="95" t="n"/>
      <c r="LZK3" s="95" t="n"/>
      <c r="LZL3" s="95" t="n"/>
      <c r="LZM3" s="95" t="n"/>
      <c r="LZN3" s="95" t="n"/>
      <c r="LZO3" s="95" t="n"/>
      <c r="LZP3" s="95" t="n"/>
      <c r="LZQ3" s="95" t="n"/>
      <c r="LZR3" s="95" t="n"/>
      <c r="LZS3" s="95" t="n"/>
      <c r="LZT3" s="95" t="n"/>
      <c r="LZU3" s="95" t="n"/>
      <c r="LZV3" s="95" t="n"/>
      <c r="LZW3" s="95" t="n"/>
      <c r="LZX3" s="95" t="n"/>
      <c r="LZY3" s="95" t="n"/>
      <c r="LZZ3" s="95" t="n"/>
      <c r="MAA3" s="95" t="n"/>
      <c r="MAB3" s="95" t="n"/>
      <c r="MAC3" s="95" t="n"/>
      <c r="MAD3" s="95" t="n"/>
      <c r="MAE3" s="95" t="n"/>
      <c r="MAF3" s="95" t="n"/>
      <c r="MAG3" s="95" t="n"/>
      <c r="MAH3" s="95" t="n"/>
      <c r="MAI3" s="95" t="n"/>
      <c r="MAJ3" s="95" t="n"/>
      <c r="MAK3" s="95" t="n"/>
      <c r="MAL3" s="95" t="n"/>
      <c r="MAM3" s="95" t="n"/>
      <c r="MAN3" s="95" t="n"/>
      <c r="MAO3" s="95" t="n"/>
      <c r="MAP3" s="95" t="n"/>
      <c r="MAQ3" s="95" t="n"/>
      <c r="MAR3" s="95" t="n"/>
      <c r="MAS3" s="95" t="n"/>
      <c r="MAT3" s="95" t="n"/>
      <c r="MAU3" s="95" t="n"/>
      <c r="MAV3" s="95" t="n"/>
      <c r="MAW3" s="95" t="n"/>
      <c r="MAX3" s="95" t="n"/>
      <c r="MAY3" s="95" t="n"/>
      <c r="MAZ3" s="95" t="n"/>
      <c r="MBA3" s="95" t="n"/>
      <c r="MBB3" s="95" t="n"/>
      <c r="MBC3" s="95" t="n"/>
      <c r="MBD3" s="95" t="n"/>
      <c r="MBE3" s="95" t="n"/>
      <c r="MBF3" s="95" t="n"/>
      <c r="MBG3" s="95" t="n"/>
      <c r="MBH3" s="95" t="n"/>
      <c r="MBI3" s="95" t="n"/>
      <c r="MBJ3" s="95" t="n"/>
      <c r="MBK3" s="95" t="n"/>
      <c r="MBL3" s="95" t="n"/>
      <c r="MBM3" s="95" t="n"/>
      <c r="MBN3" s="95" t="n"/>
      <c r="MBO3" s="95" t="n"/>
      <c r="MBP3" s="95" t="n"/>
      <c r="MBQ3" s="95" t="n"/>
      <c r="MBR3" s="95" t="n"/>
      <c r="MBS3" s="95" t="n"/>
      <c r="MBT3" s="95" t="n"/>
      <c r="MBU3" s="95" t="n"/>
      <c r="MBV3" s="95" t="n"/>
      <c r="MBW3" s="95" t="n"/>
      <c r="MBX3" s="95" t="n"/>
      <c r="MBY3" s="95" t="n"/>
      <c r="MBZ3" s="95" t="n"/>
      <c r="MCA3" s="95" t="n"/>
      <c r="MCB3" s="95" t="n"/>
      <c r="MCC3" s="95" t="n"/>
      <c r="MCD3" s="95" t="n"/>
      <c r="MCE3" s="95" t="n"/>
      <c r="MCF3" s="95" t="n"/>
      <c r="MCG3" s="95" t="n"/>
      <c r="MCH3" s="95" t="n"/>
      <c r="MCI3" s="95" t="n"/>
      <c r="MCJ3" s="95" t="n"/>
      <c r="MCK3" s="95" t="n"/>
      <c r="MCL3" s="95" t="n"/>
      <c r="MCM3" s="95" t="n"/>
      <c r="MCN3" s="95" t="n"/>
      <c r="MCO3" s="95" t="n"/>
      <c r="MCP3" s="95" t="n"/>
      <c r="MCQ3" s="95" t="n"/>
      <c r="MCR3" s="95" t="n"/>
      <c r="MCS3" s="95" t="n"/>
      <c r="MCT3" s="95" t="n"/>
      <c r="MCU3" s="95" t="n"/>
      <c r="MCV3" s="95" t="n"/>
      <c r="MCW3" s="95" t="n"/>
      <c r="MCX3" s="95" t="n"/>
      <c r="MCY3" s="95" t="n"/>
      <c r="MCZ3" s="95" t="n"/>
      <c r="MDA3" s="95" t="n"/>
      <c r="MDB3" s="95" t="n"/>
      <c r="MDC3" s="95" t="n"/>
      <c r="MDD3" s="95" t="n"/>
      <c r="MDE3" s="95" t="n"/>
      <c r="MDF3" s="95" t="n"/>
      <c r="MDG3" s="95" t="n"/>
      <c r="MDH3" s="95" t="n"/>
      <c r="MDI3" s="95" t="n"/>
      <c r="MDJ3" s="95" t="n"/>
      <c r="MDK3" s="95" t="n"/>
      <c r="MDL3" s="95" t="n"/>
      <c r="MDM3" s="95" t="n"/>
      <c r="MDN3" s="95" t="n"/>
      <c r="MDO3" s="95" t="n"/>
      <c r="MDP3" s="95" t="n"/>
      <c r="MDQ3" s="95" t="n"/>
      <c r="MDR3" s="95" t="n"/>
      <c r="MDS3" s="95" t="n"/>
      <c r="MDT3" s="95" t="n"/>
      <c r="MDU3" s="95" t="n"/>
      <c r="MDV3" s="95" t="n"/>
      <c r="MDW3" s="95" t="n"/>
      <c r="MDX3" s="95" t="n"/>
      <c r="MDY3" s="95" t="n"/>
      <c r="MDZ3" s="95" t="n"/>
      <c r="MEA3" s="95" t="n"/>
      <c r="MEB3" s="95" t="n"/>
      <c r="MEC3" s="95" t="n"/>
      <c r="MED3" s="95" t="n"/>
      <c r="MEE3" s="95" t="n"/>
      <c r="MEF3" s="95" t="n"/>
      <c r="MEG3" s="95" t="n"/>
      <c r="MEH3" s="95" t="n"/>
      <c r="MEI3" s="95" t="n"/>
      <c r="MEJ3" s="95" t="n"/>
      <c r="MEK3" s="95" t="n"/>
      <c r="MEL3" s="95" t="n"/>
      <c r="MEM3" s="95" t="n"/>
      <c r="MEN3" s="95" t="n"/>
      <c r="MEO3" s="95" t="n"/>
      <c r="MEP3" s="95" t="n"/>
      <c r="MEQ3" s="95" t="n"/>
      <c r="MER3" s="95" t="n"/>
      <c r="MES3" s="95" t="n"/>
      <c r="MET3" s="95" t="n"/>
      <c r="MEU3" s="95" t="n"/>
      <c r="MEV3" s="95" t="n"/>
      <c r="MEW3" s="95" t="n"/>
      <c r="MEX3" s="95" t="n"/>
      <c r="MEY3" s="95" t="n"/>
      <c r="MEZ3" s="95" t="n"/>
      <c r="MFA3" s="95" t="n"/>
      <c r="MFB3" s="95" t="n"/>
      <c r="MFC3" s="95" t="n"/>
      <c r="MFD3" s="95" t="n"/>
      <c r="MFE3" s="95" t="n"/>
      <c r="MFF3" s="95" t="n"/>
      <c r="MFG3" s="95" t="n"/>
      <c r="MFH3" s="95" t="n"/>
      <c r="MFI3" s="95" t="n"/>
      <c r="MFJ3" s="95" t="n"/>
      <c r="MFK3" s="95" t="n"/>
      <c r="MFL3" s="95" t="n"/>
      <c r="MFM3" s="95" t="n"/>
      <c r="MFN3" s="95" t="n"/>
      <c r="MFO3" s="95" t="n"/>
      <c r="MFP3" s="95" t="n"/>
      <c r="MFQ3" s="95" t="n"/>
      <c r="MFR3" s="95" t="n"/>
      <c r="MFS3" s="95" t="n"/>
      <c r="MFT3" s="95" t="n"/>
      <c r="MFU3" s="95" t="n"/>
      <c r="MFV3" s="95" t="n"/>
      <c r="MFW3" s="95" t="n"/>
      <c r="MFX3" s="95" t="n"/>
      <c r="MFY3" s="95" t="n"/>
      <c r="MFZ3" s="95" t="n"/>
      <c r="MGA3" s="95" t="n"/>
      <c r="MGB3" s="95" t="n"/>
      <c r="MGC3" s="95" t="n"/>
      <c r="MGD3" s="95" t="n"/>
      <c r="MGE3" s="95" t="n"/>
      <c r="MGF3" s="95" t="n"/>
      <c r="MGG3" s="95" t="n"/>
      <c r="MGH3" s="95" t="n"/>
      <c r="MGI3" s="95" t="n"/>
      <c r="MGJ3" s="95" t="n"/>
      <c r="MGK3" s="95" t="n"/>
      <c r="MGL3" s="95" t="n"/>
      <c r="MGM3" s="95" t="n"/>
      <c r="MGN3" s="95" t="n"/>
      <c r="MGO3" s="95" t="n"/>
      <c r="MGP3" s="95" t="n"/>
      <c r="MGQ3" s="95" t="n"/>
      <c r="MGR3" s="95" t="n"/>
      <c r="MGS3" s="95" t="n"/>
      <c r="MGT3" s="95" t="n"/>
      <c r="MGU3" s="95" t="n"/>
      <c r="MGV3" s="95" t="n"/>
      <c r="MGW3" s="95" t="n"/>
      <c r="MGX3" s="95" t="n"/>
      <c r="MGY3" s="95" t="n"/>
      <c r="MGZ3" s="95" t="n"/>
      <c r="MHA3" s="95" t="n"/>
      <c r="MHB3" s="95" t="n"/>
      <c r="MHC3" s="95" t="n"/>
      <c r="MHD3" s="95" t="n"/>
      <c r="MHE3" s="95" t="n"/>
      <c r="MHF3" s="95" t="n"/>
      <c r="MHG3" s="95" t="n"/>
      <c r="MHH3" s="95" t="n"/>
      <c r="MHI3" s="95" t="n"/>
      <c r="MHJ3" s="95" t="n"/>
      <c r="MHK3" s="95" t="n"/>
      <c r="MHL3" s="95" t="n"/>
      <c r="MHM3" s="95" t="n"/>
      <c r="MHN3" s="95" t="n"/>
      <c r="MHO3" s="95" t="n"/>
      <c r="MHP3" s="95" t="n"/>
      <c r="MHQ3" s="95" t="n"/>
      <c r="MHR3" s="95" t="n"/>
      <c r="MHS3" s="95" t="n"/>
      <c r="MHT3" s="95" t="n"/>
      <c r="MHU3" s="95" t="n"/>
      <c r="MHV3" s="95" t="n"/>
      <c r="MHW3" s="95" t="n"/>
      <c r="MHX3" s="95" t="n"/>
      <c r="MHY3" s="95" t="n"/>
      <c r="MHZ3" s="95" t="n"/>
      <c r="MIA3" s="95" t="n"/>
      <c r="MIB3" s="95" t="n"/>
      <c r="MIC3" s="95" t="n"/>
      <c r="MID3" s="95" t="n"/>
      <c r="MIE3" s="95" t="n"/>
      <c r="MIF3" s="95" t="n"/>
      <c r="MIG3" s="95" t="n"/>
      <c r="MIH3" s="95" t="n"/>
      <c r="MII3" s="95" t="n"/>
      <c r="MIJ3" s="95" t="n"/>
      <c r="MIK3" s="95" t="n"/>
      <c r="MIL3" s="95" t="n"/>
      <c r="MIM3" s="95" t="n"/>
      <c r="MIN3" s="95" t="n"/>
      <c r="MIO3" s="95" t="n"/>
      <c r="MIP3" s="95" t="n"/>
      <c r="MIQ3" s="95" t="n"/>
      <c r="MIR3" s="95" t="n"/>
      <c r="MIS3" s="95" t="n"/>
      <c r="MIT3" s="95" t="n"/>
      <c r="MIU3" s="95" t="n"/>
      <c r="MIV3" s="95" t="n"/>
      <c r="MIW3" s="95" t="n"/>
      <c r="MIX3" s="95" t="n"/>
      <c r="MIY3" s="95" t="n"/>
      <c r="MIZ3" s="95" t="n"/>
      <c r="MJA3" s="95" t="n"/>
      <c r="MJB3" s="95" t="n"/>
      <c r="MJC3" s="95" t="n"/>
      <c r="MJD3" s="95" t="n"/>
      <c r="MJE3" s="95" t="n"/>
      <c r="MJF3" s="95" t="n"/>
      <c r="MJG3" s="95" t="n"/>
      <c r="MJH3" s="95" t="n"/>
      <c r="MJI3" s="95" t="n"/>
      <c r="MJJ3" s="95" t="n"/>
      <c r="MJK3" s="95" t="n"/>
      <c r="MJL3" s="95" t="n"/>
      <c r="MJM3" s="95" t="n"/>
      <c r="MJN3" s="95" t="n"/>
      <c r="MJO3" s="95" t="n"/>
      <c r="MJP3" s="95" t="n"/>
      <c r="MJQ3" s="95" t="n"/>
      <c r="MJR3" s="95" t="n"/>
      <c r="MJS3" s="95" t="n"/>
      <c r="MJT3" s="95" t="n"/>
      <c r="MJU3" s="95" t="n"/>
      <c r="MJV3" s="95" t="n"/>
      <c r="MJW3" s="95" t="n"/>
      <c r="MJX3" s="95" t="n"/>
      <c r="MJY3" s="95" t="n"/>
      <c r="MJZ3" s="95" t="n"/>
      <c r="MKA3" s="95" t="n"/>
      <c r="MKB3" s="95" t="n"/>
      <c r="MKC3" s="95" t="n"/>
      <c r="MKD3" s="95" t="n"/>
      <c r="MKE3" s="95" t="n"/>
      <c r="MKF3" s="95" t="n"/>
      <c r="MKG3" s="95" t="n"/>
      <c r="MKH3" s="95" t="n"/>
      <c r="MKI3" s="95" t="n"/>
      <c r="MKJ3" s="95" t="n"/>
      <c r="MKK3" s="95" t="n"/>
      <c r="MKL3" s="95" t="n"/>
      <c r="MKM3" s="95" t="n"/>
      <c r="MKN3" s="95" t="n"/>
      <c r="MKO3" s="95" t="n"/>
      <c r="MKP3" s="95" t="n"/>
      <c r="MKQ3" s="95" t="n"/>
      <c r="MKR3" s="95" t="n"/>
      <c r="MKS3" s="95" t="n"/>
      <c r="MKT3" s="95" t="n"/>
      <c r="MKU3" s="95" t="n"/>
      <c r="MKV3" s="95" t="n"/>
      <c r="MKW3" s="95" t="n"/>
      <c r="MKX3" s="95" t="n"/>
      <c r="MKY3" s="95" t="n"/>
      <c r="MKZ3" s="95" t="n"/>
      <c r="MLA3" s="95" t="n"/>
      <c r="MLB3" s="95" t="n"/>
      <c r="MLC3" s="95" t="n"/>
      <c r="MLD3" s="95" t="n"/>
      <c r="MLE3" s="95" t="n"/>
      <c r="MLF3" s="95" t="n"/>
      <c r="MLG3" s="95" t="n"/>
      <c r="MLH3" s="95" t="n"/>
      <c r="MLI3" s="95" t="n"/>
      <c r="MLJ3" s="95" t="n"/>
      <c r="MLK3" s="95" t="n"/>
      <c r="MLL3" s="95" t="n"/>
      <c r="MLM3" s="95" t="n"/>
      <c r="MLN3" s="95" t="n"/>
      <c r="MLO3" s="95" t="n"/>
      <c r="MLP3" s="95" t="n"/>
      <c r="MLQ3" s="95" t="n"/>
      <c r="MLR3" s="95" t="n"/>
      <c r="MLS3" s="95" t="n"/>
      <c r="MLT3" s="95" t="n"/>
      <c r="MLU3" s="95" t="n"/>
      <c r="MLV3" s="95" t="n"/>
      <c r="MLW3" s="95" t="n"/>
      <c r="MLX3" s="95" t="n"/>
      <c r="MLY3" s="95" t="n"/>
      <c r="MLZ3" s="95" t="n"/>
      <c r="MMA3" s="95" t="n"/>
      <c r="MMB3" s="95" t="n"/>
      <c r="MMC3" s="95" t="n"/>
      <c r="MMD3" s="95" t="n"/>
      <c r="MME3" s="95" t="n"/>
      <c r="MMF3" s="95" t="n"/>
      <c r="MMG3" s="95" t="n"/>
      <c r="MMH3" s="95" t="n"/>
      <c r="MMI3" s="95" t="n"/>
      <c r="MMJ3" s="95" t="n"/>
      <c r="MMK3" s="95" t="n"/>
      <c r="MML3" s="95" t="n"/>
      <c r="MMM3" s="95" t="n"/>
      <c r="MMN3" s="95" t="n"/>
      <c r="MMO3" s="95" t="n"/>
      <c r="MMP3" s="95" t="n"/>
      <c r="MMQ3" s="95" t="n"/>
      <c r="MMR3" s="95" t="n"/>
      <c r="MMS3" s="95" t="n"/>
      <c r="MMT3" s="95" t="n"/>
      <c r="MMU3" s="95" t="n"/>
      <c r="MMV3" s="95" t="n"/>
      <c r="MMW3" s="95" t="n"/>
      <c r="MMX3" s="95" t="n"/>
      <c r="MMY3" s="95" t="n"/>
      <c r="MMZ3" s="95" t="n"/>
      <c r="MNA3" s="95" t="n"/>
      <c r="MNB3" s="95" t="n"/>
      <c r="MNC3" s="95" t="n"/>
      <c r="MND3" s="95" t="n"/>
      <c r="MNE3" s="95" t="n"/>
      <c r="MNF3" s="95" t="n"/>
      <c r="MNG3" s="95" t="n"/>
      <c r="MNH3" s="95" t="n"/>
      <c r="MNI3" s="95" t="n"/>
      <c r="MNJ3" s="95" t="n"/>
      <c r="MNK3" s="95" t="n"/>
      <c r="MNL3" s="95" t="n"/>
      <c r="MNM3" s="95" t="n"/>
      <c r="MNN3" s="95" t="n"/>
      <c r="MNO3" s="95" t="n"/>
      <c r="MNP3" s="95" t="n"/>
      <c r="MNQ3" s="95" t="n"/>
      <c r="MNR3" s="95" t="n"/>
      <c r="MNS3" s="95" t="n"/>
      <c r="MNT3" s="95" t="n"/>
      <c r="MNU3" s="95" t="n"/>
      <c r="MNV3" s="95" t="n"/>
      <c r="MNW3" s="95" t="n"/>
      <c r="MNX3" s="95" t="n"/>
      <c r="MNY3" s="95" t="n"/>
      <c r="MNZ3" s="95" t="n"/>
      <c r="MOA3" s="95" t="n"/>
      <c r="MOB3" s="95" t="n"/>
      <c r="MOC3" s="95" t="n"/>
      <c r="MOD3" s="95" t="n"/>
      <c r="MOE3" s="95" t="n"/>
      <c r="MOF3" s="95" t="n"/>
      <c r="MOG3" s="95" t="n"/>
      <c r="MOH3" s="95" t="n"/>
      <c r="MOI3" s="95" t="n"/>
      <c r="MOJ3" s="95" t="n"/>
      <c r="MOK3" s="95" t="n"/>
      <c r="MOL3" s="95" t="n"/>
      <c r="MOM3" s="95" t="n"/>
      <c r="MON3" s="95" t="n"/>
      <c r="MOO3" s="95" t="n"/>
      <c r="MOP3" s="95" t="n"/>
      <c r="MOQ3" s="95" t="n"/>
      <c r="MOR3" s="95" t="n"/>
      <c r="MOS3" s="95" t="n"/>
      <c r="MOT3" s="95" t="n"/>
      <c r="MOU3" s="95" t="n"/>
      <c r="MOV3" s="95" t="n"/>
      <c r="MOW3" s="95" t="n"/>
      <c r="MOX3" s="95" t="n"/>
      <c r="MOY3" s="95" t="n"/>
      <c r="MOZ3" s="95" t="n"/>
      <c r="MPA3" s="95" t="n"/>
      <c r="MPB3" s="95" t="n"/>
      <c r="MPC3" s="95" t="n"/>
      <c r="MPD3" s="95" t="n"/>
      <c r="MPE3" s="95" t="n"/>
      <c r="MPF3" s="95" t="n"/>
      <c r="MPG3" s="95" t="n"/>
      <c r="MPH3" s="95" t="n"/>
      <c r="MPI3" s="95" t="n"/>
      <c r="MPJ3" s="95" t="n"/>
      <c r="MPK3" s="95" t="n"/>
      <c r="MPL3" s="95" t="n"/>
      <c r="MPM3" s="95" t="n"/>
      <c r="MPN3" s="95" t="n"/>
      <c r="MPO3" s="95" t="n"/>
      <c r="MPP3" s="95" t="n"/>
      <c r="MPQ3" s="95" t="n"/>
      <c r="MPR3" s="95" t="n"/>
      <c r="MPS3" s="95" t="n"/>
      <c r="MPT3" s="95" t="n"/>
      <c r="MPU3" s="95" t="n"/>
      <c r="MPV3" s="95" t="n"/>
      <c r="MPW3" s="95" t="n"/>
      <c r="MPX3" s="95" t="n"/>
      <c r="MPY3" s="95" t="n"/>
      <c r="MPZ3" s="95" t="n"/>
      <c r="MQA3" s="95" t="n"/>
      <c r="MQB3" s="95" t="n"/>
      <c r="MQC3" s="95" t="n"/>
      <c r="MQD3" s="95" t="n"/>
      <c r="MQE3" s="95" t="n"/>
      <c r="MQF3" s="95" t="n"/>
      <c r="MQG3" s="95" t="n"/>
      <c r="MQH3" s="95" t="n"/>
      <c r="MQI3" s="95" t="n"/>
      <c r="MQJ3" s="95" t="n"/>
      <c r="MQK3" s="95" t="n"/>
      <c r="MQL3" s="95" t="n"/>
      <c r="MQM3" s="95" t="n"/>
      <c r="MQN3" s="95" t="n"/>
      <c r="MQO3" s="95" t="n"/>
      <c r="MQP3" s="95" t="n"/>
      <c r="MQQ3" s="95" t="n"/>
      <c r="MQR3" s="95" t="n"/>
      <c r="MQS3" s="95" t="n"/>
      <c r="MQT3" s="95" t="n"/>
      <c r="MQU3" s="95" t="n"/>
      <c r="MQV3" s="95" t="n"/>
      <c r="MQW3" s="95" t="n"/>
      <c r="MQX3" s="95" t="n"/>
      <c r="MQY3" s="95" t="n"/>
      <c r="MQZ3" s="95" t="n"/>
      <c r="MRA3" s="95" t="n"/>
      <c r="MRB3" s="95" t="n"/>
      <c r="MRC3" s="95" t="n"/>
      <c r="MRD3" s="95" t="n"/>
      <c r="MRE3" s="95" t="n"/>
      <c r="MRF3" s="95" t="n"/>
      <c r="MRG3" s="95" t="n"/>
      <c r="MRH3" s="95" t="n"/>
      <c r="MRI3" s="95" t="n"/>
      <c r="MRJ3" s="95" t="n"/>
      <c r="MRK3" s="95" t="n"/>
      <c r="MRL3" s="95" t="n"/>
      <c r="MRM3" s="95" t="n"/>
      <c r="MRN3" s="95" t="n"/>
      <c r="MRO3" s="95" t="n"/>
      <c r="MRP3" s="95" t="n"/>
      <c r="MRQ3" s="95" t="n"/>
      <c r="MRR3" s="95" t="n"/>
      <c r="MRS3" s="95" t="n"/>
      <c r="MRT3" s="95" t="n"/>
      <c r="MRU3" s="95" t="n"/>
      <c r="MRV3" s="95" t="n"/>
      <c r="MRW3" s="95" t="n"/>
      <c r="MRX3" s="95" t="n"/>
      <c r="MRY3" s="95" t="n"/>
      <c r="MRZ3" s="95" t="n"/>
      <c r="MSA3" s="95" t="n"/>
      <c r="MSB3" s="95" t="n"/>
      <c r="MSC3" s="95" t="n"/>
      <c r="MSD3" s="95" t="n"/>
      <c r="MSE3" s="95" t="n"/>
      <c r="MSF3" s="95" t="n"/>
      <c r="MSG3" s="95" t="n"/>
      <c r="MSH3" s="95" t="n"/>
      <c r="MSI3" s="95" t="n"/>
      <c r="MSJ3" s="95" t="n"/>
      <c r="MSK3" s="95" t="n"/>
      <c r="MSL3" s="95" t="n"/>
      <c r="MSM3" s="95" t="n"/>
      <c r="MSN3" s="95" t="n"/>
      <c r="MSO3" s="95" t="n"/>
      <c r="MSP3" s="95" t="n"/>
      <c r="MSQ3" s="95" t="n"/>
      <c r="MSR3" s="95" t="n"/>
      <c r="MSS3" s="95" t="n"/>
      <c r="MST3" s="95" t="n"/>
      <c r="MSU3" s="95" t="n"/>
      <c r="MSV3" s="95" t="n"/>
      <c r="MSW3" s="95" t="n"/>
      <c r="MSX3" s="95" t="n"/>
      <c r="MSY3" s="95" t="n"/>
      <c r="MSZ3" s="95" t="n"/>
      <c r="MTA3" s="95" t="n"/>
      <c r="MTB3" s="95" t="n"/>
      <c r="MTC3" s="95" t="n"/>
      <c r="MTD3" s="95" t="n"/>
      <c r="MTE3" s="95" t="n"/>
      <c r="MTF3" s="95" t="n"/>
      <c r="MTG3" s="95" t="n"/>
      <c r="MTH3" s="95" t="n"/>
      <c r="MTI3" s="95" t="n"/>
      <c r="MTJ3" s="95" t="n"/>
      <c r="MTK3" s="95" t="n"/>
      <c r="MTL3" s="95" t="n"/>
      <c r="MTM3" s="95" t="n"/>
      <c r="MTN3" s="95" t="n"/>
      <c r="MTO3" s="95" t="n"/>
      <c r="MTP3" s="95" t="n"/>
      <c r="MTQ3" s="95" t="n"/>
      <c r="MTR3" s="95" t="n"/>
      <c r="MTS3" s="95" t="n"/>
      <c r="MTT3" s="95" t="n"/>
      <c r="MTU3" s="95" t="n"/>
      <c r="MTV3" s="95" t="n"/>
      <c r="MTW3" s="95" t="n"/>
      <c r="MTX3" s="95" t="n"/>
      <c r="MTY3" s="95" t="n"/>
      <c r="MTZ3" s="95" t="n"/>
      <c r="MUA3" s="95" t="n"/>
      <c r="MUB3" s="95" t="n"/>
      <c r="MUC3" s="95" t="n"/>
      <c r="MUD3" s="95" t="n"/>
      <c r="MUE3" s="95" t="n"/>
      <c r="MUF3" s="95" t="n"/>
      <c r="MUG3" s="95" t="n"/>
      <c r="MUH3" s="95" t="n"/>
      <c r="MUI3" s="95" t="n"/>
      <c r="MUJ3" s="95" t="n"/>
      <c r="MUK3" s="95" t="n"/>
      <c r="MUL3" s="95" t="n"/>
      <c r="MUM3" s="95" t="n"/>
      <c r="MUN3" s="95" t="n"/>
      <c r="MUO3" s="95" t="n"/>
      <c r="MUP3" s="95" t="n"/>
      <c r="MUQ3" s="95" t="n"/>
      <c r="MUR3" s="95" t="n"/>
      <c r="MUS3" s="95" t="n"/>
      <c r="MUT3" s="95" t="n"/>
      <c r="MUU3" s="95" t="n"/>
      <c r="MUV3" s="95" t="n"/>
      <c r="MUW3" s="95" t="n"/>
      <c r="MUX3" s="95" t="n"/>
      <c r="MUY3" s="95" t="n"/>
      <c r="MUZ3" s="95" t="n"/>
      <c r="MVA3" s="95" t="n"/>
      <c r="MVB3" s="95" t="n"/>
      <c r="MVC3" s="95" t="n"/>
      <c r="MVD3" s="95" t="n"/>
      <c r="MVE3" s="95" t="n"/>
      <c r="MVF3" s="95" t="n"/>
      <c r="MVG3" s="95" t="n"/>
      <c r="MVH3" s="95" t="n"/>
      <c r="MVI3" s="95" t="n"/>
      <c r="MVJ3" s="95" t="n"/>
      <c r="MVK3" s="95" t="n"/>
      <c r="MVL3" s="95" t="n"/>
      <c r="MVM3" s="95" t="n"/>
      <c r="MVN3" s="95" t="n"/>
      <c r="MVO3" s="95" t="n"/>
      <c r="MVP3" s="95" t="n"/>
      <c r="MVQ3" s="95" t="n"/>
      <c r="MVR3" s="95" t="n"/>
      <c r="MVS3" s="95" t="n"/>
      <c r="MVT3" s="95" t="n"/>
      <c r="MVU3" s="95" t="n"/>
      <c r="MVV3" s="95" t="n"/>
      <c r="MVW3" s="95" t="n"/>
      <c r="MVX3" s="95" t="n"/>
      <c r="MVY3" s="95" t="n"/>
      <c r="MVZ3" s="95" t="n"/>
      <c r="MWA3" s="95" t="n"/>
      <c r="MWB3" s="95" t="n"/>
      <c r="MWC3" s="95" t="n"/>
      <c r="MWD3" s="95" t="n"/>
      <c r="MWE3" s="95" t="n"/>
      <c r="MWF3" s="95" t="n"/>
      <c r="MWG3" s="95" t="n"/>
      <c r="MWH3" s="95" t="n"/>
      <c r="MWI3" s="95" t="n"/>
      <c r="MWJ3" s="95" t="n"/>
      <c r="MWK3" s="95" t="n"/>
      <c r="MWL3" s="95" t="n"/>
      <c r="MWM3" s="95" t="n"/>
      <c r="MWN3" s="95" t="n"/>
      <c r="MWO3" s="95" t="n"/>
      <c r="MWP3" s="95" t="n"/>
      <c r="MWQ3" s="95" t="n"/>
      <c r="MWR3" s="95" t="n"/>
      <c r="MWS3" s="95" t="n"/>
      <c r="MWT3" s="95" t="n"/>
      <c r="MWU3" s="95" t="n"/>
      <c r="MWV3" s="95" t="n"/>
      <c r="MWW3" s="95" t="n"/>
      <c r="MWX3" s="95" t="n"/>
      <c r="MWY3" s="95" t="n"/>
      <c r="MWZ3" s="95" t="n"/>
      <c r="MXA3" s="95" t="n"/>
      <c r="MXB3" s="95" t="n"/>
      <c r="MXC3" s="95" t="n"/>
      <c r="MXD3" s="95" t="n"/>
      <c r="MXE3" s="95" t="n"/>
      <c r="MXF3" s="95" t="n"/>
      <c r="MXG3" s="95" t="n"/>
      <c r="MXH3" s="95" t="n"/>
      <c r="MXI3" s="95" t="n"/>
      <c r="MXJ3" s="95" t="n"/>
      <c r="MXK3" s="95" t="n"/>
      <c r="MXL3" s="95" t="n"/>
      <c r="MXM3" s="95" t="n"/>
      <c r="MXN3" s="95" t="n"/>
      <c r="MXO3" s="95" t="n"/>
      <c r="MXP3" s="95" t="n"/>
      <c r="MXQ3" s="95" t="n"/>
      <c r="MXR3" s="95" t="n"/>
      <c r="MXS3" s="95" t="n"/>
      <c r="MXT3" s="95" t="n"/>
      <c r="MXU3" s="95" t="n"/>
      <c r="MXV3" s="95" t="n"/>
      <c r="MXW3" s="95" t="n"/>
      <c r="MXX3" s="95" t="n"/>
      <c r="MXY3" s="95" t="n"/>
      <c r="MXZ3" s="95" t="n"/>
      <c r="MYA3" s="95" t="n"/>
      <c r="MYB3" s="95" t="n"/>
      <c r="MYC3" s="95" t="n"/>
      <c r="MYD3" s="95" t="n"/>
      <c r="MYE3" s="95" t="n"/>
      <c r="MYF3" s="95" t="n"/>
      <c r="MYG3" s="95" t="n"/>
      <c r="MYH3" s="95" t="n"/>
      <c r="MYI3" s="95" t="n"/>
      <c r="MYJ3" s="95" t="n"/>
      <c r="MYK3" s="95" t="n"/>
      <c r="MYL3" s="95" t="n"/>
      <c r="MYM3" s="95" t="n"/>
      <c r="MYN3" s="95" t="n"/>
      <c r="MYO3" s="95" t="n"/>
      <c r="MYP3" s="95" t="n"/>
      <c r="MYQ3" s="95" t="n"/>
      <c r="MYR3" s="95" t="n"/>
      <c r="MYS3" s="95" t="n"/>
      <c r="MYT3" s="95" t="n"/>
      <c r="MYU3" s="95" t="n"/>
      <c r="MYV3" s="95" t="n"/>
      <c r="MYW3" s="95" t="n"/>
      <c r="MYX3" s="95" t="n"/>
      <c r="MYY3" s="95" t="n"/>
      <c r="MYZ3" s="95" t="n"/>
      <c r="MZA3" s="95" t="n"/>
      <c r="MZB3" s="95" t="n"/>
      <c r="MZC3" s="95" t="n"/>
      <c r="MZD3" s="95" t="n"/>
      <c r="MZE3" s="95" t="n"/>
      <c r="MZF3" s="95" t="n"/>
      <c r="MZG3" s="95" t="n"/>
      <c r="MZH3" s="95" t="n"/>
      <c r="MZI3" s="95" t="n"/>
      <c r="MZJ3" s="95" t="n"/>
      <c r="MZK3" s="95" t="n"/>
      <c r="MZL3" s="95" t="n"/>
      <c r="MZM3" s="95" t="n"/>
      <c r="MZN3" s="95" t="n"/>
      <c r="MZO3" s="95" t="n"/>
      <c r="MZP3" s="95" t="n"/>
      <c r="MZQ3" s="95" t="n"/>
      <c r="MZR3" s="95" t="n"/>
      <c r="MZS3" s="95" t="n"/>
      <c r="MZT3" s="95" t="n"/>
      <c r="MZU3" s="95" t="n"/>
      <c r="MZV3" s="95" t="n"/>
      <c r="MZW3" s="95" t="n"/>
      <c r="MZX3" s="95" t="n"/>
      <c r="MZY3" s="95" t="n"/>
      <c r="MZZ3" s="95" t="n"/>
      <c r="NAA3" s="95" t="n"/>
      <c r="NAB3" s="95" t="n"/>
      <c r="NAC3" s="95" t="n"/>
      <c r="NAD3" s="95" t="n"/>
      <c r="NAE3" s="95" t="n"/>
      <c r="NAF3" s="95" t="n"/>
      <c r="NAG3" s="95" t="n"/>
      <c r="NAH3" s="95" t="n"/>
      <c r="NAI3" s="95" t="n"/>
      <c r="NAJ3" s="95" t="n"/>
      <c r="NAK3" s="95" t="n"/>
      <c r="NAL3" s="95" t="n"/>
      <c r="NAM3" s="95" t="n"/>
      <c r="NAN3" s="95" t="n"/>
      <c r="NAO3" s="95" t="n"/>
      <c r="NAP3" s="95" t="n"/>
      <c r="NAQ3" s="95" t="n"/>
      <c r="NAR3" s="95" t="n"/>
      <c r="NAS3" s="95" t="n"/>
      <c r="NAT3" s="95" t="n"/>
      <c r="NAU3" s="95" t="n"/>
      <c r="NAV3" s="95" t="n"/>
      <c r="NAW3" s="95" t="n"/>
      <c r="NAX3" s="95" t="n"/>
      <c r="NAY3" s="95" t="n"/>
      <c r="NAZ3" s="95" t="n"/>
      <c r="NBA3" s="95" t="n"/>
      <c r="NBB3" s="95" t="n"/>
      <c r="NBC3" s="95" t="n"/>
      <c r="NBD3" s="95" t="n"/>
      <c r="NBE3" s="95" t="n"/>
      <c r="NBF3" s="95" t="n"/>
      <c r="NBG3" s="95" t="n"/>
      <c r="NBH3" s="95" t="n"/>
      <c r="NBI3" s="95" t="n"/>
      <c r="NBJ3" s="95" t="n"/>
      <c r="NBK3" s="95" t="n"/>
      <c r="NBL3" s="95" t="n"/>
      <c r="NBM3" s="95" t="n"/>
      <c r="NBN3" s="95" t="n"/>
      <c r="NBO3" s="95" t="n"/>
      <c r="NBP3" s="95" t="n"/>
      <c r="NBQ3" s="95" t="n"/>
      <c r="NBR3" s="95" t="n"/>
      <c r="NBS3" s="95" t="n"/>
      <c r="NBT3" s="95" t="n"/>
      <c r="NBU3" s="95" t="n"/>
      <c r="NBV3" s="95" t="n"/>
      <c r="NBW3" s="95" t="n"/>
      <c r="NBX3" s="95" t="n"/>
      <c r="NBY3" s="95" t="n"/>
      <c r="NBZ3" s="95" t="n"/>
      <c r="NCA3" s="95" t="n"/>
      <c r="NCB3" s="95" t="n"/>
      <c r="NCC3" s="95" t="n"/>
      <c r="NCD3" s="95" t="n"/>
      <c r="NCE3" s="95" t="n"/>
      <c r="NCF3" s="95" t="n"/>
      <c r="NCG3" s="95" t="n"/>
      <c r="NCH3" s="95" t="n"/>
      <c r="NCI3" s="95" t="n"/>
      <c r="NCJ3" s="95" t="n"/>
      <c r="NCK3" s="95" t="n"/>
      <c r="NCL3" s="95" t="n"/>
      <c r="NCM3" s="95" t="n"/>
      <c r="NCN3" s="95" t="n"/>
      <c r="NCO3" s="95" t="n"/>
      <c r="NCP3" s="95" t="n"/>
      <c r="NCQ3" s="95" t="n"/>
      <c r="NCR3" s="95" t="n"/>
      <c r="NCS3" s="95" t="n"/>
      <c r="NCT3" s="95" t="n"/>
      <c r="NCU3" s="95" t="n"/>
      <c r="NCV3" s="95" t="n"/>
      <c r="NCW3" s="95" t="n"/>
      <c r="NCX3" s="95" t="n"/>
      <c r="NCY3" s="95" t="n"/>
      <c r="NCZ3" s="95" t="n"/>
      <c r="NDA3" s="95" t="n"/>
      <c r="NDB3" s="95" t="n"/>
      <c r="NDC3" s="95" t="n"/>
      <c r="NDD3" s="95" t="n"/>
      <c r="NDE3" s="95" t="n"/>
      <c r="NDF3" s="95" t="n"/>
      <c r="NDG3" s="95" t="n"/>
      <c r="NDH3" s="95" t="n"/>
      <c r="NDI3" s="95" t="n"/>
      <c r="NDJ3" s="95" t="n"/>
      <c r="NDK3" s="95" t="n"/>
      <c r="NDL3" s="95" t="n"/>
      <c r="NDM3" s="95" t="n"/>
      <c r="NDN3" s="95" t="n"/>
      <c r="NDO3" s="95" t="n"/>
      <c r="NDP3" s="95" t="n"/>
      <c r="NDQ3" s="95" t="n"/>
      <c r="NDR3" s="95" t="n"/>
      <c r="NDS3" s="95" t="n"/>
      <c r="NDT3" s="95" t="n"/>
      <c r="NDU3" s="95" t="n"/>
      <c r="NDV3" s="95" t="n"/>
      <c r="NDW3" s="95" t="n"/>
      <c r="NDX3" s="95" t="n"/>
      <c r="NDY3" s="95" t="n"/>
      <c r="NDZ3" s="95" t="n"/>
      <c r="NEA3" s="95" t="n"/>
      <c r="NEB3" s="95" t="n"/>
      <c r="NEC3" s="95" t="n"/>
      <c r="NED3" s="95" t="n"/>
      <c r="NEE3" s="95" t="n"/>
      <c r="NEF3" s="95" t="n"/>
      <c r="NEG3" s="95" t="n"/>
      <c r="NEH3" s="95" t="n"/>
      <c r="NEI3" s="95" t="n"/>
      <c r="NEJ3" s="95" t="n"/>
      <c r="NEK3" s="95" t="n"/>
      <c r="NEL3" s="95" t="n"/>
      <c r="NEM3" s="95" t="n"/>
      <c r="NEN3" s="95" t="n"/>
      <c r="NEO3" s="95" t="n"/>
      <c r="NEP3" s="95" t="n"/>
      <c r="NEQ3" s="95" t="n"/>
      <c r="NER3" s="95" t="n"/>
      <c r="NES3" s="95" t="n"/>
      <c r="NET3" s="95" t="n"/>
      <c r="NEU3" s="95" t="n"/>
      <c r="NEV3" s="95" t="n"/>
      <c r="NEW3" s="95" t="n"/>
      <c r="NEX3" s="95" t="n"/>
      <c r="NEY3" s="95" t="n"/>
      <c r="NEZ3" s="95" t="n"/>
      <c r="NFA3" s="95" t="n"/>
      <c r="NFB3" s="95" t="n"/>
      <c r="NFC3" s="95" t="n"/>
      <c r="NFD3" s="95" t="n"/>
      <c r="NFE3" s="95" t="n"/>
      <c r="NFF3" s="95" t="n"/>
      <c r="NFG3" s="95" t="n"/>
      <c r="NFH3" s="95" t="n"/>
      <c r="NFI3" s="95" t="n"/>
      <c r="NFJ3" s="95" t="n"/>
      <c r="NFK3" s="95" t="n"/>
      <c r="NFL3" s="95" t="n"/>
      <c r="NFM3" s="95" t="n"/>
      <c r="NFN3" s="95" t="n"/>
      <c r="NFO3" s="95" t="n"/>
      <c r="NFP3" s="95" t="n"/>
      <c r="NFQ3" s="95" t="n"/>
      <c r="NFR3" s="95" t="n"/>
      <c r="NFS3" s="95" t="n"/>
      <c r="NFT3" s="95" t="n"/>
      <c r="NFU3" s="95" t="n"/>
      <c r="NFV3" s="95" t="n"/>
      <c r="NFW3" s="95" t="n"/>
      <c r="NFX3" s="95" t="n"/>
      <c r="NFY3" s="95" t="n"/>
      <c r="NFZ3" s="95" t="n"/>
      <c r="NGA3" s="95" t="n"/>
      <c r="NGB3" s="95" t="n"/>
      <c r="NGC3" s="95" t="n"/>
      <c r="NGD3" s="95" t="n"/>
      <c r="NGE3" s="95" t="n"/>
      <c r="NGF3" s="95" t="n"/>
      <c r="NGG3" s="95" t="n"/>
      <c r="NGH3" s="95" t="n"/>
      <c r="NGI3" s="95" t="n"/>
      <c r="NGJ3" s="95" t="n"/>
      <c r="NGK3" s="95" t="n"/>
      <c r="NGL3" s="95" t="n"/>
      <c r="NGM3" s="95" t="n"/>
      <c r="NGN3" s="95" t="n"/>
      <c r="NGO3" s="95" t="n"/>
      <c r="NGP3" s="95" t="n"/>
      <c r="NGQ3" s="95" t="n"/>
      <c r="NGR3" s="95" t="n"/>
      <c r="NGS3" s="95" t="n"/>
      <c r="NGT3" s="95" t="n"/>
      <c r="NGU3" s="95" t="n"/>
      <c r="NGV3" s="95" t="n"/>
      <c r="NGW3" s="95" t="n"/>
      <c r="NGX3" s="95" t="n"/>
      <c r="NGY3" s="95" t="n"/>
      <c r="NGZ3" s="95" t="n"/>
      <c r="NHA3" s="95" t="n"/>
      <c r="NHB3" s="95" t="n"/>
      <c r="NHC3" s="95" t="n"/>
      <c r="NHD3" s="95" t="n"/>
      <c r="NHE3" s="95" t="n"/>
      <c r="NHF3" s="95" t="n"/>
      <c r="NHG3" s="95" t="n"/>
      <c r="NHH3" s="95" t="n"/>
      <c r="NHI3" s="95" t="n"/>
      <c r="NHJ3" s="95" t="n"/>
      <c r="NHK3" s="95" t="n"/>
      <c r="NHL3" s="95" t="n"/>
      <c r="NHM3" s="95" t="n"/>
      <c r="NHN3" s="95" t="n"/>
      <c r="NHO3" s="95" t="n"/>
      <c r="NHP3" s="95" t="n"/>
      <c r="NHQ3" s="95" t="n"/>
      <c r="NHR3" s="95" t="n"/>
      <c r="NHS3" s="95" t="n"/>
      <c r="NHT3" s="95" t="n"/>
      <c r="NHU3" s="95" t="n"/>
      <c r="NHV3" s="95" t="n"/>
      <c r="NHW3" s="95" t="n"/>
      <c r="NHX3" s="95" t="n"/>
      <c r="NHY3" s="95" t="n"/>
      <c r="NHZ3" s="95" t="n"/>
      <c r="NIA3" s="95" t="n"/>
      <c r="NIB3" s="95" t="n"/>
      <c r="NIC3" s="95" t="n"/>
      <c r="NID3" s="95" t="n"/>
      <c r="NIE3" s="95" t="n"/>
      <c r="NIF3" s="95" t="n"/>
      <c r="NIG3" s="95" t="n"/>
      <c r="NIH3" s="95" t="n"/>
      <c r="NII3" s="95" t="n"/>
      <c r="NIJ3" s="95" t="n"/>
      <c r="NIK3" s="95" t="n"/>
      <c r="NIL3" s="95" t="n"/>
      <c r="NIM3" s="95" t="n"/>
      <c r="NIN3" s="95" t="n"/>
      <c r="NIO3" s="95" t="n"/>
      <c r="NIP3" s="95" t="n"/>
      <c r="NIQ3" s="95" t="n"/>
      <c r="NIR3" s="95" t="n"/>
      <c r="NIS3" s="95" t="n"/>
      <c r="NIT3" s="95" t="n"/>
      <c r="NIU3" s="95" t="n"/>
      <c r="NIV3" s="95" t="n"/>
      <c r="NIW3" s="95" t="n"/>
      <c r="NIX3" s="95" t="n"/>
      <c r="NIY3" s="95" t="n"/>
      <c r="NIZ3" s="95" t="n"/>
      <c r="NJA3" s="95" t="n"/>
      <c r="NJB3" s="95" t="n"/>
      <c r="NJC3" s="95" t="n"/>
      <c r="NJD3" s="95" t="n"/>
      <c r="NJE3" s="95" t="n"/>
      <c r="NJF3" s="95" t="n"/>
      <c r="NJG3" s="95" t="n"/>
      <c r="NJH3" s="95" t="n"/>
      <c r="NJI3" s="95" t="n"/>
      <c r="NJJ3" s="95" t="n"/>
      <c r="NJK3" s="95" t="n"/>
      <c r="NJL3" s="95" t="n"/>
      <c r="NJM3" s="95" t="n"/>
      <c r="NJN3" s="95" t="n"/>
      <c r="NJO3" s="95" t="n"/>
      <c r="NJP3" s="95" t="n"/>
      <c r="NJQ3" s="95" t="n"/>
      <c r="NJR3" s="95" t="n"/>
      <c r="NJS3" s="95" t="n"/>
      <c r="NJT3" s="95" t="n"/>
      <c r="NJU3" s="95" t="n"/>
      <c r="NJV3" s="95" t="n"/>
      <c r="NJW3" s="95" t="n"/>
      <c r="NJX3" s="95" t="n"/>
      <c r="NJY3" s="95" t="n"/>
      <c r="NJZ3" s="95" t="n"/>
      <c r="NKA3" s="95" t="n"/>
      <c r="NKB3" s="95" t="n"/>
      <c r="NKC3" s="95" t="n"/>
      <c r="NKD3" s="95" t="n"/>
      <c r="NKE3" s="95" t="n"/>
      <c r="NKF3" s="95" t="n"/>
      <c r="NKG3" s="95" t="n"/>
      <c r="NKH3" s="95" t="n"/>
      <c r="NKI3" s="95" t="n"/>
      <c r="NKJ3" s="95" t="n"/>
      <c r="NKK3" s="95" t="n"/>
      <c r="NKL3" s="95" t="n"/>
      <c r="NKM3" s="95" t="n"/>
      <c r="NKN3" s="95" t="n"/>
      <c r="NKO3" s="95" t="n"/>
      <c r="NKP3" s="95" t="n"/>
      <c r="NKQ3" s="95" t="n"/>
      <c r="NKR3" s="95" t="n"/>
      <c r="NKS3" s="95" t="n"/>
      <c r="NKT3" s="95" t="n"/>
      <c r="NKU3" s="95" t="n"/>
      <c r="NKV3" s="95" t="n"/>
      <c r="NKW3" s="95" t="n"/>
      <c r="NKX3" s="95" t="n"/>
      <c r="NKY3" s="95" t="n"/>
      <c r="NKZ3" s="95" t="n"/>
      <c r="NLA3" s="95" t="n"/>
      <c r="NLB3" s="95" t="n"/>
      <c r="NLC3" s="95" t="n"/>
      <c r="NLD3" s="95" t="n"/>
      <c r="NLE3" s="95" t="n"/>
      <c r="NLF3" s="95" t="n"/>
      <c r="NLG3" s="95" t="n"/>
      <c r="NLH3" s="95" t="n"/>
      <c r="NLI3" s="95" t="n"/>
      <c r="NLJ3" s="95" t="n"/>
      <c r="NLK3" s="95" t="n"/>
      <c r="NLL3" s="95" t="n"/>
      <c r="NLM3" s="95" t="n"/>
      <c r="NLN3" s="95" t="n"/>
      <c r="NLO3" s="95" t="n"/>
      <c r="NLP3" s="95" t="n"/>
      <c r="NLQ3" s="95" t="n"/>
      <c r="NLR3" s="95" t="n"/>
      <c r="NLS3" s="95" t="n"/>
      <c r="NLT3" s="95" t="n"/>
      <c r="NLU3" s="95" t="n"/>
      <c r="NLV3" s="95" t="n"/>
      <c r="NLW3" s="95" t="n"/>
      <c r="NLX3" s="95" t="n"/>
      <c r="NLY3" s="95" t="n"/>
      <c r="NLZ3" s="95" t="n"/>
      <c r="NMA3" s="95" t="n"/>
      <c r="NMB3" s="95" t="n"/>
      <c r="NMC3" s="95" t="n"/>
      <c r="NMD3" s="95" t="n"/>
      <c r="NME3" s="95" t="n"/>
      <c r="NMF3" s="95" t="n"/>
      <c r="NMG3" s="95" t="n"/>
      <c r="NMH3" s="95" t="n"/>
      <c r="NMI3" s="95" t="n"/>
      <c r="NMJ3" s="95" t="n"/>
      <c r="NMK3" s="95" t="n"/>
      <c r="NML3" s="95" t="n"/>
      <c r="NMM3" s="95" t="n"/>
      <c r="NMN3" s="95" t="n"/>
      <c r="NMO3" s="95" t="n"/>
      <c r="NMP3" s="95" t="n"/>
      <c r="NMQ3" s="95" t="n"/>
      <c r="NMR3" s="95" t="n"/>
      <c r="NMS3" s="95" t="n"/>
      <c r="NMT3" s="95" t="n"/>
      <c r="NMU3" s="95" t="n"/>
      <c r="NMV3" s="95" t="n"/>
      <c r="NMW3" s="95" t="n"/>
      <c r="NMX3" s="95" t="n"/>
      <c r="NMY3" s="95" t="n"/>
      <c r="NMZ3" s="95" t="n"/>
      <c r="NNA3" s="95" t="n"/>
      <c r="NNB3" s="95" t="n"/>
      <c r="NNC3" s="95" t="n"/>
      <c r="NND3" s="95" t="n"/>
      <c r="NNE3" s="95" t="n"/>
      <c r="NNF3" s="95" t="n"/>
      <c r="NNG3" s="95" t="n"/>
      <c r="NNH3" s="95" t="n"/>
      <c r="NNI3" s="95" t="n"/>
      <c r="NNJ3" s="95" t="n"/>
      <c r="NNK3" s="95" t="n"/>
      <c r="NNL3" s="95" t="n"/>
      <c r="NNM3" s="95" t="n"/>
      <c r="NNN3" s="95" t="n"/>
      <c r="NNO3" s="95" t="n"/>
      <c r="NNP3" s="95" t="n"/>
      <c r="NNQ3" s="95" t="n"/>
      <c r="NNR3" s="95" t="n"/>
      <c r="NNS3" s="95" t="n"/>
      <c r="NNT3" s="95" t="n"/>
      <c r="NNU3" s="95" t="n"/>
      <c r="NNV3" s="95" t="n"/>
      <c r="NNW3" s="95" t="n"/>
      <c r="NNX3" s="95" t="n"/>
      <c r="NNY3" s="95" t="n"/>
      <c r="NNZ3" s="95" t="n"/>
      <c r="NOA3" s="95" t="n"/>
      <c r="NOB3" s="95" t="n"/>
      <c r="NOC3" s="95" t="n"/>
      <c r="NOD3" s="95" t="n"/>
      <c r="NOE3" s="95" t="n"/>
      <c r="NOF3" s="95" t="n"/>
      <c r="NOG3" s="95" t="n"/>
      <c r="NOH3" s="95" t="n"/>
      <c r="NOI3" s="95" t="n"/>
      <c r="NOJ3" s="95" t="n"/>
      <c r="NOK3" s="95" t="n"/>
      <c r="NOL3" s="95" t="n"/>
      <c r="NOM3" s="95" t="n"/>
      <c r="NON3" s="95" t="n"/>
      <c r="NOO3" s="95" t="n"/>
      <c r="NOP3" s="95" t="n"/>
      <c r="NOQ3" s="95" t="n"/>
      <c r="NOR3" s="95" t="n"/>
      <c r="NOS3" s="95" t="n"/>
      <c r="NOT3" s="95" t="n"/>
      <c r="NOU3" s="95" t="n"/>
      <c r="NOV3" s="95" t="n"/>
      <c r="NOW3" s="95" t="n"/>
      <c r="NOX3" s="95" t="n"/>
      <c r="NOY3" s="95" t="n"/>
      <c r="NOZ3" s="95" t="n"/>
      <c r="NPA3" s="95" t="n"/>
      <c r="NPB3" s="95" t="n"/>
      <c r="NPC3" s="95" t="n"/>
      <c r="NPD3" s="95" t="n"/>
      <c r="NPE3" s="95" t="n"/>
      <c r="NPF3" s="95" t="n"/>
      <c r="NPG3" s="95" t="n"/>
      <c r="NPH3" s="95" t="n"/>
      <c r="NPI3" s="95" t="n"/>
      <c r="NPJ3" s="95" t="n"/>
      <c r="NPK3" s="95" t="n"/>
      <c r="NPL3" s="95" t="n"/>
      <c r="NPM3" s="95" t="n"/>
      <c r="NPN3" s="95" t="n"/>
      <c r="NPO3" s="95" t="n"/>
      <c r="NPP3" s="95" t="n"/>
      <c r="NPQ3" s="95" t="n"/>
      <c r="NPR3" s="95" t="n"/>
      <c r="NPS3" s="95" t="n"/>
      <c r="NPT3" s="95" t="n"/>
      <c r="NPU3" s="95" t="n"/>
      <c r="NPV3" s="95" t="n"/>
      <c r="NPW3" s="95" t="n"/>
      <c r="NPX3" s="95" t="n"/>
      <c r="NPY3" s="95" t="n"/>
      <c r="NPZ3" s="95" t="n"/>
      <c r="NQA3" s="95" t="n"/>
      <c r="NQB3" s="95" t="n"/>
      <c r="NQC3" s="95" t="n"/>
      <c r="NQD3" s="95" t="n"/>
      <c r="NQE3" s="95" t="n"/>
      <c r="NQF3" s="95" t="n"/>
      <c r="NQG3" s="95" t="n"/>
      <c r="NQH3" s="95" t="n"/>
      <c r="NQI3" s="95" t="n"/>
      <c r="NQJ3" s="95" t="n"/>
      <c r="NQK3" s="95" t="n"/>
      <c r="NQL3" s="95" t="n"/>
      <c r="NQM3" s="95" t="n"/>
      <c r="NQN3" s="95" t="n"/>
      <c r="NQO3" s="95" t="n"/>
      <c r="NQP3" s="95" t="n"/>
      <c r="NQQ3" s="95" t="n"/>
      <c r="NQR3" s="95" t="n"/>
      <c r="NQS3" s="95" t="n"/>
      <c r="NQT3" s="95" t="n"/>
      <c r="NQU3" s="95" t="n"/>
      <c r="NQV3" s="95" t="n"/>
      <c r="NQW3" s="95" t="n"/>
      <c r="NQX3" s="95" t="n"/>
      <c r="NQY3" s="95" t="n"/>
      <c r="NQZ3" s="95" t="n"/>
      <c r="NRA3" s="95" t="n"/>
      <c r="NRB3" s="95" t="n"/>
      <c r="NRC3" s="95" t="n"/>
      <c r="NRD3" s="95" t="n"/>
      <c r="NRE3" s="95" t="n"/>
      <c r="NRF3" s="95" t="n"/>
      <c r="NRG3" s="95" t="n"/>
      <c r="NRH3" s="95" t="n"/>
      <c r="NRI3" s="95" t="n"/>
      <c r="NRJ3" s="95" t="n"/>
      <c r="NRK3" s="95" t="n"/>
      <c r="NRL3" s="95" t="n"/>
      <c r="NRM3" s="95" t="n"/>
      <c r="NRN3" s="95" t="n"/>
      <c r="NRO3" s="95" t="n"/>
      <c r="NRP3" s="95" t="n"/>
      <c r="NRQ3" s="95" t="n"/>
      <c r="NRR3" s="95" t="n"/>
      <c r="NRS3" s="95" t="n"/>
      <c r="NRT3" s="95" t="n"/>
      <c r="NRU3" s="95" t="n"/>
      <c r="NRV3" s="95" t="n"/>
      <c r="NRW3" s="95" t="n"/>
      <c r="NRX3" s="95" t="n"/>
      <c r="NRY3" s="95" t="n"/>
      <c r="NRZ3" s="95" t="n"/>
      <c r="NSA3" s="95" t="n"/>
      <c r="NSB3" s="95" t="n"/>
      <c r="NSC3" s="95" t="n"/>
      <c r="NSD3" s="95" t="n"/>
      <c r="NSE3" s="95" t="n"/>
      <c r="NSF3" s="95" t="n"/>
      <c r="NSG3" s="95" t="n"/>
      <c r="NSH3" s="95" t="n"/>
      <c r="NSI3" s="95" t="n"/>
      <c r="NSJ3" s="95" t="n"/>
      <c r="NSK3" s="95" t="n"/>
      <c r="NSL3" s="95" t="n"/>
      <c r="NSM3" s="95" t="n"/>
      <c r="NSN3" s="95" t="n"/>
      <c r="NSO3" s="95" t="n"/>
      <c r="NSP3" s="95" t="n"/>
      <c r="NSQ3" s="95" t="n"/>
      <c r="NSR3" s="95" t="n"/>
      <c r="NSS3" s="95" t="n"/>
      <c r="NST3" s="95" t="n"/>
      <c r="NSU3" s="95" t="n"/>
      <c r="NSV3" s="95" t="n"/>
      <c r="NSW3" s="95" t="n"/>
      <c r="NSX3" s="95" t="n"/>
      <c r="NSY3" s="95" t="n"/>
      <c r="NSZ3" s="95" t="n"/>
      <c r="NTA3" s="95" t="n"/>
      <c r="NTB3" s="95" t="n"/>
      <c r="NTC3" s="95" t="n"/>
      <c r="NTD3" s="95" t="n"/>
      <c r="NTE3" s="95" t="n"/>
      <c r="NTF3" s="95" t="n"/>
      <c r="NTG3" s="95" t="n"/>
      <c r="NTH3" s="95" t="n"/>
      <c r="NTI3" s="95" t="n"/>
      <c r="NTJ3" s="95" t="n"/>
      <c r="NTK3" s="95" t="n"/>
      <c r="NTL3" s="95" t="n"/>
      <c r="NTM3" s="95" t="n"/>
      <c r="NTN3" s="95" t="n"/>
      <c r="NTO3" s="95" t="n"/>
      <c r="NTP3" s="95" t="n"/>
      <c r="NTQ3" s="95" t="n"/>
      <c r="NTR3" s="95" t="n"/>
      <c r="NTS3" s="95" t="n"/>
      <c r="NTT3" s="95" t="n"/>
      <c r="NTU3" s="95" t="n"/>
      <c r="NTV3" s="95" t="n"/>
      <c r="NTW3" s="95" t="n"/>
      <c r="NTX3" s="95" t="n"/>
      <c r="NTY3" s="95" t="n"/>
      <c r="NTZ3" s="95" t="n"/>
      <c r="NUA3" s="95" t="n"/>
      <c r="NUB3" s="95" t="n"/>
      <c r="NUC3" s="95" t="n"/>
      <c r="NUD3" s="95" t="n"/>
      <c r="NUE3" s="95" t="n"/>
      <c r="NUF3" s="95" t="n"/>
      <c r="NUG3" s="95" t="n"/>
      <c r="NUH3" s="95" t="n"/>
      <c r="NUI3" s="95" t="n"/>
      <c r="NUJ3" s="95" t="n"/>
      <c r="NUK3" s="95" t="n"/>
      <c r="NUL3" s="95" t="n"/>
      <c r="NUM3" s="95" t="n"/>
      <c r="NUN3" s="95" t="n"/>
      <c r="NUO3" s="95" t="n"/>
      <c r="NUP3" s="95" t="n"/>
      <c r="NUQ3" s="95" t="n"/>
      <c r="NUR3" s="95" t="n"/>
      <c r="NUS3" s="95" t="n"/>
      <c r="NUT3" s="95" t="n"/>
      <c r="NUU3" s="95" t="n"/>
      <c r="NUV3" s="95" t="n"/>
      <c r="NUW3" s="95" t="n"/>
      <c r="NUX3" s="95" t="n"/>
      <c r="NUY3" s="95" t="n"/>
      <c r="NUZ3" s="95" t="n"/>
      <c r="NVA3" s="95" t="n"/>
      <c r="NVB3" s="95" t="n"/>
      <c r="NVC3" s="95" t="n"/>
      <c r="NVD3" s="95" t="n"/>
      <c r="NVE3" s="95" t="n"/>
      <c r="NVF3" s="95" t="n"/>
      <c r="NVG3" s="95" t="n"/>
      <c r="NVH3" s="95" t="n"/>
      <c r="NVI3" s="95" t="n"/>
      <c r="NVJ3" s="95" t="n"/>
      <c r="NVK3" s="95" t="n"/>
      <c r="NVL3" s="95" t="n"/>
      <c r="NVM3" s="95" t="n"/>
      <c r="NVN3" s="95" t="n"/>
      <c r="NVO3" s="95" t="n"/>
      <c r="NVP3" s="95" t="n"/>
      <c r="NVQ3" s="95" t="n"/>
      <c r="NVR3" s="95" t="n"/>
      <c r="NVS3" s="95" t="n"/>
      <c r="NVT3" s="95" t="n"/>
      <c r="NVU3" s="95" t="n"/>
      <c r="NVV3" s="95" t="n"/>
      <c r="NVW3" s="95" t="n"/>
      <c r="NVX3" s="95" t="n"/>
      <c r="NVY3" s="95" t="n"/>
      <c r="NVZ3" s="95" t="n"/>
      <c r="NWA3" s="95" t="n"/>
      <c r="NWB3" s="95" t="n"/>
      <c r="NWC3" s="95" t="n"/>
      <c r="NWD3" s="95" t="n"/>
      <c r="NWE3" s="95" t="n"/>
      <c r="NWF3" s="95" t="n"/>
      <c r="NWG3" s="95" t="n"/>
      <c r="NWH3" s="95" t="n"/>
      <c r="NWI3" s="95" t="n"/>
      <c r="NWJ3" s="95" t="n"/>
      <c r="NWK3" s="95" t="n"/>
      <c r="NWL3" s="95" t="n"/>
      <c r="NWM3" s="95" t="n"/>
      <c r="NWN3" s="95" t="n"/>
      <c r="NWO3" s="95" t="n"/>
      <c r="NWP3" s="95" t="n"/>
      <c r="NWQ3" s="95" t="n"/>
      <c r="NWR3" s="95" t="n"/>
      <c r="NWS3" s="95" t="n"/>
      <c r="NWT3" s="95" t="n"/>
      <c r="NWU3" s="95" t="n"/>
      <c r="NWV3" s="95" t="n"/>
      <c r="NWW3" s="95" t="n"/>
      <c r="NWX3" s="95" t="n"/>
      <c r="NWY3" s="95" t="n"/>
      <c r="NWZ3" s="95" t="n"/>
      <c r="NXA3" s="95" t="n"/>
      <c r="NXB3" s="95" t="n"/>
      <c r="NXC3" s="95" t="n"/>
      <c r="NXD3" s="95" t="n"/>
      <c r="NXE3" s="95" t="n"/>
      <c r="NXF3" s="95" t="n"/>
      <c r="NXG3" s="95" t="n"/>
      <c r="NXH3" s="95" t="n"/>
      <c r="NXI3" s="95" t="n"/>
      <c r="NXJ3" s="95" t="n"/>
      <c r="NXK3" s="95" t="n"/>
      <c r="NXL3" s="95" t="n"/>
      <c r="NXM3" s="95" t="n"/>
      <c r="NXN3" s="95" t="n"/>
      <c r="NXO3" s="95" t="n"/>
      <c r="NXP3" s="95" t="n"/>
      <c r="NXQ3" s="95" t="n"/>
      <c r="NXR3" s="95" t="n"/>
      <c r="NXS3" s="95" t="n"/>
      <c r="NXT3" s="95" t="n"/>
      <c r="NXU3" s="95" t="n"/>
      <c r="NXV3" s="95" t="n"/>
      <c r="NXW3" s="95" t="n"/>
      <c r="NXX3" s="95" t="n"/>
      <c r="NXY3" s="95" t="n"/>
      <c r="NXZ3" s="95" t="n"/>
      <c r="NYA3" s="95" t="n"/>
      <c r="NYB3" s="95" t="n"/>
      <c r="NYC3" s="95" t="n"/>
      <c r="NYD3" s="95" t="n"/>
      <c r="NYE3" s="95" t="n"/>
      <c r="NYF3" s="95" t="n"/>
      <c r="NYG3" s="95" t="n"/>
      <c r="NYH3" s="95" t="n"/>
      <c r="NYI3" s="95" t="n"/>
      <c r="NYJ3" s="95" t="n"/>
      <c r="NYK3" s="95" t="n"/>
      <c r="NYL3" s="95" t="n"/>
      <c r="NYM3" s="95" t="n"/>
      <c r="NYN3" s="95" t="n"/>
      <c r="NYO3" s="95" t="n"/>
      <c r="NYP3" s="95" t="n"/>
      <c r="NYQ3" s="95" t="n"/>
      <c r="NYR3" s="95" t="n"/>
      <c r="NYS3" s="95" t="n"/>
      <c r="NYT3" s="95" t="n"/>
      <c r="NYU3" s="95" t="n"/>
      <c r="NYV3" s="95" t="n"/>
      <c r="NYW3" s="95" t="n"/>
      <c r="NYX3" s="95" t="n"/>
      <c r="NYY3" s="95" t="n"/>
      <c r="NYZ3" s="95" t="n"/>
      <c r="NZA3" s="95" t="n"/>
      <c r="NZB3" s="95" t="n"/>
      <c r="NZC3" s="95" t="n"/>
      <c r="NZD3" s="95" t="n"/>
      <c r="NZE3" s="95" t="n"/>
      <c r="NZF3" s="95" t="n"/>
      <c r="NZG3" s="95" t="n"/>
      <c r="NZH3" s="95" t="n"/>
      <c r="NZI3" s="95" t="n"/>
      <c r="NZJ3" s="95" t="n"/>
      <c r="NZK3" s="95" t="n"/>
      <c r="NZL3" s="95" t="n"/>
      <c r="NZM3" s="95" t="n"/>
      <c r="NZN3" s="95" t="n"/>
      <c r="NZO3" s="95" t="n"/>
      <c r="NZP3" s="95" t="n"/>
      <c r="NZQ3" s="95" t="n"/>
      <c r="NZR3" s="95" t="n"/>
      <c r="NZS3" s="95" t="n"/>
      <c r="NZT3" s="95" t="n"/>
      <c r="NZU3" s="95" t="n"/>
      <c r="NZV3" s="95" t="n"/>
      <c r="NZW3" s="95" t="n"/>
      <c r="NZX3" s="95" t="n"/>
      <c r="NZY3" s="95" t="n"/>
      <c r="NZZ3" s="95" t="n"/>
      <c r="OAA3" s="95" t="n"/>
      <c r="OAB3" s="95" t="n"/>
      <c r="OAC3" s="95" t="n"/>
      <c r="OAD3" s="95" t="n"/>
      <c r="OAE3" s="95" t="n"/>
      <c r="OAF3" s="95" t="n"/>
      <c r="OAG3" s="95" t="n"/>
      <c r="OAH3" s="95" t="n"/>
      <c r="OAI3" s="95" t="n"/>
      <c r="OAJ3" s="95" t="n"/>
      <c r="OAK3" s="95" t="n"/>
      <c r="OAL3" s="95" t="n"/>
      <c r="OAM3" s="95" t="n"/>
      <c r="OAN3" s="95" t="n"/>
      <c r="OAO3" s="95" t="n"/>
      <c r="OAP3" s="95" t="n"/>
      <c r="OAQ3" s="95" t="n"/>
      <c r="OAR3" s="95" t="n"/>
      <c r="OAS3" s="95" t="n"/>
      <c r="OAT3" s="95" t="n"/>
      <c r="OAU3" s="95" t="n"/>
      <c r="OAV3" s="95" t="n"/>
      <c r="OAW3" s="95" t="n"/>
      <c r="OAX3" s="95" t="n"/>
      <c r="OAY3" s="95" t="n"/>
      <c r="OAZ3" s="95" t="n"/>
      <c r="OBA3" s="95" t="n"/>
      <c r="OBB3" s="95" t="n"/>
      <c r="OBC3" s="95" t="n"/>
      <c r="OBD3" s="95" t="n"/>
      <c r="OBE3" s="95" t="n"/>
      <c r="OBF3" s="95" t="n"/>
      <c r="OBG3" s="95" t="n"/>
      <c r="OBH3" s="95" t="n"/>
      <c r="OBI3" s="95" t="n"/>
      <c r="OBJ3" s="95" t="n"/>
      <c r="OBK3" s="95" t="n"/>
      <c r="OBL3" s="95" t="n"/>
      <c r="OBM3" s="95" t="n"/>
      <c r="OBN3" s="95" t="n"/>
      <c r="OBO3" s="95" t="n"/>
      <c r="OBP3" s="95" t="n"/>
      <c r="OBQ3" s="95" t="n"/>
      <c r="OBR3" s="95" t="n"/>
      <c r="OBS3" s="95" t="n"/>
      <c r="OBT3" s="95" t="n"/>
      <c r="OBU3" s="95" t="n"/>
      <c r="OBV3" s="95" t="n"/>
      <c r="OBW3" s="95" t="n"/>
      <c r="OBX3" s="95" t="n"/>
      <c r="OBY3" s="95" t="n"/>
      <c r="OBZ3" s="95" t="n"/>
      <c r="OCA3" s="95" t="n"/>
      <c r="OCB3" s="95" t="n"/>
      <c r="OCC3" s="95" t="n"/>
      <c r="OCD3" s="95" t="n"/>
      <c r="OCE3" s="95" t="n"/>
      <c r="OCF3" s="95" t="n"/>
      <c r="OCG3" s="95" t="n"/>
      <c r="OCH3" s="95" t="n"/>
      <c r="OCI3" s="95" t="n"/>
      <c r="OCJ3" s="95" t="n"/>
      <c r="OCK3" s="95" t="n"/>
      <c r="OCL3" s="95" t="n"/>
      <c r="OCM3" s="95" t="n"/>
      <c r="OCN3" s="95" t="n"/>
      <c r="OCO3" s="95" t="n"/>
      <c r="OCP3" s="95" t="n"/>
      <c r="OCQ3" s="95" t="n"/>
      <c r="OCR3" s="95" t="n"/>
      <c r="OCS3" s="95" t="n"/>
      <c r="OCT3" s="95" t="n"/>
      <c r="OCU3" s="95" t="n"/>
      <c r="OCV3" s="95" t="n"/>
      <c r="OCW3" s="95" t="n"/>
      <c r="OCX3" s="95" t="n"/>
      <c r="OCY3" s="95" t="n"/>
      <c r="OCZ3" s="95" t="n"/>
      <c r="ODA3" s="95" t="n"/>
      <c r="ODB3" s="95" t="n"/>
      <c r="ODC3" s="95" t="n"/>
      <c r="ODD3" s="95" t="n"/>
      <c r="ODE3" s="95" t="n"/>
      <c r="ODF3" s="95" t="n"/>
      <c r="ODG3" s="95" t="n"/>
      <c r="ODH3" s="95" t="n"/>
      <c r="ODI3" s="95" t="n"/>
      <c r="ODJ3" s="95" t="n"/>
      <c r="ODK3" s="95" t="n"/>
      <c r="ODL3" s="95" t="n"/>
      <c r="ODM3" s="95" t="n"/>
      <c r="ODN3" s="95" t="n"/>
      <c r="ODO3" s="95" t="n"/>
      <c r="ODP3" s="95" t="n"/>
      <c r="ODQ3" s="95" t="n"/>
      <c r="ODR3" s="95" t="n"/>
      <c r="ODS3" s="95" t="n"/>
      <c r="ODT3" s="95" t="n"/>
      <c r="ODU3" s="95" t="n"/>
      <c r="ODV3" s="95" t="n"/>
      <c r="ODW3" s="95" t="n"/>
      <c r="ODX3" s="95" t="n"/>
      <c r="ODY3" s="95" t="n"/>
      <c r="ODZ3" s="95" t="n"/>
      <c r="OEA3" s="95" t="n"/>
      <c r="OEB3" s="95" t="n"/>
      <c r="OEC3" s="95" t="n"/>
      <c r="OED3" s="95" t="n"/>
      <c r="OEE3" s="95" t="n"/>
      <c r="OEF3" s="95" t="n"/>
      <c r="OEG3" s="95" t="n"/>
      <c r="OEH3" s="95" t="n"/>
      <c r="OEI3" s="95" t="n"/>
      <c r="OEJ3" s="95" t="n"/>
      <c r="OEK3" s="95" t="n"/>
      <c r="OEL3" s="95" t="n"/>
      <c r="OEM3" s="95" t="n"/>
      <c r="OEN3" s="95" t="n"/>
      <c r="OEO3" s="95" t="n"/>
      <c r="OEP3" s="95" t="n"/>
      <c r="OEQ3" s="95" t="n"/>
      <c r="OER3" s="95" t="n"/>
      <c r="OES3" s="95" t="n"/>
      <c r="OET3" s="95" t="n"/>
      <c r="OEU3" s="95" t="n"/>
      <c r="OEV3" s="95" t="n"/>
      <c r="OEW3" s="95" t="n"/>
      <c r="OEX3" s="95" t="n"/>
      <c r="OEY3" s="95" t="n"/>
      <c r="OEZ3" s="95" t="n"/>
      <c r="OFA3" s="95" t="n"/>
      <c r="OFB3" s="95" t="n"/>
      <c r="OFC3" s="95" t="n"/>
      <c r="OFD3" s="95" t="n"/>
      <c r="OFE3" s="95" t="n"/>
      <c r="OFF3" s="95" t="n"/>
      <c r="OFG3" s="95" t="n"/>
      <c r="OFH3" s="95" t="n"/>
      <c r="OFI3" s="95" t="n"/>
      <c r="OFJ3" s="95" t="n"/>
      <c r="OFK3" s="95" t="n"/>
      <c r="OFL3" s="95" t="n"/>
      <c r="OFM3" s="95" t="n"/>
      <c r="OFN3" s="95" t="n"/>
      <c r="OFO3" s="95" t="n"/>
      <c r="OFP3" s="95" t="n"/>
      <c r="OFQ3" s="95" t="n"/>
      <c r="OFR3" s="95" t="n"/>
      <c r="OFS3" s="95" t="n"/>
      <c r="OFT3" s="95" t="n"/>
      <c r="OFU3" s="95" t="n"/>
      <c r="OFV3" s="95" t="n"/>
      <c r="OFW3" s="95" t="n"/>
      <c r="OFX3" s="95" t="n"/>
      <c r="OFY3" s="95" t="n"/>
      <c r="OFZ3" s="95" t="n"/>
      <c r="OGA3" s="95" t="n"/>
      <c r="OGB3" s="95" t="n"/>
      <c r="OGC3" s="95" t="n"/>
      <c r="OGD3" s="95" t="n"/>
      <c r="OGE3" s="95" t="n"/>
      <c r="OGF3" s="95" t="n"/>
      <c r="OGG3" s="95" t="n"/>
      <c r="OGH3" s="95" t="n"/>
      <c r="OGI3" s="95" t="n"/>
      <c r="OGJ3" s="95" t="n"/>
      <c r="OGK3" s="95" t="n"/>
      <c r="OGL3" s="95" t="n"/>
      <c r="OGM3" s="95" t="n"/>
      <c r="OGN3" s="95" t="n"/>
      <c r="OGO3" s="95" t="n"/>
      <c r="OGP3" s="95" t="n"/>
      <c r="OGQ3" s="95" t="n"/>
      <c r="OGR3" s="95" t="n"/>
      <c r="OGS3" s="95" t="n"/>
      <c r="OGT3" s="95" t="n"/>
      <c r="OGU3" s="95" t="n"/>
      <c r="OGV3" s="95" t="n"/>
      <c r="OGW3" s="95" t="n"/>
      <c r="OGX3" s="95" t="n"/>
      <c r="OGY3" s="95" t="n"/>
      <c r="OGZ3" s="95" t="n"/>
      <c r="OHA3" s="95" t="n"/>
      <c r="OHB3" s="95" t="n"/>
      <c r="OHC3" s="95" t="n"/>
      <c r="OHD3" s="95" t="n"/>
      <c r="OHE3" s="95" t="n"/>
      <c r="OHF3" s="95" t="n"/>
      <c r="OHG3" s="95" t="n"/>
      <c r="OHH3" s="95" t="n"/>
      <c r="OHI3" s="95" t="n"/>
      <c r="OHJ3" s="95" t="n"/>
      <c r="OHK3" s="95" t="n"/>
      <c r="OHL3" s="95" t="n"/>
      <c r="OHM3" s="95" t="n"/>
      <c r="OHN3" s="95" t="n"/>
      <c r="OHO3" s="95" t="n"/>
      <c r="OHP3" s="95" t="n"/>
      <c r="OHQ3" s="95" t="n"/>
      <c r="OHR3" s="95" t="n"/>
      <c r="OHS3" s="95" t="n"/>
      <c r="OHT3" s="95" t="n"/>
      <c r="OHU3" s="95" t="n"/>
      <c r="OHV3" s="95" t="n"/>
      <c r="OHW3" s="95" t="n"/>
      <c r="OHX3" s="95" t="n"/>
      <c r="OHY3" s="95" t="n"/>
      <c r="OHZ3" s="95" t="n"/>
      <c r="OIA3" s="95" t="n"/>
      <c r="OIB3" s="95" t="n"/>
      <c r="OIC3" s="95" t="n"/>
      <c r="OID3" s="95" t="n"/>
      <c r="OIE3" s="95" t="n"/>
      <c r="OIF3" s="95" t="n"/>
      <c r="OIG3" s="95" t="n"/>
      <c r="OIH3" s="95" t="n"/>
      <c r="OII3" s="95" t="n"/>
      <c r="OIJ3" s="95" t="n"/>
      <c r="OIK3" s="95" t="n"/>
      <c r="OIL3" s="95" t="n"/>
      <c r="OIM3" s="95" t="n"/>
      <c r="OIN3" s="95" t="n"/>
      <c r="OIO3" s="95" t="n"/>
      <c r="OIP3" s="95" t="n"/>
      <c r="OIQ3" s="95" t="n"/>
      <c r="OIR3" s="95" t="n"/>
      <c r="OIS3" s="95" t="n"/>
      <c r="OIT3" s="95" t="n"/>
      <c r="OIU3" s="95" t="n"/>
      <c r="OIV3" s="95" t="n"/>
      <c r="OIW3" s="95" t="n"/>
      <c r="OIX3" s="95" t="n"/>
      <c r="OIY3" s="95" t="n"/>
      <c r="OIZ3" s="95" t="n"/>
      <c r="OJA3" s="95" t="n"/>
      <c r="OJB3" s="95" t="n"/>
      <c r="OJC3" s="95" t="n"/>
      <c r="OJD3" s="95" t="n"/>
      <c r="OJE3" s="95" t="n"/>
      <c r="OJF3" s="95" t="n"/>
      <c r="OJG3" s="95" t="n"/>
      <c r="OJH3" s="95" t="n"/>
      <c r="OJI3" s="95" t="n"/>
      <c r="OJJ3" s="95" t="n"/>
      <c r="OJK3" s="95" t="n"/>
      <c r="OJL3" s="95" t="n"/>
      <c r="OJM3" s="95" t="n"/>
      <c r="OJN3" s="95" t="n"/>
      <c r="OJO3" s="95" t="n"/>
      <c r="OJP3" s="95" t="n"/>
      <c r="OJQ3" s="95" t="n"/>
      <c r="OJR3" s="95" t="n"/>
      <c r="OJS3" s="95" t="n"/>
      <c r="OJT3" s="95" t="n"/>
      <c r="OJU3" s="95" t="n"/>
      <c r="OJV3" s="95" t="n"/>
      <c r="OJW3" s="95" t="n"/>
      <c r="OJX3" s="95" t="n"/>
      <c r="OJY3" s="95" t="n"/>
      <c r="OJZ3" s="95" t="n"/>
      <c r="OKA3" s="95" t="n"/>
      <c r="OKB3" s="95" t="n"/>
      <c r="OKC3" s="95" t="n"/>
      <c r="OKD3" s="95" t="n"/>
      <c r="OKE3" s="95" t="n"/>
      <c r="OKF3" s="95" t="n"/>
      <c r="OKG3" s="95" t="n"/>
      <c r="OKH3" s="95" t="n"/>
      <c r="OKI3" s="95" t="n"/>
      <c r="OKJ3" s="95" t="n"/>
      <c r="OKK3" s="95" t="n"/>
      <c r="OKL3" s="95" t="n"/>
      <c r="OKM3" s="95" t="n"/>
      <c r="OKN3" s="95" t="n"/>
      <c r="OKO3" s="95" t="n"/>
      <c r="OKP3" s="95" t="n"/>
      <c r="OKQ3" s="95" t="n"/>
      <c r="OKR3" s="95" t="n"/>
      <c r="OKS3" s="95" t="n"/>
      <c r="OKT3" s="95" t="n"/>
      <c r="OKU3" s="95" t="n"/>
      <c r="OKV3" s="95" t="n"/>
      <c r="OKW3" s="95" t="n"/>
      <c r="OKX3" s="95" t="n"/>
      <c r="OKY3" s="95" t="n"/>
      <c r="OKZ3" s="95" t="n"/>
      <c r="OLA3" s="95" t="n"/>
      <c r="OLB3" s="95" t="n"/>
      <c r="OLC3" s="95" t="n"/>
      <c r="OLD3" s="95" t="n"/>
      <c r="OLE3" s="95" t="n"/>
      <c r="OLF3" s="95" t="n"/>
      <c r="OLG3" s="95" t="n"/>
      <c r="OLH3" s="95" t="n"/>
      <c r="OLI3" s="95" t="n"/>
      <c r="OLJ3" s="95" t="n"/>
      <c r="OLK3" s="95" t="n"/>
      <c r="OLL3" s="95" t="n"/>
      <c r="OLM3" s="95" t="n"/>
      <c r="OLN3" s="95" t="n"/>
      <c r="OLO3" s="95" t="n"/>
      <c r="OLP3" s="95" t="n"/>
      <c r="OLQ3" s="95" t="n"/>
      <c r="OLR3" s="95" t="n"/>
      <c r="OLS3" s="95" t="n"/>
      <c r="OLT3" s="95" t="n"/>
      <c r="OLU3" s="95" t="n"/>
      <c r="OLV3" s="95" t="n"/>
      <c r="OLW3" s="95" t="n"/>
      <c r="OLX3" s="95" t="n"/>
      <c r="OLY3" s="95" t="n"/>
      <c r="OLZ3" s="95" t="n"/>
      <c r="OMA3" s="95" t="n"/>
      <c r="OMB3" s="95" t="n"/>
      <c r="OMC3" s="95" t="n"/>
      <c r="OMD3" s="95" t="n"/>
      <c r="OME3" s="95" t="n"/>
      <c r="OMF3" s="95" t="n"/>
      <c r="OMG3" s="95" t="n"/>
      <c r="OMH3" s="95" t="n"/>
      <c r="OMI3" s="95" t="n"/>
      <c r="OMJ3" s="95" t="n"/>
      <c r="OMK3" s="95" t="n"/>
      <c r="OML3" s="95" t="n"/>
      <c r="OMM3" s="95" t="n"/>
      <c r="OMN3" s="95" t="n"/>
      <c r="OMO3" s="95" t="n"/>
      <c r="OMP3" s="95" t="n"/>
      <c r="OMQ3" s="95" t="n"/>
      <c r="OMR3" s="95" t="n"/>
      <c r="OMS3" s="95" t="n"/>
      <c r="OMT3" s="95" t="n"/>
      <c r="OMU3" s="95" t="n"/>
      <c r="OMV3" s="95" t="n"/>
      <c r="OMW3" s="95" t="n"/>
      <c r="OMX3" s="95" t="n"/>
      <c r="OMY3" s="95" t="n"/>
      <c r="OMZ3" s="95" t="n"/>
      <c r="ONA3" s="95" t="n"/>
      <c r="ONB3" s="95" t="n"/>
      <c r="ONC3" s="95" t="n"/>
      <c r="OND3" s="95" t="n"/>
      <c r="ONE3" s="95" t="n"/>
      <c r="ONF3" s="95" t="n"/>
      <c r="ONG3" s="95" t="n"/>
      <c r="ONH3" s="95" t="n"/>
      <c r="ONI3" s="95" t="n"/>
      <c r="ONJ3" s="95" t="n"/>
      <c r="ONK3" s="95" t="n"/>
      <c r="ONL3" s="95" t="n"/>
      <c r="ONM3" s="95" t="n"/>
      <c r="ONN3" s="95" t="n"/>
      <c r="ONO3" s="95" t="n"/>
      <c r="ONP3" s="95" t="n"/>
      <c r="ONQ3" s="95" t="n"/>
      <c r="ONR3" s="95" t="n"/>
      <c r="ONS3" s="95" t="n"/>
      <c r="ONT3" s="95" t="n"/>
      <c r="ONU3" s="95" t="n"/>
      <c r="ONV3" s="95" t="n"/>
      <c r="ONW3" s="95" t="n"/>
      <c r="ONX3" s="95" t="n"/>
      <c r="ONY3" s="95" t="n"/>
      <c r="ONZ3" s="95" t="n"/>
      <c r="OOA3" s="95" t="n"/>
      <c r="OOB3" s="95" t="n"/>
      <c r="OOC3" s="95" t="n"/>
      <c r="OOD3" s="95" t="n"/>
      <c r="OOE3" s="95" t="n"/>
      <c r="OOF3" s="95" t="n"/>
      <c r="OOG3" s="95" t="n"/>
      <c r="OOH3" s="95" t="n"/>
      <c r="OOI3" s="95" t="n"/>
      <c r="OOJ3" s="95" t="n"/>
      <c r="OOK3" s="95" t="n"/>
      <c r="OOL3" s="95" t="n"/>
      <c r="OOM3" s="95" t="n"/>
      <c r="OON3" s="95" t="n"/>
      <c r="OOO3" s="95" t="n"/>
      <c r="OOP3" s="95" t="n"/>
      <c r="OOQ3" s="95" t="n"/>
      <c r="OOR3" s="95" t="n"/>
      <c r="OOS3" s="95" t="n"/>
      <c r="OOT3" s="95" t="n"/>
      <c r="OOU3" s="95" t="n"/>
      <c r="OOV3" s="95" t="n"/>
      <c r="OOW3" s="95" t="n"/>
      <c r="OOX3" s="95" t="n"/>
      <c r="OOY3" s="95" t="n"/>
      <c r="OOZ3" s="95" t="n"/>
      <c r="OPA3" s="95" t="n"/>
      <c r="OPB3" s="95" t="n"/>
      <c r="OPC3" s="95" t="n"/>
      <c r="OPD3" s="95" t="n"/>
      <c r="OPE3" s="95" t="n"/>
      <c r="OPF3" s="95" t="n"/>
      <c r="OPG3" s="95" t="n"/>
      <c r="OPH3" s="95" t="n"/>
      <c r="OPI3" s="95" t="n"/>
      <c r="OPJ3" s="95" t="n"/>
      <c r="OPK3" s="95" t="n"/>
      <c r="OPL3" s="95" t="n"/>
      <c r="OPM3" s="95" t="n"/>
      <c r="OPN3" s="95" t="n"/>
      <c r="OPO3" s="95" t="n"/>
      <c r="OPP3" s="95" t="n"/>
      <c r="OPQ3" s="95" t="n"/>
      <c r="OPR3" s="95" t="n"/>
      <c r="OPS3" s="95" t="n"/>
      <c r="OPT3" s="95" t="n"/>
      <c r="OPU3" s="95" t="n"/>
      <c r="OPV3" s="95" t="n"/>
      <c r="OPW3" s="95" t="n"/>
      <c r="OPX3" s="95" t="n"/>
      <c r="OPY3" s="95" t="n"/>
      <c r="OPZ3" s="95" t="n"/>
      <c r="OQA3" s="95" t="n"/>
      <c r="OQB3" s="95" t="n"/>
      <c r="OQC3" s="95" t="n"/>
      <c r="OQD3" s="95" t="n"/>
      <c r="OQE3" s="95" t="n"/>
      <c r="OQF3" s="95" t="n"/>
      <c r="OQG3" s="95" t="n"/>
      <c r="OQH3" s="95" t="n"/>
      <c r="OQI3" s="95" t="n"/>
      <c r="OQJ3" s="95" t="n"/>
      <c r="OQK3" s="95" t="n"/>
      <c r="OQL3" s="95" t="n"/>
      <c r="OQM3" s="95" t="n"/>
      <c r="OQN3" s="95" t="n"/>
      <c r="OQO3" s="95" t="n"/>
      <c r="OQP3" s="95" t="n"/>
      <c r="OQQ3" s="95" t="n"/>
      <c r="OQR3" s="95" t="n"/>
      <c r="OQS3" s="95" t="n"/>
      <c r="OQT3" s="95" t="n"/>
      <c r="OQU3" s="95" t="n"/>
      <c r="OQV3" s="95" t="n"/>
      <c r="OQW3" s="95" t="n"/>
      <c r="OQX3" s="95" t="n"/>
      <c r="OQY3" s="95" t="n"/>
      <c r="OQZ3" s="95" t="n"/>
      <c r="ORA3" s="95" t="n"/>
      <c r="ORB3" s="95" t="n"/>
      <c r="ORC3" s="95" t="n"/>
      <c r="ORD3" s="95" t="n"/>
      <c r="ORE3" s="95" t="n"/>
      <c r="ORF3" s="95" t="n"/>
      <c r="ORG3" s="95" t="n"/>
      <c r="ORH3" s="95" t="n"/>
      <c r="ORI3" s="95" t="n"/>
      <c r="ORJ3" s="95" t="n"/>
      <c r="ORK3" s="95" t="n"/>
      <c r="ORL3" s="95" t="n"/>
      <c r="ORM3" s="95" t="n"/>
      <c r="ORN3" s="95" t="n"/>
      <c r="ORO3" s="95" t="n"/>
      <c r="ORP3" s="95" t="n"/>
      <c r="ORQ3" s="95" t="n"/>
      <c r="ORR3" s="95" t="n"/>
      <c r="ORS3" s="95" t="n"/>
      <c r="ORT3" s="95" t="n"/>
      <c r="ORU3" s="95" t="n"/>
      <c r="ORV3" s="95" t="n"/>
      <c r="ORW3" s="95" t="n"/>
      <c r="ORX3" s="95" t="n"/>
      <c r="ORY3" s="95" t="n"/>
      <c r="ORZ3" s="95" t="n"/>
      <c r="OSA3" s="95" t="n"/>
      <c r="OSB3" s="95" t="n"/>
      <c r="OSC3" s="95" t="n"/>
      <c r="OSD3" s="95" t="n"/>
      <c r="OSE3" s="95" t="n"/>
      <c r="OSF3" s="95" t="n"/>
      <c r="OSG3" s="95" t="n"/>
      <c r="OSH3" s="95" t="n"/>
      <c r="OSI3" s="95" t="n"/>
      <c r="OSJ3" s="95" t="n"/>
      <c r="OSK3" s="95" t="n"/>
      <c r="OSL3" s="95" t="n"/>
      <c r="OSM3" s="95" t="n"/>
      <c r="OSN3" s="95" t="n"/>
      <c r="OSO3" s="95" t="n"/>
      <c r="OSP3" s="95" t="n"/>
      <c r="OSQ3" s="95" t="n"/>
      <c r="OSR3" s="95" t="n"/>
      <c r="OSS3" s="95" t="n"/>
      <c r="OST3" s="95" t="n"/>
      <c r="OSU3" s="95" t="n"/>
      <c r="OSV3" s="95" t="n"/>
      <c r="OSW3" s="95" t="n"/>
      <c r="OSX3" s="95" t="n"/>
      <c r="OSY3" s="95" t="n"/>
      <c r="OSZ3" s="95" t="n"/>
      <c r="OTA3" s="95" t="n"/>
      <c r="OTB3" s="95" t="n"/>
      <c r="OTC3" s="95" t="n"/>
      <c r="OTD3" s="95" t="n"/>
      <c r="OTE3" s="95" t="n"/>
      <c r="OTF3" s="95" t="n"/>
      <c r="OTG3" s="95" t="n"/>
      <c r="OTH3" s="95" t="n"/>
      <c r="OTI3" s="95" t="n"/>
      <c r="OTJ3" s="95" t="n"/>
      <c r="OTK3" s="95" t="n"/>
      <c r="OTL3" s="95" t="n"/>
      <c r="OTM3" s="95" t="n"/>
      <c r="OTN3" s="95" t="n"/>
      <c r="OTO3" s="95" t="n"/>
      <c r="OTP3" s="95" t="n"/>
      <c r="OTQ3" s="95" t="n"/>
      <c r="OTR3" s="95" t="n"/>
      <c r="OTS3" s="95" t="n"/>
      <c r="OTT3" s="95" t="n"/>
      <c r="OTU3" s="95" t="n"/>
      <c r="OTV3" s="95" t="n"/>
      <c r="OTW3" s="95" t="n"/>
      <c r="OTX3" s="95" t="n"/>
      <c r="OTY3" s="95" t="n"/>
      <c r="OTZ3" s="95" t="n"/>
      <c r="OUA3" s="95" t="n"/>
      <c r="OUB3" s="95" t="n"/>
      <c r="OUC3" s="95" t="n"/>
      <c r="OUD3" s="95" t="n"/>
      <c r="OUE3" s="95" t="n"/>
      <c r="OUF3" s="95" t="n"/>
      <c r="OUG3" s="95" t="n"/>
      <c r="OUH3" s="95" t="n"/>
      <c r="OUI3" s="95" t="n"/>
      <c r="OUJ3" s="95" t="n"/>
      <c r="OUK3" s="95" t="n"/>
      <c r="OUL3" s="95" t="n"/>
      <c r="OUM3" s="95" t="n"/>
      <c r="OUN3" s="95" t="n"/>
      <c r="OUO3" s="95" t="n"/>
      <c r="OUP3" s="95" t="n"/>
      <c r="OUQ3" s="95" t="n"/>
      <c r="OUR3" s="95" t="n"/>
      <c r="OUS3" s="95" t="n"/>
      <c r="OUT3" s="95" t="n"/>
      <c r="OUU3" s="95" t="n"/>
      <c r="OUV3" s="95" t="n"/>
      <c r="OUW3" s="95" t="n"/>
      <c r="OUX3" s="95" t="n"/>
      <c r="OUY3" s="95" t="n"/>
      <c r="OUZ3" s="95" t="n"/>
      <c r="OVA3" s="95" t="n"/>
      <c r="OVB3" s="95" t="n"/>
      <c r="OVC3" s="95" t="n"/>
      <c r="OVD3" s="95" t="n"/>
      <c r="OVE3" s="95" t="n"/>
      <c r="OVF3" s="95" t="n"/>
      <c r="OVG3" s="95" t="n"/>
      <c r="OVH3" s="95" t="n"/>
      <c r="OVI3" s="95" t="n"/>
      <c r="OVJ3" s="95" t="n"/>
      <c r="OVK3" s="95" t="n"/>
      <c r="OVL3" s="95" t="n"/>
      <c r="OVM3" s="95" t="n"/>
      <c r="OVN3" s="95" t="n"/>
      <c r="OVO3" s="95" t="n"/>
      <c r="OVP3" s="95" t="n"/>
      <c r="OVQ3" s="95" t="n"/>
      <c r="OVR3" s="95" t="n"/>
      <c r="OVS3" s="95" t="n"/>
      <c r="OVT3" s="95" t="n"/>
      <c r="OVU3" s="95" t="n"/>
      <c r="OVV3" s="95" t="n"/>
      <c r="OVW3" s="95" t="n"/>
      <c r="OVX3" s="95" t="n"/>
      <c r="OVY3" s="95" t="n"/>
      <c r="OVZ3" s="95" t="n"/>
      <c r="OWA3" s="95" t="n"/>
      <c r="OWB3" s="95" t="n"/>
      <c r="OWC3" s="95" t="n"/>
      <c r="OWD3" s="95" t="n"/>
      <c r="OWE3" s="95" t="n"/>
      <c r="OWF3" s="95" t="n"/>
      <c r="OWG3" s="95" t="n"/>
      <c r="OWH3" s="95" t="n"/>
      <c r="OWI3" s="95" t="n"/>
      <c r="OWJ3" s="95" t="n"/>
      <c r="OWK3" s="95" t="n"/>
      <c r="OWL3" s="95" t="n"/>
      <c r="OWM3" s="95" t="n"/>
      <c r="OWN3" s="95" t="n"/>
      <c r="OWO3" s="95" t="n"/>
      <c r="OWP3" s="95" t="n"/>
      <c r="OWQ3" s="95" t="n"/>
      <c r="OWR3" s="95" t="n"/>
      <c r="OWS3" s="95" t="n"/>
      <c r="OWT3" s="95" t="n"/>
      <c r="OWU3" s="95" t="n"/>
      <c r="OWV3" s="95" t="n"/>
      <c r="OWW3" s="95" t="n"/>
      <c r="OWX3" s="95" t="n"/>
      <c r="OWY3" s="95" t="n"/>
      <c r="OWZ3" s="95" t="n"/>
      <c r="OXA3" s="95" t="n"/>
      <c r="OXB3" s="95" t="n"/>
      <c r="OXC3" s="95" t="n"/>
      <c r="OXD3" s="95" t="n"/>
      <c r="OXE3" s="95" t="n"/>
      <c r="OXF3" s="95" t="n"/>
      <c r="OXG3" s="95" t="n"/>
      <c r="OXH3" s="95" t="n"/>
      <c r="OXI3" s="95" t="n"/>
      <c r="OXJ3" s="95" t="n"/>
      <c r="OXK3" s="95" t="n"/>
      <c r="OXL3" s="95" t="n"/>
      <c r="OXM3" s="95" t="n"/>
      <c r="OXN3" s="95" t="n"/>
      <c r="OXO3" s="95" t="n"/>
      <c r="OXP3" s="95" t="n"/>
      <c r="OXQ3" s="95" t="n"/>
      <c r="OXR3" s="95" t="n"/>
      <c r="OXS3" s="95" t="n"/>
      <c r="OXT3" s="95" t="n"/>
      <c r="OXU3" s="95" t="n"/>
      <c r="OXV3" s="95" t="n"/>
      <c r="OXW3" s="95" t="n"/>
      <c r="OXX3" s="95" t="n"/>
      <c r="OXY3" s="95" t="n"/>
      <c r="OXZ3" s="95" t="n"/>
      <c r="OYA3" s="95" t="n"/>
      <c r="OYB3" s="95" t="n"/>
      <c r="OYC3" s="95" t="n"/>
      <c r="OYD3" s="95" t="n"/>
      <c r="OYE3" s="95" t="n"/>
      <c r="OYF3" s="95" t="n"/>
      <c r="OYG3" s="95" t="n"/>
      <c r="OYH3" s="95" t="n"/>
      <c r="OYI3" s="95" t="n"/>
      <c r="OYJ3" s="95" t="n"/>
      <c r="OYK3" s="95" t="n"/>
      <c r="OYL3" s="95" t="n"/>
      <c r="OYM3" s="95" t="n"/>
      <c r="OYN3" s="95" t="n"/>
      <c r="OYO3" s="95" t="n"/>
      <c r="OYP3" s="95" t="n"/>
      <c r="OYQ3" s="95" t="n"/>
      <c r="OYR3" s="95" t="n"/>
      <c r="OYS3" s="95" t="n"/>
      <c r="OYT3" s="95" t="n"/>
      <c r="OYU3" s="95" t="n"/>
      <c r="OYV3" s="95" t="n"/>
      <c r="OYW3" s="95" t="n"/>
      <c r="OYX3" s="95" t="n"/>
      <c r="OYY3" s="95" t="n"/>
      <c r="OYZ3" s="95" t="n"/>
      <c r="OZA3" s="95" t="n"/>
      <c r="OZB3" s="95" t="n"/>
      <c r="OZC3" s="95" t="n"/>
      <c r="OZD3" s="95" t="n"/>
      <c r="OZE3" s="95" t="n"/>
      <c r="OZF3" s="95" t="n"/>
      <c r="OZG3" s="95" t="n"/>
      <c r="OZH3" s="95" t="n"/>
      <c r="OZI3" s="95" t="n"/>
      <c r="OZJ3" s="95" t="n"/>
      <c r="OZK3" s="95" t="n"/>
      <c r="OZL3" s="95" t="n"/>
      <c r="OZM3" s="95" t="n"/>
      <c r="OZN3" s="95" t="n"/>
      <c r="OZO3" s="95" t="n"/>
      <c r="OZP3" s="95" t="n"/>
      <c r="OZQ3" s="95" t="n"/>
      <c r="OZR3" s="95" t="n"/>
      <c r="OZS3" s="95" t="n"/>
      <c r="OZT3" s="95" t="n"/>
      <c r="OZU3" s="95" t="n"/>
      <c r="OZV3" s="95" t="n"/>
      <c r="OZW3" s="95" t="n"/>
      <c r="OZX3" s="95" t="n"/>
      <c r="OZY3" s="95" t="n"/>
      <c r="OZZ3" s="95" t="n"/>
      <c r="PAA3" s="95" t="n"/>
      <c r="PAB3" s="95" t="n"/>
      <c r="PAC3" s="95" t="n"/>
      <c r="PAD3" s="95" t="n"/>
      <c r="PAE3" s="95" t="n"/>
      <c r="PAF3" s="95" t="n"/>
      <c r="PAG3" s="95" t="n"/>
      <c r="PAH3" s="95" t="n"/>
      <c r="PAI3" s="95" t="n"/>
      <c r="PAJ3" s="95" t="n"/>
      <c r="PAK3" s="95" t="n"/>
      <c r="PAL3" s="95" t="n"/>
      <c r="PAM3" s="95" t="n"/>
      <c r="PAN3" s="95" t="n"/>
      <c r="PAO3" s="95" t="n"/>
      <c r="PAP3" s="95" t="n"/>
      <c r="PAQ3" s="95" t="n"/>
      <c r="PAR3" s="95" t="n"/>
      <c r="PAS3" s="95" t="n"/>
      <c r="PAT3" s="95" t="n"/>
      <c r="PAU3" s="95" t="n"/>
      <c r="PAV3" s="95" t="n"/>
      <c r="PAW3" s="95" t="n"/>
      <c r="PAX3" s="95" t="n"/>
      <c r="PAY3" s="95" t="n"/>
      <c r="PAZ3" s="95" t="n"/>
      <c r="PBA3" s="95" t="n"/>
      <c r="PBB3" s="95" t="n"/>
      <c r="PBC3" s="95" t="n"/>
      <c r="PBD3" s="95" t="n"/>
      <c r="PBE3" s="95" t="n"/>
      <c r="PBF3" s="95" t="n"/>
      <c r="PBG3" s="95" t="n"/>
      <c r="PBH3" s="95" t="n"/>
      <c r="PBI3" s="95" t="n"/>
      <c r="PBJ3" s="95" t="n"/>
      <c r="PBK3" s="95" t="n"/>
      <c r="PBL3" s="95" t="n"/>
      <c r="PBM3" s="95" t="n"/>
      <c r="PBN3" s="95" t="n"/>
      <c r="PBO3" s="95" t="n"/>
      <c r="PBP3" s="95" t="n"/>
      <c r="PBQ3" s="95" t="n"/>
      <c r="PBR3" s="95" t="n"/>
      <c r="PBS3" s="95" t="n"/>
      <c r="PBT3" s="95" t="n"/>
      <c r="PBU3" s="95" t="n"/>
      <c r="PBV3" s="95" t="n"/>
      <c r="PBW3" s="95" t="n"/>
      <c r="PBX3" s="95" t="n"/>
      <c r="PBY3" s="95" t="n"/>
      <c r="PBZ3" s="95" t="n"/>
      <c r="PCA3" s="95" t="n"/>
      <c r="PCB3" s="95" t="n"/>
      <c r="PCC3" s="95" t="n"/>
      <c r="PCD3" s="95" t="n"/>
      <c r="PCE3" s="95" t="n"/>
      <c r="PCF3" s="95" t="n"/>
      <c r="PCG3" s="95" t="n"/>
      <c r="PCH3" s="95" t="n"/>
      <c r="PCI3" s="95" t="n"/>
      <c r="PCJ3" s="95" t="n"/>
      <c r="PCK3" s="95" t="n"/>
      <c r="PCL3" s="95" t="n"/>
      <c r="PCM3" s="95" t="n"/>
      <c r="PCN3" s="95" t="n"/>
      <c r="PCO3" s="95" t="n"/>
      <c r="PCP3" s="95" t="n"/>
      <c r="PCQ3" s="95" t="n"/>
      <c r="PCR3" s="95" t="n"/>
      <c r="PCS3" s="95" t="n"/>
      <c r="PCT3" s="95" t="n"/>
      <c r="PCU3" s="95" t="n"/>
      <c r="PCV3" s="95" t="n"/>
      <c r="PCW3" s="95" t="n"/>
      <c r="PCX3" s="95" t="n"/>
      <c r="PCY3" s="95" t="n"/>
      <c r="PCZ3" s="95" t="n"/>
      <c r="PDA3" s="95" t="n"/>
      <c r="PDB3" s="95" t="n"/>
      <c r="PDC3" s="95" t="n"/>
      <c r="PDD3" s="95" t="n"/>
      <c r="PDE3" s="95" t="n"/>
      <c r="PDF3" s="95" t="n"/>
      <c r="PDG3" s="95" t="n"/>
      <c r="PDH3" s="95" t="n"/>
      <c r="PDI3" s="95" t="n"/>
      <c r="PDJ3" s="95" t="n"/>
      <c r="PDK3" s="95" t="n"/>
      <c r="PDL3" s="95" t="n"/>
      <c r="PDM3" s="95" t="n"/>
      <c r="PDN3" s="95" t="n"/>
      <c r="PDO3" s="95" t="n"/>
      <c r="PDP3" s="95" t="n"/>
      <c r="PDQ3" s="95" t="n"/>
      <c r="PDR3" s="95" t="n"/>
      <c r="PDS3" s="95" t="n"/>
      <c r="PDT3" s="95" t="n"/>
      <c r="PDU3" s="95" t="n"/>
      <c r="PDV3" s="95" t="n"/>
      <c r="PDW3" s="95" t="n"/>
      <c r="PDX3" s="95" t="n"/>
      <c r="PDY3" s="95" t="n"/>
      <c r="PDZ3" s="95" t="n"/>
      <c r="PEA3" s="95" t="n"/>
      <c r="PEB3" s="95" t="n"/>
      <c r="PEC3" s="95" t="n"/>
      <c r="PED3" s="95" t="n"/>
      <c r="PEE3" s="95" t="n"/>
      <c r="PEF3" s="95" t="n"/>
      <c r="PEG3" s="95" t="n"/>
      <c r="PEH3" s="95" t="n"/>
      <c r="PEI3" s="95" t="n"/>
      <c r="PEJ3" s="95" t="n"/>
      <c r="PEK3" s="95" t="n"/>
      <c r="PEL3" s="95" t="n"/>
      <c r="PEM3" s="95" t="n"/>
      <c r="PEN3" s="95" t="n"/>
      <c r="PEO3" s="95" t="n"/>
      <c r="PEP3" s="95" t="n"/>
      <c r="PEQ3" s="95" t="n"/>
      <c r="PER3" s="95" t="n"/>
      <c r="PES3" s="95" t="n"/>
      <c r="PET3" s="95" t="n"/>
      <c r="PEU3" s="95" t="n"/>
      <c r="PEV3" s="95" t="n"/>
      <c r="PEW3" s="95" t="n"/>
      <c r="PEX3" s="95" t="n"/>
      <c r="PEY3" s="95" t="n"/>
      <c r="PEZ3" s="95" t="n"/>
      <c r="PFA3" s="95" t="n"/>
      <c r="PFB3" s="95" t="n"/>
      <c r="PFC3" s="95" t="n"/>
      <c r="PFD3" s="95" t="n"/>
      <c r="PFE3" s="95" t="n"/>
      <c r="PFF3" s="95" t="n"/>
      <c r="PFG3" s="95" t="n"/>
      <c r="PFH3" s="95" t="n"/>
      <c r="PFI3" s="95" t="n"/>
      <c r="PFJ3" s="95" t="n"/>
      <c r="PFK3" s="95" t="n"/>
      <c r="PFL3" s="95" t="n"/>
      <c r="PFM3" s="95" t="n"/>
      <c r="PFN3" s="95" t="n"/>
      <c r="PFO3" s="95" t="n"/>
      <c r="PFP3" s="95" t="n"/>
      <c r="PFQ3" s="95" t="n"/>
      <c r="PFR3" s="95" t="n"/>
      <c r="PFS3" s="95" t="n"/>
      <c r="PFT3" s="95" t="n"/>
      <c r="PFU3" s="95" t="n"/>
      <c r="PFV3" s="95" t="n"/>
      <c r="PFW3" s="95" t="n"/>
      <c r="PFX3" s="95" t="n"/>
      <c r="PFY3" s="95" t="n"/>
      <c r="PFZ3" s="95" t="n"/>
      <c r="PGA3" s="95" t="n"/>
      <c r="PGB3" s="95" t="n"/>
      <c r="PGC3" s="95" t="n"/>
      <c r="PGD3" s="95" t="n"/>
      <c r="PGE3" s="95" t="n"/>
      <c r="PGF3" s="95" t="n"/>
      <c r="PGG3" s="95" t="n"/>
      <c r="PGH3" s="95" t="n"/>
      <c r="PGI3" s="95" t="n"/>
      <c r="PGJ3" s="95" t="n"/>
      <c r="PGK3" s="95" t="n"/>
      <c r="PGL3" s="95" t="n"/>
      <c r="PGM3" s="95" t="n"/>
      <c r="PGN3" s="95" t="n"/>
      <c r="PGO3" s="95" t="n"/>
      <c r="PGP3" s="95" t="n"/>
      <c r="PGQ3" s="95" t="n"/>
      <c r="PGR3" s="95" t="n"/>
      <c r="PGS3" s="95" t="n"/>
      <c r="PGT3" s="95" t="n"/>
      <c r="PGU3" s="95" t="n"/>
      <c r="PGV3" s="95" t="n"/>
      <c r="PGW3" s="95" t="n"/>
      <c r="PGX3" s="95" t="n"/>
      <c r="PGY3" s="95" t="n"/>
      <c r="PGZ3" s="95" t="n"/>
      <c r="PHA3" s="95" t="n"/>
      <c r="PHB3" s="95" t="n"/>
      <c r="PHC3" s="95" t="n"/>
      <c r="PHD3" s="95" t="n"/>
      <c r="PHE3" s="95" t="n"/>
      <c r="PHF3" s="95" t="n"/>
      <c r="PHG3" s="95" t="n"/>
      <c r="PHH3" s="95" t="n"/>
      <c r="PHI3" s="95" t="n"/>
      <c r="PHJ3" s="95" t="n"/>
      <c r="PHK3" s="95" t="n"/>
      <c r="PHL3" s="95" t="n"/>
      <c r="PHM3" s="95" t="n"/>
      <c r="PHN3" s="95" t="n"/>
      <c r="PHO3" s="95" t="n"/>
      <c r="PHP3" s="95" t="n"/>
      <c r="PHQ3" s="95" t="n"/>
      <c r="PHR3" s="95" t="n"/>
      <c r="PHS3" s="95" t="n"/>
      <c r="PHT3" s="95" t="n"/>
      <c r="PHU3" s="95" t="n"/>
      <c r="PHV3" s="95" t="n"/>
      <c r="PHW3" s="95" t="n"/>
      <c r="PHX3" s="95" t="n"/>
      <c r="PHY3" s="95" t="n"/>
      <c r="PHZ3" s="95" t="n"/>
      <c r="PIA3" s="95" t="n"/>
      <c r="PIB3" s="95" t="n"/>
      <c r="PIC3" s="95" t="n"/>
      <c r="PID3" s="95" t="n"/>
      <c r="PIE3" s="95" t="n"/>
      <c r="PIF3" s="95" t="n"/>
      <c r="PIG3" s="95" t="n"/>
      <c r="PIH3" s="95" t="n"/>
      <c r="PII3" s="95" t="n"/>
      <c r="PIJ3" s="95" t="n"/>
      <c r="PIK3" s="95" t="n"/>
      <c r="PIL3" s="95" t="n"/>
      <c r="PIM3" s="95" t="n"/>
      <c r="PIN3" s="95" t="n"/>
      <c r="PIO3" s="95" t="n"/>
      <c r="PIP3" s="95" t="n"/>
      <c r="PIQ3" s="95" t="n"/>
      <c r="PIR3" s="95" t="n"/>
      <c r="PIS3" s="95" t="n"/>
      <c r="PIT3" s="95" t="n"/>
      <c r="PIU3" s="95" t="n"/>
      <c r="PIV3" s="95" t="n"/>
      <c r="PIW3" s="95" t="n"/>
      <c r="PIX3" s="95" t="n"/>
      <c r="PIY3" s="95" t="n"/>
      <c r="PIZ3" s="95" t="n"/>
      <c r="PJA3" s="95" t="n"/>
      <c r="PJB3" s="95" t="n"/>
      <c r="PJC3" s="95" t="n"/>
      <c r="PJD3" s="95" t="n"/>
      <c r="PJE3" s="95" t="n"/>
      <c r="PJF3" s="95" t="n"/>
      <c r="PJG3" s="95" t="n"/>
      <c r="PJH3" s="95" t="n"/>
      <c r="PJI3" s="95" t="n"/>
      <c r="PJJ3" s="95" t="n"/>
      <c r="PJK3" s="95" t="n"/>
      <c r="PJL3" s="95" t="n"/>
      <c r="PJM3" s="95" t="n"/>
      <c r="PJN3" s="95" t="n"/>
      <c r="PJO3" s="95" t="n"/>
      <c r="PJP3" s="95" t="n"/>
      <c r="PJQ3" s="95" t="n"/>
      <c r="PJR3" s="95" t="n"/>
      <c r="PJS3" s="95" t="n"/>
      <c r="PJT3" s="95" t="n"/>
      <c r="PJU3" s="95" t="n"/>
      <c r="PJV3" s="95" t="n"/>
      <c r="PJW3" s="95" t="n"/>
      <c r="PJX3" s="95" t="n"/>
      <c r="PJY3" s="95" t="n"/>
      <c r="PJZ3" s="95" t="n"/>
      <c r="PKA3" s="95" t="n"/>
      <c r="PKB3" s="95" t="n"/>
      <c r="PKC3" s="95" t="n"/>
      <c r="PKD3" s="95" t="n"/>
      <c r="PKE3" s="95" t="n"/>
      <c r="PKF3" s="95" t="n"/>
      <c r="PKG3" s="95" t="n"/>
      <c r="PKH3" s="95" t="n"/>
      <c r="PKI3" s="95" t="n"/>
      <c r="PKJ3" s="95" t="n"/>
      <c r="PKK3" s="95" t="n"/>
      <c r="PKL3" s="95" t="n"/>
      <c r="PKM3" s="95" t="n"/>
      <c r="PKN3" s="95" t="n"/>
      <c r="PKO3" s="95" t="n"/>
      <c r="PKP3" s="95" t="n"/>
      <c r="PKQ3" s="95" t="n"/>
      <c r="PKR3" s="95" t="n"/>
      <c r="PKS3" s="95" t="n"/>
      <c r="PKT3" s="95" t="n"/>
      <c r="PKU3" s="95" t="n"/>
      <c r="PKV3" s="95" t="n"/>
      <c r="PKW3" s="95" t="n"/>
      <c r="PKX3" s="95" t="n"/>
      <c r="PKY3" s="95" t="n"/>
      <c r="PKZ3" s="95" t="n"/>
      <c r="PLA3" s="95" t="n"/>
      <c r="PLB3" s="95" t="n"/>
      <c r="PLC3" s="95" t="n"/>
      <c r="PLD3" s="95" t="n"/>
      <c r="PLE3" s="95" t="n"/>
      <c r="PLF3" s="95" t="n"/>
      <c r="PLG3" s="95" t="n"/>
      <c r="PLH3" s="95" t="n"/>
      <c r="PLI3" s="95" t="n"/>
      <c r="PLJ3" s="95" t="n"/>
      <c r="PLK3" s="95" t="n"/>
      <c r="PLL3" s="95" t="n"/>
      <c r="PLM3" s="95" t="n"/>
      <c r="PLN3" s="95" t="n"/>
      <c r="PLO3" s="95" t="n"/>
      <c r="PLP3" s="95" t="n"/>
      <c r="PLQ3" s="95" t="n"/>
      <c r="PLR3" s="95" t="n"/>
      <c r="PLS3" s="95" t="n"/>
      <c r="PLT3" s="95" t="n"/>
      <c r="PLU3" s="95" t="n"/>
      <c r="PLV3" s="95" t="n"/>
      <c r="PLW3" s="95" t="n"/>
      <c r="PLX3" s="95" t="n"/>
      <c r="PLY3" s="95" t="n"/>
      <c r="PLZ3" s="95" t="n"/>
      <c r="PMA3" s="95" t="n"/>
      <c r="PMB3" s="95" t="n"/>
      <c r="PMC3" s="95" t="n"/>
      <c r="PMD3" s="95" t="n"/>
      <c r="PME3" s="95" t="n"/>
      <c r="PMF3" s="95" t="n"/>
      <c r="PMG3" s="95" t="n"/>
      <c r="PMH3" s="95" t="n"/>
      <c r="PMI3" s="95" t="n"/>
      <c r="PMJ3" s="95" t="n"/>
      <c r="PMK3" s="95" t="n"/>
      <c r="PML3" s="95" t="n"/>
      <c r="PMM3" s="95" t="n"/>
      <c r="PMN3" s="95" t="n"/>
      <c r="PMO3" s="95" t="n"/>
      <c r="PMP3" s="95" t="n"/>
      <c r="PMQ3" s="95" t="n"/>
      <c r="PMR3" s="95" t="n"/>
      <c r="PMS3" s="95" t="n"/>
      <c r="PMT3" s="95" t="n"/>
      <c r="PMU3" s="95" t="n"/>
      <c r="PMV3" s="95" t="n"/>
      <c r="PMW3" s="95" t="n"/>
      <c r="PMX3" s="95" t="n"/>
      <c r="PMY3" s="95" t="n"/>
      <c r="PMZ3" s="95" t="n"/>
      <c r="PNA3" s="95" t="n"/>
      <c r="PNB3" s="95" t="n"/>
      <c r="PNC3" s="95" t="n"/>
      <c r="PND3" s="95" t="n"/>
      <c r="PNE3" s="95" t="n"/>
      <c r="PNF3" s="95" t="n"/>
      <c r="PNG3" s="95" t="n"/>
      <c r="PNH3" s="95" t="n"/>
      <c r="PNI3" s="95" t="n"/>
      <c r="PNJ3" s="95" t="n"/>
      <c r="PNK3" s="95" t="n"/>
      <c r="PNL3" s="95" t="n"/>
      <c r="PNM3" s="95" t="n"/>
      <c r="PNN3" s="95" t="n"/>
      <c r="PNO3" s="95" t="n"/>
      <c r="PNP3" s="95" t="n"/>
      <c r="PNQ3" s="95" t="n"/>
      <c r="PNR3" s="95" t="n"/>
      <c r="PNS3" s="95" t="n"/>
      <c r="PNT3" s="95" t="n"/>
      <c r="PNU3" s="95" t="n"/>
      <c r="PNV3" s="95" t="n"/>
      <c r="PNW3" s="95" t="n"/>
      <c r="PNX3" s="95" t="n"/>
      <c r="PNY3" s="95" t="n"/>
      <c r="PNZ3" s="95" t="n"/>
      <c r="POA3" s="95" t="n"/>
      <c r="POB3" s="95" t="n"/>
      <c r="POC3" s="95" t="n"/>
      <c r="POD3" s="95" t="n"/>
      <c r="POE3" s="95" t="n"/>
      <c r="POF3" s="95" t="n"/>
      <c r="POG3" s="95" t="n"/>
      <c r="POH3" s="95" t="n"/>
      <c r="POI3" s="95" t="n"/>
      <c r="POJ3" s="95" t="n"/>
      <c r="POK3" s="95" t="n"/>
      <c r="POL3" s="95" t="n"/>
      <c r="POM3" s="95" t="n"/>
      <c r="PON3" s="95" t="n"/>
      <c r="POO3" s="95" t="n"/>
      <c r="POP3" s="95" t="n"/>
      <c r="POQ3" s="95" t="n"/>
      <c r="POR3" s="95" t="n"/>
      <c r="POS3" s="95" t="n"/>
      <c r="POT3" s="95" t="n"/>
      <c r="POU3" s="95" t="n"/>
      <c r="POV3" s="95" t="n"/>
      <c r="POW3" s="95" t="n"/>
      <c r="POX3" s="95" t="n"/>
      <c r="POY3" s="95" t="n"/>
      <c r="POZ3" s="95" t="n"/>
      <c r="PPA3" s="95" t="n"/>
      <c r="PPB3" s="95" t="n"/>
      <c r="PPC3" s="95" t="n"/>
      <c r="PPD3" s="95" t="n"/>
      <c r="PPE3" s="95" t="n"/>
      <c r="PPF3" s="95" t="n"/>
      <c r="PPG3" s="95" t="n"/>
      <c r="PPH3" s="95" t="n"/>
      <c r="PPI3" s="95" t="n"/>
      <c r="PPJ3" s="95" t="n"/>
      <c r="PPK3" s="95" t="n"/>
      <c r="PPL3" s="95" t="n"/>
      <c r="PPM3" s="95" t="n"/>
      <c r="PPN3" s="95" t="n"/>
      <c r="PPO3" s="95" t="n"/>
      <c r="PPP3" s="95" t="n"/>
      <c r="PPQ3" s="95" t="n"/>
      <c r="PPR3" s="95" t="n"/>
      <c r="PPS3" s="95" t="n"/>
      <c r="PPT3" s="95" t="n"/>
      <c r="PPU3" s="95" t="n"/>
      <c r="PPV3" s="95" t="n"/>
      <c r="PPW3" s="95" t="n"/>
      <c r="PPX3" s="95" t="n"/>
      <c r="PPY3" s="95" t="n"/>
      <c r="PPZ3" s="95" t="n"/>
      <c r="PQA3" s="95" t="n"/>
      <c r="PQB3" s="95" t="n"/>
      <c r="PQC3" s="95" t="n"/>
      <c r="PQD3" s="95" t="n"/>
      <c r="PQE3" s="95" t="n"/>
      <c r="PQF3" s="95" t="n"/>
      <c r="PQG3" s="95" t="n"/>
      <c r="PQH3" s="95" t="n"/>
      <c r="PQI3" s="95" t="n"/>
      <c r="PQJ3" s="95" t="n"/>
      <c r="PQK3" s="95" t="n"/>
      <c r="PQL3" s="95" t="n"/>
      <c r="PQM3" s="95" t="n"/>
      <c r="PQN3" s="95" t="n"/>
      <c r="PQO3" s="95" t="n"/>
      <c r="PQP3" s="95" t="n"/>
      <c r="PQQ3" s="95" t="n"/>
      <c r="PQR3" s="95" t="n"/>
      <c r="PQS3" s="95" t="n"/>
      <c r="PQT3" s="95" t="n"/>
      <c r="PQU3" s="95" t="n"/>
      <c r="PQV3" s="95" t="n"/>
      <c r="PQW3" s="95" t="n"/>
      <c r="PQX3" s="95" t="n"/>
      <c r="PQY3" s="95" t="n"/>
      <c r="PQZ3" s="95" t="n"/>
      <c r="PRA3" s="95" t="n"/>
      <c r="PRB3" s="95" t="n"/>
      <c r="PRC3" s="95" t="n"/>
      <c r="PRD3" s="95" t="n"/>
      <c r="PRE3" s="95" t="n"/>
      <c r="PRF3" s="95" t="n"/>
      <c r="PRG3" s="95" t="n"/>
      <c r="PRH3" s="95" t="n"/>
      <c r="PRI3" s="95" t="n"/>
      <c r="PRJ3" s="95" t="n"/>
      <c r="PRK3" s="95" t="n"/>
      <c r="PRL3" s="95" t="n"/>
      <c r="PRM3" s="95" t="n"/>
      <c r="PRN3" s="95" t="n"/>
      <c r="PRO3" s="95" t="n"/>
      <c r="PRP3" s="95" t="n"/>
      <c r="PRQ3" s="95" t="n"/>
      <c r="PRR3" s="95" t="n"/>
      <c r="PRS3" s="95" t="n"/>
      <c r="PRT3" s="95" t="n"/>
      <c r="PRU3" s="95" t="n"/>
      <c r="PRV3" s="95" t="n"/>
      <c r="PRW3" s="95" t="n"/>
      <c r="PRX3" s="95" t="n"/>
      <c r="PRY3" s="95" t="n"/>
      <c r="PRZ3" s="95" t="n"/>
      <c r="PSA3" s="95" t="n"/>
      <c r="PSB3" s="95" t="n"/>
      <c r="PSC3" s="95" t="n"/>
      <c r="PSD3" s="95" t="n"/>
      <c r="PSE3" s="95" t="n"/>
      <c r="PSF3" s="95" t="n"/>
      <c r="PSG3" s="95" t="n"/>
      <c r="PSH3" s="95" t="n"/>
      <c r="PSI3" s="95" t="n"/>
      <c r="PSJ3" s="95" t="n"/>
      <c r="PSK3" s="95" t="n"/>
      <c r="PSL3" s="95" t="n"/>
      <c r="PSM3" s="95" t="n"/>
      <c r="PSN3" s="95" t="n"/>
      <c r="PSO3" s="95" t="n"/>
      <c r="PSP3" s="95" t="n"/>
      <c r="PSQ3" s="95" t="n"/>
      <c r="PSR3" s="95" t="n"/>
      <c r="PSS3" s="95" t="n"/>
      <c r="PST3" s="95" t="n"/>
      <c r="PSU3" s="95" t="n"/>
      <c r="PSV3" s="95" t="n"/>
      <c r="PSW3" s="95" t="n"/>
      <c r="PSX3" s="95" t="n"/>
      <c r="PSY3" s="95" t="n"/>
      <c r="PSZ3" s="95" t="n"/>
      <c r="PTA3" s="95" t="n"/>
      <c r="PTB3" s="95" t="n"/>
      <c r="PTC3" s="95" t="n"/>
      <c r="PTD3" s="95" t="n"/>
      <c r="PTE3" s="95" t="n"/>
      <c r="PTF3" s="95" t="n"/>
      <c r="PTG3" s="95" t="n"/>
      <c r="PTH3" s="95" t="n"/>
      <c r="PTI3" s="95" t="n"/>
      <c r="PTJ3" s="95" t="n"/>
      <c r="PTK3" s="95" t="n"/>
      <c r="PTL3" s="95" t="n"/>
      <c r="PTM3" s="95" t="n"/>
      <c r="PTN3" s="95" t="n"/>
      <c r="PTO3" s="95" t="n"/>
      <c r="PTP3" s="95" t="n"/>
      <c r="PTQ3" s="95" t="n"/>
      <c r="PTR3" s="95" t="n"/>
      <c r="PTS3" s="95" t="n"/>
      <c r="PTT3" s="95" t="n"/>
      <c r="PTU3" s="95" t="n"/>
      <c r="PTV3" s="95" t="n"/>
      <c r="PTW3" s="95" t="n"/>
      <c r="PTX3" s="95" t="n"/>
      <c r="PTY3" s="95" t="n"/>
      <c r="PTZ3" s="95" t="n"/>
      <c r="PUA3" s="95" t="n"/>
      <c r="PUB3" s="95" t="n"/>
      <c r="PUC3" s="95" t="n"/>
      <c r="PUD3" s="95" t="n"/>
      <c r="PUE3" s="95" t="n"/>
      <c r="PUF3" s="95" t="n"/>
      <c r="PUG3" s="95" t="n"/>
      <c r="PUH3" s="95" t="n"/>
      <c r="PUI3" s="95" t="n"/>
      <c r="PUJ3" s="95" t="n"/>
      <c r="PUK3" s="95" t="n"/>
      <c r="PUL3" s="95" t="n"/>
      <c r="PUM3" s="95" t="n"/>
      <c r="PUN3" s="95" t="n"/>
      <c r="PUO3" s="95" t="n"/>
      <c r="PUP3" s="95" t="n"/>
      <c r="PUQ3" s="95" t="n"/>
      <c r="PUR3" s="95" t="n"/>
      <c r="PUS3" s="95" t="n"/>
      <c r="PUT3" s="95" t="n"/>
      <c r="PUU3" s="95" t="n"/>
      <c r="PUV3" s="95" t="n"/>
      <c r="PUW3" s="95" t="n"/>
      <c r="PUX3" s="95" t="n"/>
      <c r="PUY3" s="95" t="n"/>
      <c r="PUZ3" s="95" t="n"/>
      <c r="PVA3" s="95" t="n"/>
      <c r="PVB3" s="95" t="n"/>
      <c r="PVC3" s="95" t="n"/>
      <c r="PVD3" s="95" t="n"/>
      <c r="PVE3" s="95" t="n"/>
      <c r="PVF3" s="95" t="n"/>
      <c r="PVG3" s="95" t="n"/>
      <c r="PVH3" s="95" t="n"/>
      <c r="PVI3" s="95" t="n"/>
      <c r="PVJ3" s="95" t="n"/>
      <c r="PVK3" s="95" t="n"/>
      <c r="PVL3" s="95" t="n"/>
      <c r="PVM3" s="95" t="n"/>
      <c r="PVN3" s="95" t="n"/>
      <c r="PVO3" s="95" t="n"/>
      <c r="PVP3" s="95" t="n"/>
      <c r="PVQ3" s="95" t="n"/>
      <c r="PVR3" s="95" t="n"/>
      <c r="PVS3" s="95" t="n"/>
      <c r="PVT3" s="95" t="n"/>
      <c r="PVU3" s="95" t="n"/>
      <c r="PVV3" s="95" t="n"/>
      <c r="PVW3" s="95" t="n"/>
      <c r="PVX3" s="95" t="n"/>
      <c r="PVY3" s="95" t="n"/>
      <c r="PVZ3" s="95" t="n"/>
      <c r="PWA3" s="95" t="n"/>
      <c r="PWB3" s="95" t="n"/>
      <c r="PWC3" s="95" t="n"/>
      <c r="PWD3" s="95" t="n"/>
      <c r="PWE3" s="95" t="n"/>
      <c r="PWF3" s="95" t="n"/>
      <c r="PWG3" s="95" t="n"/>
      <c r="PWH3" s="95" t="n"/>
      <c r="PWI3" s="95" t="n"/>
      <c r="PWJ3" s="95" t="n"/>
      <c r="PWK3" s="95" t="n"/>
      <c r="PWL3" s="95" t="n"/>
      <c r="PWM3" s="95" t="n"/>
      <c r="PWN3" s="95" t="n"/>
      <c r="PWO3" s="95" t="n"/>
      <c r="PWP3" s="95" t="n"/>
      <c r="PWQ3" s="95" t="n"/>
      <c r="PWR3" s="95" t="n"/>
      <c r="PWS3" s="95" t="n"/>
      <c r="PWT3" s="95" t="n"/>
      <c r="PWU3" s="95" t="n"/>
      <c r="PWV3" s="95" t="n"/>
      <c r="PWW3" s="95" t="n"/>
      <c r="PWX3" s="95" t="n"/>
      <c r="PWY3" s="95" t="n"/>
      <c r="PWZ3" s="95" t="n"/>
      <c r="PXA3" s="95" t="n"/>
      <c r="PXB3" s="95" t="n"/>
      <c r="PXC3" s="95" t="n"/>
      <c r="PXD3" s="95" t="n"/>
      <c r="PXE3" s="95" t="n"/>
      <c r="PXF3" s="95" t="n"/>
      <c r="PXG3" s="95" t="n"/>
      <c r="PXH3" s="95" t="n"/>
      <c r="PXI3" s="95" t="n"/>
      <c r="PXJ3" s="95" t="n"/>
      <c r="PXK3" s="95" t="n"/>
      <c r="PXL3" s="95" t="n"/>
      <c r="PXM3" s="95" t="n"/>
      <c r="PXN3" s="95" t="n"/>
      <c r="PXO3" s="95" t="n"/>
      <c r="PXP3" s="95" t="n"/>
      <c r="PXQ3" s="95" t="n"/>
      <c r="PXR3" s="95" t="n"/>
      <c r="PXS3" s="95" t="n"/>
      <c r="PXT3" s="95" t="n"/>
      <c r="PXU3" s="95" t="n"/>
      <c r="PXV3" s="95" t="n"/>
      <c r="PXW3" s="95" t="n"/>
      <c r="PXX3" s="95" t="n"/>
      <c r="PXY3" s="95" t="n"/>
      <c r="PXZ3" s="95" t="n"/>
      <c r="PYA3" s="95" t="n"/>
      <c r="PYB3" s="95" t="n"/>
      <c r="PYC3" s="95" t="n"/>
      <c r="PYD3" s="95" t="n"/>
      <c r="PYE3" s="95" t="n"/>
      <c r="PYF3" s="95" t="n"/>
      <c r="PYG3" s="95" t="n"/>
      <c r="PYH3" s="95" t="n"/>
      <c r="PYI3" s="95" t="n"/>
      <c r="PYJ3" s="95" t="n"/>
      <c r="PYK3" s="95" t="n"/>
      <c r="PYL3" s="95" t="n"/>
      <c r="PYM3" s="95" t="n"/>
      <c r="PYN3" s="95" t="n"/>
      <c r="PYO3" s="95" t="n"/>
      <c r="PYP3" s="95" t="n"/>
      <c r="PYQ3" s="95" t="n"/>
      <c r="PYR3" s="95" t="n"/>
      <c r="PYS3" s="95" t="n"/>
      <c r="PYT3" s="95" t="n"/>
      <c r="PYU3" s="95" t="n"/>
      <c r="PYV3" s="95" t="n"/>
      <c r="PYW3" s="95" t="n"/>
      <c r="PYX3" s="95" t="n"/>
      <c r="PYY3" s="95" t="n"/>
      <c r="PYZ3" s="95" t="n"/>
      <c r="PZA3" s="95" t="n"/>
      <c r="PZB3" s="95" t="n"/>
      <c r="PZC3" s="95" t="n"/>
      <c r="PZD3" s="95" t="n"/>
      <c r="PZE3" s="95" t="n"/>
      <c r="PZF3" s="95" t="n"/>
      <c r="PZG3" s="95" t="n"/>
      <c r="PZH3" s="95" t="n"/>
      <c r="PZI3" s="95" t="n"/>
      <c r="PZJ3" s="95" t="n"/>
      <c r="PZK3" s="95" t="n"/>
      <c r="PZL3" s="95" t="n"/>
      <c r="PZM3" s="95" t="n"/>
      <c r="PZN3" s="95" t="n"/>
      <c r="PZO3" s="95" t="n"/>
      <c r="PZP3" s="95" t="n"/>
      <c r="PZQ3" s="95" t="n"/>
      <c r="PZR3" s="95" t="n"/>
      <c r="PZS3" s="95" t="n"/>
      <c r="PZT3" s="95" t="n"/>
      <c r="PZU3" s="95" t="n"/>
      <c r="PZV3" s="95" t="n"/>
      <c r="PZW3" s="95" t="n"/>
      <c r="PZX3" s="95" t="n"/>
      <c r="PZY3" s="95" t="n"/>
      <c r="PZZ3" s="95" t="n"/>
      <c r="QAA3" s="95" t="n"/>
      <c r="QAB3" s="95" t="n"/>
      <c r="QAC3" s="95" t="n"/>
      <c r="QAD3" s="95" t="n"/>
      <c r="QAE3" s="95" t="n"/>
      <c r="QAF3" s="95" t="n"/>
      <c r="QAG3" s="95" t="n"/>
      <c r="QAH3" s="95" t="n"/>
      <c r="QAI3" s="95" t="n"/>
      <c r="QAJ3" s="95" t="n"/>
      <c r="QAK3" s="95" t="n"/>
      <c r="QAL3" s="95" t="n"/>
      <c r="QAM3" s="95" t="n"/>
      <c r="QAN3" s="95" t="n"/>
      <c r="QAO3" s="95" t="n"/>
      <c r="QAP3" s="95" t="n"/>
      <c r="QAQ3" s="95" t="n"/>
      <c r="QAR3" s="95" t="n"/>
      <c r="QAS3" s="95" t="n"/>
      <c r="QAT3" s="95" t="n"/>
      <c r="QAU3" s="95" t="n"/>
      <c r="QAV3" s="95" t="n"/>
      <c r="QAW3" s="95" t="n"/>
      <c r="QAX3" s="95" t="n"/>
      <c r="QAY3" s="95" t="n"/>
      <c r="QAZ3" s="95" t="n"/>
      <c r="QBA3" s="95" t="n"/>
      <c r="QBB3" s="95" t="n"/>
      <c r="QBC3" s="95" t="n"/>
      <c r="QBD3" s="95" t="n"/>
      <c r="QBE3" s="95" t="n"/>
      <c r="QBF3" s="95" t="n"/>
      <c r="QBG3" s="95" t="n"/>
      <c r="QBH3" s="95" t="n"/>
      <c r="QBI3" s="95" t="n"/>
      <c r="QBJ3" s="95" t="n"/>
      <c r="QBK3" s="95" t="n"/>
      <c r="QBL3" s="95" t="n"/>
      <c r="QBM3" s="95" t="n"/>
      <c r="QBN3" s="95" t="n"/>
      <c r="QBO3" s="95" t="n"/>
      <c r="QBP3" s="95" t="n"/>
      <c r="QBQ3" s="95" t="n"/>
      <c r="QBR3" s="95" t="n"/>
      <c r="QBS3" s="95" t="n"/>
      <c r="QBT3" s="95" t="n"/>
      <c r="QBU3" s="95" t="n"/>
      <c r="QBV3" s="95" t="n"/>
      <c r="QBW3" s="95" t="n"/>
      <c r="QBX3" s="95" t="n"/>
      <c r="QBY3" s="95" t="n"/>
      <c r="QBZ3" s="95" t="n"/>
      <c r="QCA3" s="95" t="n"/>
      <c r="QCB3" s="95" t="n"/>
      <c r="QCC3" s="95" t="n"/>
      <c r="QCD3" s="95" t="n"/>
      <c r="QCE3" s="95" t="n"/>
      <c r="QCF3" s="95" t="n"/>
      <c r="QCG3" s="95" t="n"/>
      <c r="QCH3" s="95" t="n"/>
      <c r="QCI3" s="95" t="n"/>
      <c r="QCJ3" s="95" t="n"/>
      <c r="QCK3" s="95" t="n"/>
      <c r="QCL3" s="95" t="n"/>
      <c r="QCM3" s="95" t="n"/>
      <c r="QCN3" s="95" t="n"/>
      <c r="QCO3" s="95" t="n"/>
      <c r="QCP3" s="95" t="n"/>
      <c r="QCQ3" s="95" t="n"/>
      <c r="QCR3" s="95" t="n"/>
      <c r="QCS3" s="95" t="n"/>
      <c r="QCT3" s="95" t="n"/>
      <c r="QCU3" s="95" t="n"/>
      <c r="QCV3" s="95" t="n"/>
      <c r="QCW3" s="95" t="n"/>
      <c r="QCX3" s="95" t="n"/>
      <c r="QCY3" s="95" t="n"/>
      <c r="QCZ3" s="95" t="n"/>
      <c r="QDA3" s="95" t="n"/>
      <c r="QDB3" s="95" t="n"/>
      <c r="QDC3" s="95" t="n"/>
      <c r="QDD3" s="95" t="n"/>
      <c r="QDE3" s="95" t="n"/>
      <c r="QDF3" s="95" t="n"/>
      <c r="QDG3" s="95" t="n"/>
      <c r="QDH3" s="95" t="n"/>
      <c r="QDI3" s="95" t="n"/>
      <c r="QDJ3" s="95" t="n"/>
      <c r="QDK3" s="95" t="n"/>
      <c r="QDL3" s="95" t="n"/>
      <c r="QDM3" s="95" t="n"/>
      <c r="QDN3" s="95" t="n"/>
      <c r="QDO3" s="95" t="n"/>
      <c r="QDP3" s="95" t="n"/>
      <c r="QDQ3" s="95" t="n"/>
      <c r="QDR3" s="95" t="n"/>
      <c r="QDS3" s="95" t="n"/>
      <c r="QDT3" s="95" t="n"/>
      <c r="QDU3" s="95" t="n"/>
      <c r="QDV3" s="95" t="n"/>
      <c r="QDW3" s="95" t="n"/>
      <c r="QDX3" s="95" t="n"/>
      <c r="QDY3" s="95" t="n"/>
      <c r="QDZ3" s="95" t="n"/>
      <c r="QEA3" s="95" t="n"/>
      <c r="QEB3" s="95" t="n"/>
      <c r="QEC3" s="95" t="n"/>
      <c r="QED3" s="95" t="n"/>
      <c r="QEE3" s="95" t="n"/>
      <c r="QEF3" s="95" t="n"/>
      <c r="QEG3" s="95" t="n"/>
      <c r="QEH3" s="95" t="n"/>
      <c r="QEI3" s="95" t="n"/>
      <c r="QEJ3" s="95" t="n"/>
      <c r="QEK3" s="95" t="n"/>
      <c r="QEL3" s="95" t="n"/>
      <c r="QEM3" s="95" t="n"/>
      <c r="QEN3" s="95" t="n"/>
      <c r="QEO3" s="95" t="n"/>
      <c r="QEP3" s="95" t="n"/>
      <c r="QEQ3" s="95" t="n"/>
      <c r="QER3" s="95" t="n"/>
      <c r="QES3" s="95" t="n"/>
      <c r="QET3" s="95" t="n"/>
      <c r="QEU3" s="95" t="n"/>
      <c r="QEV3" s="95" t="n"/>
      <c r="QEW3" s="95" t="n"/>
      <c r="QEX3" s="95" t="n"/>
      <c r="QEY3" s="95" t="n"/>
      <c r="QEZ3" s="95" t="n"/>
      <c r="QFA3" s="95" t="n"/>
      <c r="QFB3" s="95" t="n"/>
      <c r="QFC3" s="95" t="n"/>
      <c r="QFD3" s="95" t="n"/>
      <c r="QFE3" s="95" t="n"/>
      <c r="QFF3" s="95" t="n"/>
      <c r="QFG3" s="95" t="n"/>
      <c r="QFH3" s="95" t="n"/>
      <c r="QFI3" s="95" t="n"/>
      <c r="QFJ3" s="95" t="n"/>
      <c r="QFK3" s="95" t="n"/>
      <c r="QFL3" s="95" t="n"/>
      <c r="QFM3" s="95" t="n"/>
      <c r="QFN3" s="95" t="n"/>
      <c r="QFO3" s="95" t="n"/>
      <c r="QFP3" s="95" t="n"/>
      <c r="QFQ3" s="95" t="n"/>
      <c r="QFR3" s="95" t="n"/>
      <c r="QFS3" s="95" t="n"/>
      <c r="QFT3" s="95" t="n"/>
      <c r="QFU3" s="95" t="n"/>
      <c r="QFV3" s="95" t="n"/>
      <c r="QFW3" s="95" t="n"/>
      <c r="QFX3" s="95" t="n"/>
      <c r="QFY3" s="95" t="n"/>
      <c r="QFZ3" s="95" t="n"/>
      <c r="QGA3" s="95" t="n"/>
      <c r="QGB3" s="95" t="n"/>
      <c r="QGC3" s="95" t="n"/>
      <c r="QGD3" s="95" t="n"/>
      <c r="QGE3" s="95" t="n"/>
      <c r="QGF3" s="95" t="n"/>
      <c r="QGG3" s="95" t="n"/>
      <c r="QGH3" s="95" t="n"/>
      <c r="QGI3" s="95" t="n"/>
      <c r="QGJ3" s="95" t="n"/>
      <c r="QGK3" s="95" t="n"/>
      <c r="QGL3" s="95" t="n"/>
      <c r="QGM3" s="95" t="n"/>
      <c r="QGN3" s="95" t="n"/>
      <c r="QGO3" s="95" t="n"/>
      <c r="QGP3" s="95" t="n"/>
      <c r="QGQ3" s="95" t="n"/>
      <c r="QGR3" s="95" t="n"/>
      <c r="QGS3" s="95" t="n"/>
      <c r="QGT3" s="95" t="n"/>
      <c r="QGU3" s="95" t="n"/>
      <c r="QGV3" s="95" t="n"/>
      <c r="QGW3" s="95" t="n"/>
      <c r="QGX3" s="95" t="n"/>
      <c r="QGY3" s="95" t="n"/>
      <c r="QGZ3" s="95" t="n"/>
      <c r="QHA3" s="95" t="n"/>
      <c r="QHB3" s="95" t="n"/>
      <c r="QHC3" s="95" t="n"/>
      <c r="QHD3" s="95" t="n"/>
      <c r="QHE3" s="95" t="n"/>
      <c r="QHF3" s="95" t="n"/>
      <c r="QHG3" s="95" t="n"/>
      <c r="QHH3" s="95" t="n"/>
      <c r="QHI3" s="95" t="n"/>
      <c r="QHJ3" s="95" t="n"/>
      <c r="QHK3" s="95" t="n"/>
      <c r="QHL3" s="95" t="n"/>
      <c r="QHM3" s="95" t="n"/>
      <c r="QHN3" s="95" t="n"/>
      <c r="QHO3" s="95" t="n"/>
      <c r="QHP3" s="95" t="n"/>
      <c r="QHQ3" s="95" t="n"/>
      <c r="QHR3" s="95" t="n"/>
      <c r="QHS3" s="95" t="n"/>
      <c r="QHT3" s="95" t="n"/>
      <c r="QHU3" s="95" t="n"/>
      <c r="QHV3" s="95" t="n"/>
      <c r="QHW3" s="95" t="n"/>
      <c r="QHX3" s="95" t="n"/>
      <c r="QHY3" s="95" t="n"/>
      <c r="QHZ3" s="95" t="n"/>
      <c r="QIA3" s="95" t="n"/>
      <c r="QIB3" s="95" t="n"/>
      <c r="QIC3" s="95" t="n"/>
      <c r="QID3" s="95" t="n"/>
      <c r="QIE3" s="95" t="n"/>
      <c r="QIF3" s="95" t="n"/>
      <c r="QIG3" s="95" t="n"/>
      <c r="QIH3" s="95" t="n"/>
      <c r="QII3" s="95" t="n"/>
      <c r="QIJ3" s="95" t="n"/>
      <c r="QIK3" s="95" t="n"/>
      <c r="QIL3" s="95" t="n"/>
      <c r="QIM3" s="95" t="n"/>
      <c r="QIN3" s="95" t="n"/>
      <c r="QIO3" s="95" t="n"/>
      <c r="QIP3" s="95" t="n"/>
      <c r="QIQ3" s="95" t="n"/>
      <c r="QIR3" s="95" t="n"/>
      <c r="QIS3" s="95" t="n"/>
      <c r="QIT3" s="95" t="n"/>
      <c r="QIU3" s="95" t="n"/>
      <c r="QIV3" s="95" t="n"/>
      <c r="QIW3" s="95" t="n"/>
      <c r="QIX3" s="95" t="n"/>
      <c r="QIY3" s="95" t="n"/>
      <c r="QIZ3" s="95" t="n"/>
      <c r="QJA3" s="95" t="n"/>
      <c r="QJB3" s="95" t="n"/>
      <c r="QJC3" s="95" t="n"/>
      <c r="QJD3" s="95" t="n"/>
      <c r="QJE3" s="95" t="n"/>
      <c r="QJF3" s="95" t="n"/>
      <c r="QJG3" s="95" t="n"/>
      <c r="QJH3" s="95" t="n"/>
      <c r="QJI3" s="95" t="n"/>
      <c r="QJJ3" s="95" t="n"/>
      <c r="QJK3" s="95" t="n"/>
      <c r="QJL3" s="95" t="n"/>
      <c r="QJM3" s="95" t="n"/>
      <c r="QJN3" s="95" t="n"/>
      <c r="QJO3" s="95" t="n"/>
      <c r="QJP3" s="95" t="n"/>
      <c r="QJQ3" s="95" t="n"/>
      <c r="QJR3" s="95" t="n"/>
      <c r="QJS3" s="95" t="n"/>
      <c r="QJT3" s="95" t="n"/>
      <c r="QJU3" s="95" t="n"/>
      <c r="QJV3" s="95" t="n"/>
      <c r="QJW3" s="95" t="n"/>
      <c r="QJX3" s="95" t="n"/>
      <c r="QJY3" s="95" t="n"/>
      <c r="QJZ3" s="95" t="n"/>
      <c r="QKA3" s="95" t="n"/>
      <c r="QKB3" s="95" t="n"/>
      <c r="QKC3" s="95" t="n"/>
      <c r="QKD3" s="95" t="n"/>
      <c r="QKE3" s="95" t="n"/>
      <c r="QKF3" s="95" t="n"/>
      <c r="QKG3" s="95" t="n"/>
      <c r="QKH3" s="95" t="n"/>
      <c r="QKI3" s="95" t="n"/>
      <c r="QKJ3" s="95" t="n"/>
      <c r="QKK3" s="95" t="n"/>
      <c r="QKL3" s="95" t="n"/>
      <c r="QKM3" s="95" t="n"/>
      <c r="QKN3" s="95" t="n"/>
      <c r="QKO3" s="95" t="n"/>
      <c r="QKP3" s="95" t="n"/>
      <c r="QKQ3" s="95" t="n"/>
      <c r="QKR3" s="95" t="n"/>
      <c r="QKS3" s="95" t="n"/>
      <c r="QKT3" s="95" t="n"/>
      <c r="QKU3" s="95" t="n"/>
      <c r="QKV3" s="95" t="n"/>
      <c r="QKW3" s="95" t="n"/>
      <c r="QKX3" s="95" t="n"/>
      <c r="QKY3" s="95" t="n"/>
      <c r="QKZ3" s="95" t="n"/>
      <c r="QLA3" s="95" t="n"/>
      <c r="QLB3" s="95" t="n"/>
      <c r="QLC3" s="95" t="n"/>
      <c r="QLD3" s="95" t="n"/>
      <c r="QLE3" s="95" t="n"/>
      <c r="QLF3" s="95" t="n"/>
      <c r="QLG3" s="95" t="n"/>
      <c r="QLH3" s="95" t="n"/>
      <c r="QLI3" s="95" t="n"/>
      <c r="QLJ3" s="95" t="n"/>
      <c r="QLK3" s="95" t="n"/>
      <c r="QLL3" s="95" t="n"/>
      <c r="QLM3" s="95" t="n"/>
      <c r="QLN3" s="95" t="n"/>
      <c r="QLO3" s="95" t="n"/>
      <c r="QLP3" s="95" t="n"/>
      <c r="QLQ3" s="95" t="n"/>
      <c r="QLR3" s="95" t="n"/>
      <c r="QLS3" s="95" t="n"/>
      <c r="QLT3" s="95" t="n"/>
      <c r="QLU3" s="95" t="n"/>
      <c r="QLV3" s="95" t="n"/>
      <c r="QLW3" s="95" t="n"/>
      <c r="QLX3" s="95" t="n"/>
      <c r="QLY3" s="95" t="n"/>
      <c r="QLZ3" s="95" t="n"/>
      <c r="QMA3" s="95" t="n"/>
      <c r="QMB3" s="95" t="n"/>
      <c r="QMC3" s="95" t="n"/>
      <c r="QMD3" s="95" t="n"/>
      <c r="QME3" s="95" t="n"/>
      <c r="QMF3" s="95" t="n"/>
      <c r="QMG3" s="95" t="n"/>
      <c r="QMH3" s="95" t="n"/>
      <c r="QMI3" s="95" t="n"/>
      <c r="QMJ3" s="95" t="n"/>
      <c r="QMK3" s="95" t="n"/>
      <c r="QML3" s="95" t="n"/>
      <c r="QMM3" s="95" t="n"/>
      <c r="QMN3" s="95" t="n"/>
      <c r="QMO3" s="95" t="n"/>
      <c r="QMP3" s="95" t="n"/>
      <c r="QMQ3" s="95" t="n"/>
      <c r="QMR3" s="95" t="n"/>
      <c r="QMS3" s="95" t="n"/>
      <c r="QMT3" s="95" t="n"/>
      <c r="QMU3" s="95" t="n"/>
      <c r="QMV3" s="95" t="n"/>
      <c r="QMW3" s="95" t="n"/>
      <c r="QMX3" s="95" t="n"/>
      <c r="QMY3" s="95" t="n"/>
      <c r="QMZ3" s="95" t="n"/>
      <c r="QNA3" s="95" t="n"/>
      <c r="QNB3" s="95" t="n"/>
      <c r="QNC3" s="95" t="n"/>
      <c r="QND3" s="95" t="n"/>
      <c r="QNE3" s="95" t="n"/>
      <c r="QNF3" s="95" t="n"/>
      <c r="QNG3" s="95" t="n"/>
      <c r="QNH3" s="95" t="n"/>
      <c r="QNI3" s="95" t="n"/>
      <c r="QNJ3" s="95" t="n"/>
      <c r="QNK3" s="95" t="n"/>
      <c r="QNL3" s="95" t="n"/>
      <c r="QNM3" s="95" t="n"/>
      <c r="QNN3" s="95" t="n"/>
      <c r="QNO3" s="95" t="n"/>
      <c r="QNP3" s="95" t="n"/>
      <c r="QNQ3" s="95" t="n"/>
      <c r="QNR3" s="95" t="n"/>
      <c r="QNS3" s="95" t="n"/>
      <c r="QNT3" s="95" t="n"/>
      <c r="QNU3" s="95" t="n"/>
      <c r="QNV3" s="95" t="n"/>
      <c r="QNW3" s="95" t="n"/>
      <c r="QNX3" s="95" t="n"/>
      <c r="QNY3" s="95" t="n"/>
      <c r="QNZ3" s="95" t="n"/>
      <c r="QOA3" s="95" t="n"/>
      <c r="QOB3" s="95" t="n"/>
      <c r="QOC3" s="95" t="n"/>
      <c r="QOD3" s="95" t="n"/>
      <c r="QOE3" s="95" t="n"/>
      <c r="QOF3" s="95" t="n"/>
      <c r="QOG3" s="95" t="n"/>
      <c r="QOH3" s="95" t="n"/>
      <c r="QOI3" s="95" t="n"/>
      <c r="QOJ3" s="95" t="n"/>
      <c r="QOK3" s="95" t="n"/>
      <c r="QOL3" s="95" t="n"/>
      <c r="QOM3" s="95" t="n"/>
      <c r="QON3" s="95" t="n"/>
      <c r="QOO3" s="95" t="n"/>
      <c r="QOP3" s="95" t="n"/>
      <c r="QOQ3" s="95" t="n"/>
      <c r="QOR3" s="95" t="n"/>
      <c r="QOS3" s="95" t="n"/>
      <c r="QOT3" s="95" t="n"/>
      <c r="QOU3" s="95" t="n"/>
      <c r="QOV3" s="95" t="n"/>
      <c r="QOW3" s="95" t="n"/>
      <c r="QOX3" s="95" t="n"/>
      <c r="QOY3" s="95" t="n"/>
      <c r="QOZ3" s="95" t="n"/>
      <c r="QPA3" s="95" t="n"/>
      <c r="QPB3" s="95" t="n"/>
      <c r="QPC3" s="95" t="n"/>
      <c r="QPD3" s="95" t="n"/>
      <c r="QPE3" s="95" t="n"/>
      <c r="QPF3" s="95" t="n"/>
      <c r="QPG3" s="95" t="n"/>
      <c r="QPH3" s="95" t="n"/>
      <c r="QPI3" s="95" t="n"/>
      <c r="QPJ3" s="95" t="n"/>
      <c r="QPK3" s="95" t="n"/>
      <c r="QPL3" s="95" t="n"/>
      <c r="QPM3" s="95" t="n"/>
      <c r="QPN3" s="95" t="n"/>
      <c r="QPO3" s="95" t="n"/>
      <c r="QPP3" s="95" t="n"/>
      <c r="QPQ3" s="95" t="n"/>
      <c r="QPR3" s="95" t="n"/>
      <c r="QPS3" s="95" t="n"/>
      <c r="QPT3" s="95" t="n"/>
      <c r="QPU3" s="95" t="n"/>
      <c r="QPV3" s="95" t="n"/>
      <c r="QPW3" s="95" t="n"/>
      <c r="QPX3" s="95" t="n"/>
      <c r="QPY3" s="95" t="n"/>
      <c r="QPZ3" s="95" t="n"/>
      <c r="QQA3" s="95" t="n"/>
      <c r="QQB3" s="95" t="n"/>
      <c r="QQC3" s="95" t="n"/>
      <c r="QQD3" s="95" t="n"/>
      <c r="QQE3" s="95" t="n"/>
      <c r="QQF3" s="95" t="n"/>
      <c r="QQG3" s="95" t="n"/>
      <c r="QQH3" s="95" t="n"/>
      <c r="QQI3" s="95" t="n"/>
      <c r="QQJ3" s="95" t="n"/>
      <c r="QQK3" s="95" t="n"/>
      <c r="QQL3" s="95" t="n"/>
      <c r="QQM3" s="95" t="n"/>
      <c r="QQN3" s="95" t="n"/>
      <c r="QQO3" s="95" t="n"/>
      <c r="QQP3" s="95" t="n"/>
      <c r="QQQ3" s="95" t="n"/>
      <c r="QQR3" s="95" t="n"/>
      <c r="QQS3" s="95" t="n"/>
      <c r="QQT3" s="95" t="n"/>
      <c r="QQU3" s="95" t="n"/>
      <c r="QQV3" s="95" t="n"/>
      <c r="QQW3" s="95" t="n"/>
      <c r="QQX3" s="95" t="n"/>
      <c r="QQY3" s="95" t="n"/>
      <c r="QQZ3" s="95" t="n"/>
      <c r="QRA3" s="95" t="n"/>
      <c r="QRB3" s="95" t="n"/>
      <c r="QRC3" s="95" t="n"/>
      <c r="QRD3" s="95" t="n"/>
      <c r="QRE3" s="95" t="n"/>
      <c r="QRF3" s="95" t="n"/>
      <c r="QRG3" s="95" t="n"/>
      <c r="QRH3" s="95" t="n"/>
      <c r="QRI3" s="95" t="n"/>
      <c r="QRJ3" s="95" t="n"/>
      <c r="QRK3" s="95" t="n"/>
      <c r="QRL3" s="95" t="n"/>
      <c r="QRM3" s="95" t="n"/>
      <c r="QRN3" s="95" t="n"/>
      <c r="QRO3" s="95" t="n"/>
      <c r="QRP3" s="95" t="n"/>
      <c r="QRQ3" s="95" t="n"/>
      <c r="QRR3" s="95" t="n"/>
      <c r="QRS3" s="95" t="n"/>
      <c r="QRT3" s="95" t="n"/>
      <c r="QRU3" s="95" t="n"/>
      <c r="QRV3" s="95" t="n"/>
      <c r="QRW3" s="95" t="n"/>
      <c r="QRX3" s="95" t="n"/>
      <c r="QRY3" s="95" t="n"/>
      <c r="QRZ3" s="95" t="n"/>
      <c r="QSA3" s="95" t="n"/>
      <c r="QSB3" s="95" t="n"/>
      <c r="QSC3" s="95" t="n"/>
      <c r="QSD3" s="95" t="n"/>
      <c r="QSE3" s="95" t="n"/>
      <c r="QSF3" s="95" t="n"/>
      <c r="QSG3" s="95" t="n"/>
      <c r="QSH3" s="95" t="n"/>
      <c r="QSI3" s="95" t="n"/>
      <c r="QSJ3" s="95" t="n"/>
      <c r="QSK3" s="95" t="n"/>
      <c r="QSL3" s="95" t="n"/>
      <c r="QSM3" s="95" t="n"/>
      <c r="QSN3" s="95" t="n"/>
      <c r="QSO3" s="95" t="n"/>
      <c r="QSP3" s="95" t="n"/>
      <c r="QSQ3" s="95" t="n"/>
      <c r="QSR3" s="95" t="n"/>
      <c r="QSS3" s="95" t="n"/>
      <c r="QST3" s="95" t="n"/>
      <c r="QSU3" s="95" t="n"/>
      <c r="QSV3" s="95" t="n"/>
      <c r="QSW3" s="95" t="n"/>
      <c r="QSX3" s="95" t="n"/>
      <c r="QSY3" s="95" t="n"/>
      <c r="QSZ3" s="95" t="n"/>
      <c r="QTA3" s="95" t="n"/>
      <c r="QTB3" s="95" t="n"/>
      <c r="QTC3" s="95" t="n"/>
      <c r="QTD3" s="95" t="n"/>
      <c r="QTE3" s="95" t="n"/>
      <c r="QTF3" s="95" t="n"/>
      <c r="QTG3" s="95" t="n"/>
      <c r="QTH3" s="95" t="n"/>
      <c r="QTI3" s="95" t="n"/>
      <c r="QTJ3" s="95" t="n"/>
      <c r="QTK3" s="95" t="n"/>
      <c r="QTL3" s="95" t="n"/>
      <c r="QTM3" s="95" t="n"/>
      <c r="QTN3" s="95" t="n"/>
      <c r="QTO3" s="95" t="n"/>
      <c r="QTP3" s="95" t="n"/>
      <c r="QTQ3" s="95" t="n"/>
      <c r="QTR3" s="95" t="n"/>
      <c r="QTS3" s="95" t="n"/>
      <c r="QTT3" s="95" t="n"/>
      <c r="QTU3" s="95" t="n"/>
      <c r="QTV3" s="95" t="n"/>
      <c r="QTW3" s="95" t="n"/>
      <c r="QTX3" s="95" t="n"/>
      <c r="QTY3" s="95" t="n"/>
      <c r="QTZ3" s="95" t="n"/>
      <c r="QUA3" s="95" t="n"/>
      <c r="QUB3" s="95" t="n"/>
      <c r="QUC3" s="95" t="n"/>
      <c r="QUD3" s="95" t="n"/>
      <c r="QUE3" s="95" t="n"/>
      <c r="QUF3" s="95" t="n"/>
      <c r="QUG3" s="95" t="n"/>
      <c r="QUH3" s="95" t="n"/>
      <c r="QUI3" s="95" t="n"/>
      <c r="QUJ3" s="95" t="n"/>
      <c r="QUK3" s="95" t="n"/>
      <c r="QUL3" s="95" t="n"/>
      <c r="QUM3" s="95" t="n"/>
      <c r="QUN3" s="95" t="n"/>
      <c r="QUO3" s="95" t="n"/>
      <c r="QUP3" s="95" t="n"/>
      <c r="QUQ3" s="95" t="n"/>
      <c r="QUR3" s="95" t="n"/>
      <c r="QUS3" s="95" t="n"/>
      <c r="QUT3" s="95" t="n"/>
      <c r="QUU3" s="95" t="n"/>
      <c r="QUV3" s="95" t="n"/>
      <c r="QUW3" s="95" t="n"/>
      <c r="QUX3" s="95" t="n"/>
      <c r="QUY3" s="95" t="n"/>
      <c r="QUZ3" s="95" t="n"/>
      <c r="QVA3" s="95" t="n"/>
      <c r="QVB3" s="95" t="n"/>
      <c r="QVC3" s="95" t="n"/>
      <c r="QVD3" s="95" t="n"/>
      <c r="QVE3" s="95" t="n"/>
      <c r="QVF3" s="95" t="n"/>
      <c r="QVG3" s="95" t="n"/>
      <c r="QVH3" s="95" t="n"/>
      <c r="QVI3" s="95" t="n"/>
      <c r="QVJ3" s="95" t="n"/>
      <c r="QVK3" s="95" t="n"/>
      <c r="QVL3" s="95" t="n"/>
      <c r="QVM3" s="95" t="n"/>
      <c r="QVN3" s="95" t="n"/>
      <c r="QVO3" s="95" t="n"/>
      <c r="QVP3" s="95" t="n"/>
      <c r="QVQ3" s="95" t="n"/>
      <c r="QVR3" s="95" t="n"/>
      <c r="QVS3" s="95" t="n"/>
      <c r="QVT3" s="95" t="n"/>
      <c r="QVU3" s="95" t="n"/>
      <c r="QVV3" s="95" t="n"/>
      <c r="QVW3" s="95" t="n"/>
      <c r="QVX3" s="95" t="n"/>
      <c r="QVY3" s="95" t="n"/>
      <c r="QVZ3" s="95" t="n"/>
      <c r="QWA3" s="95" t="n"/>
      <c r="QWB3" s="95" t="n"/>
      <c r="QWC3" s="95" t="n"/>
      <c r="QWD3" s="95" t="n"/>
      <c r="QWE3" s="95" t="n"/>
      <c r="QWF3" s="95" t="n"/>
      <c r="QWG3" s="95" t="n"/>
      <c r="QWH3" s="95" t="n"/>
      <c r="QWI3" s="95" t="n"/>
      <c r="QWJ3" s="95" t="n"/>
      <c r="QWK3" s="95" t="n"/>
      <c r="QWL3" s="95" t="n"/>
      <c r="QWM3" s="95" t="n"/>
      <c r="QWN3" s="95" t="n"/>
      <c r="QWO3" s="95" t="n"/>
      <c r="QWP3" s="95" t="n"/>
      <c r="QWQ3" s="95" t="n"/>
      <c r="QWR3" s="95" t="n"/>
      <c r="QWS3" s="95" t="n"/>
      <c r="QWT3" s="95" t="n"/>
      <c r="QWU3" s="95" t="n"/>
      <c r="QWV3" s="95" t="n"/>
      <c r="QWW3" s="95" t="n"/>
      <c r="QWX3" s="95" t="n"/>
      <c r="QWY3" s="95" t="n"/>
      <c r="QWZ3" s="95" t="n"/>
      <c r="QXA3" s="95" t="n"/>
      <c r="QXB3" s="95" t="n"/>
      <c r="QXC3" s="95" t="n"/>
      <c r="QXD3" s="95" t="n"/>
      <c r="QXE3" s="95" t="n"/>
      <c r="QXF3" s="95" t="n"/>
      <c r="QXG3" s="95" t="n"/>
      <c r="QXH3" s="95" t="n"/>
      <c r="QXI3" s="95" t="n"/>
      <c r="QXJ3" s="95" t="n"/>
      <c r="QXK3" s="95" t="n"/>
      <c r="QXL3" s="95" t="n"/>
      <c r="QXM3" s="95" t="n"/>
      <c r="QXN3" s="95" t="n"/>
      <c r="QXO3" s="95" t="n"/>
      <c r="QXP3" s="95" t="n"/>
      <c r="QXQ3" s="95" t="n"/>
      <c r="QXR3" s="95" t="n"/>
      <c r="QXS3" s="95" t="n"/>
      <c r="QXT3" s="95" t="n"/>
      <c r="QXU3" s="95" t="n"/>
      <c r="QXV3" s="95" t="n"/>
      <c r="QXW3" s="95" t="n"/>
      <c r="QXX3" s="95" t="n"/>
      <c r="QXY3" s="95" t="n"/>
      <c r="QXZ3" s="95" t="n"/>
      <c r="QYA3" s="95" t="n"/>
      <c r="QYB3" s="95" t="n"/>
      <c r="QYC3" s="95" t="n"/>
      <c r="QYD3" s="95" t="n"/>
      <c r="QYE3" s="95" t="n"/>
      <c r="QYF3" s="95" t="n"/>
      <c r="QYG3" s="95" t="n"/>
      <c r="QYH3" s="95" t="n"/>
      <c r="QYI3" s="95" t="n"/>
      <c r="QYJ3" s="95" t="n"/>
      <c r="QYK3" s="95" t="n"/>
      <c r="QYL3" s="95" t="n"/>
      <c r="QYM3" s="95" t="n"/>
      <c r="QYN3" s="95" t="n"/>
      <c r="QYO3" s="95" t="n"/>
      <c r="QYP3" s="95" t="n"/>
      <c r="QYQ3" s="95" t="n"/>
      <c r="QYR3" s="95" t="n"/>
      <c r="QYS3" s="95" t="n"/>
      <c r="QYT3" s="95" t="n"/>
      <c r="QYU3" s="95" t="n"/>
      <c r="QYV3" s="95" t="n"/>
      <c r="QYW3" s="95" t="n"/>
      <c r="QYX3" s="95" t="n"/>
      <c r="QYY3" s="95" t="n"/>
      <c r="QYZ3" s="95" t="n"/>
      <c r="QZA3" s="95" t="n"/>
      <c r="QZB3" s="95" t="n"/>
      <c r="QZC3" s="95" t="n"/>
      <c r="QZD3" s="95" t="n"/>
      <c r="QZE3" s="95" t="n"/>
      <c r="QZF3" s="95" t="n"/>
      <c r="QZG3" s="95" t="n"/>
      <c r="QZH3" s="95" t="n"/>
      <c r="QZI3" s="95" t="n"/>
      <c r="QZJ3" s="95" t="n"/>
      <c r="QZK3" s="95" t="n"/>
      <c r="QZL3" s="95" t="n"/>
      <c r="QZM3" s="95" t="n"/>
      <c r="QZN3" s="95" t="n"/>
      <c r="QZO3" s="95" t="n"/>
      <c r="QZP3" s="95" t="n"/>
      <c r="QZQ3" s="95" t="n"/>
      <c r="QZR3" s="95" t="n"/>
      <c r="QZS3" s="95" t="n"/>
      <c r="QZT3" s="95" t="n"/>
      <c r="QZU3" s="95" t="n"/>
      <c r="QZV3" s="95" t="n"/>
      <c r="QZW3" s="95" t="n"/>
      <c r="QZX3" s="95" t="n"/>
      <c r="QZY3" s="95" t="n"/>
      <c r="QZZ3" s="95" t="n"/>
      <c r="RAA3" s="95" t="n"/>
      <c r="RAB3" s="95" t="n"/>
      <c r="RAC3" s="95" t="n"/>
      <c r="RAD3" s="95" t="n"/>
      <c r="RAE3" s="95" t="n"/>
      <c r="RAF3" s="95" t="n"/>
      <c r="RAG3" s="95" t="n"/>
      <c r="RAH3" s="95" t="n"/>
      <c r="RAI3" s="95" t="n"/>
      <c r="RAJ3" s="95" t="n"/>
      <c r="RAK3" s="95" t="n"/>
      <c r="RAL3" s="95" t="n"/>
      <c r="RAM3" s="95" t="n"/>
      <c r="RAN3" s="95" t="n"/>
      <c r="RAO3" s="95" t="n"/>
      <c r="RAP3" s="95" t="n"/>
      <c r="RAQ3" s="95" t="n"/>
      <c r="RAR3" s="95" t="n"/>
      <c r="RAS3" s="95" t="n"/>
      <c r="RAT3" s="95" t="n"/>
      <c r="RAU3" s="95" t="n"/>
      <c r="RAV3" s="95" t="n"/>
      <c r="RAW3" s="95" t="n"/>
      <c r="RAX3" s="95" t="n"/>
      <c r="RAY3" s="95" t="n"/>
      <c r="RAZ3" s="95" t="n"/>
      <c r="RBA3" s="95" t="n"/>
      <c r="RBB3" s="95" t="n"/>
      <c r="RBC3" s="95" t="n"/>
      <c r="RBD3" s="95" t="n"/>
      <c r="RBE3" s="95" t="n"/>
      <c r="RBF3" s="95" t="n"/>
      <c r="RBG3" s="95" t="n"/>
      <c r="RBH3" s="95" t="n"/>
      <c r="RBI3" s="95" t="n"/>
      <c r="RBJ3" s="95" t="n"/>
      <c r="RBK3" s="95" t="n"/>
      <c r="RBL3" s="95" t="n"/>
      <c r="RBM3" s="95" t="n"/>
      <c r="RBN3" s="95" t="n"/>
      <c r="RBO3" s="95" t="n"/>
      <c r="RBP3" s="95" t="n"/>
      <c r="RBQ3" s="95" t="n"/>
      <c r="RBR3" s="95" t="n"/>
      <c r="RBS3" s="95" t="n"/>
      <c r="RBT3" s="95" t="n"/>
      <c r="RBU3" s="95" t="n"/>
      <c r="RBV3" s="95" t="n"/>
      <c r="RBW3" s="95" t="n"/>
      <c r="RBX3" s="95" t="n"/>
      <c r="RBY3" s="95" t="n"/>
      <c r="RBZ3" s="95" t="n"/>
      <c r="RCA3" s="95" t="n"/>
      <c r="RCB3" s="95" t="n"/>
      <c r="RCC3" s="95" t="n"/>
      <c r="RCD3" s="95" t="n"/>
      <c r="RCE3" s="95" t="n"/>
      <c r="RCF3" s="95" t="n"/>
      <c r="RCG3" s="95" t="n"/>
      <c r="RCH3" s="95" t="n"/>
      <c r="RCI3" s="95" t="n"/>
      <c r="RCJ3" s="95" t="n"/>
      <c r="RCK3" s="95" t="n"/>
      <c r="RCL3" s="95" t="n"/>
      <c r="RCM3" s="95" t="n"/>
      <c r="RCN3" s="95" t="n"/>
      <c r="RCO3" s="95" t="n"/>
      <c r="RCP3" s="95" t="n"/>
      <c r="RCQ3" s="95" t="n"/>
      <c r="RCR3" s="95" t="n"/>
      <c r="RCS3" s="95" t="n"/>
      <c r="RCT3" s="95" t="n"/>
      <c r="RCU3" s="95" t="n"/>
      <c r="RCV3" s="95" t="n"/>
      <c r="RCW3" s="95" t="n"/>
      <c r="RCX3" s="95" t="n"/>
      <c r="RCY3" s="95" t="n"/>
      <c r="RCZ3" s="95" t="n"/>
      <c r="RDA3" s="95" t="n"/>
      <c r="RDB3" s="95" t="n"/>
      <c r="RDC3" s="95" t="n"/>
      <c r="RDD3" s="95" t="n"/>
      <c r="RDE3" s="95" t="n"/>
      <c r="RDF3" s="95" t="n"/>
      <c r="RDG3" s="95" t="n"/>
      <c r="RDH3" s="95" t="n"/>
      <c r="RDI3" s="95" t="n"/>
      <c r="RDJ3" s="95" t="n"/>
      <c r="RDK3" s="95" t="n"/>
      <c r="RDL3" s="95" t="n"/>
      <c r="RDM3" s="95" t="n"/>
      <c r="RDN3" s="95" t="n"/>
      <c r="RDO3" s="95" t="n"/>
      <c r="RDP3" s="95" t="n"/>
      <c r="RDQ3" s="95" t="n"/>
      <c r="RDR3" s="95" t="n"/>
      <c r="RDS3" s="95" t="n"/>
      <c r="RDT3" s="95" t="n"/>
      <c r="RDU3" s="95" t="n"/>
      <c r="RDV3" s="95" t="n"/>
      <c r="RDW3" s="95" t="n"/>
      <c r="RDX3" s="95" t="n"/>
      <c r="RDY3" s="95" t="n"/>
      <c r="RDZ3" s="95" t="n"/>
      <c r="REA3" s="95" t="n"/>
      <c r="REB3" s="95" t="n"/>
      <c r="REC3" s="95" t="n"/>
      <c r="RED3" s="95" t="n"/>
      <c r="REE3" s="95" t="n"/>
      <c r="REF3" s="95" t="n"/>
      <c r="REG3" s="95" t="n"/>
      <c r="REH3" s="95" t="n"/>
      <c r="REI3" s="95" t="n"/>
      <c r="REJ3" s="95" t="n"/>
      <c r="REK3" s="95" t="n"/>
      <c r="REL3" s="95" t="n"/>
      <c r="REM3" s="95" t="n"/>
      <c r="REN3" s="95" t="n"/>
      <c r="REO3" s="95" t="n"/>
      <c r="REP3" s="95" t="n"/>
      <c r="REQ3" s="95" t="n"/>
      <c r="RER3" s="95" t="n"/>
      <c r="RES3" s="95" t="n"/>
      <c r="RET3" s="95" t="n"/>
      <c r="REU3" s="95" t="n"/>
      <c r="REV3" s="95" t="n"/>
      <c r="REW3" s="95" t="n"/>
      <c r="REX3" s="95" t="n"/>
      <c r="REY3" s="95" t="n"/>
      <c r="REZ3" s="95" t="n"/>
      <c r="RFA3" s="95" t="n"/>
      <c r="RFB3" s="95" t="n"/>
      <c r="RFC3" s="95" t="n"/>
      <c r="RFD3" s="95" t="n"/>
      <c r="RFE3" s="95" t="n"/>
      <c r="RFF3" s="95" t="n"/>
      <c r="RFG3" s="95" t="n"/>
      <c r="RFH3" s="95" t="n"/>
      <c r="RFI3" s="95" t="n"/>
      <c r="RFJ3" s="95" t="n"/>
      <c r="RFK3" s="95" t="n"/>
      <c r="RFL3" s="95" t="n"/>
      <c r="RFM3" s="95" t="n"/>
      <c r="RFN3" s="95" t="n"/>
      <c r="RFO3" s="95" t="n"/>
      <c r="RFP3" s="95" t="n"/>
      <c r="RFQ3" s="95" t="n"/>
      <c r="RFR3" s="95" t="n"/>
      <c r="RFS3" s="95" t="n"/>
      <c r="RFT3" s="95" t="n"/>
      <c r="RFU3" s="95" t="n"/>
      <c r="RFV3" s="95" t="n"/>
      <c r="RFW3" s="95" t="n"/>
      <c r="RFX3" s="95" t="n"/>
      <c r="RFY3" s="95" t="n"/>
      <c r="RFZ3" s="95" t="n"/>
      <c r="RGA3" s="95" t="n"/>
      <c r="RGB3" s="95" t="n"/>
      <c r="RGC3" s="95" t="n"/>
      <c r="RGD3" s="95" t="n"/>
      <c r="RGE3" s="95" t="n"/>
      <c r="RGF3" s="95" t="n"/>
      <c r="RGG3" s="95" t="n"/>
      <c r="RGH3" s="95" t="n"/>
      <c r="RGI3" s="95" t="n"/>
      <c r="RGJ3" s="95" t="n"/>
      <c r="RGK3" s="95" t="n"/>
      <c r="RGL3" s="95" t="n"/>
      <c r="RGM3" s="95" t="n"/>
      <c r="RGN3" s="95" t="n"/>
      <c r="RGO3" s="95" t="n"/>
      <c r="RGP3" s="95" t="n"/>
      <c r="RGQ3" s="95" t="n"/>
      <c r="RGR3" s="95" t="n"/>
      <c r="RGS3" s="95" t="n"/>
      <c r="RGT3" s="95" t="n"/>
      <c r="RGU3" s="95" t="n"/>
      <c r="RGV3" s="95" t="n"/>
      <c r="RGW3" s="95" t="n"/>
      <c r="RGX3" s="95" t="n"/>
      <c r="RGY3" s="95" t="n"/>
      <c r="RGZ3" s="95" t="n"/>
      <c r="RHA3" s="95" t="n"/>
      <c r="RHB3" s="95" t="n"/>
      <c r="RHC3" s="95" t="n"/>
      <c r="RHD3" s="95" t="n"/>
      <c r="RHE3" s="95" t="n"/>
      <c r="RHF3" s="95" t="n"/>
      <c r="RHG3" s="95" t="n"/>
      <c r="RHH3" s="95" t="n"/>
      <c r="RHI3" s="95" t="n"/>
      <c r="RHJ3" s="95" t="n"/>
      <c r="RHK3" s="95" t="n"/>
      <c r="RHL3" s="95" t="n"/>
      <c r="RHM3" s="95" t="n"/>
      <c r="RHN3" s="95" t="n"/>
      <c r="RHO3" s="95" t="n"/>
      <c r="RHP3" s="95" t="n"/>
      <c r="RHQ3" s="95" t="n"/>
      <c r="RHR3" s="95" t="n"/>
      <c r="RHS3" s="95" t="n"/>
      <c r="RHT3" s="95" t="n"/>
      <c r="RHU3" s="95" t="n"/>
      <c r="RHV3" s="95" t="n"/>
      <c r="RHW3" s="95" t="n"/>
      <c r="RHX3" s="95" t="n"/>
      <c r="RHY3" s="95" t="n"/>
      <c r="RHZ3" s="95" t="n"/>
      <c r="RIA3" s="95" t="n"/>
      <c r="RIB3" s="95" t="n"/>
      <c r="RIC3" s="95" t="n"/>
      <c r="RID3" s="95" t="n"/>
      <c r="RIE3" s="95" t="n"/>
      <c r="RIF3" s="95" t="n"/>
      <c r="RIG3" s="95" t="n"/>
      <c r="RIH3" s="95" t="n"/>
      <c r="RII3" s="95" t="n"/>
      <c r="RIJ3" s="95" t="n"/>
      <c r="RIK3" s="95" t="n"/>
      <c r="RIL3" s="95" t="n"/>
      <c r="RIM3" s="95" t="n"/>
      <c r="RIN3" s="95" t="n"/>
      <c r="RIO3" s="95" t="n"/>
      <c r="RIP3" s="95" t="n"/>
      <c r="RIQ3" s="95" t="n"/>
      <c r="RIR3" s="95" t="n"/>
      <c r="RIS3" s="95" t="n"/>
      <c r="RIT3" s="95" t="n"/>
      <c r="RIU3" s="95" t="n"/>
      <c r="RIV3" s="95" t="n"/>
      <c r="RIW3" s="95" t="n"/>
      <c r="RIX3" s="95" t="n"/>
      <c r="RIY3" s="95" t="n"/>
      <c r="RIZ3" s="95" t="n"/>
      <c r="RJA3" s="95" t="n"/>
      <c r="RJB3" s="95" t="n"/>
      <c r="RJC3" s="95" t="n"/>
      <c r="RJD3" s="95" t="n"/>
      <c r="RJE3" s="95" t="n"/>
      <c r="RJF3" s="95" t="n"/>
      <c r="RJG3" s="95" t="n"/>
      <c r="RJH3" s="95" t="n"/>
      <c r="RJI3" s="95" t="n"/>
      <c r="RJJ3" s="95" t="n"/>
      <c r="RJK3" s="95" t="n"/>
      <c r="RJL3" s="95" t="n"/>
      <c r="RJM3" s="95" t="n"/>
      <c r="RJN3" s="95" t="n"/>
      <c r="RJO3" s="95" t="n"/>
      <c r="RJP3" s="95" t="n"/>
      <c r="RJQ3" s="95" t="n"/>
      <c r="RJR3" s="95" t="n"/>
      <c r="RJS3" s="95" t="n"/>
      <c r="RJT3" s="95" t="n"/>
      <c r="RJU3" s="95" t="n"/>
      <c r="RJV3" s="95" t="n"/>
      <c r="RJW3" s="95" t="n"/>
      <c r="RJX3" s="95" t="n"/>
      <c r="RJY3" s="95" t="n"/>
      <c r="RJZ3" s="95" t="n"/>
      <c r="RKA3" s="95" t="n"/>
      <c r="RKB3" s="95" t="n"/>
      <c r="RKC3" s="95" t="n"/>
      <c r="RKD3" s="95" t="n"/>
      <c r="RKE3" s="95" t="n"/>
      <c r="RKF3" s="95" t="n"/>
      <c r="RKG3" s="95" t="n"/>
      <c r="RKH3" s="95" t="n"/>
      <c r="RKI3" s="95" t="n"/>
      <c r="RKJ3" s="95" t="n"/>
      <c r="RKK3" s="95" t="n"/>
      <c r="RKL3" s="95" t="n"/>
      <c r="RKM3" s="95" t="n"/>
      <c r="RKN3" s="95" t="n"/>
      <c r="RKO3" s="95" t="n"/>
      <c r="RKP3" s="95" t="n"/>
      <c r="RKQ3" s="95" t="n"/>
      <c r="RKR3" s="95" t="n"/>
      <c r="RKS3" s="95" t="n"/>
      <c r="RKT3" s="95" t="n"/>
      <c r="RKU3" s="95" t="n"/>
      <c r="RKV3" s="95" t="n"/>
      <c r="RKW3" s="95" t="n"/>
      <c r="RKX3" s="95" t="n"/>
      <c r="RKY3" s="95" t="n"/>
      <c r="RKZ3" s="95" t="n"/>
      <c r="RLA3" s="95" t="n"/>
      <c r="RLB3" s="95" t="n"/>
      <c r="RLC3" s="95" t="n"/>
      <c r="RLD3" s="95" t="n"/>
      <c r="RLE3" s="95" t="n"/>
      <c r="RLF3" s="95" t="n"/>
      <c r="RLG3" s="95" t="n"/>
      <c r="RLH3" s="95" t="n"/>
      <c r="RLI3" s="95" t="n"/>
      <c r="RLJ3" s="95" t="n"/>
      <c r="RLK3" s="95" t="n"/>
      <c r="RLL3" s="95" t="n"/>
      <c r="RLM3" s="95" t="n"/>
      <c r="RLN3" s="95" t="n"/>
      <c r="RLO3" s="95" t="n"/>
      <c r="RLP3" s="95" t="n"/>
      <c r="RLQ3" s="95" t="n"/>
      <c r="RLR3" s="95" t="n"/>
      <c r="RLS3" s="95" t="n"/>
      <c r="RLT3" s="95" t="n"/>
      <c r="RLU3" s="95" t="n"/>
      <c r="RLV3" s="95" t="n"/>
      <c r="RLW3" s="95" t="n"/>
      <c r="RLX3" s="95" t="n"/>
      <c r="RLY3" s="95" t="n"/>
      <c r="RLZ3" s="95" t="n"/>
      <c r="RMA3" s="95" t="n"/>
      <c r="RMB3" s="95" t="n"/>
      <c r="RMC3" s="95" t="n"/>
      <c r="RMD3" s="95" t="n"/>
      <c r="RME3" s="95" t="n"/>
      <c r="RMF3" s="95" t="n"/>
      <c r="RMG3" s="95" t="n"/>
      <c r="RMH3" s="95" t="n"/>
      <c r="RMI3" s="95" t="n"/>
      <c r="RMJ3" s="95" t="n"/>
      <c r="RMK3" s="95" t="n"/>
      <c r="RML3" s="95" t="n"/>
      <c r="RMM3" s="95" t="n"/>
      <c r="RMN3" s="95" t="n"/>
      <c r="RMO3" s="95" t="n"/>
      <c r="RMP3" s="95" t="n"/>
      <c r="RMQ3" s="95" t="n"/>
      <c r="RMR3" s="95" t="n"/>
      <c r="RMS3" s="95" t="n"/>
      <c r="RMT3" s="95" t="n"/>
      <c r="RMU3" s="95" t="n"/>
      <c r="RMV3" s="95" t="n"/>
      <c r="RMW3" s="95" t="n"/>
      <c r="RMX3" s="95" t="n"/>
      <c r="RMY3" s="95" t="n"/>
      <c r="RMZ3" s="95" t="n"/>
      <c r="RNA3" s="95" t="n"/>
      <c r="RNB3" s="95" t="n"/>
      <c r="RNC3" s="95" t="n"/>
      <c r="RND3" s="95" t="n"/>
      <c r="RNE3" s="95" t="n"/>
      <c r="RNF3" s="95" t="n"/>
      <c r="RNG3" s="95" t="n"/>
      <c r="RNH3" s="95" t="n"/>
      <c r="RNI3" s="95" t="n"/>
      <c r="RNJ3" s="95" t="n"/>
      <c r="RNK3" s="95" t="n"/>
      <c r="RNL3" s="95" t="n"/>
      <c r="RNM3" s="95" t="n"/>
      <c r="RNN3" s="95" t="n"/>
      <c r="RNO3" s="95" t="n"/>
      <c r="RNP3" s="95" t="n"/>
      <c r="RNQ3" s="95" t="n"/>
      <c r="RNR3" s="95" t="n"/>
      <c r="RNS3" s="95" t="n"/>
      <c r="RNT3" s="95" t="n"/>
      <c r="RNU3" s="95" t="n"/>
      <c r="RNV3" s="95" t="n"/>
      <c r="RNW3" s="95" t="n"/>
      <c r="RNX3" s="95" t="n"/>
      <c r="RNY3" s="95" t="n"/>
      <c r="RNZ3" s="95" t="n"/>
      <c r="ROA3" s="95" t="n"/>
      <c r="ROB3" s="95" t="n"/>
      <c r="ROC3" s="95" t="n"/>
      <c r="ROD3" s="95" t="n"/>
      <c r="ROE3" s="95" t="n"/>
      <c r="ROF3" s="95" t="n"/>
      <c r="ROG3" s="95" t="n"/>
      <c r="ROH3" s="95" t="n"/>
      <c r="ROI3" s="95" t="n"/>
      <c r="ROJ3" s="95" t="n"/>
      <c r="ROK3" s="95" t="n"/>
      <c r="ROL3" s="95" t="n"/>
      <c r="ROM3" s="95" t="n"/>
      <c r="RON3" s="95" t="n"/>
      <c r="ROO3" s="95" t="n"/>
      <c r="ROP3" s="95" t="n"/>
      <c r="ROQ3" s="95" t="n"/>
      <c r="ROR3" s="95" t="n"/>
      <c r="ROS3" s="95" t="n"/>
      <c r="ROT3" s="95" t="n"/>
      <c r="ROU3" s="95" t="n"/>
      <c r="ROV3" s="95" t="n"/>
      <c r="ROW3" s="95" t="n"/>
      <c r="ROX3" s="95" t="n"/>
      <c r="ROY3" s="95" t="n"/>
      <c r="ROZ3" s="95" t="n"/>
      <c r="RPA3" s="95" t="n"/>
      <c r="RPB3" s="95" t="n"/>
      <c r="RPC3" s="95" t="n"/>
      <c r="RPD3" s="95" t="n"/>
      <c r="RPE3" s="95" t="n"/>
      <c r="RPF3" s="95" t="n"/>
      <c r="RPG3" s="95" t="n"/>
      <c r="RPH3" s="95" t="n"/>
      <c r="RPI3" s="95" t="n"/>
      <c r="RPJ3" s="95" t="n"/>
      <c r="RPK3" s="95" t="n"/>
      <c r="RPL3" s="95" t="n"/>
      <c r="RPM3" s="95" t="n"/>
      <c r="RPN3" s="95" t="n"/>
      <c r="RPO3" s="95" t="n"/>
      <c r="RPP3" s="95" t="n"/>
      <c r="RPQ3" s="95" t="n"/>
      <c r="RPR3" s="95" t="n"/>
      <c r="RPS3" s="95" t="n"/>
      <c r="RPT3" s="95" t="n"/>
      <c r="RPU3" s="95" t="n"/>
      <c r="RPV3" s="95" t="n"/>
      <c r="RPW3" s="95" t="n"/>
      <c r="RPX3" s="95" t="n"/>
      <c r="RPY3" s="95" t="n"/>
      <c r="RPZ3" s="95" t="n"/>
      <c r="RQA3" s="95" t="n"/>
      <c r="RQB3" s="95" t="n"/>
      <c r="RQC3" s="95" t="n"/>
      <c r="RQD3" s="95" t="n"/>
      <c r="RQE3" s="95" t="n"/>
      <c r="RQF3" s="95" t="n"/>
      <c r="RQG3" s="95" t="n"/>
      <c r="RQH3" s="95" t="n"/>
      <c r="RQI3" s="95" t="n"/>
      <c r="RQJ3" s="95" t="n"/>
      <c r="RQK3" s="95" t="n"/>
      <c r="RQL3" s="95" t="n"/>
      <c r="RQM3" s="95" t="n"/>
      <c r="RQN3" s="95" t="n"/>
      <c r="RQO3" s="95" t="n"/>
      <c r="RQP3" s="95" t="n"/>
      <c r="RQQ3" s="95" t="n"/>
      <c r="RQR3" s="95" t="n"/>
      <c r="RQS3" s="95" t="n"/>
      <c r="RQT3" s="95" t="n"/>
      <c r="RQU3" s="95" t="n"/>
      <c r="RQV3" s="95" t="n"/>
      <c r="RQW3" s="95" t="n"/>
      <c r="RQX3" s="95" t="n"/>
      <c r="RQY3" s="95" t="n"/>
      <c r="RQZ3" s="95" t="n"/>
      <c r="RRA3" s="95" t="n"/>
      <c r="RRB3" s="95" t="n"/>
      <c r="RRC3" s="95" t="n"/>
      <c r="RRD3" s="95" t="n"/>
      <c r="RRE3" s="95" t="n"/>
      <c r="RRF3" s="95" t="n"/>
      <c r="RRG3" s="95" t="n"/>
      <c r="RRH3" s="95" t="n"/>
      <c r="RRI3" s="95" t="n"/>
      <c r="RRJ3" s="95" t="n"/>
      <c r="RRK3" s="95" t="n"/>
      <c r="RRL3" s="95" t="n"/>
      <c r="RRM3" s="95" t="n"/>
      <c r="RRN3" s="95" t="n"/>
      <c r="RRO3" s="95" t="n"/>
      <c r="RRP3" s="95" t="n"/>
      <c r="RRQ3" s="95" t="n"/>
      <c r="RRR3" s="95" t="n"/>
      <c r="RRS3" s="95" t="n"/>
      <c r="RRT3" s="95" t="n"/>
      <c r="RRU3" s="95" t="n"/>
      <c r="RRV3" s="95" t="n"/>
      <c r="RRW3" s="95" t="n"/>
      <c r="RRX3" s="95" t="n"/>
      <c r="RRY3" s="95" t="n"/>
      <c r="RRZ3" s="95" t="n"/>
      <c r="RSA3" s="95" t="n"/>
      <c r="RSB3" s="95" t="n"/>
      <c r="RSC3" s="95" t="n"/>
      <c r="RSD3" s="95" t="n"/>
      <c r="RSE3" s="95" t="n"/>
      <c r="RSF3" s="95" t="n"/>
      <c r="RSG3" s="95" t="n"/>
      <c r="RSH3" s="95" t="n"/>
      <c r="RSI3" s="95" t="n"/>
      <c r="RSJ3" s="95" t="n"/>
      <c r="RSK3" s="95" t="n"/>
      <c r="RSL3" s="95" t="n"/>
      <c r="RSM3" s="95" t="n"/>
      <c r="RSN3" s="95" t="n"/>
      <c r="RSO3" s="95" t="n"/>
      <c r="RSP3" s="95" t="n"/>
      <c r="RSQ3" s="95" t="n"/>
      <c r="RSR3" s="95" t="n"/>
      <c r="RSS3" s="95" t="n"/>
      <c r="RST3" s="95" t="n"/>
      <c r="RSU3" s="95" t="n"/>
      <c r="RSV3" s="95" t="n"/>
      <c r="RSW3" s="95" t="n"/>
      <c r="RSX3" s="95" t="n"/>
      <c r="RSY3" s="95" t="n"/>
      <c r="RSZ3" s="95" t="n"/>
      <c r="RTA3" s="95" t="n"/>
      <c r="RTB3" s="95" t="n"/>
      <c r="RTC3" s="95" t="n"/>
      <c r="RTD3" s="95" t="n"/>
      <c r="RTE3" s="95" t="n"/>
      <c r="RTF3" s="95" t="n"/>
      <c r="RTG3" s="95" t="n"/>
      <c r="RTH3" s="95" t="n"/>
      <c r="RTI3" s="95" t="n"/>
      <c r="RTJ3" s="95" t="n"/>
      <c r="RTK3" s="95" t="n"/>
      <c r="RTL3" s="95" t="n"/>
      <c r="RTM3" s="95" t="n"/>
      <c r="RTN3" s="95" t="n"/>
      <c r="RTO3" s="95" t="n"/>
      <c r="RTP3" s="95" t="n"/>
      <c r="RTQ3" s="95" t="n"/>
      <c r="RTR3" s="95" t="n"/>
      <c r="RTS3" s="95" t="n"/>
      <c r="RTT3" s="95" t="n"/>
      <c r="RTU3" s="95" t="n"/>
      <c r="RTV3" s="95" t="n"/>
      <c r="RTW3" s="95" t="n"/>
      <c r="RTX3" s="95" t="n"/>
      <c r="RTY3" s="95" t="n"/>
      <c r="RTZ3" s="95" t="n"/>
      <c r="RUA3" s="95" t="n"/>
      <c r="RUB3" s="95" t="n"/>
      <c r="RUC3" s="95" t="n"/>
      <c r="RUD3" s="95" t="n"/>
      <c r="RUE3" s="95" t="n"/>
      <c r="RUF3" s="95" t="n"/>
      <c r="RUG3" s="95" t="n"/>
      <c r="RUH3" s="95" t="n"/>
      <c r="RUI3" s="95" t="n"/>
      <c r="RUJ3" s="95" t="n"/>
      <c r="RUK3" s="95" t="n"/>
      <c r="RUL3" s="95" t="n"/>
      <c r="RUM3" s="95" t="n"/>
      <c r="RUN3" s="95" t="n"/>
      <c r="RUO3" s="95" t="n"/>
      <c r="RUP3" s="95" t="n"/>
      <c r="RUQ3" s="95" t="n"/>
      <c r="RUR3" s="95" t="n"/>
      <c r="RUS3" s="95" t="n"/>
      <c r="RUT3" s="95" t="n"/>
      <c r="RUU3" s="95" t="n"/>
      <c r="RUV3" s="95" t="n"/>
      <c r="RUW3" s="95" t="n"/>
      <c r="RUX3" s="95" t="n"/>
      <c r="RUY3" s="95" t="n"/>
      <c r="RUZ3" s="95" t="n"/>
      <c r="RVA3" s="95" t="n"/>
      <c r="RVB3" s="95" t="n"/>
      <c r="RVC3" s="95" t="n"/>
      <c r="RVD3" s="95" t="n"/>
      <c r="RVE3" s="95" t="n"/>
      <c r="RVF3" s="95" t="n"/>
      <c r="RVG3" s="95" t="n"/>
      <c r="RVH3" s="95" t="n"/>
      <c r="RVI3" s="95" t="n"/>
      <c r="RVJ3" s="95" t="n"/>
      <c r="RVK3" s="95" t="n"/>
      <c r="RVL3" s="95" t="n"/>
      <c r="RVM3" s="95" t="n"/>
      <c r="RVN3" s="95" t="n"/>
      <c r="RVO3" s="95" t="n"/>
      <c r="RVP3" s="95" t="n"/>
      <c r="RVQ3" s="95" t="n"/>
      <c r="RVR3" s="95" t="n"/>
      <c r="RVS3" s="95" t="n"/>
      <c r="RVT3" s="95" t="n"/>
      <c r="RVU3" s="95" t="n"/>
      <c r="RVV3" s="95" t="n"/>
      <c r="RVW3" s="95" t="n"/>
      <c r="RVX3" s="95" t="n"/>
      <c r="RVY3" s="95" t="n"/>
      <c r="RVZ3" s="95" t="n"/>
      <c r="RWA3" s="95" t="n"/>
      <c r="RWB3" s="95" t="n"/>
      <c r="RWC3" s="95" t="n"/>
      <c r="RWD3" s="95" t="n"/>
      <c r="RWE3" s="95" t="n"/>
      <c r="RWF3" s="95" t="n"/>
      <c r="RWG3" s="95" t="n"/>
      <c r="RWH3" s="95" t="n"/>
      <c r="RWI3" s="95" t="n"/>
      <c r="RWJ3" s="95" t="n"/>
      <c r="RWK3" s="95" t="n"/>
      <c r="RWL3" s="95" t="n"/>
      <c r="RWM3" s="95" t="n"/>
      <c r="RWN3" s="95" t="n"/>
      <c r="RWO3" s="95" t="n"/>
      <c r="RWP3" s="95" t="n"/>
      <c r="RWQ3" s="95" t="n"/>
      <c r="RWR3" s="95" t="n"/>
      <c r="RWS3" s="95" t="n"/>
      <c r="RWT3" s="95" t="n"/>
      <c r="RWU3" s="95" t="n"/>
      <c r="RWV3" s="95" t="n"/>
      <c r="RWW3" s="95" t="n"/>
      <c r="RWX3" s="95" t="n"/>
      <c r="RWY3" s="95" t="n"/>
      <c r="RWZ3" s="95" t="n"/>
      <c r="RXA3" s="95" t="n"/>
      <c r="RXB3" s="95" t="n"/>
      <c r="RXC3" s="95" t="n"/>
      <c r="RXD3" s="95" t="n"/>
      <c r="RXE3" s="95" t="n"/>
      <c r="RXF3" s="95" t="n"/>
      <c r="RXG3" s="95" t="n"/>
      <c r="RXH3" s="95" t="n"/>
      <c r="RXI3" s="95" t="n"/>
      <c r="RXJ3" s="95" t="n"/>
      <c r="RXK3" s="95" t="n"/>
      <c r="RXL3" s="95" t="n"/>
      <c r="RXM3" s="95" t="n"/>
      <c r="RXN3" s="95" t="n"/>
      <c r="RXO3" s="95" t="n"/>
      <c r="RXP3" s="95" t="n"/>
      <c r="RXQ3" s="95" t="n"/>
      <c r="RXR3" s="95" t="n"/>
      <c r="RXS3" s="95" t="n"/>
      <c r="RXT3" s="95" t="n"/>
      <c r="RXU3" s="95" t="n"/>
      <c r="RXV3" s="95" t="n"/>
      <c r="RXW3" s="95" t="n"/>
      <c r="RXX3" s="95" t="n"/>
      <c r="RXY3" s="95" t="n"/>
      <c r="RXZ3" s="95" t="n"/>
      <c r="RYA3" s="95" t="n"/>
      <c r="RYB3" s="95" t="n"/>
      <c r="RYC3" s="95" t="n"/>
      <c r="RYD3" s="95" t="n"/>
      <c r="RYE3" s="95" t="n"/>
      <c r="RYF3" s="95" t="n"/>
      <c r="RYG3" s="95" t="n"/>
      <c r="RYH3" s="95" t="n"/>
      <c r="RYI3" s="95" t="n"/>
      <c r="RYJ3" s="95" t="n"/>
      <c r="RYK3" s="95" t="n"/>
      <c r="RYL3" s="95" t="n"/>
      <c r="RYM3" s="95" t="n"/>
      <c r="RYN3" s="95" t="n"/>
      <c r="RYO3" s="95" t="n"/>
      <c r="RYP3" s="95" t="n"/>
      <c r="RYQ3" s="95" t="n"/>
      <c r="RYR3" s="95" t="n"/>
      <c r="RYS3" s="95" t="n"/>
      <c r="RYT3" s="95" t="n"/>
      <c r="RYU3" s="95" t="n"/>
      <c r="RYV3" s="95" t="n"/>
      <c r="RYW3" s="95" t="n"/>
      <c r="RYX3" s="95" t="n"/>
      <c r="RYY3" s="95" t="n"/>
      <c r="RYZ3" s="95" t="n"/>
      <c r="RZA3" s="95" t="n"/>
      <c r="RZB3" s="95" t="n"/>
      <c r="RZC3" s="95" t="n"/>
      <c r="RZD3" s="95" t="n"/>
      <c r="RZE3" s="95" t="n"/>
      <c r="RZF3" s="95" t="n"/>
      <c r="RZG3" s="95" t="n"/>
      <c r="RZH3" s="95" t="n"/>
      <c r="RZI3" s="95" t="n"/>
      <c r="RZJ3" s="95" t="n"/>
      <c r="RZK3" s="95" t="n"/>
      <c r="RZL3" s="95" t="n"/>
      <c r="RZM3" s="95" t="n"/>
      <c r="RZN3" s="95" t="n"/>
      <c r="RZO3" s="95" t="n"/>
      <c r="RZP3" s="95" t="n"/>
      <c r="RZQ3" s="95" t="n"/>
      <c r="RZR3" s="95" t="n"/>
      <c r="RZS3" s="95" t="n"/>
      <c r="RZT3" s="95" t="n"/>
      <c r="RZU3" s="95" t="n"/>
      <c r="RZV3" s="95" t="n"/>
      <c r="RZW3" s="95" t="n"/>
      <c r="RZX3" s="95" t="n"/>
      <c r="RZY3" s="95" t="n"/>
      <c r="RZZ3" s="95" t="n"/>
      <c r="SAA3" s="95" t="n"/>
      <c r="SAB3" s="95" t="n"/>
      <c r="SAC3" s="95" t="n"/>
      <c r="SAD3" s="95" t="n"/>
      <c r="SAE3" s="95" t="n"/>
      <c r="SAF3" s="95" t="n"/>
      <c r="SAG3" s="95" t="n"/>
      <c r="SAH3" s="95" t="n"/>
      <c r="SAI3" s="95" t="n"/>
      <c r="SAJ3" s="95" t="n"/>
      <c r="SAK3" s="95" t="n"/>
      <c r="SAL3" s="95" t="n"/>
      <c r="SAM3" s="95" t="n"/>
      <c r="SAN3" s="95" t="n"/>
      <c r="SAO3" s="95" t="n"/>
      <c r="SAP3" s="95" t="n"/>
      <c r="SAQ3" s="95" t="n"/>
      <c r="SAR3" s="95" t="n"/>
      <c r="SAS3" s="95" t="n"/>
      <c r="SAT3" s="95" t="n"/>
      <c r="SAU3" s="95" t="n"/>
      <c r="SAV3" s="95" t="n"/>
      <c r="SAW3" s="95" t="n"/>
      <c r="SAX3" s="95" t="n"/>
      <c r="SAY3" s="95" t="n"/>
      <c r="SAZ3" s="95" t="n"/>
      <c r="SBA3" s="95" t="n"/>
      <c r="SBB3" s="95" t="n"/>
      <c r="SBC3" s="95" t="n"/>
      <c r="SBD3" s="95" t="n"/>
      <c r="SBE3" s="95" t="n"/>
      <c r="SBF3" s="95" t="n"/>
      <c r="SBG3" s="95" t="n"/>
      <c r="SBH3" s="95" t="n"/>
      <c r="SBI3" s="95" t="n"/>
      <c r="SBJ3" s="95" t="n"/>
      <c r="SBK3" s="95" t="n"/>
      <c r="SBL3" s="95" t="n"/>
      <c r="SBM3" s="95" t="n"/>
      <c r="SBN3" s="95" t="n"/>
      <c r="SBO3" s="95" t="n"/>
      <c r="SBP3" s="95" t="n"/>
      <c r="SBQ3" s="95" t="n"/>
      <c r="SBR3" s="95" t="n"/>
      <c r="SBS3" s="95" t="n"/>
      <c r="SBT3" s="95" t="n"/>
      <c r="SBU3" s="95" t="n"/>
      <c r="SBV3" s="95" t="n"/>
      <c r="SBW3" s="95" t="n"/>
      <c r="SBX3" s="95" t="n"/>
      <c r="SBY3" s="95" t="n"/>
      <c r="SBZ3" s="95" t="n"/>
      <c r="SCA3" s="95" t="n"/>
      <c r="SCB3" s="95" t="n"/>
      <c r="SCC3" s="95" t="n"/>
      <c r="SCD3" s="95" t="n"/>
      <c r="SCE3" s="95" t="n"/>
      <c r="SCF3" s="95" t="n"/>
      <c r="SCG3" s="95" t="n"/>
      <c r="SCH3" s="95" t="n"/>
      <c r="SCI3" s="95" t="n"/>
      <c r="SCJ3" s="95" t="n"/>
      <c r="SCK3" s="95" t="n"/>
      <c r="SCL3" s="95" t="n"/>
      <c r="SCM3" s="95" t="n"/>
      <c r="SCN3" s="95" t="n"/>
      <c r="SCO3" s="95" t="n"/>
      <c r="SCP3" s="95" t="n"/>
      <c r="SCQ3" s="95" t="n"/>
      <c r="SCR3" s="95" t="n"/>
      <c r="SCS3" s="95" t="n"/>
      <c r="SCT3" s="95" t="n"/>
      <c r="SCU3" s="95" t="n"/>
      <c r="SCV3" s="95" t="n"/>
      <c r="SCW3" s="95" t="n"/>
      <c r="SCX3" s="95" t="n"/>
      <c r="SCY3" s="95" t="n"/>
      <c r="SCZ3" s="95" t="n"/>
      <c r="SDA3" s="95" t="n"/>
      <c r="SDB3" s="95" t="n"/>
      <c r="SDC3" s="95" t="n"/>
      <c r="SDD3" s="95" t="n"/>
      <c r="SDE3" s="95" t="n"/>
      <c r="SDF3" s="95" t="n"/>
      <c r="SDG3" s="95" t="n"/>
      <c r="SDH3" s="95" t="n"/>
      <c r="SDI3" s="95" t="n"/>
      <c r="SDJ3" s="95" t="n"/>
      <c r="SDK3" s="95" t="n"/>
      <c r="SDL3" s="95" t="n"/>
      <c r="SDM3" s="95" t="n"/>
      <c r="SDN3" s="95" t="n"/>
      <c r="SDO3" s="95" t="n"/>
      <c r="SDP3" s="95" t="n"/>
      <c r="SDQ3" s="95" t="n"/>
      <c r="SDR3" s="95" t="n"/>
      <c r="SDS3" s="95" t="n"/>
      <c r="SDT3" s="95" t="n"/>
      <c r="SDU3" s="95" t="n"/>
      <c r="SDV3" s="95" t="n"/>
      <c r="SDW3" s="95" t="n"/>
      <c r="SDX3" s="95" t="n"/>
      <c r="SDY3" s="95" t="n"/>
      <c r="SDZ3" s="95" t="n"/>
      <c r="SEA3" s="95" t="n"/>
      <c r="SEB3" s="95" t="n"/>
      <c r="SEC3" s="95" t="n"/>
      <c r="SED3" s="95" t="n"/>
      <c r="SEE3" s="95" t="n"/>
      <c r="SEF3" s="95" t="n"/>
      <c r="SEG3" s="95" t="n"/>
      <c r="SEH3" s="95" t="n"/>
      <c r="SEI3" s="95" t="n"/>
      <c r="SEJ3" s="95" t="n"/>
      <c r="SEK3" s="95" t="n"/>
      <c r="SEL3" s="95" t="n"/>
      <c r="SEM3" s="95" t="n"/>
      <c r="SEN3" s="95" t="n"/>
      <c r="SEO3" s="95" t="n"/>
      <c r="SEP3" s="95" t="n"/>
      <c r="SEQ3" s="95" t="n"/>
      <c r="SER3" s="95" t="n"/>
      <c r="SES3" s="95" t="n"/>
      <c r="SET3" s="95" t="n"/>
      <c r="SEU3" s="95" t="n"/>
      <c r="SEV3" s="95" t="n"/>
      <c r="SEW3" s="95" t="n"/>
      <c r="SEX3" s="95" t="n"/>
      <c r="SEY3" s="95" t="n"/>
      <c r="SEZ3" s="95" t="n"/>
      <c r="SFA3" s="95" t="n"/>
      <c r="SFB3" s="95" t="n"/>
      <c r="SFC3" s="95" t="n"/>
      <c r="SFD3" s="95" t="n"/>
      <c r="SFE3" s="95" t="n"/>
      <c r="SFF3" s="95" t="n"/>
      <c r="SFG3" s="95" t="n"/>
      <c r="SFH3" s="95" t="n"/>
      <c r="SFI3" s="95" t="n"/>
      <c r="SFJ3" s="95" t="n"/>
      <c r="SFK3" s="95" t="n"/>
      <c r="SFL3" s="95" t="n"/>
      <c r="SFM3" s="95" t="n"/>
      <c r="SFN3" s="95" t="n"/>
      <c r="SFO3" s="95" t="n"/>
      <c r="SFP3" s="95" t="n"/>
      <c r="SFQ3" s="95" t="n"/>
      <c r="SFR3" s="95" t="n"/>
      <c r="SFS3" s="95" t="n"/>
      <c r="SFT3" s="95" t="n"/>
      <c r="SFU3" s="95" t="n"/>
      <c r="SFV3" s="95" t="n"/>
      <c r="SFW3" s="95" t="n"/>
      <c r="SFX3" s="95" t="n"/>
      <c r="SFY3" s="95" t="n"/>
      <c r="SFZ3" s="95" t="n"/>
      <c r="SGA3" s="95" t="n"/>
      <c r="SGB3" s="95" t="n"/>
      <c r="SGC3" s="95" t="n"/>
      <c r="SGD3" s="95" t="n"/>
      <c r="SGE3" s="95" t="n"/>
      <c r="SGF3" s="95" t="n"/>
      <c r="SGG3" s="95" t="n"/>
      <c r="SGH3" s="95" t="n"/>
      <c r="SGI3" s="95" t="n"/>
      <c r="SGJ3" s="95" t="n"/>
      <c r="SGK3" s="95" t="n"/>
      <c r="SGL3" s="95" t="n"/>
      <c r="SGM3" s="95" t="n"/>
      <c r="SGN3" s="95" t="n"/>
      <c r="SGO3" s="95" t="n"/>
      <c r="SGP3" s="95" t="n"/>
      <c r="SGQ3" s="95" t="n"/>
      <c r="SGR3" s="95" t="n"/>
      <c r="SGS3" s="95" t="n"/>
      <c r="SGT3" s="95" t="n"/>
      <c r="SGU3" s="95" t="n"/>
      <c r="SGV3" s="95" t="n"/>
      <c r="SGW3" s="95" t="n"/>
      <c r="SGX3" s="95" t="n"/>
      <c r="SGY3" s="95" t="n"/>
      <c r="SGZ3" s="95" t="n"/>
      <c r="SHA3" s="95" t="n"/>
      <c r="SHB3" s="95" t="n"/>
      <c r="SHC3" s="95" t="n"/>
      <c r="SHD3" s="95" t="n"/>
      <c r="SHE3" s="95" t="n"/>
      <c r="SHF3" s="95" t="n"/>
      <c r="SHG3" s="95" t="n"/>
      <c r="SHH3" s="95" t="n"/>
      <c r="SHI3" s="95" t="n"/>
      <c r="SHJ3" s="95" t="n"/>
      <c r="SHK3" s="95" t="n"/>
      <c r="SHL3" s="95" t="n"/>
      <c r="SHM3" s="95" t="n"/>
      <c r="SHN3" s="95" t="n"/>
      <c r="SHO3" s="95" t="n"/>
      <c r="SHP3" s="95" t="n"/>
      <c r="SHQ3" s="95" t="n"/>
      <c r="SHR3" s="95" t="n"/>
      <c r="SHS3" s="95" t="n"/>
      <c r="SHT3" s="95" t="n"/>
      <c r="SHU3" s="95" t="n"/>
      <c r="SHV3" s="95" t="n"/>
      <c r="SHW3" s="95" t="n"/>
      <c r="SHX3" s="95" t="n"/>
      <c r="SHY3" s="95" t="n"/>
      <c r="SHZ3" s="95" t="n"/>
      <c r="SIA3" s="95" t="n"/>
      <c r="SIB3" s="95" t="n"/>
      <c r="SIC3" s="95" t="n"/>
      <c r="SID3" s="95" t="n"/>
      <c r="SIE3" s="95" t="n"/>
      <c r="SIF3" s="95" t="n"/>
      <c r="SIG3" s="95" t="n"/>
      <c r="SIH3" s="95" t="n"/>
      <c r="SII3" s="95" t="n"/>
      <c r="SIJ3" s="95" t="n"/>
      <c r="SIK3" s="95" t="n"/>
      <c r="SIL3" s="95" t="n"/>
      <c r="SIM3" s="95" t="n"/>
      <c r="SIN3" s="95" t="n"/>
      <c r="SIO3" s="95" t="n"/>
      <c r="SIP3" s="95" t="n"/>
      <c r="SIQ3" s="95" t="n"/>
      <c r="SIR3" s="95" t="n"/>
      <c r="SIS3" s="95" t="n"/>
      <c r="SIT3" s="95" t="n"/>
      <c r="SIU3" s="95" t="n"/>
      <c r="SIV3" s="95" t="n"/>
      <c r="SIW3" s="95" t="n"/>
      <c r="SIX3" s="95" t="n"/>
      <c r="SIY3" s="95" t="n"/>
      <c r="SIZ3" s="95" t="n"/>
      <c r="SJA3" s="95" t="n"/>
      <c r="SJB3" s="95" t="n"/>
      <c r="SJC3" s="95" t="n"/>
      <c r="SJD3" s="95" t="n"/>
      <c r="SJE3" s="95" t="n"/>
      <c r="SJF3" s="95" t="n"/>
      <c r="SJG3" s="95" t="n"/>
      <c r="SJH3" s="95" t="n"/>
      <c r="SJI3" s="95" t="n"/>
      <c r="SJJ3" s="95" t="n"/>
      <c r="SJK3" s="95" t="n"/>
      <c r="SJL3" s="95" t="n"/>
      <c r="SJM3" s="95" t="n"/>
      <c r="SJN3" s="95" t="n"/>
      <c r="SJO3" s="95" t="n"/>
      <c r="SJP3" s="95" t="n"/>
      <c r="SJQ3" s="95" t="n"/>
      <c r="SJR3" s="95" t="n"/>
      <c r="SJS3" s="95" t="n"/>
      <c r="SJT3" s="95" t="n"/>
      <c r="SJU3" s="95" t="n"/>
      <c r="SJV3" s="95" t="n"/>
      <c r="SJW3" s="95" t="n"/>
      <c r="SJX3" s="95" t="n"/>
      <c r="SJY3" s="95" t="n"/>
      <c r="SJZ3" s="95" t="n"/>
      <c r="SKA3" s="95" t="n"/>
      <c r="SKB3" s="95" t="n"/>
      <c r="SKC3" s="95" t="n"/>
      <c r="SKD3" s="95" t="n"/>
      <c r="SKE3" s="95" t="n"/>
      <c r="SKF3" s="95" t="n"/>
      <c r="SKG3" s="95" t="n"/>
      <c r="SKH3" s="95" t="n"/>
      <c r="SKI3" s="95" t="n"/>
      <c r="SKJ3" s="95" t="n"/>
      <c r="SKK3" s="95" t="n"/>
      <c r="SKL3" s="95" t="n"/>
      <c r="SKM3" s="95" t="n"/>
      <c r="SKN3" s="95" t="n"/>
      <c r="SKO3" s="95" t="n"/>
      <c r="SKP3" s="95" t="n"/>
      <c r="SKQ3" s="95" t="n"/>
      <c r="SKR3" s="95" t="n"/>
      <c r="SKS3" s="95" t="n"/>
      <c r="SKT3" s="95" t="n"/>
      <c r="SKU3" s="95" t="n"/>
      <c r="SKV3" s="95" t="n"/>
      <c r="SKW3" s="95" t="n"/>
      <c r="SKX3" s="95" t="n"/>
      <c r="SKY3" s="95" t="n"/>
      <c r="SKZ3" s="95" t="n"/>
      <c r="SLA3" s="95" t="n"/>
      <c r="SLB3" s="95" t="n"/>
      <c r="SLC3" s="95" t="n"/>
      <c r="SLD3" s="95" t="n"/>
      <c r="SLE3" s="95" t="n"/>
      <c r="SLF3" s="95" t="n"/>
      <c r="SLG3" s="95" t="n"/>
      <c r="SLH3" s="95" t="n"/>
      <c r="SLI3" s="95" t="n"/>
      <c r="SLJ3" s="95" t="n"/>
      <c r="SLK3" s="95" t="n"/>
      <c r="SLL3" s="95" t="n"/>
      <c r="SLM3" s="95" t="n"/>
      <c r="SLN3" s="95" t="n"/>
      <c r="SLO3" s="95" t="n"/>
      <c r="SLP3" s="95" t="n"/>
      <c r="SLQ3" s="95" t="n"/>
      <c r="SLR3" s="95" t="n"/>
      <c r="SLS3" s="95" t="n"/>
      <c r="SLT3" s="95" t="n"/>
      <c r="SLU3" s="95" t="n"/>
      <c r="SLV3" s="95" t="n"/>
      <c r="SLW3" s="95" t="n"/>
      <c r="SLX3" s="95" t="n"/>
      <c r="SLY3" s="95" t="n"/>
      <c r="SLZ3" s="95" t="n"/>
      <c r="SMA3" s="95" t="n"/>
      <c r="SMB3" s="95" t="n"/>
      <c r="SMC3" s="95" t="n"/>
      <c r="SMD3" s="95" t="n"/>
      <c r="SME3" s="95" t="n"/>
      <c r="SMF3" s="95" t="n"/>
      <c r="SMG3" s="95" t="n"/>
      <c r="SMH3" s="95" t="n"/>
      <c r="SMI3" s="95" t="n"/>
      <c r="SMJ3" s="95" t="n"/>
      <c r="SMK3" s="95" t="n"/>
      <c r="SML3" s="95" t="n"/>
      <c r="SMM3" s="95" t="n"/>
      <c r="SMN3" s="95" t="n"/>
      <c r="SMO3" s="95" t="n"/>
      <c r="SMP3" s="95" t="n"/>
      <c r="SMQ3" s="95" t="n"/>
      <c r="SMR3" s="95" t="n"/>
      <c r="SMS3" s="95" t="n"/>
      <c r="SMT3" s="95" t="n"/>
      <c r="SMU3" s="95" t="n"/>
      <c r="SMV3" s="95" t="n"/>
      <c r="SMW3" s="95" t="n"/>
      <c r="SMX3" s="95" t="n"/>
      <c r="SMY3" s="95" t="n"/>
      <c r="SMZ3" s="95" t="n"/>
      <c r="SNA3" s="95" t="n"/>
      <c r="SNB3" s="95" t="n"/>
      <c r="SNC3" s="95" t="n"/>
      <c r="SND3" s="95" t="n"/>
      <c r="SNE3" s="95" t="n"/>
      <c r="SNF3" s="95" t="n"/>
      <c r="SNG3" s="95" t="n"/>
      <c r="SNH3" s="95" t="n"/>
      <c r="SNI3" s="95" t="n"/>
      <c r="SNJ3" s="95" t="n"/>
      <c r="SNK3" s="95" t="n"/>
      <c r="SNL3" s="95" t="n"/>
      <c r="SNM3" s="95" t="n"/>
      <c r="SNN3" s="95" t="n"/>
      <c r="SNO3" s="95" t="n"/>
      <c r="SNP3" s="95" t="n"/>
      <c r="SNQ3" s="95" t="n"/>
      <c r="SNR3" s="95" t="n"/>
      <c r="SNS3" s="95" t="n"/>
      <c r="SNT3" s="95" t="n"/>
      <c r="SNU3" s="95" t="n"/>
      <c r="SNV3" s="95" t="n"/>
      <c r="SNW3" s="95" t="n"/>
      <c r="SNX3" s="95" t="n"/>
      <c r="SNY3" s="95" t="n"/>
      <c r="SNZ3" s="95" t="n"/>
      <c r="SOA3" s="95" t="n"/>
      <c r="SOB3" s="95" t="n"/>
      <c r="SOC3" s="95" t="n"/>
      <c r="SOD3" s="95" t="n"/>
      <c r="SOE3" s="95" t="n"/>
      <c r="SOF3" s="95" t="n"/>
      <c r="SOG3" s="95" t="n"/>
      <c r="SOH3" s="95" t="n"/>
      <c r="SOI3" s="95" t="n"/>
      <c r="SOJ3" s="95" t="n"/>
      <c r="SOK3" s="95" t="n"/>
      <c r="SOL3" s="95" t="n"/>
      <c r="SOM3" s="95" t="n"/>
      <c r="SON3" s="95" t="n"/>
      <c r="SOO3" s="95" t="n"/>
      <c r="SOP3" s="95" t="n"/>
      <c r="SOQ3" s="95" t="n"/>
      <c r="SOR3" s="95" t="n"/>
      <c r="SOS3" s="95" t="n"/>
      <c r="SOT3" s="95" t="n"/>
      <c r="SOU3" s="95" t="n"/>
      <c r="SOV3" s="95" t="n"/>
      <c r="SOW3" s="95" t="n"/>
      <c r="SOX3" s="95" t="n"/>
      <c r="SOY3" s="95" t="n"/>
      <c r="SOZ3" s="95" t="n"/>
      <c r="SPA3" s="95" t="n"/>
      <c r="SPB3" s="95" t="n"/>
      <c r="SPC3" s="95" t="n"/>
      <c r="SPD3" s="95" t="n"/>
      <c r="SPE3" s="95" t="n"/>
      <c r="SPF3" s="95" t="n"/>
      <c r="SPG3" s="95" t="n"/>
      <c r="SPH3" s="95" t="n"/>
      <c r="SPI3" s="95" t="n"/>
      <c r="SPJ3" s="95" t="n"/>
      <c r="SPK3" s="95" t="n"/>
      <c r="SPL3" s="95" t="n"/>
      <c r="SPM3" s="95" t="n"/>
      <c r="SPN3" s="95" t="n"/>
      <c r="SPO3" s="95" t="n"/>
      <c r="SPP3" s="95" t="n"/>
      <c r="SPQ3" s="95" t="n"/>
      <c r="SPR3" s="95" t="n"/>
      <c r="SPS3" s="95" t="n"/>
      <c r="SPT3" s="95" t="n"/>
      <c r="SPU3" s="95" t="n"/>
      <c r="SPV3" s="95" t="n"/>
      <c r="SPW3" s="95" t="n"/>
      <c r="SPX3" s="95" t="n"/>
      <c r="SPY3" s="95" t="n"/>
      <c r="SPZ3" s="95" t="n"/>
      <c r="SQA3" s="95" t="n"/>
      <c r="SQB3" s="95" t="n"/>
      <c r="SQC3" s="95" t="n"/>
      <c r="SQD3" s="95" t="n"/>
      <c r="SQE3" s="95" t="n"/>
      <c r="SQF3" s="95" t="n"/>
      <c r="SQG3" s="95" t="n"/>
      <c r="SQH3" s="95" t="n"/>
      <c r="SQI3" s="95" t="n"/>
      <c r="SQJ3" s="95" t="n"/>
      <c r="SQK3" s="95" t="n"/>
      <c r="SQL3" s="95" t="n"/>
      <c r="SQM3" s="95" t="n"/>
      <c r="SQN3" s="95" t="n"/>
      <c r="SQO3" s="95" t="n"/>
      <c r="SQP3" s="95" t="n"/>
      <c r="SQQ3" s="95" t="n"/>
      <c r="SQR3" s="95" t="n"/>
      <c r="SQS3" s="95" t="n"/>
      <c r="SQT3" s="95" t="n"/>
      <c r="SQU3" s="95" t="n"/>
      <c r="SQV3" s="95" t="n"/>
      <c r="SQW3" s="95" t="n"/>
      <c r="SQX3" s="95" t="n"/>
      <c r="SQY3" s="95" t="n"/>
      <c r="SQZ3" s="95" t="n"/>
      <c r="SRA3" s="95" t="n"/>
      <c r="SRB3" s="95" t="n"/>
      <c r="SRC3" s="95" t="n"/>
      <c r="SRD3" s="95" t="n"/>
      <c r="SRE3" s="95" t="n"/>
      <c r="SRF3" s="95" t="n"/>
      <c r="SRG3" s="95" t="n"/>
      <c r="SRH3" s="95" t="n"/>
      <c r="SRI3" s="95" t="n"/>
      <c r="SRJ3" s="95" t="n"/>
      <c r="SRK3" s="95" t="n"/>
      <c r="SRL3" s="95" t="n"/>
      <c r="SRM3" s="95" t="n"/>
      <c r="SRN3" s="95" t="n"/>
      <c r="SRO3" s="95" t="n"/>
      <c r="SRP3" s="95" t="n"/>
      <c r="SRQ3" s="95" t="n"/>
      <c r="SRR3" s="95" t="n"/>
      <c r="SRS3" s="95" t="n"/>
      <c r="SRT3" s="95" t="n"/>
      <c r="SRU3" s="95" t="n"/>
      <c r="SRV3" s="95" t="n"/>
      <c r="SRW3" s="95" t="n"/>
      <c r="SRX3" s="95" t="n"/>
      <c r="SRY3" s="95" t="n"/>
      <c r="SRZ3" s="95" t="n"/>
      <c r="SSA3" s="95" t="n"/>
      <c r="SSB3" s="95" t="n"/>
      <c r="SSC3" s="95" t="n"/>
      <c r="SSD3" s="95" t="n"/>
      <c r="SSE3" s="95" t="n"/>
      <c r="SSF3" s="95" t="n"/>
      <c r="SSG3" s="95" t="n"/>
      <c r="SSH3" s="95" t="n"/>
      <c r="SSI3" s="95" t="n"/>
      <c r="SSJ3" s="95" t="n"/>
      <c r="SSK3" s="95" t="n"/>
      <c r="SSL3" s="95" t="n"/>
      <c r="SSM3" s="95" t="n"/>
      <c r="SSN3" s="95" t="n"/>
      <c r="SSO3" s="95" t="n"/>
      <c r="SSP3" s="95" t="n"/>
      <c r="SSQ3" s="95" t="n"/>
      <c r="SSR3" s="95" t="n"/>
      <c r="SSS3" s="95" t="n"/>
      <c r="SST3" s="95" t="n"/>
      <c r="SSU3" s="95" t="n"/>
      <c r="SSV3" s="95" t="n"/>
      <c r="SSW3" s="95" t="n"/>
      <c r="SSX3" s="95" t="n"/>
      <c r="SSY3" s="95" t="n"/>
      <c r="SSZ3" s="95" t="n"/>
      <c r="STA3" s="95" t="n"/>
      <c r="STB3" s="95" t="n"/>
      <c r="STC3" s="95" t="n"/>
      <c r="STD3" s="95" t="n"/>
      <c r="STE3" s="95" t="n"/>
      <c r="STF3" s="95" t="n"/>
      <c r="STG3" s="95" t="n"/>
      <c r="STH3" s="95" t="n"/>
      <c r="STI3" s="95" t="n"/>
      <c r="STJ3" s="95" t="n"/>
      <c r="STK3" s="95" t="n"/>
      <c r="STL3" s="95" t="n"/>
      <c r="STM3" s="95" t="n"/>
      <c r="STN3" s="95" t="n"/>
      <c r="STO3" s="95" t="n"/>
      <c r="STP3" s="95" t="n"/>
      <c r="STQ3" s="95" t="n"/>
      <c r="STR3" s="95" t="n"/>
      <c r="STS3" s="95" t="n"/>
      <c r="STT3" s="95" t="n"/>
      <c r="STU3" s="95" t="n"/>
      <c r="STV3" s="95" t="n"/>
      <c r="STW3" s="95" t="n"/>
      <c r="STX3" s="95" t="n"/>
      <c r="STY3" s="95" t="n"/>
      <c r="STZ3" s="95" t="n"/>
      <c r="SUA3" s="95" t="n"/>
      <c r="SUB3" s="95" t="n"/>
      <c r="SUC3" s="95" t="n"/>
      <c r="SUD3" s="95" t="n"/>
      <c r="SUE3" s="95" t="n"/>
      <c r="SUF3" s="95" t="n"/>
      <c r="SUG3" s="95" t="n"/>
      <c r="SUH3" s="95" t="n"/>
      <c r="SUI3" s="95" t="n"/>
      <c r="SUJ3" s="95" t="n"/>
      <c r="SUK3" s="95" t="n"/>
      <c r="SUL3" s="95" t="n"/>
      <c r="SUM3" s="95" t="n"/>
      <c r="SUN3" s="95" t="n"/>
      <c r="SUO3" s="95" t="n"/>
      <c r="SUP3" s="95" t="n"/>
      <c r="SUQ3" s="95" t="n"/>
      <c r="SUR3" s="95" t="n"/>
      <c r="SUS3" s="95" t="n"/>
      <c r="SUT3" s="95" t="n"/>
      <c r="SUU3" s="95" t="n"/>
      <c r="SUV3" s="95" t="n"/>
      <c r="SUW3" s="95" t="n"/>
      <c r="SUX3" s="95" t="n"/>
      <c r="SUY3" s="95" t="n"/>
      <c r="SUZ3" s="95" t="n"/>
      <c r="SVA3" s="95" t="n"/>
      <c r="SVB3" s="95" t="n"/>
      <c r="SVC3" s="95" t="n"/>
      <c r="SVD3" s="95" t="n"/>
      <c r="SVE3" s="95" t="n"/>
      <c r="SVF3" s="95" t="n"/>
      <c r="SVG3" s="95" t="n"/>
      <c r="SVH3" s="95" t="n"/>
      <c r="SVI3" s="95" t="n"/>
      <c r="SVJ3" s="95" t="n"/>
      <c r="SVK3" s="95" t="n"/>
      <c r="SVL3" s="95" t="n"/>
      <c r="SVM3" s="95" t="n"/>
      <c r="SVN3" s="95" t="n"/>
      <c r="SVO3" s="95" t="n"/>
      <c r="SVP3" s="95" t="n"/>
      <c r="SVQ3" s="95" t="n"/>
      <c r="SVR3" s="95" t="n"/>
      <c r="SVS3" s="95" t="n"/>
      <c r="SVT3" s="95" t="n"/>
      <c r="SVU3" s="95" t="n"/>
      <c r="SVV3" s="95" t="n"/>
      <c r="SVW3" s="95" t="n"/>
      <c r="SVX3" s="95" t="n"/>
      <c r="SVY3" s="95" t="n"/>
      <c r="SVZ3" s="95" t="n"/>
      <c r="SWA3" s="95" t="n"/>
      <c r="SWB3" s="95" t="n"/>
      <c r="SWC3" s="95" t="n"/>
      <c r="SWD3" s="95" t="n"/>
      <c r="SWE3" s="95" t="n"/>
      <c r="SWF3" s="95" t="n"/>
      <c r="SWG3" s="95" t="n"/>
      <c r="SWH3" s="95" t="n"/>
      <c r="SWI3" s="95" t="n"/>
      <c r="SWJ3" s="95" t="n"/>
      <c r="SWK3" s="95" t="n"/>
      <c r="SWL3" s="95" t="n"/>
      <c r="SWM3" s="95" t="n"/>
      <c r="SWN3" s="95" t="n"/>
      <c r="SWO3" s="95" t="n"/>
      <c r="SWP3" s="95" t="n"/>
      <c r="SWQ3" s="95" t="n"/>
      <c r="SWR3" s="95" t="n"/>
      <c r="SWS3" s="95" t="n"/>
      <c r="SWT3" s="95" t="n"/>
      <c r="SWU3" s="95" t="n"/>
      <c r="SWV3" s="95" t="n"/>
      <c r="SWW3" s="95" t="n"/>
      <c r="SWX3" s="95" t="n"/>
      <c r="SWY3" s="95" t="n"/>
      <c r="SWZ3" s="95" t="n"/>
      <c r="SXA3" s="95" t="n"/>
      <c r="SXB3" s="95" t="n"/>
      <c r="SXC3" s="95" t="n"/>
      <c r="SXD3" s="95" t="n"/>
      <c r="SXE3" s="95" t="n"/>
      <c r="SXF3" s="95" t="n"/>
      <c r="SXG3" s="95" t="n"/>
      <c r="SXH3" s="95" t="n"/>
      <c r="SXI3" s="95" t="n"/>
      <c r="SXJ3" s="95" t="n"/>
      <c r="SXK3" s="95" t="n"/>
      <c r="SXL3" s="95" t="n"/>
      <c r="SXM3" s="95" t="n"/>
      <c r="SXN3" s="95" t="n"/>
      <c r="SXO3" s="95" t="n"/>
      <c r="SXP3" s="95" t="n"/>
      <c r="SXQ3" s="95" t="n"/>
      <c r="SXR3" s="95" t="n"/>
      <c r="SXS3" s="95" t="n"/>
      <c r="SXT3" s="95" t="n"/>
      <c r="SXU3" s="95" t="n"/>
      <c r="SXV3" s="95" t="n"/>
      <c r="SXW3" s="95" t="n"/>
      <c r="SXX3" s="95" t="n"/>
      <c r="SXY3" s="95" t="n"/>
      <c r="SXZ3" s="95" t="n"/>
      <c r="SYA3" s="95" t="n"/>
      <c r="SYB3" s="95" t="n"/>
      <c r="SYC3" s="95" t="n"/>
      <c r="SYD3" s="95" t="n"/>
      <c r="SYE3" s="95" t="n"/>
      <c r="SYF3" s="95" t="n"/>
      <c r="SYG3" s="95" t="n"/>
      <c r="SYH3" s="95" t="n"/>
      <c r="SYI3" s="95" t="n"/>
      <c r="SYJ3" s="95" t="n"/>
      <c r="SYK3" s="95" t="n"/>
      <c r="SYL3" s="95" t="n"/>
      <c r="SYM3" s="95" t="n"/>
      <c r="SYN3" s="95" t="n"/>
      <c r="SYO3" s="95" t="n"/>
      <c r="SYP3" s="95" t="n"/>
      <c r="SYQ3" s="95" t="n"/>
      <c r="SYR3" s="95" t="n"/>
      <c r="SYS3" s="95" t="n"/>
      <c r="SYT3" s="95" t="n"/>
      <c r="SYU3" s="95" t="n"/>
      <c r="SYV3" s="95" t="n"/>
      <c r="SYW3" s="95" t="n"/>
      <c r="SYX3" s="95" t="n"/>
      <c r="SYY3" s="95" t="n"/>
      <c r="SYZ3" s="95" t="n"/>
      <c r="SZA3" s="95" t="n"/>
      <c r="SZB3" s="95" t="n"/>
      <c r="SZC3" s="95" t="n"/>
      <c r="SZD3" s="95" t="n"/>
      <c r="SZE3" s="95" t="n"/>
      <c r="SZF3" s="95" t="n"/>
      <c r="SZG3" s="95" t="n"/>
      <c r="SZH3" s="95" t="n"/>
      <c r="SZI3" s="95" t="n"/>
      <c r="SZJ3" s="95" t="n"/>
      <c r="SZK3" s="95" t="n"/>
      <c r="SZL3" s="95" t="n"/>
      <c r="SZM3" s="95" t="n"/>
      <c r="SZN3" s="95" t="n"/>
      <c r="SZO3" s="95" t="n"/>
      <c r="SZP3" s="95" t="n"/>
      <c r="SZQ3" s="95" t="n"/>
      <c r="SZR3" s="95" t="n"/>
      <c r="SZS3" s="95" t="n"/>
      <c r="SZT3" s="95" t="n"/>
      <c r="SZU3" s="95" t="n"/>
      <c r="SZV3" s="95" t="n"/>
      <c r="SZW3" s="95" t="n"/>
      <c r="SZX3" s="95" t="n"/>
      <c r="SZY3" s="95" t="n"/>
      <c r="SZZ3" s="95" t="n"/>
      <c r="TAA3" s="95" t="n"/>
      <c r="TAB3" s="95" t="n"/>
      <c r="TAC3" s="95" t="n"/>
      <c r="TAD3" s="95" t="n"/>
      <c r="TAE3" s="95" t="n"/>
      <c r="TAF3" s="95" t="n"/>
      <c r="TAG3" s="95" t="n"/>
      <c r="TAH3" s="95" t="n"/>
      <c r="TAI3" s="95" t="n"/>
      <c r="TAJ3" s="95" t="n"/>
      <c r="TAK3" s="95" t="n"/>
      <c r="TAL3" s="95" t="n"/>
      <c r="TAM3" s="95" t="n"/>
      <c r="TAN3" s="95" t="n"/>
      <c r="TAO3" s="95" t="n"/>
      <c r="TAP3" s="95" t="n"/>
      <c r="TAQ3" s="95" t="n"/>
      <c r="TAR3" s="95" t="n"/>
      <c r="TAS3" s="95" t="n"/>
      <c r="TAT3" s="95" t="n"/>
      <c r="TAU3" s="95" t="n"/>
      <c r="TAV3" s="95" t="n"/>
      <c r="TAW3" s="95" t="n"/>
      <c r="TAX3" s="95" t="n"/>
      <c r="TAY3" s="95" t="n"/>
      <c r="TAZ3" s="95" t="n"/>
      <c r="TBA3" s="95" t="n"/>
      <c r="TBB3" s="95" t="n"/>
      <c r="TBC3" s="95" t="n"/>
      <c r="TBD3" s="95" t="n"/>
      <c r="TBE3" s="95" t="n"/>
      <c r="TBF3" s="95" t="n"/>
      <c r="TBG3" s="95" t="n"/>
      <c r="TBH3" s="95" t="n"/>
      <c r="TBI3" s="95" t="n"/>
      <c r="TBJ3" s="95" t="n"/>
      <c r="TBK3" s="95" t="n"/>
      <c r="TBL3" s="95" t="n"/>
      <c r="TBM3" s="95" t="n"/>
      <c r="TBN3" s="95" t="n"/>
      <c r="TBO3" s="95" t="n"/>
      <c r="TBP3" s="95" t="n"/>
      <c r="TBQ3" s="95" t="n"/>
      <c r="TBR3" s="95" t="n"/>
      <c r="TBS3" s="95" t="n"/>
      <c r="TBT3" s="95" t="n"/>
      <c r="TBU3" s="95" t="n"/>
      <c r="TBV3" s="95" t="n"/>
      <c r="TBW3" s="95" t="n"/>
      <c r="TBX3" s="95" t="n"/>
      <c r="TBY3" s="95" t="n"/>
      <c r="TBZ3" s="95" t="n"/>
      <c r="TCA3" s="95" t="n"/>
      <c r="TCB3" s="95" t="n"/>
      <c r="TCC3" s="95" t="n"/>
      <c r="TCD3" s="95" t="n"/>
      <c r="TCE3" s="95" t="n"/>
      <c r="TCF3" s="95" t="n"/>
      <c r="TCG3" s="95" t="n"/>
      <c r="TCH3" s="95" t="n"/>
      <c r="TCI3" s="95" t="n"/>
      <c r="TCJ3" s="95" t="n"/>
      <c r="TCK3" s="95" t="n"/>
      <c r="TCL3" s="95" t="n"/>
      <c r="TCM3" s="95" t="n"/>
      <c r="TCN3" s="95" t="n"/>
      <c r="TCO3" s="95" t="n"/>
      <c r="TCP3" s="95" t="n"/>
      <c r="TCQ3" s="95" t="n"/>
      <c r="TCR3" s="95" t="n"/>
      <c r="TCS3" s="95" t="n"/>
      <c r="TCT3" s="95" t="n"/>
      <c r="TCU3" s="95" t="n"/>
      <c r="TCV3" s="95" t="n"/>
      <c r="TCW3" s="95" t="n"/>
      <c r="TCX3" s="95" t="n"/>
      <c r="TCY3" s="95" t="n"/>
      <c r="TCZ3" s="95" t="n"/>
      <c r="TDA3" s="95" t="n"/>
      <c r="TDB3" s="95" t="n"/>
      <c r="TDC3" s="95" t="n"/>
      <c r="TDD3" s="95" t="n"/>
      <c r="TDE3" s="95" t="n"/>
      <c r="TDF3" s="95" t="n"/>
      <c r="TDG3" s="95" t="n"/>
      <c r="TDH3" s="95" t="n"/>
      <c r="TDI3" s="95" t="n"/>
      <c r="TDJ3" s="95" t="n"/>
      <c r="TDK3" s="95" t="n"/>
      <c r="TDL3" s="95" t="n"/>
      <c r="TDM3" s="95" t="n"/>
      <c r="TDN3" s="95" t="n"/>
      <c r="TDO3" s="95" t="n"/>
      <c r="TDP3" s="95" t="n"/>
      <c r="TDQ3" s="95" t="n"/>
      <c r="TDR3" s="95" t="n"/>
      <c r="TDS3" s="95" t="n"/>
      <c r="TDT3" s="95" t="n"/>
      <c r="TDU3" s="95" t="n"/>
      <c r="TDV3" s="95" t="n"/>
      <c r="TDW3" s="95" t="n"/>
      <c r="TDX3" s="95" t="n"/>
      <c r="TDY3" s="95" t="n"/>
      <c r="TDZ3" s="95" t="n"/>
      <c r="TEA3" s="95" t="n"/>
      <c r="TEB3" s="95" t="n"/>
      <c r="TEC3" s="95" t="n"/>
      <c r="TED3" s="95" t="n"/>
      <c r="TEE3" s="95" t="n"/>
      <c r="TEF3" s="95" t="n"/>
      <c r="TEG3" s="95" t="n"/>
      <c r="TEH3" s="95" t="n"/>
      <c r="TEI3" s="95" t="n"/>
      <c r="TEJ3" s="95" t="n"/>
      <c r="TEK3" s="95" t="n"/>
      <c r="TEL3" s="95" t="n"/>
      <c r="TEM3" s="95" t="n"/>
      <c r="TEN3" s="95" t="n"/>
      <c r="TEO3" s="95" t="n"/>
      <c r="TEP3" s="95" t="n"/>
      <c r="TEQ3" s="95" t="n"/>
      <c r="TER3" s="95" t="n"/>
      <c r="TES3" s="95" t="n"/>
      <c r="TET3" s="95" t="n"/>
      <c r="TEU3" s="95" t="n"/>
      <c r="TEV3" s="95" t="n"/>
      <c r="TEW3" s="95" t="n"/>
      <c r="TEX3" s="95" t="n"/>
      <c r="TEY3" s="95" t="n"/>
      <c r="TEZ3" s="95" t="n"/>
      <c r="TFA3" s="95" t="n"/>
      <c r="TFB3" s="95" t="n"/>
      <c r="TFC3" s="95" t="n"/>
      <c r="TFD3" s="95" t="n"/>
      <c r="TFE3" s="95" t="n"/>
      <c r="TFF3" s="95" t="n"/>
      <c r="TFG3" s="95" t="n"/>
      <c r="TFH3" s="95" t="n"/>
      <c r="TFI3" s="95" t="n"/>
      <c r="TFJ3" s="95" t="n"/>
      <c r="TFK3" s="95" t="n"/>
      <c r="TFL3" s="95" t="n"/>
      <c r="TFM3" s="95" t="n"/>
      <c r="TFN3" s="95" t="n"/>
      <c r="TFO3" s="95" t="n"/>
      <c r="TFP3" s="95" t="n"/>
      <c r="TFQ3" s="95" t="n"/>
      <c r="TFR3" s="95" t="n"/>
      <c r="TFS3" s="95" t="n"/>
      <c r="TFT3" s="95" t="n"/>
      <c r="TFU3" s="95" t="n"/>
      <c r="TFV3" s="95" t="n"/>
      <c r="TFW3" s="95" t="n"/>
      <c r="TFX3" s="95" t="n"/>
      <c r="TFY3" s="95" t="n"/>
      <c r="TFZ3" s="95" t="n"/>
      <c r="TGA3" s="95" t="n"/>
      <c r="TGB3" s="95" t="n"/>
      <c r="TGC3" s="95" t="n"/>
      <c r="TGD3" s="95" t="n"/>
      <c r="TGE3" s="95" t="n"/>
      <c r="TGF3" s="95" t="n"/>
      <c r="TGG3" s="95" t="n"/>
      <c r="TGH3" s="95" t="n"/>
      <c r="TGI3" s="95" t="n"/>
      <c r="TGJ3" s="95" t="n"/>
      <c r="TGK3" s="95" t="n"/>
      <c r="TGL3" s="95" t="n"/>
      <c r="TGM3" s="95" t="n"/>
      <c r="TGN3" s="95" t="n"/>
      <c r="TGO3" s="95" t="n"/>
      <c r="TGP3" s="95" t="n"/>
      <c r="TGQ3" s="95" t="n"/>
      <c r="TGR3" s="95" t="n"/>
      <c r="TGS3" s="95" t="n"/>
      <c r="TGT3" s="95" t="n"/>
      <c r="TGU3" s="95" t="n"/>
      <c r="TGV3" s="95" t="n"/>
      <c r="TGW3" s="95" t="n"/>
      <c r="TGX3" s="95" t="n"/>
      <c r="TGY3" s="95" t="n"/>
      <c r="TGZ3" s="95" t="n"/>
      <c r="THA3" s="95" t="n"/>
      <c r="THB3" s="95" t="n"/>
      <c r="THC3" s="95" t="n"/>
      <c r="THD3" s="95" t="n"/>
      <c r="THE3" s="95" t="n"/>
      <c r="THF3" s="95" t="n"/>
      <c r="THG3" s="95" t="n"/>
      <c r="THH3" s="95" t="n"/>
      <c r="THI3" s="95" t="n"/>
      <c r="THJ3" s="95" t="n"/>
      <c r="THK3" s="95" t="n"/>
      <c r="THL3" s="95" t="n"/>
      <c r="THM3" s="95" t="n"/>
      <c r="THN3" s="95" t="n"/>
      <c r="THO3" s="95" t="n"/>
      <c r="THP3" s="95" t="n"/>
      <c r="THQ3" s="95" t="n"/>
      <c r="THR3" s="95" t="n"/>
      <c r="THS3" s="95" t="n"/>
      <c r="THT3" s="95" t="n"/>
      <c r="THU3" s="95" t="n"/>
      <c r="THV3" s="95" t="n"/>
      <c r="THW3" s="95" t="n"/>
      <c r="THX3" s="95" t="n"/>
      <c r="THY3" s="95" t="n"/>
      <c r="THZ3" s="95" t="n"/>
      <c r="TIA3" s="95" t="n"/>
      <c r="TIB3" s="95" t="n"/>
      <c r="TIC3" s="95" t="n"/>
      <c r="TID3" s="95" t="n"/>
      <c r="TIE3" s="95" t="n"/>
      <c r="TIF3" s="95" t="n"/>
      <c r="TIG3" s="95" t="n"/>
      <c r="TIH3" s="95" t="n"/>
      <c r="TII3" s="95" t="n"/>
      <c r="TIJ3" s="95" t="n"/>
      <c r="TIK3" s="95" t="n"/>
      <c r="TIL3" s="95" t="n"/>
      <c r="TIM3" s="95" t="n"/>
      <c r="TIN3" s="95" t="n"/>
      <c r="TIO3" s="95" t="n"/>
      <c r="TIP3" s="95" t="n"/>
      <c r="TIQ3" s="95" t="n"/>
      <c r="TIR3" s="95" t="n"/>
      <c r="TIS3" s="95" t="n"/>
      <c r="TIT3" s="95" t="n"/>
      <c r="TIU3" s="95" t="n"/>
      <c r="TIV3" s="95" t="n"/>
      <c r="TIW3" s="95" t="n"/>
      <c r="TIX3" s="95" t="n"/>
      <c r="TIY3" s="95" t="n"/>
      <c r="TIZ3" s="95" t="n"/>
      <c r="TJA3" s="95" t="n"/>
      <c r="TJB3" s="95" t="n"/>
      <c r="TJC3" s="95" t="n"/>
      <c r="TJD3" s="95" t="n"/>
      <c r="TJE3" s="95" t="n"/>
      <c r="TJF3" s="95" t="n"/>
      <c r="TJG3" s="95" t="n"/>
      <c r="TJH3" s="95" t="n"/>
      <c r="TJI3" s="95" t="n"/>
      <c r="TJJ3" s="95" t="n"/>
      <c r="TJK3" s="95" t="n"/>
      <c r="TJL3" s="95" t="n"/>
      <c r="TJM3" s="95" t="n"/>
      <c r="TJN3" s="95" t="n"/>
      <c r="TJO3" s="95" t="n"/>
      <c r="TJP3" s="95" t="n"/>
      <c r="TJQ3" s="95" t="n"/>
      <c r="TJR3" s="95" t="n"/>
      <c r="TJS3" s="95" t="n"/>
      <c r="TJT3" s="95" t="n"/>
      <c r="TJU3" s="95" t="n"/>
      <c r="TJV3" s="95" t="n"/>
      <c r="TJW3" s="95" t="n"/>
      <c r="TJX3" s="95" t="n"/>
      <c r="TJY3" s="95" t="n"/>
      <c r="TJZ3" s="95" t="n"/>
      <c r="TKA3" s="95" t="n"/>
      <c r="TKB3" s="95" t="n"/>
      <c r="TKC3" s="95" t="n"/>
      <c r="TKD3" s="95" t="n"/>
      <c r="TKE3" s="95" t="n"/>
      <c r="TKF3" s="95" t="n"/>
      <c r="TKG3" s="95" t="n"/>
      <c r="TKH3" s="95" t="n"/>
      <c r="TKI3" s="95" t="n"/>
      <c r="TKJ3" s="95" t="n"/>
      <c r="TKK3" s="95" t="n"/>
      <c r="TKL3" s="95" t="n"/>
      <c r="TKM3" s="95" t="n"/>
      <c r="TKN3" s="95" t="n"/>
      <c r="TKO3" s="95" t="n"/>
      <c r="TKP3" s="95" t="n"/>
      <c r="TKQ3" s="95" t="n"/>
      <c r="TKR3" s="95" t="n"/>
      <c r="TKS3" s="95" t="n"/>
      <c r="TKT3" s="95" t="n"/>
      <c r="TKU3" s="95" t="n"/>
      <c r="TKV3" s="95" t="n"/>
      <c r="TKW3" s="95" t="n"/>
      <c r="TKX3" s="95" t="n"/>
      <c r="TKY3" s="95" t="n"/>
      <c r="TKZ3" s="95" t="n"/>
      <c r="TLA3" s="95" t="n"/>
      <c r="TLB3" s="95" t="n"/>
      <c r="TLC3" s="95" t="n"/>
      <c r="TLD3" s="95" t="n"/>
      <c r="TLE3" s="95" t="n"/>
      <c r="TLF3" s="95" t="n"/>
      <c r="TLG3" s="95" t="n"/>
      <c r="TLH3" s="95" t="n"/>
      <c r="TLI3" s="95" t="n"/>
      <c r="TLJ3" s="95" t="n"/>
      <c r="TLK3" s="95" t="n"/>
      <c r="TLL3" s="95" t="n"/>
      <c r="TLM3" s="95" t="n"/>
      <c r="TLN3" s="95" t="n"/>
      <c r="TLO3" s="95" t="n"/>
      <c r="TLP3" s="95" t="n"/>
      <c r="TLQ3" s="95" t="n"/>
      <c r="TLR3" s="95" t="n"/>
      <c r="TLS3" s="95" t="n"/>
      <c r="TLT3" s="95" t="n"/>
      <c r="TLU3" s="95" t="n"/>
      <c r="TLV3" s="95" t="n"/>
      <c r="TLW3" s="95" t="n"/>
      <c r="TLX3" s="95" t="n"/>
      <c r="TLY3" s="95" t="n"/>
      <c r="TLZ3" s="95" t="n"/>
      <c r="TMA3" s="95" t="n"/>
      <c r="TMB3" s="95" t="n"/>
      <c r="TMC3" s="95" t="n"/>
      <c r="TMD3" s="95" t="n"/>
      <c r="TME3" s="95" t="n"/>
      <c r="TMF3" s="95" t="n"/>
      <c r="TMG3" s="95" t="n"/>
      <c r="TMH3" s="95" t="n"/>
      <c r="TMI3" s="95" t="n"/>
      <c r="TMJ3" s="95" t="n"/>
      <c r="TMK3" s="95" t="n"/>
      <c r="TML3" s="95" t="n"/>
      <c r="TMM3" s="95" t="n"/>
      <c r="TMN3" s="95" t="n"/>
      <c r="TMO3" s="95" t="n"/>
      <c r="TMP3" s="95" t="n"/>
      <c r="TMQ3" s="95" t="n"/>
      <c r="TMR3" s="95" t="n"/>
      <c r="TMS3" s="95" t="n"/>
      <c r="TMT3" s="95" t="n"/>
      <c r="TMU3" s="95" t="n"/>
      <c r="TMV3" s="95" t="n"/>
      <c r="TMW3" s="95" t="n"/>
      <c r="TMX3" s="95" t="n"/>
      <c r="TMY3" s="95" t="n"/>
      <c r="TMZ3" s="95" t="n"/>
      <c r="TNA3" s="95" t="n"/>
      <c r="TNB3" s="95" t="n"/>
      <c r="TNC3" s="95" t="n"/>
      <c r="TND3" s="95" t="n"/>
      <c r="TNE3" s="95" t="n"/>
      <c r="TNF3" s="95" t="n"/>
      <c r="TNG3" s="95" t="n"/>
      <c r="TNH3" s="95" t="n"/>
      <c r="TNI3" s="95" t="n"/>
      <c r="TNJ3" s="95" t="n"/>
      <c r="TNK3" s="95" t="n"/>
      <c r="TNL3" s="95" t="n"/>
      <c r="TNM3" s="95" t="n"/>
      <c r="TNN3" s="95" t="n"/>
      <c r="TNO3" s="95" t="n"/>
      <c r="TNP3" s="95" t="n"/>
      <c r="TNQ3" s="95" t="n"/>
      <c r="TNR3" s="95" t="n"/>
      <c r="TNS3" s="95" t="n"/>
      <c r="TNT3" s="95" t="n"/>
      <c r="TNU3" s="95" t="n"/>
      <c r="TNV3" s="95" t="n"/>
      <c r="TNW3" s="95" t="n"/>
      <c r="TNX3" s="95" t="n"/>
      <c r="TNY3" s="95" t="n"/>
      <c r="TNZ3" s="95" t="n"/>
      <c r="TOA3" s="95" t="n"/>
      <c r="TOB3" s="95" t="n"/>
      <c r="TOC3" s="95" t="n"/>
      <c r="TOD3" s="95" t="n"/>
      <c r="TOE3" s="95" t="n"/>
      <c r="TOF3" s="95" t="n"/>
      <c r="TOG3" s="95" t="n"/>
      <c r="TOH3" s="95" t="n"/>
      <c r="TOI3" s="95" t="n"/>
      <c r="TOJ3" s="95" t="n"/>
      <c r="TOK3" s="95" t="n"/>
      <c r="TOL3" s="95" t="n"/>
      <c r="TOM3" s="95" t="n"/>
      <c r="TON3" s="95" t="n"/>
      <c r="TOO3" s="95" t="n"/>
      <c r="TOP3" s="95" t="n"/>
      <c r="TOQ3" s="95" t="n"/>
      <c r="TOR3" s="95" t="n"/>
      <c r="TOS3" s="95" t="n"/>
      <c r="TOT3" s="95" t="n"/>
      <c r="TOU3" s="95" t="n"/>
      <c r="TOV3" s="95" t="n"/>
      <c r="TOW3" s="95" t="n"/>
      <c r="TOX3" s="95" t="n"/>
      <c r="TOY3" s="95" t="n"/>
      <c r="TOZ3" s="95" t="n"/>
      <c r="TPA3" s="95" t="n"/>
      <c r="TPB3" s="95" t="n"/>
      <c r="TPC3" s="95" t="n"/>
      <c r="TPD3" s="95" t="n"/>
      <c r="TPE3" s="95" t="n"/>
      <c r="TPF3" s="95" t="n"/>
      <c r="TPG3" s="95" t="n"/>
      <c r="TPH3" s="95" t="n"/>
      <c r="TPI3" s="95" t="n"/>
      <c r="TPJ3" s="95" t="n"/>
      <c r="TPK3" s="95" t="n"/>
      <c r="TPL3" s="95" t="n"/>
      <c r="TPM3" s="95" t="n"/>
      <c r="TPN3" s="95" t="n"/>
      <c r="TPO3" s="95" t="n"/>
      <c r="TPP3" s="95" t="n"/>
      <c r="TPQ3" s="95" t="n"/>
      <c r="TPR3" s="95" t="n"/>
      <c r="TPS3" s="95" t="n"/>
      <c r="TPT3" s="95" t="n"/>
      <c r="TPU3" s="95" t="n"/>
      <c r="TPV3" s="95" t="n"/>
      <c r="TPW3" s="95" t="n"/>
      <c r="TPX3" s="95" t="n"/>
      <c r="TPY3" s="95" t="n"/>
      <c r="TPZ3" s="95" t="n"/>
      <c r="TQA3" s="95" t="n"/>
      <c r="TQB3" s="95" t="n"/>
      <c r="TQC3" s="95" t="n"/>
      <c r="TQD3" s="95" t="n"/>
      <c r="TQE3" s="95" t="n"/>
      <c r="TQF3" s="95" t="n"/>
      <c r="TQG3" s="95" t="n"/>
      <c r="TQH3" s="95" t="n"/>
      <c r="TQI3" s="95" t="n"/>
      <c r="TQJ3" s="95" t="n"/>
      <c r="TQK3" s="95" t="n"/>
      <c r="TQL3" s="95" t="n"/>
      <c r="TQM3" s="95" t="n"/>
      <c r="TQN3" s="95" t="n"/>
      <c r="TQO3" s="95" t="n"/>
      <c r="TQP3" s="95" t="n"/>
      <c r="TQQ3" s="95" t="n"/>
      <c r="TQR3" s="95" t="n"/>
      <c r="TQS3" s="95" t="n"/>
      <c r="TQT3" s="95" t="n"/>
      <c r="TQU3" s="95" t="n"/>
      <c r="TQV3" s="95" t="n"/>
      <c r="TQW3" s="95" t="n"/>
      <c r="TQX3" s="95" t="n"/>
      <c r="TQY3" s="95" t="n"/>
      <c r="TQZ3" s="95" t="n"/>
      <c r="TRA3" s="95" t="n"/>
      <c r="TRB3" s="95" t="n"/>
      <c r="TRC3" s="95" t="n"/>
      <c r="TRD3" s="95" t="n"/>
      <c r="TRE3" s="95" t="n"/>
      <c r="TRF3" s="95" t="n"/>
      <c r="TRG3" s="95" t="n"/>
      <c r="TRH3" s="95" t="n"/>
      <c r="TRI3" s="95" t="n"/>
      <c r="TRJ3" s="95" t="n"/>
      <c r="TRK3" s="95" t="n"/>
      <c r="TRL3" s="95" t="n"/>
      <c r="TRM3" s="95" t="n"/>
      <c r="TRN3" s="95" t="n"/>
      <c r="TRO3" s="95" t="n"/>
      <c r="TRP3" s="95" t="n"/>
      <c r="TRQ3" s="95" t="n"/>
      <c r="TRR3" s="95" t="n"/>
      <c r="TRS3" s="95" t="n"/>
      <c r="TRT3" s="95" t="n"/>
      <c r="TRU3" s="95" t="n"/>
      <c r="TRV3" s="95" t="n"/>
      <c r="TRW3" s="95" t="n"/>
      <c r="TRX3" s="95" t="n"/>
      <c r="TRY3" s="95" t="n"/>
      <c r="TRZ3" s="95" t="n"/>
      <c r="TSA3" s="95" t="n"/>
      <c r="TSB3" s="95" t="n"/>
      <c r="TSC3" s="95" t="n"/>
      <c r="TSD3" s="95" t="n"/>
      <c r="TSE3" s="95" t="n"/>
      <c r="TSF3" s="95" t="n"/>
      <c r="TSG3" s="95" t="n"/>
      <c r="TSH3" s="95" t="n"/>
      <c r="TSI3" s="95" t="n"/>
      <c r="TSJ3" s="95" t="n"/>
      <c r="TSK3" s="95" t="n"/>
      <c r="TSL3" s="95" t="n"/>
      <c r="TSM3" s="95" t="n"/>
      <c r="TSN3" s="95" t="n"/>
      <c r="TSO3" s="95" t="n"/>
      <c r="TSP3" s="95" t="n"/>
      <c r="TSQ3" s="95" t="n"/>
      <c r="TSR3" s="95" t="n"/>
      <c r="TSS3" s="95" t="n"/>
      <c r="TST3" s="95" t="n"/>
      <c r="TSU3" s="95" t="n"/>
      <c r="TSV3" s="95" t="n"/>
      <c r="TSW3" s="95" t="n"/>
      <c r="TSX3" s="95" t="n"/>
      <c r="TSY3" s="95" t="n"/>
      <c r="TSZ3" s="95" t="n"/>
      <c r="TTA3" s="95" t="n"/>
      <c r="TTB3" s="95" t="n"/>
      <c r="TTC3" s="95" t="n"/>
      <c r="TTD3" s="95" t="n"/>
      <c r="TTE3" s="95" t="n"/>
      <c r="TTF3" s="95" t="n"/>
      <c r="TTG3" s="95" t="n"/>
      <c r="TTH3" s="95" t="n"/>
      <c r="TTI3" s="95" t="n"/>
      <c r="TTJ3" s="95" t="n"/>
      <c r="TTK3" s="95" t="n"/>
      <c r="TTL3" s="95" t="n"/>
      <c r="TTM3" s="95" t="n"/>
      <c r="TTN3" s="95" t="n"/>
      <c r="TTO3" s="95" t="n"/>
      <c r="TTP3" s="95" t="n"/>
      <c r="TTQ3" s="95" t="n"/>
      <c r="TTR3" s="95" t="n"/>
      <c r="TTS3" s="95" t="n"/>
      <c r="TTT3" s="95" t="n"/>
      <c r="TTU3" s="95" t="n"/>
      <c r="TTV3" s="95" t="n"/>
      <c r="TTW3" s="95" t="n"/>
      <c r="TTX3" s="95" t="n"/>
      <c r="TTY3" s="95" t="n"/>
      <c r="TTZ3" s="95" t="n"/>
      <c r="TUA3" s="95" t="n"/>
      <c r="TUB3" s="95" t="n"/>
      <c r="TUC3" s="95" t="n"/>
      <c r="TUD3" s="95" t="n"/>
      <c r="TUE3" s="95" t="n"/>
      <c r="TUF3" s="95" t="n"/>
      <c r="TUG3" s="95" t="n"/>
      <c r="TUH3" s="95" t="n"/>
      <c r="TUI3" s="95" t="n"/>
      <c r="TUJ3" s="95" t="n"/>
      <c r="TUK3" s="95" t="n"/>
      <c r="TUL3" s="95" t="n"/>
      <c r="TUM3" s="95" t="n"/>
      <c r="TUN3" s="95" t="n"/>
      <c r="TUO3" s="95" t="n"/>
      <c r="TUP3" s="95" t="n"/>
      <c r="TUQ3" s="95" t="n"/>
      <c r="TUR3" s="95" t="n"/>
      <c r="TUS3" s="95" t="n"/>
      <c r="TUT3" s="95" t="n"/>
      <c r="TUU3" s="95" t="n"/>
      <c r="TUV3" s="95" t="n"/>
      <c r="TUW3" s="95" t="n"/>
      <c r="TUX3" s="95" t="n"/>
      <c r="TUY3" s="95" t="n"/>
      <c r="TUZ3" s="95" t="n"/>
      <c r="TVA3" s="95" t="n"/>
      <c r="TVB3" s="95" t="n"/>
      <c r="TVC3" s="95" t="n"/>
      <c r="TVD3" s="95" t="n"/>
      <c r="TVE3" s="95" t="n"/>
      <c r="TVF3" s="95" t="n"/>
      <c r="TVG3" s="95" t="n"/>
      <c r="TVH3" s="95" t="n"/>
      <c r="TVI3" s="95" t="n"/>
      <c r="TVJ3" s="95" t="n"/>
      <c r="TVK3" s="95" t="n"/>
      <c r="TVL3" s="95" t="n"/>
      <c r="TVM3" s="95" t="n"/>
      <c r="TVN3" s="95" t="n"/>
      <c r="TVO3" s="95" t="n"/>
      <c r="TVP3" s="95" t="n"/>
      <c r="TVQ3" s="95" t="n"/>
      <c r="TVR3" s="95" t="n"/>
      <c r="TVS3" s="95" t="n"/>
      <c r="TVT3" s="95" t="n"/>
      <c r="TVU3" s="95" t="n"/>
      <c r="TVV3" s="95" t="n"/>
      <c r="TVW3" s="95" t="n"/>
      <c r="TVX3" s="95" t="n"/>
      <c r="TVY3" s="95" t="n"/>
      <c r="TVZ3" s="95" t="n"/>
      <c r="TWA3" s="95" t="n"/>
      <c r="TWB3" s="95" t="n"/>
      <c r="TWC3" s="95" t="n"/>
      <c r="TWD3" s="95" t="n"/>
      <c r="TWE3" s="95" t="n"/>
      <c r="TWF3" s="95" t="n"/>
      <c r="TWG3" s="95" t="n"/>
      <c r="TWH3" s="95" t="n"/>
      <c r="TWI3" s="95" t="n"/>
      <c r="TWJ3" s="95" t="n"/>
      <c r="TWK3" s="95" t="n"/>
      <c r="TWL3" s="95" t="n"/>
      <c r="TWM3" s="95" t="n"/>
      <c r="TWN3" s="95" t="n"/>
      <c r="TWO3" s="95" t="n"/>
      <c r="TWP3" s="95" t="n"/>
      <c r="TWQ3" s="95" t="n"/>
      <c r="TWR3" s="95" t="n"/>
      <c r="TWS3" s="95" t="n"/>
      <c r="TWT3" s="95" t="n"/>
      <c r="TWU3" s="95" t="n"/>
      <c r="TWV3" s="95" t="n"/>
      <c r="TWW3" s="95" t="n"/>
      <c r="TWX3" s="95" t="n"/>
      <c r="TWY3" s="95" t="n"/>
      <c r="TWZ3" s="95" t="n"/>
      <c r="TXA3" s="95" t="n"/>
      <c r="TXB3" s="95" t="n"/>
      <c r="TXC3" s="95" t="n"/>
      <c r="TXD3" s="95" t="n"/>
      <c r="TXE3" s="95" t="n"/>
      <c r="TXF3" s="95" t="n"/>
      <c r="TXG3" s="95" t="n"/>
      <c r="TXH3" s="95" t="n"/>
      <c r="TXI3" s="95" t="n"/>
      <c r="TXJ3" s="95" t="n"/>
      <c r="TXK3" s="95" t="n"/>
      <c r="TXL3" s="95" t="n"/>
      <c r="TXM3" s="95" t="n"/>
      <c r="TXN3" s="95" t="n"/>
      <c r="TXO3" s="95" t="n"/>
      <c r="TXP3" s="95" t="n"/>
      <c r="TXQ3" s="95" t="n"/>
      <c r="TXR3" s="95" t="n"/>
      <c r="TXS3" s="95" t="n"/>
      <c r="TXT3" s="95" t="n"/>
      <c r="TXU3" s="95" t="n"/>
      <c r="TXV3" s="95" t="n"/>
      <c r="TXW3" s="95" t="n"/>
      <c r="TXX3" s="95" t="n"/>
      <c r="TXY3" s="95" t="n"/>
      <c r="TXZ3" s="95" t="n"/>
      <c r="TYA3" s="95" t="n"/>
      <c r="TYB3" s="95" t="n"/>
      <c r="TYC3" s="95" t="n"/>
      <c r="TYD3" s="95" t="n"/>
      <c r="TYE3" s="95" t="n"/>
      <c r="TYF3" s="95" t="n"/>
      <c r="TYG3" s="95" t="n"/>
      <c r="TYH3" s="95" t="n"/>
      <c r="TYI3" s="95" t="n"/>
      <c r="TYJ3" s="95" t="n"/>
      <c r="TYK3" s="95" t="n"/>
      <c r="TYL3" s="95" t="n"/>
      <c r="TYM3" s="95" t="n"/>
      <c r="TYN3" s="95" t="n"/>
      <c r="TYO3" s="95" t="n"/>
      <c r="TYP3" s="95" t="n"/>
      <c r="TYQ3" s="95" t="n"/>
      <c r="TYR3" s="95" t="n"/>
      <c r="TYS3" s="95" t="n"/>
      <c r="TYT3" s="95" t="n"/>
      <c r="TYU3" s="95" t="n"/>
      <c r="TYV3" s="95" t="n"/>
      <c r="TYW3" s="95" t="n"/>
      <c r="TYX3" s="95" t="n"/>
      <c r="TYY3" s="95" t="n"/>
      <c r="TYZ3" s="95" t="n"/>
      <c r="TZA3" s="95" t="n"/>
      <c r="TZB3" s="95" t="n"/>
      <c r="TZC3" s="95" t="n"/>
      <c r="TZD3" s="95" t="n"/>
      <c r="TZE3" s="95" t="n"/>
      <c r="TZF3" s="95" t="n"/>
      <c r="TZG3" s="95" t="n"/>
      <c r="TZH3" s="95" t="n"/>
      <c r="TZI3" s="95" t="n"/>
      <c r="TZJ3" s="95" t="n"/>
      <c r="TZK3" s="95" t="n"/>
      <c r="TZL3" s="95" t="n"/>
      <c r="TZM3" s="95" t="n"/>
      <c r="TZN3" s="95" t="n"/>
      <c r="TZO3" s="95" t="n"/>
      <c r="TZP3" s="95" t="n"/>
      <c r="TZQ3" s="95" t="n"/>
      <c r="TZR3" s="95" t="n"/>
      <c r="TZS3" s="95" t="n"/>
      <c r="TZT3" s="95" t="n"/>
      <c r="TZU3" s="95" t="n"/>
      <c r="TZV3" s="95" t="n"/>
      <c r="TZW3" s="95" t="n"/>
      <c r="TZX3" s="95" t="n"/>
      <c r="TZY3" s="95" t="n"/>
      <c r="TZZ3" s="95" t="n"/>
      <c r="UAA3" s="95" t="n"/>
      <c r="UAB3" s="95" t="n"/>
      <c r="UAC3" s="95" t="n"/>
      <c r="UAD3" s="95" t="n"/>
      <c r="UAE3" s="95" t="n"/>
      <c r="UAF3" s="95" t="n"/>
      <c r="UAG3" s="95" t="n"/>
      <c r="UAH3" s="95" t="n"/>
      <c r="UAI3" s="95" t="n"/>
      <c r="UAJ3" s="95" t="n"/>
      <c r="UAK3" s="95" t="n"/>
      <c r="UAL3" s="95" t="n"/>
      <c r="UAM3" s="95" t="n"/>
      <c r="UAN3" s="95" t="n"/>
      <c r="UAO3" s="95" t="n"/>
      <c r="UAP3" s="95" t="n"/>
      <c r="UAQ3" s="95" t="n"/>
      <c r="UAR3" s="95" t="n"/>
      <c r="UAS3" s="95" t="n"/>
      <c r="UAT3" s="95" t="n"/>
      <c r="UAU3" s="95" t="n"/>
      <c r="UAV3" s="95" t="n"/>
      <c r="UAW3" s="95" t="n"/>
      <c r="UAX3" s="95" t="n"/>
      <c r="UAY3" s="95" t="n"/>
      <c r="UAZ3" s="95" t="n"/>
      <c r="UBA3" s="95" t="n"/>
      <c r="UBB3" s="95" t="n"/>
      <c r="UBC3" s="95" t="n"/>
      <c r="UBD3" s="95" t="n"/>
      <c r="UBE3" s="95" t="n"/>
      <c r="UBF3" s="95" t="n"/>
      <c r="UBG3" s="95" t="n"/>
      <c r="UBH3" s="95" t="n"/>
      <c r="UBI3" s="95" t="n"/>
      <c r="UBJ3" s="95" t="n"/>
      <c r="UBK3" s="95" t="n"/>
      <c r="UBL3" s="95" t="n"/>
      <c r="UBM3" s="95" t="n"/>
      <c r="UBN3" s="95" t="n"/>
      <c r="UBO3" s="95" t="n"/>
      <c r="UBP3" s="95" t="n"/>
      <c r="UBQ3" s="95" t="n"/>
      <c r="UBR3" s="95" t="n"/>
      <c r="UBS3" s="95" t="n"/>
      <c r="UBT3" s="95" t="n"/>
      <c r="UBU3" s="95" t="n"/>
      <c r="UBV3" s="95" t="n"/>
      <c r="UBW3" s="95" t="n"/>
      <c r="UBX3" s="95" t="n"/>
      <c r="UBY3" s="95" t="n"/>
      <c r="UBZ3" s="95" t="n"/>
      <c r="UCA3" s="95" t="n"/>
      <c r="UCB3" s="95" t="n"/>
      <c r="UCC3" s="95" t="n"/>
      <c r="UCD3" s="95" t="n"/>
      <c r="UCE3" s="95" t="n"/>
      <c r="UCF3" s="95" t="n"/>
      <c r="UCG3" s="95" t="n"/>
      <c r="UCH3" s="95" t="n"/>
      <c r="UCI3" s="95" t="n"/>
      <c r="UCJ3" s="95" t="n"/>
      <c r="UCK3" s="95" t="n"/>
      <c r="UCL3" s="95" t="n"/>
      <c r="UCM3" s="95" t="n"/>
      <c r="UCN3" s="95" t="n"/>
      <c r="UCO3" s="95" t="n"/>
      <c r="UCP3" s="95" t="n"/>
      <c r="UCQ3" s="95" t="n"/>
      <c r="UCR3" s="95" t="n"/>
      <c r="UCS3" s="95" t="n"/>
      <c r="UCT3" s="95" t="n"/>
      <c r="UCU3" s="95" t="n"/>
      <c r="UCV3" s="95" t="n"/>
      <c r="UCW3" s="95" t="n"/>
      <c r="UCX3" s="95" t="n"/>
      <c r="UCY3" s="95" t="n"/>
      <c r="UCZ3" s="95" t="n"/>
      <c r="UDA3" s="95" t="n"/>
      <c r="UDB3" s="95" t="n"/>
      <c r="UDC3" s="95" t="n"/>
      <c r="UDD3" s="95" t="n"/>
      <c r="UDE3" s="95" t="n"/>
      <c r="UDF3" s="95" t="n"/>
      <c r="UDG3" s="95" t="n"/>
      <c r="UDH3" s="95" t="n"/>
      <c r="UDI3" s="95" t="n"/>
      <c r="UDJ3" s="95" t="n"/>
      <c r="UDK3" s="95" t="n"/>
      <c r="UDL3" s="95" t="n"/>
      <c r="UDM3" s="95" t="n"/>
      <c r="UDN3" s="95" t="n"/>
      <c r="UDO3" s="95" t="n"/>
      <c r="UDP3" s="95" t="n"/>
      <c r="UDQ3" s="95" t="n"/>
      <c r="UDR3" s="95" t="n"/>
      <c r="UDS3" s="95" t="n"/>
      <c r="UDT3" s="95" t="n"/>
      <c r="UDU3" s="95" t="n"/>
      <c r="UDV3" s="95" t="n"/>
      <c r="UDW3" s="95" t="n"/>
      <c r="UDX3" s="95" t="n"/>
      <c r="UDY3" s="95" t="n"/>
      <c r="UDZ3" s="95" t="n"/>
      <c r="UEA3" s="95" t="n"/>
      <c r="UEB3" s="95" t="n"/>
      <c r="UEC3" s="95" t="n"/>
      <c r="UED3" s="95" t="n"/>
      <c r="UEE3" s="95" t="n"/>
      <c r="UEF3" s="95" t="n"/>
      <c r="UEG3" s="95" t="n"/>
      <c r="UEH3" s="95" t="n"/>
      <c r="UEI3" s="95" t="n"/>
      <c r="UEJ3" s="95" t="n"/>
      <c r="UEK3" s="95" t="n"/>
      <c r="UEL3" s="95" t="n"/>
      <c r="UEM3" s="95" t="n"/>
      <c r="UEN3" s="95" t="n"/>
      <c r="UEO3" s="95" t="n"/>
      <c r="UEP3" s="95" t="n"/>
      <c r="UEQ3" s="95" t="n"/>
      <c r="UER3" s="95" t="n"/>
      <c r="UES3" s="95" t="n"/>
      <c r="UET3" s="95" t="n"/>
      <c r="UEU3" s="95" t="n"/>
      <c r="UEV3" s="95" t="n"/>
      <c r="UEW3" s="95" t="n"/>
      <c r="UEX3" s="95" t="n"/>
      <c r="UEY3" s="95" t="n"/>
      <c r="UEZ3" s="95" t="n"/>
      <c r="UFA3" s="95" t="n"/>
      <c r="UFB3" s="95" t="n"/>
      <c r="UFC3" s="95" t="n"/>
      <c r="UFD3" s="95" t="n"/>
      <c r="UFE3" s="95" t="n"/>
      <c r="UFF3" s="95" t="n"/>
      <c r="UFG3" s="95" t="n"/>
      <c r="UFH3" s="95" t="n"/>
      <c r="UFI3" s="95" t="n"/>
      <c r="UFJ3" s="95" t="n"/>
      <c r="UFK3" s="95" t="n"/>
      <c r="UFL3" s="95" t="n"/>
      <c r="UFM3" s="95" t="n"/>
      <c r="UFN3" s="95" t="n"/>
      <c r="UFO3" s="95" t="n"/>
      <c r="UFP3" s="95" t="n"/>
      <c r="UFQ3" s="95" t="n"/>
      <c r="UFR3" s="95" t="n"/>
      <c r="UFS3" s="95" t="n"/>
      <c r="UFT3" s="95" t="n"/>
      <c r="UFU3" s="95" t="n"/>
      <c r="UFV3" s="95" t="n"/>
      <c r="UFW3" s="95" t="n"/>
      <c r="UFX3" s="95" t="n"/>
      <c r="UFY3" s="95" t="n"/>
      <c r="UFZ3" s="95" t="n"/>
      <c r="UGA3" s="95" t="n"/>
      <c r="UGB3" s="95" t="n"/>
      <c r="UGC3" s="95" t="n"/>
      <c r="UGD3" s="95" t="n"/>
      <c r="UGE3" s="95" t="n"/>
      <c r="UGF3" s="95" t="n"/>
      <c r="UGG3" s="95" t="n"/>
      <c r="UGH3" s="95" t="n"/>
      <c r="UGI3" s="95" t="n"/>
      <c r="UGJ3" s="95" t="n"/>
      <c r="UGK3" s="95" t="n"/>
      <c r="UGL3" s="95" t="n"/>
      <c r="UGM3" s="95" t="n"/>
      <c r="UGN3" s="95" t="n"/>
      <c r="UGO3" s="95" t="n"/>
      <c r="UGP3" s="95" t="n"/>
      <c r="UGQ3" s="95" t="n"/>
      <c r="UGR3" s="95" t="n"/>
      <c r="UGS3" s="95" t="n"/>
      <c r="UGT3" s="95" t="n"/>
      <c r="UGU3" s="95" t="n"/>
      <c r="UGV3" s="95" t="n"/>
      <c r="UGW3" s="95" t="n"/>
      <c r="UGX3" s="95" t="n"/>
      <c r="UGY3" s="95" t="n"/>
      <c r="UGZ3" s="95" t="n"/>
      <c r="UHA3" s="95" t="n"/>
      <c r="UHB3" s="95" t="n"/>
      <c r="UHC3" s="95" t="n"/>
      <c r="UHD3" s="95" t="n"/>
      <c r="UHE3" s="95" t="n"/>
      <c r="UHF3" s="95" t="n"/>
      <c r="UHG3" s="95" t="n"/>
      <c r="UHH3" s="95" t="n"/>
      <c r="UHI3" s="95" t="n"/>
      <c r="UHJ3" s="95" t="n"/>
      <c r="UHK3" s="95" t="n"/>
      <c r="UHL3" s="95" t="n"/>
      <c r="UHM3" s="95" t="n"/>
      <c r="UHN3" s="95" t="n"/>
      <c r="UHO3" s="95" t="n"/>
      <c r="UHP3" s="95" t="n"/>
      <c r="UHQ3" s="95" t="n"/>
      <c r="UHR3" s="95" t="n"/>
      <c r="UHS3" s="95" t="n"/>
      <c r="UHT3" s="95" t="n"/>
      <c r="UHU3" s="95" t="n"/>
      <c r="UHV3" s="95" t="n"/>
      <c r="UHW3" s="95" t="n"/>
      <c r="UHX3" s="95" t="n"/>
      <c r="UHY3" s="95" t="n"/>
      <c r="UHZ3" s="95" t="n"/>
      <c r="UIA3" s="95" t="n"/>
      <c r="UIB3" s="95" t="n"/>
      <c r="UIC3" s="95" t="n"/>
      <c r="UID3" s="95" t="n"/>
      <c r="UIE3" s="95" t="n"/>
      <c r="UIF3" s="95" t="n"/>
      <c r="UIG3" s="95" t="n"/>
      <c r="UIH3" s="95" t="n"/>
      <c r="UII3" s="95" t="n"/>
      <c r="UIJ3" s="95" t="n"/>
      <c r="UIK3" s="95" t="n"/>
      <c r="UIL3" s="95" t="n"/>
      <c r="UIM3" s="95" t="n"/>
      <c r="UIN3" s="95" t="n"/>
      <c r="UIO3" s="95" t="n"/>
      <c r="UIP3" s="95" t="n"/>
      <c r="UIQ3" s="95" t="n"/>
      <c r="UIR3" s="95" t="n"/>
      <c r="UIS3" s="95" t="n"/>
      <c r="UIT3" s="95" t="n"/>
      <c r="UIU3" s="95" t="n"/>
      <c r="UIV3" s="95" t="n"/>
      <c r="UIW3" s="95" t="n"/>
      <c r="UIX3" s="95" t="n"/>
      <c r="UIY3" s="95" t="n"/>
      <c r="UIZ3" s="95" t="n"/>
      <c r="UJA3" s="95" t="n"/>
      <c r="UJB3" s="95" t="n"/>
      <c r="UJC3" s="95" t="n"/>
      <c r="UJD3" s="95" t="n"/>
      <c r="UJE3" s="95" t="n"/>
      <c r="UJF3" s="95" t="n"/>
      <c r="UJG3" s="95" t="n"/>
      <c r="UJH3" s="95" t="n"/>
      <c r="UJI3" s="95" t="n"/>
      <c r="UJJ3" s="95" t="n"/>
      <c r="UJK3" s="95" t="n"/>
      <c r="UJL3" s="95" t="n"/>
      <c r="UJM3" s="95" t="n"/>
      <c r="UJN3" s="95" t="n"/>
      <c r="UJO3" s="95" t="n"/>
      <c r="UJP3" s="95" t="n"/>
      <c r="UJQ3" s="95" t="n"/>
      <c r="UJR3" s="95" t="n"/>
      <c r="UJS3" s="95" t="n"/>
      <c r="UJT3" s="95" t="n"/>
      <c r="UJU3" s="95" t="n"/>
      <c r="UJV3" s="95" t="n"/>
      <c r="UJW3" s="95" t="n"/>
      <c r="UJX3" s="95" t="n"/>
      <c r="UJY3" s="95" t="n"/>
      <c r="UJZ3" s="95" t="n"/>
      <c r="UKA3" s="95" t="n"/>
      <c r="UKB3" s="95" t="n"/>
      <c r="UKC3" s="95" t="n"/>
      <c r="UKD3" s="95" t="n"/>
      <c r="UKE3" s="95" t="n"/>
      <c r="UKF3" s="95" t="n"/>
      <c r="UKG3" s="95" t="n"/>
      <c r="UKH3" s="95" t="n"/>
      <c r="UKI3" s="95" t="n"/>
      <c r="UKJ3" s="95" t="n"/>
      <c r="UKK3" s="95" t="n"/>
      <c r="UKL3" s="95" t="n"/>
      <c r="UKM3" s="95" t="n"/>
      <c r="UKN3" s="95" t="n"/>
      <c r="UKO3" s="95" t="n"/>
      <c r="UKP3" s="95" t="n"/>
      <c r="UKQ3" s="95" t="n"/>
      <c r="UKR3" s="95" t="n"/>
      <c r="UKS3" s="95" t="n"/>
      <c r="UKT3" s="95" t="n"/>
      <c r="UKU3" s="95" t="n"/>
      <c r="UKV3" s="95" t="n"/>
      <c r="UKW3" s="95" t="n"/>
      <c r="UKX3" s="95" t="n"/>
      <c r="UKY3" s="95" t="n"/>
      <c r="UKZ3" s="95" t="n"/>
      <c r="ULA3" s="95" t="n"/>
      <c r="ULB3" s="95" t="n"/>
      <c r="ULC3" s="95" t="n"/>
      <c r="ULD3" s="95" t="n"/>
      <c r="ULE3" s="95" t="n"/>
      <c r="ULF3" s="95" t="n"/>
      <c r="ULG3" s="95" t="n"/>
      <c r="ULH3" s="95" t="n"/>
      <c r="ULI3" s="95" t="n"/>
      <c r="ULJ3" s="95" t="n"/>
      <c r="ULK3" s="95" t="n"/>
      <c r="ULL3" s="95" t="n"/>
      <c r="ULM3" s="95" t="n"/>
      <c r="ULN3" s="95" t="n"/>
      <c r="ULO3" s="95" t="n"/>
      <c r="ULP3" s="95" t="n"/>
      <c r="ULQ3" s="95" t="n"/>
      <c r="ULR3" s="95" t="n"/>
      <c r="ULS3" s="95" t="n"/>
      <c r="ULT3" s="95" t="n"/>
      <c r="ULU3" s="95" t="n"/>
      <c r="ULV3" s="95" t="n"/>
      <c r="ULW3" s="95" t="n"/>
      <c r="ULX3" s="95" t="n"/>
      <c r="ULY3" s="95" t="n"/>
      <c r="ULZ3" s="95" t="n"/>
      <c r="UMA3" s="95" t="n"/>
      <c r="UMB3" s="95" t="n"/>
      <c r="UMC3" s="95" t="n"/>
      <c r="UMD3" s="95" t="n"/>
      <c r="UME3" s="95" t="n"/>
      <c r="UMF3" s="95" t="n"/>
      <c r="UMG3" s="95" t="n"/>
      <c r="UMH3" s="95" t="n"/>
      <c r="UMI3" s="95" t="n"/>
      <c r="UMJ3" s="95" t="n"/>
      <c r="UMK3" s="95" t="n"/>
      <c r="UML3" s="95" t="n"/>
      <c r="UMM3" s="95" t="n"/>
      <c r="UMN3" s="95" t="n"/>
      <c r="UMO3" s="95" t="n"/>
      <c r="UMP3" s="95" t="n"/>
      <c r="UMQ3" s="95" t="n"/>
      <c r="UMR3" s="95" t="n"/>
      <c r="UMS3" s="95" t="n"/>
      <c r="UMT3" s="95" t="n"/>
      <c r="UMU3" s="95" t="n"/>
      <c r="UMV3" s="95" t="n"/>
      <c r="UMW3" s="95" t="n"/>
      <c r="UMX3" s="95" t="n"/>
      <c r="UMY3" s="95" t="n"/>
      <c r="UMZ3" s="95" t="n"/>
      <c r="UNA3" s="95" t="n"/>
      <c r="UNB3" s="95" t="n"/>
      <c r="UNC3" s="95" t="n"/>
      <c r="UND3" s="95" t="n"/>
      <c r="UNE3" s="95" t="n"/>
      <c r="UNF3" s="95" t="n"/>
      <c r="UNG3" s="95" t="n"/>
      <c r="UNH3" s="95" t="n"/>
      <c r="UNI3" s="95" t="n"/>
      <c r="UNJ3" s="95" t="n"/>
      <c r="UNK3" s="95" t="n"/>
      <c r="UNL3" s="95" t="n"/>
      <c r="UNM3" s="95" t="n"/>
      <c r="UNN3" s="95" t="n"/>
      <c r="UNO3" s="95" t="n"/>
      <c r="UNP3" s="95" t="n"/>
      <c r="UNQ3" s="95" t="n"/>
      <c r="UNR3" s="95" t="n"/>
      <c r="UNS3" s="95" t="n"/>
      <c r="UNT3" s="95" t="n"/>
      <c r="UNU3" s="95" t="n"/>
      <c r="UNV3" s="95" t="n"/>
      <c r="UNW3" s="95" t="n"/>
      <c r="UNX3" s="95" t="n"/>
      <c r="UNY3" s="95" t="n"/>
      <c r="UNZ3" s="95" t="n"/>
      <c r="UOA3" s="95" t="n"/>
      <c r="UOB3" s="95" t="n"/>
      <c r="UOC3" s="95" t="n"/>
      <c r="UOD3" s="95" t="n"/>
      <c r="UOE3" s="95" t="n"/>
      <c r="UOF3" s="95" t="n"/>
      <c r="UOG3" s="95" t="n"/>
      <c r="UOH3" s="95" t="n"/>
      <c r="UOI3" s="95" t="n"/>
      <c r="UOJ3" s="95" t="n"/>
      <c r="UOK3" s="95" t="n"/>
      <c r="UOL3" s="95" t="n"/>
      <c r="UOM3" s="95" t="n"/>
      <c r="UON3" s="95" t="n"/>
      <c r="UOO3" s="95" t="n"/>
      <c r="UOP3" s="95" t="n"/>
      <c r="UOQ3" s="95" t="n"/>
      <c r="UOR3" s="95" t="n"/>
      <c r="UOS3" s="95" t="n"/>
      <c r="UOT3" s="95" t="n"/>
      <c r="UOU3" s="95" t="n"/>
      <c r="UOV3" s="95" t="n"/>
      <c r="UOW3" s="95" t="n"/>
      <c r="UOX3" s="95" t="n"/>
      <c r="UOY3" s="95" t="n"/>
      <c r="UOZ3" s="95" t="n"/>
      <c r="UPA3" s="95" t="n"/>
      <c r="UPB3" s="95" t="n"/>
      <c r="UPC3" s="95" t="n"/>
      <c r="UPD3" s="95" t="n"/>
      <c r="UPE3" s="95" t="n"/>
      <c r="UPF3" s="95" t="n"/>
      <c r="UPG3" s="95" t="n"/>
      <c r="UPH3" s="95" t="n"/>
      <c r="UPI3" s="95" t="n"/>
      <c r="UPJ3" s="95" t="n"/>
      <c r="UPK3" s="95" t="n"/>
      <c r="UPL3" s="95" t="n"/>
      <c r="UPM3" s="95" t="n"/>
      <c r="UPN3" s="95" t="n"/>
      <c r="UPO3" s="95" t="n"/>
      <c r="UPP3" s="95" t="n"/>
      <c r="UPQ3" s="95" t="n"/>
      <c r="UPR3" s="95" t="n"/>
      <c r="UPS3" s="95" t="n"/>
      <c r="UPT3" s="95" t="n"/>
      <c r="UPU3" s="95" t="n"/>
      <c r="UPV3" s="95" t="n"/>
      <c r="UPW3" s="95" t="n"/>
      <c r="UPX3" s="95" t="n"/>
      <c r="UPY3" s="95" t="n"/>
      <c r="UPZ3" s="95" t="n"/>
      <c r="UQA3" s="95" t="n"/>
      <c r="UQB3" s="95" t="n"/>
      <c r="UQC3" s="95" t="n"/>
      <c r="UQD3" s="95" t="n"/>
      <c r="UQE3" s="95" t="n"/>
      <c r="UQF3" s="95" t="n"/>
      <c r="UQG3" s="95" t="n"/>
      <c r="UQH3" s="95" t="n"/>
      <c r="UQI3" s="95" t="n"/>
      <c r="UQJ3" s="95" t="n"/>
      <c r="UQK3" s="95" t="n"/>
      <c r="UQL3" s="95" t="n"/>
      <c r="UQM3" s="95" t="n"/>
      <c r="UQN3" s="95" t="n"/>
      <c r="UQO3" s="95" t="n"/>
      <c r="UQP3" s="95" t="n"/>
      <c r="UQQ3" s="95" t="n"/>
      <c r="UQR3" s="95" t="n"/>
      <c r="UQS3" s="95" t="n"/>
      <c r="UQT3" s="95" t="n"/>
      <c r="UQU3" s="95" t="n"/>
      <c r="UQV3" s="95" t="n"/>
      <c r="UQW3" s="95" t="n"/>
      <c r="UQX3" s="95" t="n"/>
      <c r="UQY3" s="95" t="n"/>
      <c r="UQZ3" s="95" t="n"/>
      <c r="URA3" s="95" t="n"/>
      <c r="URB3" s="95" t="n"/>
      <c r="URC3" s="95" t="n"/>
      <c r="URD3" s="95" t="n"/>
      <c r="URE3" s="95" t="n"/>
      <c r="URF3" s="95" t="n"/>
      <c r="URG3" s="95" t="n"/>
      <c r="URH3" s="95" t="n"/>
      <c r="URI3" s="95" t="n"/>
      <c r="URJ3" s="95" t="n"/>
      <c r="URK3" s="95" t="n"/>
      <c r="URL3" s="95" t="n"/>
      <c r="URM3" s="95" t="n"/>
      <c r="URN3" s="95" t="n"/>
      <c r="URO3" s="95" t="n"/>
      <c r="URP3" s="95" t="n"/>
      <c r="URQ3" s="95" t="n"/>
      <c r="URR3" s="95" t="n"/>
      <c r="URS3" s="95" t="n"/>
      <c r="URT3" s="95" t="n"/>
      <c r="URU3" s="95" t="n"/>
      <c r="URV3" s="95" t="n"/>
      <c r="URW3" s="95" t="n"/>
      <c r="URX3" s="95" t="n"/>
      <c r="URY3" s="95" t="n"/>
      <c r="URZ3" s="95" t="n"/>
      <c r="USA3" s="95" t="n"/>
      <c r="USB3" s="95" t="n"/>
      <c r="USC3" s="95" t="n"/>
      <c r="USD3" s="95" t="n"/>
      <c r="USE3" s="95" t="n"/>
      <c r="USF3" s="95" t="n"/>
      <c r="USG3" s="95" t="n"/>
      <c r="USH3" s="95" t="n"/>
      <c r="USI3" s="95" t="n"/>
      <c r="USJ3" s="95" t="n"/>
      <c r="USK3" s="95" t="n"/>
      <c r="USL3" s="95" t="n"/>
      <c r="USM3" s="95" t="n"/>
      <c r="USN3" s="95" t="n"/>
      <c r="USO3" s="95" t="n"/>
      <c r="USP3" s="95" t="n"/>
      <c r="USQ3" s="95" t="n"/>
      <c r="USR3" s="95" t="n"/>
      <c r="USS3" s="95" t="n"/>
      <c r="UST3" s="95" t="n"/>
      <c r="USU3" s="95" t="n"/>
      <c r="USV3" s="95" t="n"/>
      <c r="USW3" s="95" t="n"/>
      <c r="USX3" s="95" t="n"/>
      <c r="USY3" s="95" t="n"/>
      <c r="USZ3" s="95" t="n"/>
      <c r="UTA3" s="95" t="n"/>
      <c r="UTB3" s="95" t="n"/>
      <c r="UTC3" s="95" t="n"/>
      <c r="UTD3" s="95" t="n"/>
      <c r="UTE3" s="95" t="n"/>
      <c r="UTF3" s="95" t="n"/>
      <c r="UTG3" s="95" t="n"/>
      <c r="UTH3" s="95" t="n"/>
      <c r="UTI3" s="95" t="n"/>
      <c r="UTJ3" s="95" t="n"/>
      <c r="UTK3" s="95" t="n"/>
      <c r="UTL3" s="95" t="n"/>
      <c r="UTM3" s="95" t="n"/>
      <c r="UTN3" s="95" t="n"/>
      <c r="UTO3" s="95" t="n"/>
      <c r="UTP3" s="95" t="n"/>
      <c r="UTQ3" s="95" t="n"/>
      <c r="UTR3" s="95" t="n"/>
      <c r="UTS3" s="95" t="n"/>
      <c r="UTT3" s="95" t="n"/>
      <c r="UTU3" s="95" t="n"/>
      <c r="UTV3" s="95" t="n"/>
      <c r="UTW3" s="95" t="n"/>
      <c r="UTX3" s="95" t="n"/>
      <c r="UTY3" s="95" t="n"/>
      <c r="UTZ3" s="95" t="n"/>
      <c r="UUA3" s="95" t="n"/>
      <c r="UUB3" s="95" t="n"/>
      <c r="UUC3" s="95" t="n"/>
      <c r="UUD3" s="95" t="n"/>
      <c r="UUE3" s="95" t="n"/>
      <c r="UUF3" s="95" t="n"/>
      <c r="UUG3" s="95" t="n"/>
      <c r="UUH3" s="95" t="n"/>
      <c r="UUI3" s="95" t="n"/>
      <c r="UUJ3" s="95" t="n"/>
      <c r="UUK3" s="95" t="n"/>
      <c r="UUL3" s="95" t="n"/>
      <c r="UUM3" s="95" t="n"/>
      <c r="UUN3" s="95" t="n"/>
      <c r="UUO3" s="95" t="n"/>
      <c r="UUP3" s="95" t="n"/>
      <c r="UUQ3" s="95" t="n"/>
      <c r="UUR3" s="95" t="n"/>
      <c r="UUS3" s="95" t="n"/>
      <c r="UUT3" s="95" t="n"/>
      <c r="UUU3" s="95" t="n"/>
      <c r="UUV3" s="95" t="n"/>
      <c r="UUW3" s="95" t="n"/>
      <c r="UUX3" s="95" t="n"/>
      <c r="UUY3" s="95" t="n"/>
      <c r="UUZ3" s="95" t="n"/>
      <c r="UVA3" s="95" t="n"/>
      <c r="UVB3" s="95" t="n"/>
      <c r="UVC3" s="95" t="n"/>
      <c r="UVD3" s="95" t="n"/>
      <c r="UVE3" s="95" t="n"/>
      <c r="UVF3" s="95" t="n"/>
      <c r="UVG3" s="95" t="n"/>
      <c r="UVH3" s="95" t="n"/>
      <c r="UVI3" s="95" t="n"/>
      <c r="UVJ3" s="95" t="n"/>
      <c r="UVK3" s="95" t="n"/>
      <c r="UVL3" s="95" t="n"/>
      <c r="UVM3" s="95" t="n"/>
      <c r="UVN3" s="95" t="n"/>
      <c r="UVO3" s="95" t="n"/>
      <c r="UVP3" s="95" t="n"/>
      <c r="UVQ3" s="95" t="n"/>
      <c r="UVR3" s="95" t="n"/>
      <c r="UVS3" s="95" t="n"/>
      <c r="UVT3" s="95" t="n"/>
      <c r="UVU3" s="95" t="n"/>
      <c r="UVV3" s="95" t="n"/>
      <c r="UVW3" s="95" t="n"/>
      <c r="UVX3" s="95" t="n"/>
      <c r="UVY3" s="95" t="n"/>
      <c r="UVZ3" s="95" t="n"/>
      <c r="UWA3" s="95" t="n"/>
      <c r="UWB3" s="95" t="n"/>
      <c r="UWC3" s="95" t="n"/>
      <c r="UWD3" s="95" t="n"/>
      <c r="UWE3" s="95" t="n"/>
      <c r="UWF3" s="95" t="n"/>
      <c r="UWG3" s="95" t="n"/>
      <c r="UWH3" s="95" t="n"/>
      <c r="UWI3" s="95" t="n"/>
      <c r="UWJ3" s="95" t="n"/>
      <c r="UWK3" s="95" t="n"/>
      <c r="UWL3" s="95" t="n"/>
      <c r="UWM3" s="95" t="n"/>
      <c r="UWN3" s="95" t="n"/>
      <c r="UWO3" s="95" t="n"/>
      <c r="UWP3" s="95" t="n"/>
      <c r="UWQ3" s="95" t="n"/>
      <c r="UWR3" s="95" t="n"/>
      <c r="UWS3" s="95" t="n"/>
      <c r="UWT3" s="95" t="n"/>
      <c r="UWU3" s="95" t="n"/>
      <c r="UWV3" s="95" t="n"/>
      <c r="UWW3" s="95" t="n"/>
      <c r="UWX3" s="95" t="n"/>
      <c r="UWY3" s="95" t="n"/>
      <c r="UWZ3" s="95" t="n"/>
      <c r="UXA3" s="95" t="n"/>
      <c r="UXB3" s="95" t="n"/>
      <c r="UXC3" s="95" t="n"/>
      <c r="UXD3" s="95" t="n"/>
      <c r="UXE3" s="95" t="n"/>
      <c r="UXF3" s="95" t="n"/>
      <c r="UXG3" s="95" t="n"/>
      <c r="UXH3" s="95" t="n"/>
      <c r="UXI3" s="95" t="n"/>
      <c r="UXJ3" s="95" t="n"/>
      <c r="UXK3" s="95" t="n"/>
      <c r="UXL3" s="95" t="n"/>
      <c r="UXM3" s="95" t="n"/>
      <c r="UXN3" s="95" t="n"/>
      <c r="UXO3" s="95" t="n"/>
      <c r="UXP3" s="95" t="n"/>
      <c r="UXQ3" s="95" t="n"/>
      <c r="UXR3" s="95" t="n"/>
      <c r="UXS3" s="95" t="n"/>
      <c r="UXT3" s="95" t="n"/>
      <c r="UXU3" s="95" t="n"/>
      <c r="UXV3" s="95" t="n"/>
      <c r="UXW3" s="95" t="n"/>
      <c r="UXX3" s="95" t="n"/>
      <c r="UXY3" s="95" t="n"/>
      <c r="UXZ3" s="95" t="n"/>
      <c r="UYA3" s="95" t="n"/>
      <c r="UYB3" s="95" t="n"/>
      <c r="UYC3" s="95" t="n"/>
      <c r="UYD3" s="95" t="n"/>
      <c r="UYE3" s="95" t="n"/>
      <c r="UYF3" s="95" t="n"/>
      <c r="UYG3" s="95" t="n"/>
      <c r="UYH3" s="95" t="n"/>
      <c r="UYI3" s="95" t="n"/>
      <c r="UYJ3" s="95" t="n"/>
      <c r="UYK3" s="95" t="n"/>
      <c r="UYL3" s="95" t="n"/>
      <c r="UYM3" s="95" t="n"/>
      <c r="UYN3" s="95" t="n"/>
      <c r="UYO3" s="95" t="n"/>
      <c r="UYP3" s="95" t="n"/>
      <c r="UYQ3" s="95" t="n"/>
      <c r="UYR3" s="95" t="n"/>
      <c r="UYS3" s="95" t="n"/>
      <c r="UYT3" s="95" t="n"/>
      <c r="UYU3" s="95" t="n"/>
      <c r="UYV3" s="95" t="n"/>
      <c r="UYW3" s="95" t="n"/>
      <c r="UYX3" s="95" t="n"/>
      <c r="UYY3" s="95" t="n"/>
      <c r="UYZ3" s="95" t="n"/>
      <c r="UZA3" s="95" t="n"/>
      <c r="UZB3" s="95" t="n"/>
      <c r="UZC3" s="95" t="n"/>
      <c r="UZD3" s="95" t="n"/>
      <c r="UZE3" s="95" t="n"/>
      <c r="UZF3" s="95" t="n"/>
      <c r="UZG3" s="95" t="n"/>
      <c r="UZH3" s="95" t="n"/>
      <c r="UZI3" s="95" t="n"/>
      <c r="UZJ3" s="95" t="n"/>
      <c r="UZK3" s="95" t="n"/>
      <c r="UZL3" s="95" t="n"/>
      <c r="UZM3" s="95" t="n"/>
      <c r="UZN3" s="95" t="n"/>
      <c r="UZO3" s="95" t="n"/>
      <c r="UZP3" s="95" t="n"/>
      <c r="UZQ3" s="95" t="n"/>
      <c r="UZR3" s="95" t="n"/>
      <c r="UZS3" s="95" t="n"/>
      <c r="UZT3" s="95" t="n"/>
      <c r="UZU3" s="95" t="n"/>
      <c r="UZV3" s="95" t="n"/>
      <c r="UZW3" s="95" t="n"/>
      <c r="UZX3" s="95" t="n"/>
      <c r="UZY3" s="95" t="n"/>
      <c r="UZZ3" s="95" t="n"/>
      <c r="VAA3" s="95" t="n"/>
      <c r="VAB3" s="95" t="n"/>
      <c r="VAC3" s="95" t="n"/>
      <c r="VAD3" s="95" t="n"/>
      <c r="VAE3" s="95" t="n"/>
      <c r="VAF3" s="95" t="n"/>
      <c r="VAG3" s="95" t="n"/>
      <c r="VAH3" s="95" t="n"/>
      <c r="VAI3" s="95" t="n"/>
      <c r="VAJ3" s="95" t="n"/>
      <c r="VAK3" s="95" t="n"/>
      <c r="VAL3" s="95" t="n"/>
      <c r="VAM3" s="95" t="n"/>
      <c r="VAN3" s="95" t="n"/>
      <c r="VAO3" s="95" t="n"/>
      <c r="VAP3" s="95" t="n"/>
      <c r="VAQ3" s="95" t="n"/>
      <c r="VAR3" s="95" t="n"/>
      <c r="VAS3" s="95" t="n"/>
      <c r="VAT3" s="95" t="n"/>
      <c r="VAU3" s="95" t="n"/>
      <c r="VAV3" s="95" t="n"/>
      <c r="VAW3" s="95" t="n"/>
      <c r="VAX3" s="95" t="n"/>
      <c r="VAY3" s="95" t="n"/>
      <c r="VAZ3" s="95" t="n"/>
      <c r="VBA3" s="95" t="n"/>
      <c r="VBB3" s="95" t="n"/>
      <c r="VBC3" s="95" t="n"/>
      <c r="VBD3" s="95" t="n"/>
      <c r="VBE3" s="95" t="n"/>
      <c r="VBF3" s="95" t="n"/>
      <c r="VBG3" s="95" t="n"/>
      <c r="VBH3" s="95" t="n"/>
      <c r="VBI3" s="95" t="n"/>
      <c r="VBJ3" s="95" t="n"/>
      <c r="VBK3" s="95" t="n"/>
      <c r="VBL3" s="95" t="n"/>
      <c r="VBM3" s="95" t="n"/>
      <c r="VBN3" s="95" t="n"/>
      <c r="VBO3" s="95" t="n"/>
      <c r="VBP3" s="95" t="n"/>
      <c r="VBQ3" s="95" t="n"/>
      <c r="VBR3" s="95" t="n"/>
      <c r="VBS3" s="95" t="n"/>
      <c r="VBT3" s="95" t="n"/>
      <c r="VBU3" s="95" t="n"/>
      <c r="VBV3" s="95" t="n"/>
      <c r="VBW3" s="95" t="n"/>
      <c r="VBX3" s="95" t="n"/>
      <c r="VBY3" s="95" t="n"/>
      <c r="VBZ3" s="95" t="n"/>
      <c r="VCA3" s="95" t="n"/>
      <c r="VCB3" s="95" t="n"/>
      <c r="VCC3" s="95" t="n"/>
      <c r="VCD3" s="95" t="n"/>
      <c r="VCE3" s="95" t="n"/>
      <c r="VCF3" s="95" t="n"/>
      <c r="VCG3" s="95" t="n"/>
      <c r="VCH3" s="95" t="n"/>
      <c r="VCI3" s="95" t="n"/>
      <c r="VCJ3" s="95" t="n"/>
      <c r="VCK3" s="95" t="n"/>
      <c r="VCL3" s="95" t="n"/>
      <c r="VCM3" s="95" t="n"/>
      <c r="VCN3" s="95" t="n"/>
      <c r="VCO3" s="95" t="n"/>
      <c r="VCP3" s="95" t="n"/>
      <c r="VCQ3" s="95" t="n"/>
      <c r="VCR3" s="95" t="n"/>
      <c r="VCS3" s="95" t="n"/>
      <c r="VCT3" s="95" t="n"/>
      <c r="VCU3" s="95" t="n"/>
      <c r="VCV3" s="95" t="n"/>
      <c r="VCW3" s="95" t="n"/>
      <c r="VCX3" s="95" t="n"/>
      <c r="VCY3" s="95" t="n"/>
      <c r="VCZ3" s="95" t="n"/>
      <c r="VDA3" s="95" t="n"/>
      <c r="VDB3" s="95" t="n"/>
      <c r="VDC3" s="95" t="n"/>
      <c r="VDD3" s="95" t="n"/>
      <c r="VDE3" s="95" t="n"/>
      <c r="VDF3" s="95" t="n"/>
      <c r="VDG3" s="95" t="n"/>
      <c r="VDH3" s="95" t="n"/>
      <c r="VDI3" s="95" t="n"/>
      <c r="VDJ3" s="95" t="n"/>
      <c r="VDK3" s="95" t="n"/>
      <c r="VDL3" s="95" t="n"/>
      <c r="VDM3" s="95" t="n"/>
      <c r="VDN3" s="95" t="n"/>
      <c r="VDO3" s="95" t="n"/>
      <c r="VDP3" s="95" t="n"/>
      <c r="VDQ3" s="95" t="n"/>
      <c r="VDR3" s="95" t="n"/>
      <c r="VDS3" s="95" t="n"/>
      <c r="VDT3" s="95" t="n"/>
      <c r="VDU3" s="95" t="n"/>
      <c r="VDV3" s="95" t="n"/>
      <c r="VDW3" s="95" t="n"/>
      <c r="VDX3" s="95" t="n"/>
      <c r="VDY3" s="95" t="n"/>
      <c r="VDZ3" s="95" t="n"/>
      <c r="VEA3" s="95" t="n"/>
      <c r="VEB3" s="95" t="n"/>
      <c r="VEC3" s="95" t="n"/>
      <c r="VED3" s="95" t="n"/>
      <c r="VEE3" s="95" t="n"/>
      <c r="VEF3" s="95" t="n"/>
      <c r="VEG3" s="95" t="n"/>
      <c r="VEH3" s="95" t="n"/>
      <c r="VEI3" s="95" t="n"/>
      <c r="VEJ3" s="95" t="n"/>
      <c r="VEK3" s="95" t="n"/>
      <c r="VEL3" s="95" t="n"/>
      <c r="VEM3" s="95" t="n"/>
      <c r="VEN3" s="95" t="n"/>
      <c r="VEO3" s="95" t="n"/>
      <c r="VEP3" s="95" t="n"/>
      <c r="VEQ3" s="95" t="n"/>
      <c r="VER3" s="95" t="n"/>
      <c r="VES3" s="95" t="n"/>
      <c r="VET3" s="95" t="n"/>
      <c r="VEU3" s="95" t="n"/>
      <c r="VEV3" s="95" t="n"/>
      <c r="VEW3" s="95" t="n"/>
      <c r="VEX3" s="95" t="n"/>
      <c r="VEY3" s="95" t="n"/>
      <c r="VEZ3" s="95" t="n"/>
      <c r="VFA3" s="95" t="n"/>
      <c r="VFB3" s="95" t="n"/>
      <c r="VFC3" s="95" t="n"/>
      <c r="VFD3" s="95" t="n"/>
      <c r="VFE3" s="95" t="n"/>
      <c r="VFF3" s="95" t="n"/>
      <c r="VFG3" s="95" t="n"/>
      <c r="VFH3" s="95" t="n"/>
      <c r="VFI3" s="95" t="n"/>
      <c r="VFJ3" s="95" t="n"/>
      <c r="VFK3" s="95" t="n"/>
      <c r="VFL3" s="95" t="n"/>
      <c r="VFM3" s="95" t="n"/>
      <c r="VFN3" s="95" t="n"/>
      <c r="VFO3" s="95" t="n"/>
      <c r="VFP3" s="95" t="n"/>
      <c r="VFQ3" s="95" t="n"/>
      <c r="VFR3" s="95" t="n"/>
      <c r="VFS3" s="95" t="n"/>
      <c r="VFT3" s="95" t="n"/>
      <c r="VFU3" s="95" t="n"/>
      <c r="VFV3" s="95" t="n"/>
      <c r="VFW3" s="95" t="n"/>
      <c r="VFX3" s="95" t="n"/>
      <c r="VFY3" s="95" t="n"/>
      <c r="VFZ3" s="95" t="n"/>
      <c r="VGA3" s="95" t="n"/>
      <c r="VGB3" s="95" t="n"/>
      <c r="VGC3" s="95" t="n"/>
      <c r="VGD3" s="95" t="n"/>
      <c r="VGE3" s="95" t="n"/>
      <c r="VGF3" s="95" t="n"/>
      <c r="VGG3" s="95" t="n"/>
      <c r="VGH3" s="95" t="n"/>
      <c r="VGI3" s="95" t="n"/>
      <c r="VGJ3" s="95" t="n"/>
      <c r="VGK3" s="95" t="n"/>
      <c r="VGL3" s="95" t="n"/>
      <c r="VGM3" s="95" t="n"/>
      <c r="VGN3" s="95" t="n"/>
      <c r="VGO3" s="95" t="n"/>
      <c r="VGP3" s="95" t="n"/>
      <c r="VGQ3" s="95" t="n"/>
      <c r="VGR3" s="95" t="n"/>
      <c r="VGS3" s="95" t="n"/>
      <c r="VGT3" s="95" t="n"/>
      <c r="VGU3" s="95" t="n"/>
      <c r="VGV3" s="95" t="n"/>
      <c r="VGW3" s="95" t="n"/>
      <c r="VGX3" s="95" t="n"/>
      <c r="VGY3" s="95" t="n"/>
      <c r="VGZ3" s="95" t="n"/>
      <c r="VHA3" s="95" t="n"/>
      <c r="VHB3" s="95" t="n"/>
      <c r="VHC3" s="95" t="n"/>
      <c r="VHD3" s="95" t="n"/>
      <c r="VHE3" s="95" t="n"/>
      <c r="VHF3" s="95" t="n"/>
      <c r="VHG3" s="95" t="n"/>
      <c r="VHH3" s="95" t="n"/>
      <c r="VHI3" s="95" t="n"/>
      <c r="VHJ3" s="95" t="n"/>
      <c r="VHK3" s="95" t="n"/>
      <c r="VHL3" s="95" t="n"/>
      <c r="VHM3" s="95" t="n"/>
      <c r="VHN3" s="95" t="n"/>
      <c r="VHO3" s="95" t="n"/>
      <c r="VHP3" s="95" t="n"/>
      <c r="VHQ3" s="95" t="n"/>
      <c r="VHR3" s="95" t="n"/>
      <c r="VHS3" s="95" t="n"/>
      <c r="VHT3" s="95" t="n"/>
      <c r="VHU3" s="95" t="n"/>
      <c r="VHV3" s="95" t="n"/>
      <c r="VHW3" s="95" t="n"/>
      <c r="VHX3" s="95" t="n"/>
      <c r="VHY3" s="95" t="n"/>
      <c r="VHZ3" s="95" t="n"/>
      <c r="VIA3" s="95" t="n"/>
      <c r="VIB3" s="95" t="n"/>
      <c r="VIC3" s="95" t="n"/>
      <c r="VID3" s="95" t="n"/>
      <c r="VIE3" s="95" t="n"/>
      <c r="VIF3" s="95" t="n"/>
      <c r="VIG3" s="95" t="n"/>
      <c r="VIH3" s="95" t="n"/>
      <c r="VII3" s="95" t="n"/>
      <c r="VIJ3" s="95" t="n"/>
      <c r="VIK3" s="95" t="n"/>
      <c r="VIL3" s="95" t="n"/>
      <c r="VIM3" s="95" t="n"/>
      <c r="VIN3" s="95" t="n"/>
      <c r="VIO3" s="95" t="n"/>
      <c r="VIP3" s="95" t="n"/>
      <c r="VIQ3" s="95" t="n"/>
      <c r="VIR3" s="95" t="n"/>
      <c r="VIS3" s="95" t="n"/>
      <c r="VIT3" s="95" t="n"/>
      <c r="VIU3" s="95" t="n"/>
      <c r="VIV3" s="95" t="n"/>
      <c r="VIW3" s="95" t="n"/>
      <c r="VIX3" s="95" t="n"/>
      <c r="VIY3" s="95" t="n"/>
      <c r="VIZ3" s="95" t="n"/>
      <c r="VJA3" s="95" t="n"/>
      <c r="VJB3" s="95" t="n"/>
      <c r="VJC3" s="95" t="n"/>
      <c r="VJD3" s="95" t="n"/>
      <c r="VJE3" s="95" t="n"/>
      <c r="VJF3" s="95" t="n"/>
      <c r="VJG3" s="95" t="n"/>
      <c r="VJH3" s="95" t="n"/>
      <c r="VJI3" s="95" t="n"/>
      <c r="VJJ3" s="95" t="n"/>
      <c r="VJK3" s="95" t="n"/>
      <c r="VJL3" s="95" t="n"/>
      <c r="VJM3" s="95" t="n"/>
      <c r="VJN3" s="95" t="n"/>
      <c r="VJO3" s="95" t="n"/>
      <c r="VJP3" s="95" t="n"/>
      <c r="VJQ3" s="95" t="n"/>
      <c r="VJR3" s="95" t="n"/>
      <c r="VJS3" s="95" t="n"/>
      <c r="VJT3" s="95" t="n"/>
      <c r="VJU3" s="95" t="n"/>
      <c r="VJV3" s="95" t="n"/>
      <c r="VJW3" s="95" t="n"/>
      <c r="VJX3" s="95" t="n"/>
      <c r="VJY3" s="95" t="n"/>
      <c r="VJZ3" s="95" t="n"/>
      <c r="VKA3" s="95" t="n"/>
      <c r="VKB3" s="95" t="n"/>
      <c r="VKC3" s="95" t="n"/>
      <c r="VKD3" s="95" t="n"/>
      <c r="VKE3" s="95" t="n"/>
      <c r="VKF3" s="95" t="n"/>
      <c r="VKG3" s="95" t="n"/>
      <c r="VKH3" s="95" t="n"/>
      <c r="VKI3" s="95" t="n"/>
      <c r="VKJ3" s="95" t="n"/>
      <c r="VKK3" s="95" t="n"/>
      <c r="VKL3" s="95" t="n"/>
      <c r="VKM3" s="95" t="n"/>
      <c r="VKN3" s="95" t="n"/>
      <c r="VKO3" s="95" t="n"/>
      <c r="VKP3" s="95" t="n"/>
      <c r="VKQ3" s="95" t="n"/>
      <c r="VKR3" s="95" t="n"/>
      <c r="VKS3" s="95" t="n"/>
      <c r="VKT3" s="95" t="n"/>
      <c r="VKU3" s="95" t="n"/>
      <c r="VKV3" s="95" t="n"/>
      <c r="VKW3" s="95" t="n"/>
      <c r="VKX3" s="95" t="n"/>
      <c r="VKY3" s="95" t="n"/>
      <c r="VKZ3" s="95" t="n"/>
      <c r="VLA3" s="95" t="n"/>
      <c r="VLB3" s="95" t="n"/>
      <c r="VLC3" s="95" t="n"/>
      <c r="VLD3" s="95" t="n"/>
      <c r="VLE3" s="95" t="n"/>
      <c r="VLF3" s="95" t="n"/>
      <c r="VLG3" s="95" t="n"/>
      <c r="VLH3" s="95" t="n"/>
      <c r="VLI3" s="95" t="n"/>
      <c r="VLJ3" s="95" t="n"/>
      <c r="VLK3" s="95" t="n"/>
      <c r="VLL3" s="95" t="n"/>
      <c r="VLM3" s="95" t="n"/>
      <c r="VLN3" s="95" t="n"/>
      <c r="VLO3" s="95" t="n"/>
      <c r="VLP3" s="95" t="n"/>
      <c r="VLQ3" s="95" t="n"/>
      <c r="VLR3" s="95" t="n"/>
      <c r="VLS3" s="95" t="n"/>
      <c r="VLT3" s="95" t="n"/>
      <c r="VLU3" s="95" t="n"/>
      <c r="VLV3" s="95" t="n"/>
      <c r="VLW3" s="95" t="n"/>
      <c r="VLX3" s="95" t="n"/>
      <c r="VLY3" s="95" t="n"/>
      <c r="VLZ3" s="95" t="n"/>
      <c r="VMA3" s="95" t="n"/>
      <c r="VMB3" s="95" t="n"/>
      <c r="VMC3" s="95" t="n"/>
      <c r="VMD3" s="95" t="n"/>
      <c r="VME3" s="95" t="n"/>
      <c r="VMF3" s="95" t="n"/>
      <c r="VMG3" s="95" t="n"/>
      <c r="VMH3" s="95" t="n"/>
      <c r="VMI3" s="95" t="n"/>
      <c r="VMJ3" s="95" t="n"/>
      <c r="VMK3" s="95" t="n"/>
      <c r="VML3" s="95" t="n"/>
      <c r="VMM3" s="95" t="n"/>
      <c r="VMN3" s="95" t="n"/>
      <c r="VMO3" s="95" t="n"/>
      <c r="VMP3" s="95" t="n"/>
      <c r="VMQ3" s="95" t="n"/>
      <c r="VMR3" s="95" t="n"/>
      <c r="VMS3" s="95" t="n"/>
      <c r="VMT3" s="95" t="n"/>
      <c r="VMU3" s="95" t="n"/>
      <c r="VMV3" s="95" t="n"/>
      <c r="VMW3" s="95" t="n"/>
      <c r="VMX3" s="95" t="n"/>
      <c r="VMY3" s="95" t="n"/>
      <c r="VMZ3" s="95" t="n"/>
      <c r="VNA3" s="95" t="n"/>
      <c r="VNB3" s="95" t="n"/>
      <c r="VNC3" s="95" t="n"/>
      <c r="VND3" s="95" t="n"/>
      <c r="VNE3" s="95" t="n"/>
      <c r="VNF3" s="95" t="n"/>
      <c r="VNG3" s="95" t="n"/>
      <c r="VNH3" s="95" t="n"/>
      <c r="VNI3" s="95" t="n"/>
      <c r="VNJ3" s="95" t="n"/>
      <c r="VNK3" s="95" t="n"/>
      <c r="VNL3" s="95" t="n"/>
      <c r="VNM3" s="95" t="n"/>
      <c r="VNN3" s="95" t="n"/>
      <c r="VNO3" s="95" t="n"/>
      <c r="VNP3" s="95" t="n"/>
      <c r="VNQ3" s="95" t="n"/>
      <c r="VNR3" s="95" t="n"/>
      <c r="VNS3" s="95" t="n"/>
      <c r="VNT3" s="95" t="n"/>
      <c r="VNU3" s="95" t="n"/>
      <c r="VNV3" s="95" t="n"/>
      <c r="VNW3" s="95" t="n"/>
      <c r="VNX3" s="95" t="n"/>
      <c r="VNY3" s="95" t="n"/>
      <c r="VNZ3" s="95" t="n"/>
      <c r="VOA3" s="95" t="n"/>
      <c r="VOB3" s="95" t="n"/>
      <c r="VOC3" s="95" t="n"/>
      <c r="VOD3" s="95" t="n"/>
      <c r="VOE3" s="95" t="n"/>
      <c r="VOF3" s="95" t="n"/>
      <c r="VOG3" s="95" t="n"/>
      <c r="VOH3" s="95" t="n"/>
      <c r="VOI3" s="95" t="n"/>
      <c r="VOJ3" s="95" t="n"/>
      <c r="VOK3" s="95" t="n"/>
      <c r="VOL3" s="95" t="n"/>
      <c r="VOM3" s="95" t="n"/>
      <c r="VON3" s="95" t="n"/>
      <c r="VOO3" s="95" t="n"/>
      <c r="VOP3" s="95" t="n"/>
      <c r="VOQ3" s="95" t="n"/>
      <c r="VOR3" s="95" t="n"/>
      <c r="VOS3" s="95" t="n"/>
      <c r="VOT3" s="95" t="n"/>
      <c r="VOU3" s="95" t="n"/>
      <c r="VOV3" s="95" t="n"/>
      <c r="VOW3" s="95" t="n"/>
      <c r="VOX3" s="95" t="n"/>
      <c r="VOY3" s="95" t="n"/>
      <c r="VOZ3" s="95" t="n"/>
      <c r="VPA3" s="95" t="n"/>
      <c r="VPB3" s="95" t="n"/>
      <c r="VPC3" s="95" t="n"/>
      <c r="VPD3" s="95" t="n"/>
      <c r="VPE3" s="95" t="n"/>
      <c r="VPF3" s="95" t="n"/>
      <c r="VPG3" s="95" t="n"/>
      <c r="VPH3" s="95" t="n"/>
      <c r="VPI3" s="95" t="n"/>
      <c r="VPJ3" s="95" t="n"/>
      <c r="VPK3" s="95" t="n"/>
      <c r="VPL3" s="95" t="n"/>
      <c r="VPM3" s="95" t="n"/>
      <c r="VPN3" s="95" t="n"/>
      <c r="VPO3" s="95" t="n"/>
      <c r="VPP3" s="95" t="n"/>
      <c r="VPQ3" s="95" t="n"/>
      <c r="VPR3" s="95" t="n"/>
      <c r="VPS3" s="95" t="n"/>
      <c r="VPT3" s="95" t="n"/>
      <c r="VPU3" s="95" t="n"/>
      <c r="VPV3" s="95" t="n"/>
      <c r="VPW3" s="95" t="n"/>
      <c r="VPX3" s="95" t="n"/>
      <c r="VPY3" s="95" t="n"/>
      <c r="VPZ3" s="95" t="n"/>
      <c r="VQA3" s="95" t="n"/>
      <c r="VQB3" s="95" t="n"/>
      <c r="VQC3" s="95" t="n"/>
      <c r="VQD3" s="95" t="n"/>
      <c r="VQE3" s="95" t="n"/>
      <c r="VQF3" s="95" t="n"/>
      <c r="VQG3" s="95" t="n"/>
      <c r="VQH3" s="95" t="n"/>
      <c r="VQI3" s="95" t="n"/>
      <c r="VQJ3" s="95" t="n"/>
      <c r="VQK3" s="95" t="n"/>
      <c r="VQL3" s="95" t="n"/>
      <c r="VQM3" s="95" t="n"/>
      <c r="VQN3" s="95" t="n"/>
      <c r="VQO3" s="95" t="n"/>
      <c r="VQP3" s="95" t="n"/>
      <c r="VQQ3" s="95" t="n"/>
      <c r="VQR3" s="95" t="n"/>
      <c r="VQS3" s="95" t="n"/>
      <c r="VQT3" s="95" t="n"/>
      <c r="VQU3" s="95" t="n"/>
      <c r="VQV3" s="95" t="n"/>
      <c r="VQW3" s="95" t="n"/>
      <c r="VQX3" s="95" t="n"/>
      <c r="VQY3" s="95" t="n"/>
      <c r="VQZ3" s="95" t="n"/>
      <c r="VRA3" s="95" t="n"/>
      <c r="VRB3" s="95" t="n"/>
      <c r="VRC3" s="95" t="n"/>
      <c r="VRD3" s="95" t="n"/>
      <c r="VRE3" s="95" t="n"/>
      <c r="VRF3" s="95" t="n"/>
      <c r="VRG3" s="95" t="n"/>
      <c r="VRH3" s="95" t="n"/>
      <c r="VRI3" s="95" t="n"/>
      <c r="VRJ3" s="95" t="n"/>
      <c r="VRK3" s="95" t="n"/>
      <c r="VRL3" s="95" t="n"/>
      <c r="VRM3" s="95" t="n"/>
      <c r="VRN3" s="95" t="n"/>
      <c r="VRO3" s="95" t="n"/>
      <c r="VRP3" s="95" t="n"/>
      <c r="VRQ3" s="95" t="n"/>
      <c r="VRR3" s="95" t="n"/>
      <c r="VRS3" s="95" t="n"/>
      <c r="VRT3" s="95" t="n"/>
      <c r="VRU3" s="95" t="n"/>
      <c r="VRV3" s="95" t="n"/>
      <c r="VRW3" s="95" t="n"/>
      <c r="VRX3" s="95" t="n"/>
      <c r="VRY3" s="95" t="n"/>
      <c r="VRZ3" s="95" t="n"/>
      <c r="VSA3" s="95" t="n"/>
      <c r="VSB3" s="95" t="n"/>
      <c r="VSC3" s="95" t="n"/>
      <c r="VSD3" s="95" t="n"/>
      <c r="VSE3" s="95" t="n"/>
      <c r="VSF3" s="95" t="n"/>
      <c r="VSG3" s="95" t="n"/>
      <c r="VSH3" s="95" t="n"/>
      <c r="VSI3" s="95" t="n"/>
      <c r="VSJ3" s="95" t="n"/>
      <c r="VSK3" s="95" t="n"/>
      <c r="VSL3" s="95" t="n"/>
      <c r="VSM3" s="95" t="n"/>
      <c r="VSN3" s="95" t="n"/>
      <c r="VSO3" s="95" t="n"/>
      <c r="VSP3" s="95" t="n"/>
      <c r="VSQ3" s="95" t="n"/>
      <c r="VSR3" s="95" t="n"/>
      <c r="VSS3" s="95" t="n"/>
      <c r="VST3" s="95" t="n"/>
      <c r="VSU3" s="95" t="n"/>
      <c r="VSV3" s="95" t="n"/>
      <c r="VSW3" s="95" t="n"/>
      <c r="VSX3" s="95" t="n"/>
      <c r="VSY3" s="95" t="n"/>
      <c r="VSZ3" s="95" t="n"/>
      <c r="VTA3" s="95" t="n"/>
      <c r="VTB3" s="95" t="n"/>
      <c r="VTC3" s="95" t="n"/>
      <c r="VTD3" s="95" t="n"/>
      <c r="VTE3" s="95" t="n"/>
      <c r="VTF3" s="95" t="n"/>
      <c r="VTG3" s="95" t="n"/>
      <c r="VTH3" s="95" t="n"/>
      <c r="VTI3" s="95" t="n"/>
      <c r="VTJ3" s="95" t="n"/>
      <c r="VTK3" s="95" t="n"/>
      <c r="VTL3" s="95" t="n"/>
      <c r="VTM3" s="95" t="n"/>
      <c r="VTN3" s="95" t="n"/>
      <c r="VTO3" s="95" t="n"/>
      <c r="VTP3" s="95" t="n"/>
      <c r="VTQ3" s="95" t="n"/>
      <c r="VTR3" s="95" t="n"/>
      <c r="VTS3" s="95" t="n"/>
      <c r="VTT3" s="95" t="n"/>
      <c r="VTU3" s="95" t="n"/>
      <c r="VTV3" s="95" t="n"/>
      <c r="VTW3" s="95" t="n"/>
      <c r="VTX3" s="95" t="n"/>
      <c r="VTY3" s="95" t="n"/>
      <c r="VTZ3" s="95" t="n"/>
      <c r="VUA3" s="95" t="n"/>
      <c r="VUB3" s="95" t="n"/>
      <c r="VUC3" s="95" t="n"/>
      <c r="VUD3" s="95" t="n"/>
      <c r="VUE3" s="95" t="n"/>
      <c r="VUF3" s="95" t="n"/>
      <c r="VUG3" s="95" t="n"/>
      <c r="VUH3" s="95" t="n"/>
      <c r="VUI3" s="95" t="n"/>
      <c r="VUJ3" s="95" t="n"/>
      <c r="VUK3" s="95" t="n"/>
      <c r="VUL3" s="95" t="n"/>
      <c r="VUM3" s="95" t="n"/>
      <c r="VUN3" s="95" t="n"/>
      <c r="VUO3" s="95" t="n"/>
      <c r="VUP3" s="95" t="n"/>
      <c r="VUQ3" s="95" t="n"/>
      <c r="VUR3" s="95" t="n"/>
      <c r="VUS3" s="95" t="n"/>
      <c r="VUT3" s="95" t="n"/>
      <c r="VUU3" s="95" t="n"/>
      <c r="VUV3" s="95" t="n"/>
      <c r="VUW3" s="95" t="n"/>
      <c r="VUX3" s="95" t="n"/>
      <c r="VUY3" s="95" t="n"/>
      <c r="VUZ3" s="95" t="n"/>
      <c r="VVA3" s="95" t="n"/>
      <c r="VVB3" s="95" t="n"/>
      <c r="VVC3" s="95" t="n"/>
      <c r="VVD3" s="95" t="n"/>
      <c r="VVE3" s="95" t="n"/>
      <c r="VVF3" s="95" t="n"/>
      <c r="VVG3" s="95" t="n"/>
      <c r="VVH3" s="95" t="n"/>
      <c r="VVI3" s="95" t="n"/>
      <c r="VVJ3" s="95" t="n"/>
      <c r="VVK3" s="95" t="n"/>
      <c r="VVL3" s="95" t="n"/>
      <c r="VVM3" s="95" t="n"/>
      <c r="VVN3" s="95" t="n"/>
      <c r="VVO3" s="95" t="n"/>
      <c r="VVP3" s="95" t="n"/>
      <c r="VVQ3" s="95" t="n"/>
      <c r="VVR3" s="95" t="n"/>
      <c r="VVS3" s="95" t="n"/>
      <c r="VVT3" s="95" t="n"/>
      <c r="VVU3" s="95" t="n"/>
      <c r="VVV3" s="95" t="n"/>
      <c r="VVW3" s="95" t="n"/>
      <c r="VVX3" s="95" t="n"/>
      <c r="VVY3" s="95" t="n"/>
      <c r="VVZ3" s="95" t="n"/>
      <c r="VWA3" s="95" t="n"/>
      <c r="VWB3" s="95" t="n"/>
      <c r="VWC3" s="95" t="n"/>
      <c r="VWD3" s="95" t="n"/>
      <c r="VWE3" s="95" t="n"/>
      <c r="VWF3" s="95" t="n"/>
      <c r="VWG3" s="95" t="n"/>
      <c r="VWH3" s="95" t="n"/>
      <c r="VWI3" s="95" t="n"/>
      <c r="VWJ3" s="95" t="n"/>
      <c r="VWK3" s="95" t="n"/>
      <c r="VWL3" s="95" t="n"/>
      <c r="VWM3" s="95" t="n"/>
      <c r="VWN3" s="95" t="n"/>
      <c r="VWO3" s="95" t="n"/>
      <c r="VWP3" s="95" t="n"/>
      <c r="VWQ3" s="95" t="n"/>
      <c r="VWR3" s="95" t="n"/>
      <c r="VWS3" s="95" t="n"/>
      <c r="VWT3" s="95" t="n"/>
      <c r="VWU3" s="95" t="n"/>
      <c r="VWV3" s="95" t="n"/>
      <c r="VWW3" s="95" t="n"/>
      <c r="VWX3" s="95" t="n"/>
      <c r="VWY3" s="95" t="n"/>
      <c r="VWZ3" s="95" t="n"/>
      <c r="VXA3" s="95" t="n"/>
      <c r="VXB3" s="95" t="n"/>
      <c r="VXC3" s="95" t="n"/>
      <c r="VXD3" s="95" t="n"/>
      <c r="VXE3" s="95" t="n"/>
      <c r="VXF3" s="95" t="n"/>
      <c r="VXG3" s="95" t="n"/>
      <c r="VXH3" s="95" t="n"/>
      <c r="VXI3" s="95" t="n"/>
      <c r="VXJ3" s="95" t="n"/>
      <c r="VXK3" s="95" t="n"/>
      <c r="VXL3" s="95" t="n"/>
      <c r="VXM3" s="95" t="n"/>
      <c r="VXN3" s="95" t="n"/>
      <c r="VXO3" s="95" t="n"/>
      <c r="VXP3" s="95" t="n"/>
      <c r="VXQ3" s="95" t="n"/>
      <c r="VXR3" s="95" t="n"/>
      <c r="VXS3" s="95" t="n"/>
      <c r="VXT3" s="95" t="n"/>
      <c r="VXU3" s="95" t="n"/>
      <c r="VXV3" s="95" t="n"/>
      <c r="VXW3" s="95" t="n"/>
      <c r="VXX3" s="95" t="n"/>
      <c r="VXY3" s="95" t="n"/>
      <c r="VXZ3" s="95" t="n"/>
      <c r="VYA3" s="95" t="n"/>
      <c r="VYB3" s="95" t="n"/>
      <c r="VYC3" s="95" t="n"/>
      <c r="VYD3" s="95" t="n"/>
      <c r="VYE3" s="95" t="n"/>
      <c r="VYF3" s="95" t="n"/>
      <c r="VYG3" s="95" t="n"/>
      <c r="VYH3" s="95" t="n"/>
      <c r="VYI3" s="95" t="n"/>
      <c r="VYJ3" s="95" t="n"/>
      <c r="VYK3" s="95" t="n"/>
      <c r="VYL3" s="95" t="n"/>
      <c r="VYM3" s="95" t="n"/>
      <c r="VYN3" s="95" t="n"/>
      <c r="VYO3" s="95" t="n"/>
      <c r="VYP3" s="95" t="n"/>
      <c r="VYQ3" s="95" t="n"/>
      <c r="VYR3" s="95" t="n"/>
      <c r="VYS3" s="95" t="n"/>
      <c r="VYT3" s="95" t="n"/>
      <c r="VYU3" s="95" t="n"/>
      <c r="VYV3" s="95" t="n"/>
      <c r="VYW3" s="95" t="n"/>
      <c r="VYX3" s="95" t="n"/>
      <c r="VYY3" s="95" t="n"/>
      <c r="VYZ3" s="95" t="n"/>
      <c r="VZA3" s="95" t="n"/>
      <c r="VZB3" s="95" t="n"/>
      <c r="VZC3" s="95" t="n"/>
      <c r="VZD3" s="95" t="n"/>
      <c r="VZE3" s="95" t="n"/>
      <c r="VZF3" s="95" t="n"/>
      <c r="VZG3" s="95" t="n"/>
      <c r="VZH3" s="95" t="n"/>
      <c r="VZI3" s="95" t="n"/>
      <c r="VZJ3" s="95" t="n"/>
      <c r="VZK3" s="95" t="n"/>
      <c r="VZL3" s="95" t="n"/>
      <c r="VZM3" s="95" t="n"/>
      <c r="VZN3" s="95" t="n"/>
      <c r="VZO3" s="95" t="n"/>
      <c r="VZP3" s="95" t="n"/>
      <c r="VZQ3" s="95" t="n"/>
      <c r="VZR3" s="95" t="n"/>
      <c r="VZS3" s="95" t="n"/>
      <c r="VZT3" s="95" t="n"/>
      <c r="VZU3" s="95" t="n"/>
      <c r="VZV3" s="95" t="n"/>
      <c r="VZW3" s="95" t="n"/>
      <c r="VZX3" s="95" t="n"/>
      <c r="VZY3" s="95" t="n"/>
      <c r="VZZ3" s="95" t="n"/>
      <c r="WAA3" s="95" t="n"/>
      <c r="WAB3" s="95" t="n"/>
      <c r="WAC3" s="95" t="n"/>
      <c r="WAD3" s="95" t="n"/>
      <c r="WAE3" s="95" t="n"/>
      <c r="WAF3" s="95" t="n"/>
      <c r="WAG3" s="95" t="n"/>
      <c r="WAH3" s="95" t="n"/>
      <c r="WAI3" s="95" t="n"/>
      <c r="WAJ3" s="95" t="n"/>
      <c r="WAK3" s="95" t="n"/>
      <c r="WAL3" s="95" t="n"/>
      <c r="WAM3" s="95" t="n"/>
      <c r="WAN3" s="95" t="n"/>
      <c r="WAO3" s="95" t="n"/>
      <c r="WAP3" s="95" t="n"/>
      <c r="WAQ3" s="95" t="n"/>
      <c r="WAR3" s="95" t="n"/>
      <c r="WAS3" s="95" t="n"/>
      <c r="WAT3" s="95" t="n"/>
      <c r="WAU3" s="95" t="n"/>
      <c r="WAV3" s="95" t="n"/>
      <c r="WAW3" s="95" t="n"/>
      <c r="WAX3" s="95" t="n"/>
      <c r="WAY3" s="95" t="n"/>
      <c r="WAZ3" s="95" t="n"/>
      <c r="WBA3" s="95" t="n"/>
      <c r="WBB3" s="95" t="n"/>
      <c r="WBC3" s="95" t="n"/>
      <c r="WBD3" s="95" t="n"/>
      <c r="WBE3" s="95" t="n"/>
      <c r="WBF3" s="95" t="n"/>
      <c r="WBG3" s="95" t="n"/>
      <c r="WBH3" s="95" t="n"/>
      <c r="WBI3" s="95" t="n"/>
      <c r="WBJ3" s="95" t="n"/>
      <c r="WBK3" s="95" t="n"/>
      <c r="WBL3" s="95" t="n"/>
      <c r="WBM3" s="95" t="n"/>
      <c r="WBN3" s="95" t="n"/>
      <c r="WBO3" s="95" t="n"/>
      <c r="WBP3" s="95" t="n"/>
      <c r="WBQ3" s="95" t="n"/>
      <c r="WBR3" s="95" t="n"/>
      <c r="WBS3" s="95" t="n"/>
      <c r="WBT3" s="95" t="n"/>
      <c r="WBU3" s="95" t="n"/>
      <c r="WBV3" s="95" t="n"/>
      <c r="WBW3" s="95" t="n"/>
      <c r="WBX3" s="95" t="n"/>
      <c r="WBY3" s="95" t="n"/>
      <c r="WBZ3" s="95" t="n"/>
      <c r="WCA3" s="95" t="n"/>
      <c r="WCB3" s="95" t="n"/>
      <c r="WCC3" s="95" t="n"/>
      <c r="WCD3" s="95" t="n"/>
      <c r="WCE3" s="95" t="n"/>
      <c r="WCF3" s="95" t="n"/>
      <c r="WCG3" s="95" t="n"/>
      <c r="WCH3" s="95" t="n"/>
      <c r="WCI3" s="95" t="n"/>
      <c r="WCJ3" s="95" t="n"/>
      <c r="WCK3" s="95" t="n"/>
      <c r="WCL3" s="95" t="n"/>
      <c r="WCM3" s="95" t="n"/>
      <c r="WCN3" s="95" t="n"/>
      <c r="WCO3" s="95" t="n"/>
      <c r="WCP3" s="95" t="n"/>
      <c r="WCQ3" s="95" t="n"/>
      <c r="WCR3" s="95" t="n"/>
      <c r="WCS3" s="95" t="n"/>
      <c r="WCT3" s="95" t="n"/>
      <c r="WCU3" s="95" t="n"/>
      <c r="WCV3" s="95" t="n"/>
      <c r="WCW3" s="95" t="n"/>
      <c r="WCX3" s="95" t="n"/>
      <c r="WCY3" s="95" t="n"/>
      <c r="WCZ3" s="95" t="n"/>
      <c r="WDA3" s="95" t="n"/>
      <c r="WDB3" s="95" t="n"/>
      <c r="WDC3" s="95" t="n"/>
      <c r="WDD3" s="95" t="n"/>
      <c r="WDE3" s="95" t="n"/>
      <c r="WDF3" s="95" t="n"/>
      <c r="WDG3" s="95" t="n"/>
      <c r="WDH3" s="95" t="n"/>
      <c r="WDI3" s="95" t="n"/>
      <c r="WDJ3" s="95" t="n"/>
      <c r="WDK3" s="95" t="n"/>
      <c r="WDL3" s="95" t="n"/>
      <c r="WDM3" s="95" t="n"/>
      <c r="WDN3" s="95" t="n"/>
      <c r="WDO3" s="95" t="n"/>
      <c r="WDP3" s="95" t="n"/>
      <c r="WDQ3" s="95" t="n"/>
      <c r="WDR3" s="95" t="n"/>
      <c r="WDS3" s="95" t="n"/>
      <c r="WDT3" s="95" t="n"/>
      <c r="WDU3" s="95" t="n"/>
      <c r="WDV3" s="95" t="n"/>
      <c r="WDW3" s="95" t="n"/>
      <c r="WDX3" s="95" t="n"/>
      <c r="WDY3" s="95" t="n"/>
      <c r="WDZ3" s="95" t="n"/>
      <c r="WEA3" s="95" t="n"/>
      <c r="WEB3" s="95" t="n"/>
      <c r="WEC3" s="95" t="n"/>
      <c r="WED3" s="95" t="n"/>
      <c r="WEE3" s="95" t="n"/>
      <c r="WEF3" s="95" t="n"/>
      <c r="WEG3" s="95" t="n"/>
      <c r="WEH3" s="95" t="n"/>
      <c r="WEI3" s="95" t="n"/>
      <c r="WEJ3" s="95" t="n"/>
      <c r="WEK3" s="95" t="n"/>
      <c r="WEL3" s="95" t="n"/>
      <c r="WEM3" s="95" t="n"/>
      <c r="WEN3" s="95" t="n"/>
      <c r="WEO3" s="95" t="n"/>
      <c r="WEP3" s="95" t="n"/>
      <c r="WEQ3" s="95" t="n"/>
      <c r="WER3" s="95" t="n"/>
      <c r="WES3" s="95" t="n"/>
      <c r="WET3" s="95" t="n"/>
      <c r="WEU3" s="95" t="n"/>
      <c r="WEV3" s="95" t="n"/>
      <c r="WEW3" s="95" t="n"/>
      <c r="WEX3" s="95" t="n"/>
      <c r="WEY3" s="95" t="n"/>
      <c r="WEZ3" s="95" t="n"/>
      <c r="WFA3" s="95" t="n"/>
      <c r="WFB3" s="95" t="n"/>
      <c r="WFC3" s="95" t="n"/>
      <c r="WFD3" s="95" t="n"/>
      <c r="WFE3" s="95" t="n"/>
      <c r="WFF3" s="95" t="n"/>
      <c r="WFG3" s="95" t="n"/>
      <c r="WFH3" s="95" t="n"/>
      <c r="WFI3" s="95" t="n"/>
      <c r="WFJ3" s="95" t="n"/>
      <c r="WFK3" s="95" t="n"/>
      <c r="WFL3" s="95" t="n"/>
      <c r="WFM3" s="95" t="n"/>
      <c r="WFN3" s="95" t="n"/>
      <c r="WFO3" s="95" t="n"/>
      <c r="WFP3" s="95" t="n"/>
      <c r="WFQ3" s="95" t="n"/>
      <c r="WFR3" s="95" t="n"/>
      <c r="WFS3" s="95" t="n"/>
      <c r="WFT3" s="95" t="n"/>
      <c r="WFU3" s="95" t="n"/>
      <c r="WFV3" s="95" t="n"/>
      <c r="WFW3" s="95" t="n"/>
      <c r="WFX3" s="95" t="n"/>
      <c r="WFY3" s="95" t="n"/>
      <c r="WFZ3" s="95" t="n"/>
      <c r="WGA3" s="95" t="n"/>
      <c r="WGB3" s="95" t="n"/>
      <c r="WGC3" s="95" t="n"/>
      <c r="WGD3" s="95" t="n"/>
      <c r="WGE3" s="95" t="n"/>
      <c r="WGF3" s="95" t="n"/>
      <c r="WGG3" s="95" t="n"/>
      <c r="WGH3" s="95" t="n"/>
      <c r="WGI3" s="95" t="n"/>
      <c r="WGJ3" s="95" t="n"/>
      <c r="WGK3" s="95" t="n"/>
      <c r="WGL3" s="95" t="n"/>
      <c r="WGM3" s="95" t="n"/>
      <c r="WGN3" s="95" t="n"/>
      <c r="WGO3" s="95" t="n"/>
      <c r="WGP3" s="95" t="n"/>
      <c r="WGQ3" s="95" t="n"/>
      <c r="WGR3" s="95" t="n"/>
      <c r="WGS3" s="95" t="n"/>
      <c r="WGT3" s="95" t="n"/>
      <c r="WGU3" s="95" t="n"/>
      <c r="WGV3" s="95" t="n"/>
      <c r="WGW3" s="95" t="n"/>
      <c r="WGX3" s="95" t="n"/>
      <c r="WGY3" s="95" t="n"/>
      <c r="WGZ3" s="95" t="n"/>
      <c r="WHA3" s="95" t="n"/>
      <c r="WHB3" s="95" t="n"/>
      <c r="WHC3" s="95" t="n"/>
      <c r="WHD3" s="95" t="n"/>
      <c r="WHE3" s="95" t="n"/>
      <c r="WHF3" s="95" t="n"/>
      <c r="WHG3" s="95" t="n"/>
      <c r="WHH3" s="95" t="n"/>
      <c r="WHI3" s="95" t="n"/>
      <c r="WHJ3" s="95" t="n"/>
      <c r="WHK3" s="95" t="n"/>
      <c r="WHL3" s="95" t="n"/>
      <c r="WHM3" s="95" t="n"/>
      <c r="WHN3" s="95" t="n"/>
      <c r="WHO3" s="95" t="n"/>
      <c r="WHP3" s="95" t="n"/>
      <c r="WHQ3" s="95" t="n"/>
      <c r="WHR3" s="95" t="n"/>
      <c r="WHS3" s="95" t="n"/>
      <c r="WHT3" s="95" t="n"/>
      <c r="WHU3" s="95" t="n"/>
      <c r="WHV3" s="95" t="n"/>
      <c r="WHW3" s="95" t="n"/>
      <c r="WHX3" s="95" t="n"/>
      <c r="WHY3" s="95" t="n"/>
      <c r="WHZ3" s="95" t="n"/>
      <c r="WIA3" s="95" t="n"/>
      <c r="WIB3" s="95" t="n"/>
      <c r="WIC3" s="95" t="n"/>
      <c r="WID3" s="95" t="n"/>
      <c r="WIE3" s="95" t="n"/>
      <c r="WIF3" s="95" t="n"/>
      <c r="WIG3" s="95" t="n"/>
      <c r="WIH3" s="95" t="n"/>
      <c r="WII3" s="95" t="n"/>
      <c r="WIJ3" s="95" t="n"/>
      <c r="WIK3" s="95" t="n"/>
      <c r="WIL3" s="95" t="n"/>
      <c r="WIM3" s="95" t="n"/>
      <c r="WIN3" s="95" t="n"/>
      <c r="WIO3" s="95" t="n"/>
      <c r="WIP3" s="95" t="n"/>
      <c r="WIQ3" s="95" t="n"/>
      <c r="WIR3" s="95" t="n"/>
      <c r="WIS3" s="95" t="n"/>
      <c r="WIT3" s="95" t="n"/>
      <c r="WIU3" s="95" t="n"/>
      <c r="WIV3" s="95" t="n"/>
      <c r="WIW3" s="95" t="n"/>
      <c r="WIX3" s="95" t="n"/>
      <c r="WIY3" s="95" t="n"/>
      <c r="WIZ3" s="95" t="n"/>
      <c r="WJA3" s="95" t="n"/>
      <c r="WJB3" s="95" t="n"/>
      <c r="WJC3" s="95" t="n"/>
      <c r="WJD3" s="95" t="n"/>
      <c r="WJE3" s="95" t="n"/>
      <c r="WJF3" s="95" t="n"/>
      <c r="WJG3" s="95" t="n"/>
      <c r="WJH3" s="95" t="n"/>
      <c r="WJI3" s="95" t="n"/>
      <c r="WJJ3" s="95" t="n"/>
      <c r="WJK3" s="95" t="n"/>
      <c r="WJL3" s="95" t="n"/>
      <c r="WJM3" s="95" t="n"/>
      <c r="WJN3" s="95" t="n"/>
      <c r="WJO3" s="95" t="n"/>
      <c r="WJP3" s="95" t="n"/>
      <c r="WJQ3" s="95" t="n"/>
      <c r="WJR3" s="95" t="n"/>
      <c r="WJS3" s="95" t="n"/>
      <c r="WJT3" s="95" t="n"/>
      <c r="WJU3" s="95" t="n"/>
      <c r="WJV3" s="95" t="n"/>
      <c r="WJW3" s="95" t="n"/>
      <c r="WJX3" s="95" t="n"/>
      <c r="WJY3" s="95" t="n"/>
      <c r="WJZ3" s="95" t="n"/>
      <c r="WKA3" s="95" t="n"/>
      <c r="WKB3" s="95" t="n"/>
      <c r="WKC3" s="95" t="n"/>
      <c r="WKD3" s="95" t="n"/>
      <c r="WKE3" s="95" t="n"/>
      <c r="WKF3" s="95" t="n"/>
      <c r="WKG3" s="95" t="n"/>
      <c r="WKH3" s="95" t="n"/>
      <c r="WKI3" s="95" t="n"/>
      <c r="WKJ3" s="95" t="n"/>
      <c r="WKK3" s="95" t="n"/>
      <c r="WKL3" s="95" t="n"/>
      <c r="WKM3" s="95" t="n"/>
      <c r="WKN3" s="95" t="n"/>
      <c r="WKO3" s="95" t="n"/>
      <c r="WKP3" s="95" t="n"/>
      <c r="WKQ3" s="95" t="n"/>
      <c r="WKR3" s="95" t="n"/>
      <c r="WKS3" s="95" t="n"/>
      <c r="WKT3" s="95" t="n"/>
      <c r="WKU3" s="95" t="n"/>
      <c r="WKV3" s="95" t="n"/>
      <c r="WKW3" s="95" t="n"/>
      <c r="WKX3" s="95" t="n"/>
      <c r="WKY3" s="95" t="n"/>
      <c r="WKZ3" s="95" t="n"/>
      <c r="WLA3" s="95" t="n"/>
      <c r="WLB3" s="95" t="n"/>
      <c r="WLC3" s="95" t="n"/>
      <c r="WLD3" s="95" t="n"/>
      <c r="WLE3" s="95" t="n"/>
      <c r="WLF3" s="95" t="n"/>
      <c r="WLG3" s="95" t="n"/>
      <c r="WLH3" s="95" t="n"/>
      <c r="WLI3" s="95" t="n"/>
      <c r="WLJ3" s="95" t="n"/>
      <c r="WLK3" s="95" t="n"/>
      <c r="WLL3" s="95" t="n"/>
      <c r="WLM3" s="95" t="n"/>
      <c r="WLN3" s="95" t="n"/>
      <c r="WLO3" s="95" t="n"/>
      <c r="WLP3" s="95" t="n"/>
      <c r="WLQ3" s="95" t="n"/>
      <c r="WLR3" s="95" t="n"/>
      <c r="WLS3" s="95" t="n"/>
      <c r="WLT3" s="95" t="n"/>
      <c r="WLU3" s="95" t="n"/>
      <c r="WLV3" s="95" t="n"/>
      <c r="WLW3" s="95" t="n"/>
      <c r="WLX3" s="95" t="n"/>
      <c r="WLY3" s="95" t="n"/>
      <c r="WLZ3" s="95" t="n"/>
      <c r="WMA3" s="95" t="n"/>
      <c r="WMB3" s="95" t="n"/>
      <c r="WMC3" s="95" t="n"/>
      <c r="WMD3" s="95" t="n"/>
      <c r="WME3" s="95" t="n"/>
      <c r="WMF3" s="95" t="n"/>
      <c r="WMG3" s="95" t="n"/>
      <c r="WMH3" s="95" t="n"/>
      <c r="WMI3" s="95" t="n"/>
      <c r="WMJ3" s="95" t="n"/>
      <c r="WMK3" s="95" t="n"/>
      <c r="WML3" s="95" t="n"/>
      <c r="WMM3" s="95" t="n"/>
      <c r="WMN3" s="95" t="n"/>
      <c r="WMO3" s="95" t="n"/>
      <c r="WMP3" s="95" t="n"/>
      <c r="WMQ3" s="95" t="n"/>
      <c r="WMR3" s="95" t="n"/>
      <c r="WMS3" s="95" t="n"/>
      <c r="WMT3" s="95" t="n"/>
      <c r="WMU3" s="95" t="n"/>
      <c r="WMV3" s="95" t="n"/>
      <c r="WMW3" s="95" t="n"/>
      <c r="WMX3" s="95" t="n"/>
      <c r="WMY3" s="95" t="n"/>
      <c r="WMZ3" s="95" t="n"/>
      <c r="WNA3" s="95" t="n"/>
      <c r="WNB3" s="95" t="n"/>
      <c r="WNC3" s="95" t="n"/>
      <c r="WND3" s="95" t="n"/>
      <c r="WNE3" s="95" t="n"/>
      <c r="WNF3" s="95" t="n"/>
      <c r="WNG3" s="95" t="n"/>
      <c r="WNH3" s="95" t="n"/>
      <c r="WNI3" s="95" t="n"/>
      <c r="WNJ3" s="95" t="n"/>
      <c r="WNK3" s="95" t="n"/>
      <c r="WNL3" s="95" t="n"/>
      <c r="WNM3" s="95" t="n"/>
      <c r="WNN3" s="95" t="n"/>
      <c r="WNO3" s="95" t="n"/>
      <c r="WNP3" s="95" t="n"/>
      <c r="WNQ3" s="95" t="n"/>
      <c r="WNR3" s="95" t="n"/>
      <c r="WNS3" s="95" t="n"/>
      <c r="WNT3" s="95" t="n"/>
      <c r="WNU3" s="95" t="n"/>
      <c r="WNV3" s="95" t="n"/>
      <c r="WNW3" s="95" t="n"/>
      <c r="WNX3" s="95" t="n"/>
      <c r="WNY3" s="95" t="n"/>
      <c r="WNZ3" s="95" t="n"/>
      <c r="WOA3" s="95" t="n"/>
      <c r="WOB3" s="95" t="n"/>
      <c r="WOC3" s="95" t="n"/>
      <c r="WOD3" s="95" t="n"/>
      <c r="WOE3" s="95" t="n"/>
      <c r="WOF3" s="95" t="n"/>
      <c r="WOG3" s="95" t="n"/>
      <c r="WOH3" s="95" t="n"/>
      <c r="WOI3" s="95" t="n"/>
      <c r="WOJ3" s="95" t="n"/>
      <c r="WOK3" s="95" t="n"/>
      <c r="WOL3" s="95" t="n"/>
      <c r="WOM3" s="95" t="n"/>
      <c r="WON3" s="95" t="n"/>
      <c r="WOO3" s="95" t="n"/>
      <c r="WOP3" s="95" t="n"/>
      <c r="WOQ3" s="95" t="n"/>
      <c r="WOR3" s="95" t="n"/>
      <c r="WOS3" s="95" t="n"/>
      <c r="WOT3" s="95" t="n"/>
      <c r="WOU3" s="95" t="n"/>
      <c r="WOV3" s="95" t="n"/>
      <c r="WOW3" s="95" t="n"/>
      <c r="WOX3" s="95" t="n"/>
      <c r="WOY3" s="95" t="n"/>
      <c r="WOZ3" s="95" t="n"/>
      <c r="WPA3" s="95" t="n"/>
      <c r="WPB3" s="95" t="n"/>
      <c r="WPC3" s="95" t="n"/>
      <c r="WPD3" s="95" t="n"/>
      <c r="WPE3" s="95" t="n"/>
      <c r="WPF3" s="95" t="n"/>
      <c r="WPG3" s="95" t="n"/>
      <c r="WPH3" s="95" t="n"/>
      <c r="WPI3" s="95" t="n"/>
      <c r="WPJ3" s="95" t="n"/>
      <c r="WPK3" s="95" t="n"/>
      <c r="WPL3" s="95" t="n"/>
      <c r="WPM3" s="95" t="n"/>
      <c r="WPN3" s="95" t="n"/>
      <c r="WPO3" s="95" t="n"/>
      <c r="WPP3" s="95" t="n"/>
      <c r="WPQ3" s="95" t="n"/>
      <c r="WPR3" s="95" t="n"/>
      <c r="WPS3" s="95" t="n"/>
      <c r="WPT3" s="95" t="n"/>
      <c r="WPU3" s="95" t="n"/>
      <c r="WPV3" s="95" t="n"/>
      <c r="WPW3" s="95" t="n"/>
      <c r="WPX3" s="95" t="n"/>
      <c r="WPY3" s="95" t="n"/>
      <c r="WPZ3" s="95" t="n"/>
      <c r="WQA3" s="95" t="n"/>
      <c r="WQB3" s="95" t="n"/>
      <c r="WQC3" s="95" t="n"/>
      <c r="WQD3" s="95" t="n"/>
      <c r="WQE3" s="95" t="n"/>
      <c r="WQF3" s="95" t="n"/>
      <c r="WQG3" s="95" t="n"/>
      <c r="WQH3" s="95" t="n"/>
      <c r="WQI3" s="95" t="n"/>
      <c r="WQJ3" s="95" t="n"/>
      <c r="WQK3" s="95" t="n"/>
      <c r="WQL3" s="95" t="n"/>
      <c r="WQM3" s="95" t="n"/>
      <c r="WQN3" s="95" t="n"/>
      <c r="WQO3" s="95" t="n"/>
      <c r="WQP3" s="95" t="n"/>
      <c r="WQQ3" s="95" t="n"/>
      <c r="WQR3" s="95" t="n"/>
      <c r="WQS3" s="95" t="n"/>
      <c r="WQT3" s="95" t="n"/>
      <c r="WQU3" s="95" t="n"/>
      <c r="WQV3" s="95" t="n"/>
      <c r="WQW3" s="95" t="n"/>
      <c r="WQX3" s="95" t="n"/>
      <c r="WQY3" s="95" t="n"/>
      <c r="WQZ3" s="95" t="n"/>
      <c r="WRA3" s="95" t="n"/>
      <c r="WRB3" s="95" t="n"/>
      <c r="WRC3" s="95" t="n"/>
      <c r="WRD3" s="95" t="n"/>
      <c r="WRE3" s="95" t="n"/>
      <c r="WRF3" s="95" t="n"/>
      <c r="WRG3" s="95" t="n"/>
      <c r="WRH3" s="95" t="n"/>
      <c r="WRI3" s="95" t="n"/>
      <c r="WRJ3" s="95" t="n"/>
      <c r="WRK3" s="95" t="n"/>
      <c r="WRL3" s="95" t="n"/>
      <c r="WRM3" s="95" t="n"/>
      <c r="WRN3" s="95" t="n"/>
      <c r="WRO3" s="95" t="n"/>
      <c r="WRP3" s="95" t="n"/>
      <c r="WRQ3" s="95" t="n"/>
      <c r="WRR3" s="95" t="n"/>
      <c r="WRS3" s="95" t="n"/>
      <c r="WRT3" s="95" t="n"/>
      <c r="WRU3" s="95" t="n"/>
      <c r="WRV3" s="95" t="n"/>
      <c r="WRW3" s="95" t="n"/>
      <c r="WRX3" s="95" t="n"/>
      <c r="WRY3" s="95" t="n"/>
      <c r="WRZ3" s="95" t="n"/>
      <c r="WSA3" s="95" t="n"/>
      <c r="WSB3" s="95" t="n"/>
      <c r="WSC3" s="95" t="n"/>
      <c r="WSD3" s="95" t="n"/>
      <c r="WSE3" s="95" t="n"/>
      <c r="WSF3" s="95" t="n"/>
      <c r="WSG3" s="95" t="n"/>
      <c r="WSH3" s="95" t="n"/>
      <c r="WSI3" s="95" t="n"/>
      <c r="WSJ3" s="95" t="n"/>
      <c r="WSK3" s="95" t="n"/>
      <c r="WSL3" s="95" t="n"/>
      <c r="WSM3" s="95" t="n"/>
      <c r="WSN3" s="95" t="n"/>
      <c r="WSO3" s="95" t="n"/>
      <c r="WSP3" s="95" t="n"/>
      <c r="WSQ3" s="95" t="n"/>
      <c r="WSR3" s="95" t="n"/>
      <c r="WSS3" s="95" t="n"/>
      <c r="WST3" s="95" t="n"/>
      <c r="WSU3" s="95" t="n"/>
      <c r="WSV3" s="95" t="n"/>
      <c r="WSW3" s="95" t="n"/>
      <c r="WSX3" s="95" t="n"/>
      <c r="WSY3" s="95" t="n"/>
      <c r="WSZ3" s="95" t="n"/>
      <c r="WTA3" s="95" t="n"/>
      <c r="WTB3" s="95" t="n"/>
      <c r="WTC3" s="95" t="n"/>
      <c r="WTD3" s="95" t="n"/>
      <c r="WTE3" s="95" t="n"/>
      <c r="WTF3" s="95" t="n"/>
      <c r="WTG3" s="95" t="n"/>
      <c r="WTH3" s="95" t="n"/>
      <c r="WTI3" s="95" t="n"/>
      <c r="WTJ3" s="95" t="n"/>
      <c r="WTK3" s="95" t="n"/>
      <c r="WTL3" s="95" t="n"/>
      <c r="WTM3" s="95" t="n"/>
      <c r="WTN3" s="95" t="n"/>
      <c r="WTO3" s="95" t="n"/>
      <c r="WTP3" s="95" t="n"/>
      <c r="WTQ3" s="95" t="n"/>
      <c r="WTR3" s="95" t="n"/>
      <c r="WTS3" s="95" t="n"/>
      <c r="WTT3" s="95" t="n"/>
      <c r="WTU3" s="95" t="n"/>
      <c r="WTV3" s="95" t="n"/>
      <c r="WTW3" s="95" t="n"/>
      <c r="WTX3" s="95" t="n"/>
      <c r="WTY3" s="95" t="n"/>
      <c r="WTZ3" s="95" t="n"/>
      <c r="WUA3" s="95" t="n"/>
      <c r="WUB3" s="95" t="n"/>
      <c r="WUC3" s="95" t="n"/>
      <c r="WUD3" s="95" t="n"/>
      <c r="WUE3" s="95" t="n"/>
      <c r="WUF3" s="95" t="n"/>
      <c r="WUG3" s="95" t="n"/>
      <c r="WUH3" s="95" t="n"/>
      <c r="WUI3" s="95" t="n"/>
      <c r="WUJ3" s="95" t="n"/>
      <c r="WUK3" s="95" t="n"/>
      <c r="WUL3" s="95" t="n"/>
      <c r="WUM3" s="95" t="n"/>
      <c r="WUN3" s="95" t="n"/>
      <c r="WUO3" s="95" t="n"/>
      <c r="WUP3" s="95" t="n"/>
      <c r="WUQ3" s="95" t="n"/>
      <c r="WUR3" s="95" t="n"/>
      <c r="WUS3" s="95" t="n"/>
      <c r="WUT3" s="95" t="n"/>
      <c r="WUU3" s="95" t="n"/>
      <c r="WUV3" s="95" t="n"/>
      <c r="WUW3" s="95" t="n"/>
      <c r="WUX3" s="95" t="n"/>
      <c r="WUY3" s="95" t="n"/>
      <c r="WUZ3" s="95" t="n"/>
      <c r="WVA3" s="95" t="n"/>
      <c r="WVB3" s="95" t="n"/>
      <c r="WVC3" s="95" t="n"/>
      <c r="WVD3" s="95" t="n"/>
      <c r="WVE3" s="95" t="n"/>
      <c r="WVF3" s="95" t="n"/>
      <c r="WVG3" s="95" t="n"/>
      <c r="WVH3" s="95" t="n"/>
      <c r="WVI3" s="95" t="n"/>
      <c r="WVJ3" s="95" t="n"/>
      <c r="WVK3" s="95" t="n"/>
      <c r="WVL3" s="95" t="n"/>
      <c r="WVM3" s="95" t="n"/>
      <c r="WVN3" s="95" t="n"/>
      <c r="WVO3" s="95" t="n"/>
      <c r="WVP3" s="95" t="n"/>
      <c r="WVQ3" s="95" t="n"/>
      <c r="WVR3" s="95" t="n"/>
      <c r="WVS3" s="95" t="n"/>
      <c r="WVT3" s="95" t="n"/>
      <c r="WVU3" s="95" t="n"/>
      <c r="WVV3" s="95" t="n"/>
      <c r="WVW3" s="95" t="n"/>
      <c r="WVX3" s="95" t="n"/>
      <c r="WVY3" s="95" t="n"/>
      <c r="WVZ3" s="95" t="n"/>
      <c r="WWA3" s="95" t="n"/>
      <c r="WWB3" s="95" t="n"/>
      <c r="WWC3" s="95" t="n"/>
      <c r="WWD3" s="95" t="n"/>
      <c r="WWE3" s="95" t="n"/>
      <c r="WWF3" s="95" t="n"/>
      <c r="WWG3" s="95" t="n"/>
      <c r="WWH3" s="95" t="n"/>
      <c r="WWI3" s="95" t="n"/>
      <c r="WWJ3" s="95" t="n"/>
      <c r="WWK3" s="95" t="n"/>
      <c r="WWL3" s="95" t="n"/>
      <c r="WWM3" s="95" t="n"/>
      <c r="WWN3" s="95" t="n"/>
      <c r="WWO3" s="95" t="n"/>
      <c r="WWP3" s="95" t="n"/>
      <c r="WWQ3" s="95" t="n"/>
      <c r="WWR3" s="95" t="n"/>
      <c r="WWS3" s="95" t="n"/>
      <c r="WWT3" s="95" t="n"/>
      <c r="WWU3" s="95" t="n"/>
      <c r="WWV3" s="95" t="n"/>
      <c r="WWW3" s="95" t="n"/>
      <c r="WWX3" s="95" t="n"/>
      <c r="WWY3" s="95" t="n"/>
      <c r="WWZ3" s="95" t="n"/>
      <c r="WXA3" s="95" t="n"/>
      <c r="WXB3" s="95" t="n"/>
      <c r="WXC3" s="95" t="n"/>
      <c r="WXD3" s="95" t="n"/>
      <c r="WXE3" s="95" t="n"/>
      <c r="WXF3" s="95" t="n"/>
      <c r="WXG3" s="95" t="n"/>
      <c r="WXH3" s="95" t="n"/>
      <c r="WXI3" s="95" t="n"/>
      <c r="WXJ3" s="95" t="n"/>
      <c r="WXK3" s="95" t="n"/>
      <c r="WXL3" s="95" t="n"/>
      <c r="WXM3" s="95" t="n"/>
      <c r="WXN3" s="95" t="n"/>
      <c r="WXO3" s="95" t="n"/>
      <c r="WXP3" s="95" t="n"/>
      <c r="WXQ3" s="95" t="n"/>
      <c r="WXR3" s="95" t="n"/>
      <c r="WXS3" s="95" t="n"/>
      <c r="WXT3" s="95" t="n"/>
      <c r="WXU3" s="95" t="n"/>
      <c r="WXV3" s="95" t="n"/>
      <c r="WXW3" s="95" t="n"/>
      <c r="WXX3" s="95" t="n"/>
      <c r="WXY3" s="95" t="n"/>
      <c r="WXZ3" s="95" t="n"/>
      <c r="WYA3" s="95" t="n"/>
      <c r="WYB3" s="95" t="n"/>
      <c r="WYC3" s="95" t="n"/>
      <c r="WYD3" s="95" t="n"/>
      <c r="WYE3" s="95" t="n"/>
      <c r="WYF3" s="95" t="n"/>
      <c r="WYG3" s="95" t="n"/>
      <c r="WYH3" s="95" t="n"/>
      <c r="WYI3" s="95" t="n"/>
      <c r="WYJ3" s="95" t="n"/>
      <c r="WYK3" s="95" t="n"/>
      <c r="WYL3" s="95" t="n"/>
      <c r="WYM3" s="95" t="n"/>
      <c r="WYN3" s="95" t="n"/>
      <c r="WYO3" s="95" t="n"/>
      <c r="WYP3" s="95" t="n"/>
      <c r="WYQ3" s="95" t="n"/>
      <c r="WYR3" s="95" t="n"/>
      <c r="WYS3" s="95" t="n"/>
      <c r="WYT3" s="95" t="n"/>
      <c r="WYU3" s="95" t="n"/>
      <c r="WYV3" s="95" t="n"/>
      <c r="WYW3" s="95" t="n"/>
      <c r="WYX3" s="95" t="n"/>
      <c r="WYY3" s="95" t="n"/>
      <c r="WYZ3" s="95" t="n"/>
      <c r="WZA3" s="95" t="n"/>
      <c r="WZB3" s="95" t="n"/>
      <c r="WZC3" s="95" t="n"/>
      <c r="WZD3" s="95" t="n"/>
      <c r="WZE3" s="95" t="n"/>
      <c r="WZF3" s="95" t="n"/>
      <c r="WZG3" s="95" t="n"/>
      <c r="WZH3" s="95" t="n"/>
      <c r="WZI3" s="95" t="n"/>
      <c r="WZJ3" s="95" t="n"/>
      <c r="WZK3" s="95" t="n"/>
      <c r="WZL3" s="95" t="n"/>
      <c r="WZM3" s="95" t="n"/>
      <c r="WZN3" s="95" t="n"/>
      <c r="WZO3" s="95" t="n"/>
      <c r="WZP3" s="95" t="n"/>
      <c r="WZQ3" s="95" t="n"/>
      <c r="WZR3" s="95" t="n"/>
      <c r="WZS3" s="95" t="n"/>
      <c r="WZT3" s="95" t="n"/>
      <c r="WZU3" s="95" t="n"/>
      <c r="WZV3" s="95" t="n"/>
      <c r="WZW3" s="95" t="n"/>
      <c r="WZX3" s="95" t="n"/>
      <c r="WZY3" s="95" t="n"/>
      <c r="WZZ3" s="95" t="n"/>
      <c r="XAA3" s="95" t="n"/>
      <c r="XAB3" s="95" t="n"/>
      <c r="XAC3" s="95" t="n"/>
      <c r="XAD3" s="95" t="n"/>
      <c r="XAE3" s="95" t="n"/>
      <c r="XAF3" s="95" t="n"/>
      <c r="XAG3" s="95" t="n"/>
      <c r="XAH3" s="95" t="n"/>
      <c r="XAI3" s="95" t="n"/>
      <c r="XAJ3" s="95" t="n"/>
      <c r="XAK3" s="95" t="n"/>
      <c r="XAL3" s="95" t="n"/>
      <c r="XAM3" s="95" t="n"/>
      <c r="XAN3" s="95" t="n"/>
      <c r="XAO3" s="95" t="n"/>
      <c r="XAP3" s="95" t="n"/>
      <c r="XAQ3" s="95" t="n"/>
      <c r="XAR3" s="95" t="n"/>
      <c r="XAS3" s="95" t="n"/>
      <c r="XAT3" s="95" t="n"/>
      <c r="XAU3" s="95" t="n"/>
      <c r="XAV3" s="95" t="n"/>
      <c r="XAW3" s="95" t="n"/>
      <c r="XAX3" s="95" t="n"/>
      <c r="XAY3" s="95" t="n"/>
      <c r="XAZ3" s="95" t="n"/>
      <c r="XBA3" s="95" t="n"/>
      <c r="XBB3" s="95" t="n"/>
      <c r="XBC3" s="95" t="n"/>
      <c r="XBD3" s="95" t="n"/>
      <c r="XBE3" s="95" t="n"/>
      <c r="XBF3" s="95" t="n"/>
      <c r="XBG3" s="95" t="n"/>
      <c r="XBH3" s="95" t="n"/>
      <c r="XBI3" s="95" t="n"/>
      <c r="XBJ3" s="95" t="n"/>
      <c r="XBK3" s="95" t="n"/>
      <c r="XBL3" s="95" t="n"/>
      <c r="XBM3" s="95" t="n"/>
      <c r="XBN3" s="95" t="n"/>
      <c r="XBO3" s="95" t="n"/>
      <c r="XBP3" s="95" t="n"/>
      <c r="XBQ3" s="95" t="n"/>
      <c r="XBR3" s="95" t="n"/>
      <c r="XBS3" s="95" t="n"/>
      <c r="XBT3" s="95" t="n"/>
      <c r="XBU3" s="95" t="n"/>
      <c r="XBV3" s="95" t="n"/>
      <c r="XBW3" s="95" t="n"/>
      <c r="XBX3" s="95" t="n"/>
      <c r="XBY3" s="95" t="n"/>
      <c r="XBZ3" s="95" t="n"/>
      <c r="XCA3" s="95" t="n"/>
      <c r="XCB3" s="95" t="n"/>
      <c r="XCC3" s="95" t="n"/>
      <c r="XCD3" s="95" t="n"/>
      <c r="XCE3" s="95" t="n"/>
      <c r="XCF3" s="95" t="n"/>
      <c r="XCG3" s="95" t="n"/>
      <c r="XCH3" s="95" t="n"/>
      <c r="XCI3" s="95" t="n"/>
      <c r="XCJ3" s="95" t="n"/>
      <c r="XCK3" s="95" t="n"/>
      <c r="XCL3" s="95" t="n"/>
      <c r="XCM3" s="95" t="n"/>
      <c r="XCN3" s="95" t="n"/>
      <c r="XCO3" s="95" t="n"/>
      <c r="XCP3" s="95" t="n"/>
      <c r="XCQ3" s="95" t="n"/>
      <c r="XCR3" s="95" t="n"/>
      <c r="XCS3" s="95" t="n"/>
      <c r="XCT3" s="95" t="n"/>
      <c r="XCU3" s="95" t="n"/>
      <c r="XCV3" s="95" t="n"/>
      <c r="XCW3" s="95" t="n"/>
      <c r="XCX3" s="95" t="n"/>
      <c r="XCY3" s="95" t="n"/>
      <c r="XCZ3" s="95" t="n"/>
      <c r="XDA3" s="95" t="n"/>
      <c r="XDB3" s="95" t="n"/>
      <c r="XDC3" s="95" t="n"/>
      <c r="XDD3" s="95" t="n"/>
      <c r="XDE3" s="95" t="n"/>
      <c r="XDF3" s="95" t="n"/>
      <c r="XDG3" s="95" t="n"/>
      <c r="XDH3" s="95" t="n"/>
      <c r="XDI3" s="95" t="n"/>
      <c r="XDJ3" s="95" t="n"/>
      <c r="XDK3" s="95" t="n"/>
      <c r="XDL3" s="95" t="n"/>
      <c r="XDM3" s="95" t="n"/>
      <c r="XDN3" s="95" t="n"/>
      <c r="XDO3" s="95" t="n"/>
      <c r="XDP3" s="95" t="n"/>
      <c r="XDQ3" s="95" t="n"/>
      <c r="XDR3" s="95" t="n"/>
      <c r="XDS3" s="95" t="n"/>
      <c r="XDT3" s="95" t="n"/>
      <c r="XDU3" s="95" t="n"/>
      <c r="XDV3" s="95" t="n"/>
      <c r="XDW3" s="95" t="n"/>
      <c r="XDX3" s="95" t="n"/>
      <c r="XDY3" s="95" t="n"/>
      <c r="XDZ3" s="95" t="n"/>
      <c r="XEA3" s="95" t="n"/>
      <c r="XEB3" s="95" t="n"/>
      <c r="XEC3" s="95" t="n"/>
      <c r="XED3" s="95" t="n"/>
      <c r="XEE3" s="95" t="n"/>
      <c r="XEF3" s="95" t="n"/>
      <c r="XEG3" s="95" t="n"/>
      <c r="XEH3" s="95" t="n"/>
      <c r="XEI3" s="95" t="n"/>
      <c r="XEJ3" s="95" t="n"/>
      <c r="XEK3" s="95" t="n"/>
      <c r="XEL3" s="95" t="n"/>
      <c r="XEM3" s="95" t="n"/>
      <c r="XEN3" s="95" t="n"/>
      <c r="XEO3" s="95" t="n"/>
      <c r="XEP3" s="95" t="n"/>
      <c r="XEQ3" s="95" t="n"/>
      <c r="XER3" s="95" t="n"/>
      <c r="XES3" s="95" t="n"/>
      <c r="XET3" s="95" t="n"/>
      <c r="XEU3" s="95" t="n"/>
      <c r="XEV3" s="95" t="n"/>
      <c r="XEW3" s="95" t="n"/>
      <c r="XEX3" s="95" t="n"/>
      <c r="XEY3" s="95" t="n"/>
      <c r="XEZ3" s="95" t="n"/>
      <c r="XFA3" s="95" t="n"/>
      <c r="XFB3" s="95" t="n"/>
      <c r="XFC3" s="95" t="n"/>
      <c r="XFD3" s="95" t="n"/>
    </row>
    <row r="4" ht="24.5" customFormat="1" customHeight="1" s="17" thickBot="1">
      <c r="A4" s="95" t="n"/>
      <c r="B4" s="95" t="n"/>
      <c r="C4" s="95" t="n"/>
      <c r="D4" s="95" t="n"/>
      <c r="E4" s="225" t="n"/>
      <c r="F4" s="225" t="n"/>
      <c r="G4" s="225" t="n"/>
      <c r="H4" s="225" t="n"/>
      <c r="I4" s="225" t="n"/>
      <c r="J4" s="225" t="n"/>
      <c r="K4" s="225" t="n"/>
      <c r="L4" s="225" t="n"/>
      <c r="M4" s="225" t="n"/>
      <c r="N4" s="225" t="n"/>
      <c r="O4" s="225" t="n"/>
      <c r="P4" s="225" t="n"/>
      <c r="Q4" s="225" t="n"/>
      <c r="R4" s="188" t="n"/>
      <c r="S4" s="188" t="n"/>
      <c r="T4" s="16" t="n"/>
      <c r="U4" s="32" t="n"/>
      <c r="V4" s="16" t="n"/>
      <c r="W4" s="16" t="n"/>
      <c r="X4" s="16" t="n"/>
      <c r="Y4" s="16" t="n"/>
      <c r="Z4" s="16" t="n"/>
      <c r="AA4" s="16" t="n"/>
      <c r="AB4" s="16" t="n"/>
      <c r="AC4" s="16" t="n"/>
      <c r="AD4" s="16" t="n"/>
      <c r="AE4" s="16" t="n"/>
      <c r="AF4" s="87" t="n"/>
      <c r="AG4" s="16" t="n"/>
      <c r="AH4" s="16" t="n"/>
      <c r="AI4" s="16" t="n"/>
      <c r="AJ4" s="16" t="n"/>
      <c r="AK4" s="16" t="n"/>
      <c r="AL4" s="16" t="n"/>
      <c r="AM4" s="16" t="n"/>
      <c r="AN4" s="16" t="n"/>
      <c r="AO4" s="16"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c r="BS4" s="16" t="n"/>
      <c r="BT4" s="16" t="n"/>
      <c r="BU4" s="16" t="n"/>
      <c r="BV4" s="16" t="n"/>
      <c r="BW4" s="16" t="n"/>
      <c r="BX4" s="16" t="n"/>
      <c r="BY4" s="16" t="n"/>
      <c r="BZ4" s="16" t="n"/>
      <c r="CA4" s="16" t="n"/>
      <c r="CB4" s="16" t="n"/>
      <c r="CC4" s="16" t="n"/>
      <c r="CD4" s="16" t="n"/>
      <c r="CE4" s="16" t="n"/>
      <c r="CF4" s="16" t="n"/>
      <c r="CG4" s="16" t="n"/>
      <c r="CH4" s="16" t="n"/>
      <c r="CI4" s="16" t="n"/>
      <c r="CJ4" s="16" t="n"/>
      <c r="CK4" s="16" t="n"/>
      <c r="CL4" s="16" t="n"/>
      <c r="CM4" s="16" t="n"/>
      <c r="CN4" s="16" t="n"/>
      <c r="CO4" s="16" t="n"/>
      <c r="CP4" s="16" t="n"/>
      <c r="CQ4" s="16" t="n"/>
      <c r="CR4" s="16" t="n"/>
      <c r="CS4" s="16" t="n"/>
      <c r="CT4" s="16" t="n"/>
      <c r="CU4" s="16" t="n"/>
      <c r="CV4" s="16" t="n"/>
      <c r="CW4" s="16" t="n"/>
      <c r="CX4" s="16" t="n"/>
      <c r="CY4" s="16" t="n"/>
      <c r="CZ4" s="16" t="n"/>
      <c r="DA4" s="16" t="n"/>
      <c r="DB4" s="16" t="n"/>
      <c r="DC4" s="16" t="n"/>
      <c r="DD4" s="16" t="n"/>
      <c r="DE4" s="16" t="n"/>
      <c r="DF4" s="16" t="n"/>
      <c r="DG4" s="16" t="n"/>
      <c r="DH4" s="16" t="n"/>
      <c r="DI4" s="16" t="n"/>
      <c r="DJ4" s="16" t="n"/>
      <c r="DK4" s="16" t="n"/>
      <c r="DL4" s="16" t="n"/>
      <c r="DM4" s="16" t="n"/>
      <c r="DN4" s="16" t="n"/>
      <c r="DO4" s="16" t="n"/>
      <c r="DP4" s="16" t="n"/>
      <c r="DQ4" s="16" t="n"/>
      <c r="DR4" s="16" t="n"/>
      <c r="DS4" s="16" t="n"/>
      <c r="DT4" s="16" t="n"/>
      <c r="DU4" s="16" t="n"/>
      <c r="DV4" s="16" t="n"/>
      <c r="DW4" s="16" t="n"/>
      <c r="DX4" s="16" t="n"/>
      <c r="DY4" s="16" t="n"/>
      <c r="DZ4" s="16" t="n"/>
      <c r="EA4" s="16" t="n"/>
      <c r="EB4" s="16" t="n"/>
      <c r="EC4" s="16" t="n"/>
      <c r="ED4" s="16" t="n"/>
      <c r="EE4" s="16" t="n"/>
      <c r="EF4" s="16" t="n"/>
      <c r="EG4" s="16" t="n"/>
      <c r="EH4" s="16" t="n"/>
      <c r="EI4" s="16" t="n"/>
      <c r="EJ4" s="16" t="n"/>
      <c r="EK4" s="16" t="n"/>
      <c r="EL4" s="16" t="n"/>
      <c r="EM4" s="16" t="n"/>
      <c r="EN4" s="16" t="n"/>
      <c r="EO4" s="16" t="n"/>
      <c r="EP4" s="16" t="n"/>
      <c r="EQ4" s="16" t="n"/>
      <c r="ER4" s="16" t="n"/>
      <c r="ES4" s="16" t="n"/>
      <c r="ET4" s="16" t="n"/>
      <c r="EU4" s="16" t="n"/>
      <c r="EV4" s="16" t="n"/>
      <c r="EW4" s="16" t="n"/>
      <c r="EX4" s="16" t="n"/>
      <c r="EY4" s="16" t="n"/>
      <c r="EZ4" s="16" t="n"/>
      <c r="FA4" s="16" t="n"/>
      <c r="FB4" s="16" t="n"/>
      <c r="FC4" s="16" t="n"/>
      <c r="FD4" s="16" t="n"/>
      <c r="FE4" s="16" t="n"/>
      <c r="FF4" s="16" t="n"/>
      <c r="FG4" s="16" t="n"/>
      <c r="FH4" s="16" t="n"/>
      <c r="FI4" s="16" t="n"/>
      <c r="FJ4" s="16" t="n"/>
      <c r="FK4" s="16" t="n"/>
      <c r="FL4" s="16" t="n"/>
      <c r="FM4" s="16" t="n"/>
      <c r="FN4" s="16" t="n"/>
      <c r="FO4" s="16" t="n"/>
      <c r="FP4" s="16" t="n"/>
      <c r="FQ4" s="16" t="n"/>
      <c r="FR4" s="16" t="n"/>
      <c r="FS4" s="16" t="n"/>
      <c r="FT4" s="16" t="n"/>
      <c r="FU4" s="16" t="n"/>
      <c r="FV4" s="16" t="n"/>
      <c r="FW4" s="16" t="n"/>
      <c r="FX4" s="16" t="n"/>
      <c r="FY4" s="16" t="n"/>
      <c r="FZ4" s="16" t="n"/>
      <c r="GA4" s="16" t="n"/>
      <c r="GB4" s="16" t="n"/>
      <c r="GC4" s="16" t="n"/>
      <c r="GD4" s="16" t="n"/>
      <c r="GE4" s="16" t="n"/>
      <c r="GF4" s="16" t="n"/>
      <c r="GG4" s="16" t="n"/>
      <c r="GH4" s="16" t="n"/>
      <c r="GI4" s="16" t="n"/>
      <c r="GJ4" s="16" t="n"/>
      <c r="GK4" s="16" t="n"/>
      <c r="GL4" s="16" t="n"/>
      <c r="GM4" s="16" t="n"/>
      <c r="GN4" s="16" t="n"/>
      <c r="GO4" s="16" t="n"/>
      <c r="GP4" s="16" t="n"/>
      <c r="GQ4" s="16" t="n"/>
      <c r="GR4" s="16" t="n"/>
      <c r="GS4" s="16" t="n"/>
      <c r="GT4" s="16" t="n"/>
      <c r="GU4" s="16" t="n"/>
      <c r="GV4" s="16" t="n"/>
      <c r="GW4" s="16" t="n"/>
      <c r="GX4" s="16" t="n"/>
      <c r="GY4" s="16" t="n"/>
      <c r="GZ4" s="16" t="n"/>
      <c r="HA4" s="16" t="n"/>
      <c r="HB4" s="16" t="n"/>
      <c r="HC4" s="16" t="n"/>
      <c r="HD4" s="16" t="n"/>
      <c r="HE4" s="16" t="n"/>
      <c r="HF4" s="16" t="n"/>
      <c r="HG4" s="16" t="n"/>
      <c r="HH4" s="16" t="n"/>
      <c r="HI4" s="16" t="n"/>
      <c r="HJ4" s="16" t="n"/>
      <c r="HK4" s="16" t="n"/>
      <c r="HL4" s="16" t="n"/>
      <c r="HM4" s="16" t="n"/>
      <c r="HN4" s="16" t="n"/>
      <c r="HO4" s="16" t="n"/>
      <c r="HP4" s="16" t="n"/>
      <c r="HQ4" s="16" t="n"/>
      <c r="HR4" s="16" t="n"/>
      <c r="HS4" s="16" t="n"/>
      <c r="HT4" s="16" t="n"/>
      <c r="HU4" s="16" t="n"/>
      <c r="HV4" s="16" t="n"/>
      <c r="HW4" s="16" t="n"/>
      <c r="HX4" s="16" t="n"/>
      <c r="HY4" s="16" t="n"/>
      <c r="HZ4" s="16" t="n"/>
      <c r="IA4" s="16" t="n"/>
      <c r="IB4" s="16" t="n"/>
      <c r="IC4" s="16" t="n"/>
    </row>
    <row r="5" ht="24.5" customFormat="1" customHeight="1" s="17" thickBot="1">
      <c r="A5" s="19" t="n"/>
      <c r="B5" s="239" t="inlineStr">
        <is>
          <t>Empresa</t>
        </is>
      </c>
      <c r="C5" s="247" t="n"/>
      <c r="D5" s="247" t="n"/>
      <c r="E5" s="248" t="inlineStr">
        <is>
          <t>Banco Base</t>
        </is>
      </c>
      <c r="F5" s="249" t="n"/>
      <c r="G5" s="146" t="inlineStr">
        <is>
          <t>a</t>
        </is>
      </c>
      <c r="H5" s="248" t="inlineStr">
        <is>
          <t>Arrendadora Base</t>
        </is>
      </c>
      <c r="I5" s="249" t="n"/>
      <c r="J5" s="146" t="n"/>
      <c r="K5" s="248" t="inlineStr">
        <is>
          <t>Casa de Bolsa Base</t>
        </is>
      </c>
      <c r="L5" s="249" t="n"/>
      <c r="M5" s="146" t="n"/>
      <c r="N5" s="248" t="inlineStr">
        <is>
          <t>GFBASE</t>
        </is>
      </c>
      <c r="O5" s="249" t="n"/>
      <c r="P5" s="146" t="n"/>
      <c r="Q5" s="88" t="n"/>
      <c r="R5" s="19" t="n"/>
      <c r="S5" s="19" t="n"/>
      <c r="T5" s="35" t="n"/>
      <c r="U5" s="32" t="n"/>
      <c r="V5" s="16" t="n"/>
      <c r="W5" s="36" t="n"/>
      <c r="X5" s="36" t="n"/>
      <c r="Y5" s="36" t="n"/>
      <c r="Z5" s="16" t="n"/>
      <c r="AA5" s="16" t="n"/>
      <c r="AB5" s="16" t="n"/>
      <c r="AC5" s="16" t="n"/>
      <c r="AD5" s="16" t="n"/>
      <c r="AE5" s="16" t="n"/>
      <c r="AF5" s="22" t="n"/>
      <c r="AG5" s="16" t="n"/>
      <c r="AH5" s="16" t="n"/>
      <c r="AI5" s="23" t="n"/>
      <c r="AJ5" s="24" t="n"/>
      <c r="AK5" s="16" t="n"/>
      <c r="AL5" s="16" t="n"/>
      <c r="AM5" s="16" t="n"/>
      <c r="AN5" s="16" t="n"/>
      <c r="AO5" s="16" t="n"/>
      <c r="AP5" s="16" t="n"/>
      <c r="AQ5" s="16" t="n"/>
      <c r="AR5" s="16" t="n"/>
      <c r="AS5" s="16" t="n"/>
      <c r="AT5" s="16" t="n"/>
      <c r="AU5" s="16" t="n"/>
      <c r="AV5" s="16" t="n"/>
      <c r="AW5" s="16" t="n"/>
      <c r="AX5" s="16" t="n"/>
      <c r="AY5" s="16" t="n"/>
      <c r="AZ5" s="16" t="n"/>
      <c r="BA5" s="16" t="n"/>
      <c r="BB5" s="16" t="n"/>
      <c r="BC5" s="16" t="n"/>
      <c r="BD5" s="16" t="n"/>
      <c r="BE5" s="16" t="n"/>
      <c r="BF5" s="16" t="n"/>
      <c r="BG5" s="16" t="n"/>
      <c r="BH5" s="16" t="n"/>
      <c r="BI5" s="16" t="n"/>
      <c r="BJ5" s="16" t="n"/>
      <c r="BK5" s="16" t="n"/>
      <c r="BL5" s="16" t="n"/>
      <c r="BM5" s="16" t="n"/>
      <c r="BN5" s="16" t="n"/>
      <c r="BO5" s="16" t="n"/>
      <c r="BP5" s="16" t="n"/>
      <c r="BQ5" s="16" t="n"/>
      <c r="BR5" s="16" t="n"/>
      <c r="BS5" s="16" t="n"/>
      <c r="BT5" s="16" t="n"/>
      <c r="BU5" s="16" t="n"/>
      <c r="BV5" s="16" t="n"/>
      <c r="BW5" s="16" t="n"/>
      <c r="BX5" s="16" t="n"/>
      <c r="BY5" s="16" t="n"/>
      <c r="BZ5" s="16" t="n"/>
      <c r="CA5" s="16" t="n"/>
      <c r="CB5" s="16" t="n"/>
      <c r="CC5" s="16" t="n"/>
      <c r="CD5" s="16" t="n"/>
      <c r="CE5" s="16" t="n"/>
      <c r="CF5" s="16" t="n"/>
      <c r="CG5" s="16" t="n"/>
      <c r="CH5" s="16" t="n"/>
      <c r="CI5" s="16" t="n"/>
      <c r="CJ5" s="16" t="n"/>
      <c r="CK5" s="16" t="n"/>
      <c r="CL5" s="16" t="n"/>
      <c r="CM5" s="16" t="n"/>
      <c r="CN5" s="16" t="n"/>
      <c r="CO5" s="16" t="n"/>
      <c r="CP5" s="16" t="n"/>
      <c r="CQ5" s="16" t="n"/>
      <c r="CR5" s="16" t="n"/>
      <c r="CS5" s="16" t="n"/>
      <c r="CT5" s="16" t="n"/>
      <c r="CU5" s="16" t="n"/>
      <c r="CV5" s="16" t="n"/>
      <c r="CW5" s="16" t="n"/>
      <c r="CX5" s="16" t="n"/>
      <c r="CY5" s="16" t="n"/>
      <c r="CZ5" s="16" t="n"/>
      <c r="DA5" s="16" t="n"/>
      <c r="DB5" s="16" t="n"/>
      <c r="DC5" s="16" t="n"/>
      <c r="DD5" s="16" t="n"/>
      <c r="DE5" s="16" t="n"/>
      <c r="DF5" s="16" t="n"/>
      <c r="DG5" s="16" t="n"/>
      <c r="DH5" s="16" t="n"/>
      <c r="DI5" s="16" t="n"/>
      <c r="DJ5" s="16" t="n"/>
      <c r="DK5" s="16" t="n"/>
      <c r="DL5" s="16" t="n"/>
      <c r="DM5" s="16" t="n"/>
      <c r="DN5" s="16" t="n"/>
      <c r="DO5" s="16" t="n"/>
      <c r="DP5" s="16" t="n"/>
      <c r="DQ5" s="16" t="n"/>
      <c r="DR5" s="16" t="n"/>
      <c r="DS5" s="16" t="n"/>
      <c r="DT5" s="16" t="n"/>
      <c r="DU5" s="16" t="n"/>
      <c r="DV5" s="16" t="n"/>
      <c r="DW5" s="16" t="n"/>
      <c r="DX5" s="16" t="n"/>
      <c r="DY5" s="16" t="n"/>
      <c r="DZ5" s="16" t="n"/>
      <c r="EA5" s="16" t="n"/>
      <c r="EB5" s="16" t="n"/>
      <c r="EC5" s="16" t="n"/>
      <c r="ED5" s="16" t="n"/>
      <c r="EE5" s="16" t="n"/>
      <c r="EF5" s="16" t="n"/>
      <c r="EG5" s="16" t="n"/>
      <c r="EH5" s="16" t="n"/>
      <c r="EI5" s="16" t="n"/>
      <c r="EJ5" s="16" t="n"/>
      <c r="EK5" s="16" t="n"/>
      <c r="EL5" s="16" t="n"/>
      <c r="EM5" s="16" t="n"/>
      <c r="EN5" s="16" t="n"/>
      <c r="EO5" s="16" t="n"/>
      <c r="EP5" s="16" t="n"/>
      <c r="EQ5" s="16" t="n"/>
      <c r="ER5" s="16" t="n"/>
      <c r="ES5" s="16" t="n"/>
      <c r="ET5" s="16" t="n"/>
      <c r="EU5" s="16" t="n"/>
      <c r="EV5" s="16" t="n"/>
      <c r="EW5" s="16" t="n"/>
      <c r="EX5" s="16" t="n"/>
      <c r="EY5" s="16" t="n"/>
      <c r="EZ5" s="16" t="n"/>
      <c r="FA5" s="16" t="n"/>
      <c r="FB5" s="16" t="n"/>
      <c r="FC5" s="16" t="n"/>
      <c r="FD5" s="16" t="n"/>
      <c r="FE5" s="16" t="n"/>
      <c r="FF5" s="16" t="n"/>
      <c r="FG5" s="16" t="n"/>
      <c r="FH5" s="16" t="n"/>
      <c r="FI5" s="16" t="n"/>
      <c r="FJ5" s="16" t="n"/>
      <c r="FK5" s="16" t="n"/>
      <c r="FL5" s="16" t="n"/>
      <c r="FM5" s="16" t="n"/>
      <c r="FN5" s="16" t="n"/>
      <c r="FO5" s="16" t="n"/>
      <c r="FP5" s="16" t="n"/>
      <c r="FQ5" s="16" t="n"/>
      <c r="FR5" s="16" t="n"/>
      <c r="FS5" s="16" t="n"/>
      <c r="FT5" s="16" t="n"/>
      <c r="FU5" s="16" t="n"/>
      <c r="FV5" s="16" t="n"/>
      <c r="FW5" s="16" t="n"/>
      <c r="FX5" s="16" t="n"/>
      <c r="FY5" s="16" t="n"/>
      <c r="FZ5" s="16" t="n"/>
      <c r="GA5" s="16" t="n"/>
      <c r="GB5" s="16" t="n"/>
      <c r="GC5" s="16" t="n"/>
      <c r="GD5" s="16" t="n"/>
      <c r="GE5" s="16" t="n"/>
      <c r="GF5" s="16" t="n"/>
      <c r="GG5" s="16" t="n"/>
      <c r="GH5" s="16" t="n"/>
      <c r="GI5" s="16" t="n"/>
      <c r="GJ5" s="16" t="n"/>
      <c r="GK5" s="16" t="n"/>
      <c r="GL5" s="16" t="n"/>
      <c r="GM5" s="16" t="n"/>
      <c r="GN5" s="16" t="n"/>
      <c r="GO5" s="16" t="n"/>
      <c r="GP5" s="16" t="n"/>
      <c r="GQ5" s="16" t="n"/>
      <c r="GR5" s="16" t="n"/>
      <c r="GS5" s="16" t="n"/>
      <c r="GT5" s="16" t="n"/>
      <c r="GU5" s="16" t="n"/>
      <c r="GV5" s="16" t="n"/>
      <c r="GW5" s="16" t="n"/>
      <c r="GX5" s="16" t="n"/>
      <c r="GY5" s="16" t="n"/>
      <c r="GZ5" s="16" t="n"/>
      <c r="HA5" s="16" t="n"/>
      <c r="HB5" s="16" t="n"/>
      <c r="HC5" s="16" t="n"/>
      <c r="HD5" s="16" t="n"/>
      <c r="HE5" s="16" t="n"/>
      <c r="HF5" s="16" t="n"/>
      <c r="HG5" s="16" t="n"/>
      <c r="HH5" s="16" t="n"/>
      <c r="HI5" s="16" t="n"/>
      <c r="HJ5" s="16" t="n"/>
      <c r="HK5" s="16" t="n"/>
      <c r="HL5" s="16" t="n"/>
      <c r="HM5" s="16" t="n"/>
      <c r="HN5" s="16" t="n"/>
      <c r="HO5" s="16" t="n"/>
      <c r="HP5" s="16" t="n"/>
      <c r="HQ5" s="16" t="n"/>
      <c r="HR5" s="16" t="n"/>
      <c r="HS5" s="16" t="n"/>
      <c r="HT5" s="16" t="n"/>
      <c r="HU5" s="16" t="n"/>
      <c r="HV5" s="16" t="n"/>
      <c r="HW5" s="16" t="n"/>
      <c r="HX5" s="16" t="n"/>
      <c r="HY5" s="16" t="n"/>
      <c r="HZ5" s="16" t="n"/>
      <c r="IA5" s="16" t="n"/>
      <c r="IB5" s="16" t="n"/>
      <c r="IC5" s="16" t="n"/>
    </row>
    <row r="6" ht="22.5" customFormat="1" customHeight="1" s="32" thickBot="1">
      <c r="A6" s="25" t="n"/>
      <c r="B6" s="116" t="n"/>
      <c r="C6" s="116" t="n"/>
      <c r="D6" s="117" t="n"/>
      <c r="E6" s="25" t="n"/>
      <c r="F6" s="25" t="n"/>
      <c r="G6" s="25" t="n"/>
      <c r="H6" s="25" t="n"/>
      <c r="I6" s="25" t="n"/>
      <c r="J6" s="25" t="n"/>
      <c r="K6" s="25" t="n"/>
      <c r="L6" s="26" t="n"/>
      <c r="M6" s="26" t="n"/>
      <c r="N6" s="26" t="n"/>
      <c r="O6" s="26" t="n"/>
      <c r="P6" s="26" t="n"/>
      <c r="Q6" s="26" t="n"/>
      <c r="R6" s="26" t="n"/>
      <c r="S6" s="26" t="n"/>
      <c r="T6" s="35" t="n"/>
      <c r="W6" s="36" t="n"/>
      <c r="X6" s="36" t="n"/>
      <c r="Y6" s="36" t="n"/>
      <c r="AF6" s="87" t="inlineStr">
        <is>
          <t>ACEPTABLE</t>
        </is>
      </c>
      <c r="AI6" s="32" t="inlineStr">
        <is>
          <t>ANTONIO FLORES LUNA</t>
        </is>
      </c>
      <c r="AJ6" s="32" t="inlineStr">
        <is>
          <t>Director de Auditoría Interna</t>
        </is>
      </c>
      <c r="ID6" s="118" t="n"/>
      <c r="IE6" s="118" t="n"/>
      <c r="IF6" s="118" t="n"/>
      <c r="IG6" s="118" t="n"/>
      <c r="IH6" s="118" t="n"/>
      <c r="II6" s="118" t="n"/>
      <c r="IJ6" s="118" t="n"/>
      <c r="IK6" s="118" t="n"/>
      <c r="IL6" s="118" t="n"/>
      <c r="IM6" s="118" t="n"/>
      <c r="IN6" s="118" t="n"/>
      <c r="IO6" s="118" t="n"/>
      <c r="IP6" s="118" t="n"/>
      <c r="IQ6" s="118" t="n"/>
      <c r="IR6" s="118" t="n"/>
      <c r="IS6" s="118" t="n"/>
      <c r="IT6" s="118" t="n"/>
      <c r="IU6" s="118" t="n"/>
      <c r="IV6" s="118" t="n"/>
    </row>
    <row r="7" ht="27" customFormat="1" customHeight="1" s="32">
      <c r="A7" s="176" t="inlineStr">
        <is>
          <t xml:space="preserve">Cifras al </t>
        </is>
      </c>
      <c r="C7" s="250">
        <f>IFERROR(IF('(1)_Base_de_Datos'!I4&lt;&gt;"",'(1)_Base_de_Datos'!I4,""),"")</f>
        <v/>
      </c>
      <c r="D7" s="251" t="n"/>
      <c r="E7" s="251" t="n"/>
      <c r="F7" s="97" t="n"/>
      <c r="G7" s="176" t="inlineStr">
        <is>
          <t xml:space="preserve">Periodo de Revisión: </t>
        </is>
      </c>
      <c r="J7" s="250">
        <f>IFERROR(IF('(1)_Base_de_Datos'!H4&lt;&gt;"",'(1)_Base_de_Datos'!H4,""),"")</f>
        <v/>
      </c>
      <c r="K7" s="251" t="n"/>
      <c r="L7" s="251" t="n"/>
      <c r="M7" s="251" t="n"/>
      <c r="N7" s="251" t="n"/>
      <c r="O7" s="32" t="n"/>
      <c r="P7" s="32" t="n"/>
      <c r="Q7" s="33" t="inlineStr">
        <is>
          <t>Fecha de elaboración</t>
        </is>
      </c>
      <c r="R7" s="250">
        <f>IFERROR(IF('(1)_Base_de_Datos'!V4&lt;&gt;"",'(1)_Base_de_Datos'!V4,""),"")</f>
        <v/>
      </c>
      <c r="S7" s="251" t="n"/>
      <c r="T7" s="34" t="n"/>
      <c r="U7" s="252" t="inlineStr">
        <is>
          <t>EN CASO DE REALIZAR COMENTARIOS ADICIONALES, COMO OBJETIVOS, CARACTERÍSTICAS, ETC., MOSTRAR LAS CELDAS 10 A LA 15 QUE ESTÁN OCULTAS.</t>
        </is>
      </c>
      <c r="V7" s="253" t="n"/>
      <c r="W7" s="254" t="n"/>
      <c r="X7" s="36" t="n"/>
      <c r="Y7" s="36" t="n"/>
      <c r="AF7" s="27" t="inlineStr">
        <is>
          <t>PARCIALMENTE ACEPTABLE</t>
        </is>
      </c>
      <c r="AI7" s="28" t="inlineStr">
        <is>
          <t>CARLOS ALBERTO NAVARRO RIVERA</t>
        </is>
      </c>
      <c r="AJ7" s="29" t="inlineStr">
        <is>
          <t>Subdirección de Auditoría Procesos de Staff y Riesgos</t>
        </is>
      </c>
      <c r="ID7" s="118" t="n"/>
      <c r="IE7" s="118" t="n"/>
      <c r="IF7" s="118" t="n"/>
      <c r="IG7" s="118" t="n"/>
      <c r="IH7" s="118" t="n"/>
      <c r="II7" s="118" t="n"/>
      <c r="IJ7" s="118" t="n"/>
      <c r="IK7" s="118" t="n"/>
      <c r="IL7" s="118" t="n"/>
      <c r="IM7" s="118" t="n"/>
      <c r="IN7" s="118" t="n"/>
      <c r="IO7" s="118" t="n"/>
      <c r="IP7" s="118" t="n"/>
      <c r="IQ7" s="118" t="n"/>
      <c r="IR7" s="118" t="n"/>
      <c r="IS7" s="118" t="n"/>
      <c r="IT7" s="118" t="n"/>
      <c r="IU7" s="118" t="n"/>
      <c r="IV7" s="118" t="n"/>
    </row>
    <row r="8" ht="70.5" customFormat="1" customHeight="1" s="32">
      <c r="A8" s="96" t="n"/>
      <c r="B8" s="32" t="n"/>
      <c r="C8" s="32" t="n"/>
      <c r="D8" s="32" t="n"/>
      <c r="E8" s="32" t="n"/>
      <c r="F8" s="32" t="n"/>
      <c r="G8" s="188">
        <f>IF(J8&lt;&gt;"","Proceso Auditado", "")</f>
        <v/>
      </c>
      <c r="H8" s="69" t="n"/>
      <c r="I8" s="69" t="n"/>
      <c r="J8" s="189">
        <f>IFERROR(IF('(1)_Base_de_Datos'!J4&lt;&gt;"",'(1)_Base_de_Datos'!J4,""),"")</f>
        <v/>
      </c>
      <c r="K8" s="251" t="n"/>
      <c r="L8" s="251" t="n"/>
      <c r="M8" s="251" t="n"/>
      <c r="N8" s="251" t="n"/>
      <c r="O8" s="32" t="n"/>
      <c r="P8" s="32" t="n"/>
      <c r="Q8" s="32" t="n"/>
      <c r="R8" s="32" t="n"/>
      <c r="S8" s="32" t="n"/>
      <c r="U8" s="255" t="n"/>
      <c r="W8" s="256" t="n"/>
      <c r="X8" s="36" t="n"/>
      <c r="Y8" s="36" t="n"/>
      <c r="Z8" s="32" t="n"/>
      <c r="AF8" s="86" t="inlineStr">
        <is>
          <t>INACEPTABLE</t>
        </is>
      </c>
      <c r="ID8" s="118" t="n"/>
      <c r="IE8" s="118" t="n"/>
      <c r="IF8" s="118" t="n"/>
      <c r="IG8" s="118" t="n"/>
      <c r="IH8" s="118" t="n"/>
      <c r="II8" s="118" t="n"/>
      <c r="IJ8" s="118" t="n"/>
      <c r="IK8" s="118" t="n"/>
      <c r="IL8" s="118" t="n"/>
      <c r="IM8" s="118" t="n"/>
      <c r="IN8" s="118" t="n"/>
      <c r="IO8" s="118" t="n"/>
      <c r="IP8" s="118" t="n"/>
      <c r="IQ8" s="118" t="n"/>
      <c r="IR8" s="118" t="n"/>
      <c r="IS8" s="118" t="n"/>
      <c r="IT8" s="118" t="n"/>
      <c r="IU8" s="118" t="n"/>
      <c r="IV8" s="118" t="n"/>
    </row>
    <row r="9" ht="33.5" customFormat="1" customHeight="1" s="32" thickBot="1">
      <c r="A9" s="31" t="n"/>
      <c r="B9" s="32" t="n"/>
      <c r="C9" s="32" t="n"/>
      <c r="D9" s="32" t="n"/>
      <c r="E9" s="32" t="n"/>
      <c r="F9" s="32" t="n"/>
      <c r="G9" s="188">
        <f>IF(J9&lt;&gt;"","Nombre del Monitoreo", "")</f>
        <v/>
      </c>
      <c r="H9" s="69" t="n"/>
      <c r="I9" s="69" t="n"/>
      <c r="J9" s="189">
        <f>IFERROR(IF('(1)_Base_de_Datos'!K4&lt;&gt;"",'(1)_Base_de_Datos'!K4,""),"")</f>
        <v/>
      </c>
      <c r="K9" s="251" t="n"/>
      <c r="L9" s="251" t="n"/>
      <c r="M9" s="251" t="n"/>
      <c r="N9" s="251" t="n"/>
      <c r="O9" s="32" t="n"/>
      <c r="P9" s="176" t="inlineStr">
        <is>
          <t>Auditor</t>
        </is>
      </c>
      <c r="Q9" s="190">
        <f>IFERROR(IF('(1)_Base_de_Datos'!T4&lt;&gt;"",'(1)_Base_de_Datos'!T4,""),"")</f>
        <v/>
      </c>
      <c r="R9" s="251" t="n"/>
      <c r="S9" s="251" t="n"/>
      <c r="T9" s="35" t="n"/>
      <c r="U9" s="257" t="n"/>
      <c r="V9" s="258" t="n"/>
      <c r="W9" s="259" t="n"/>
      <c r="X9" s="36" t="n"/>
      <c r="Y9" s="36" t="n"/>
      <c r="Z9" s="32" t="n"/>
      <c r="AF9" s="37" t="inlineStr">
        <is>
          <t>Resultado2</t>
        </is>
      </c>
      <c r="ID9" s="118" t="n"/>
      <c r="IE9" s="118" t="n"/>
      <c r="IF9" s="118" t="n"/>
      <c r="IG9" s="118" t="n"/>
      <c r="IH9" s="118" t="n"/>
      <c r="II9" s="118" t="n"/>
      <c r="IJ9" s="118" t="n"/>
      <c r="IK9" s="118" t="n"/>
      <c r="IL9" s="118" t="n"/>
      <c r="IM9" s="118" t="n"/>
      <c r="IN9" s="118" t="n"/>
      <c r="IO9" s="118" t="n"/>
      <c r="IP9" s="118" t="n"/>
      <c r="IQ9" s="118" t="n"/>
      <c r="IR9" s="118" t="n"/>
      <c r="IS9" s="118" t="n"/>
      <c r="IT9" s="118" t="n"/>
      <c r="IU9" s="118" t="n"/>
      <c r="IV9" s="118" t="n"/>
    </row>
    <row r="10" ht="12" customFormat="1" customHeight="1" s="65">
      <c r="A10" s="62" t="n"/>
      <c r="B10" s="38" t="n"/>
      <c r="C10" s="38" t="n"/>
      <c r="D10" s="38" t="n"/>
      <c r="E10" s="38" t="n"/>
      <c r="F10" s="38" t="n"/>
      <c r="G10" s="65" t="n"/>
      <c r="H10" s="65" t="n"/>
      <c r="I10" s="65" t="n"/>
      <c r="J10" s="65" t="n"/>
      <c r="K10" s="65" t="n"/>
      <c r="L10" s="65" t="n"/>
      <c r="M10" s="65" t="n"/>
      <c r="N10" s="65" t="n"/>
      <c r="O10" s="65" t="n"/>
      <c r="P10" s="65" t="n"/>
      <c r="Q10" s="82" t="n"/>
      <c r="R10" s="238" t="n"/>
      <c r="S10" s="69" t="n"/>
      <c r="AI10" s="32" t="n"/>
      <c r="ID10" s="62" t="n"/>
      <c r="IE10" s="62" t="n"/>
      <c r="IF10" s="62" t="n"/>
      <c r="IG10" s="62" t="n"/>
      <c r="IH10" s="62" t="n"/>
      <c r="II10" s="62" t="n"/>
      <c r="IJ10" s="62" t="n"/>
      <c r="IK10" s="62" t="n"/>
      <c r="IL10" s="62" t="n"/>
      <c r="IM10" s="62" t="n"/>
      <c r="IN10" s="62" t="n"/>
      <c r="IO10" s="62" t="n"/>
      <c r="IP10" s="62" t="n"/>
      <c r="IQ10" s="62" t="n"/>
      <c r="IR10" s="62" t="n"/>
      <c r="IS10" s="62" t="n"/>
      <c r="IT10" s="62" t="n"/>
      <c r="IU10" s="62" t="n"/>
      <c r="IV10" s="62" t="n"/>
    </row>
    <row r="11" ht="30" customFormat="1" customHeight="1" s="65">
      <c r="A11" s="226" t="inlineStr">
        <is>
          <t>A   U   D   I   T   O   R   Í   A</t>
        </is>
      </c>
      <c r="B11" s="247" t="n"/>
      <c r="C11" s="247" t="n"/>
      <c r="D11" s="247" t="n"/>
      <c r="E11" s="247" t="n"/>
      <c r="F11" s="247" t="n"/>
      <c r="G11" s="247" t="n"/>
      <c r="H11" s="247" t="n"/>
      <c r="I11" s="247" t="n"/>
      <c r="J11" s="247" t="n"/>
      <c r="K11" s="247" t="n"/>
      <c r="L11" s="247" t="n"/>
      <c r="M11" s="260" t="inlineStr">
        <is>
          <t>Á   R   E   A          A    U   D   I   T   A   D   A</t>
        </is>
      </c>
      <c r="N11" s="261" t="n"/>
      <c r="O11" s="261" t="n"/>
      <c r="P11" s="261" t="n"/>
      <c r="Q11" s="261" t="n"/>
      <c r="R11" s="261" t="n"/>
      <c r="S11" s="262" t="n"/>
      <c r="ID11" s="62" t="n"/>
      <c r="IE11" s="62" t="n"/>
      <c r="IF11" s="62" t="n"/>
      <c r="IG11" s="62" t="n"/>
      <c r="IH11" s="62" t="n"/>
      <c r="II11" s="62" t="n"/>
      <c r="IJ11" s="62" t="n"/>
      <c r="IK11" s="62" t="n"/>
      <c r="IL11" s="62" t="n"/>
      <c r="IM11" s="62" t="n"/>
      <c r="IN11" s="62" t="n"/>
      <c r="IO11" s="62" t="n"/>
      <c r="IP11" s="62" t="n"/>
      <c r="IQ11" s="62" t="n"/>
      <c r="IR11" s="62" t="n"/>
      <c r="IS11" s="62" t="n"/>
      <c r="IT11" s="62" t="n"/>
      <c r="IU11" s="62" t="n"/>
      <c r="IV11" s="62" t="n"/>
    </row>
    <row r="12" ht="38" customHeight="1" s="150">
      <c r="A12" s="83" t="inlineStr">
        <is>
          <t>No.</t>
        </is>
      </c>
      <c r="B12" s="263" t="inlineStr">
        <is>
          <t>HALLAZGO</t>
        </is>
      </c>
      <c r="C12" s="264" t="n"/>
      <c r="D12" s="264" t="n"/>
      <c r="E12" s="264" t="n"/>
      <c r="F12" s="265" t="n"/>
      <c r="G12" s="232" t="inlineStr">
        <is>
          <t>GRADO DE RIESGO</t>
        </is>
      </c>
      <c r="H12" s="266" t="inlineStr">
        <is>
          <t>IMPLICACIÓN/ FUNDAMENTO</t>
        </is>
      </c>
      <c r="I12" s="264" t="n"/>
      <c r="J12" s="264" t="n"/>
      <c r="K12" s="265" t="n"/>
      <c r="L12" s="232" t="inlineStr">
        <is>
          <t>TIPO DE 
HALLAZGO</t>
        </is>
      </c>
      <c r="M12" s="233" t="inlineStr">
        <is>
          <t xml:space="preserve">COMPROMISO </t>
        </is>
      </c>
      <c r="N12" s="267" t="n"/>
      <c r="O12" s="267" t="n"/>
      <c r="P12" s="268" t="n"/>
      <c r="Q12" s="85" t="inlineStr">
        <is>
          <t>FECHA 
COMPROMISO</t>
        </is>
      </c>
      <c r="R12" s="85" t="inlineStr">
        <is>
          <t>RESPONSABLE</t>
        </is>
      </c>
      <c r="S12" s="85" t="inlineStr">
        <is>
          <t>PUESTO RESPONSABLE</t>
        </is>
      </c>
      <c r="IC12" s="69" t="n"/>
    </row>
    <row r="13" ht="23" customHeight="1" s="150">
      <c r="A13" s="122" t="n"/>
      <c r="B13" s="205">
        <f>IF('(1)_Base_de_Datos'!$R$4&lt;&gt;"",'(1)_Base_de_Datos'!$R$4,"")</f>
        <v/>
      </c>
      <c r="C13" s="269" t="n"/>
      <c r="D13" s="269" t="n"/>
      <c r="E13" s="269" t="n"/>
      <c r="F13" s="269" t="n"/>
      <c r="G13" s="119" t="n"/>
      <c r="H13" s="205">
        <f>IF('(1)_Base_de_Datos'!$B$4="Recomendación",'(1)_Base_de_Datos'!$B$4,"")</f>
        <v/>
      </c>
      <c r="I13" s="269" t="n"/>
      <c r="J13" s="269" t="n"/>
      <c r="K13" s="269" t="n"/>
      <c r="L13" s="119" t="n"/>
      <c r="M13" s="119" t="n"/>
      <c r="N13" s="119" t="n"/>
      <c r="O13" s="119" t="n"/>
      <c r="P13" s="119" t="n"/>
      <c r="Q13" s="119" t="n"/>
      <c r="R13" s="119" t="n"/>
      <c r="S13" s="120" t="n"/>
      <c r="T13" s="69" t="n"/>
      <c r="U13" s="45" t="n"/>
      <c r="V13" s="46" t="n"/>
      <c r="IC13" s="69" t="n"/>
    </row>
    <row r="14" ht="63" customHeight="1" s="150">
      <c r="A14" s="270" t="n">
        <v>1</v>
      </c>
      <c r="B14" s="210">
        <f>IFERROR(IF('(1)_Base_de_Datos'!L4&lt;&gt;"",'(1)_Base_de_Datos'!L4,""),"")</f>
        <v/>
      </c>
      <c r="C14" s="269" t="n"/>
      <c r="D14" s="269" t="n"/>
      <c r="E14" s="269" t="n"/>
      <c r="F14" s="271" t="n"/>
      <c r="G14" s="272">
        <f>IFERROR(IF('(1)_Base_de_Datos'!C4&lt;&gt;"",'(1)_Base_de_Datos'!C4,""),"")</f>
        <v/>
      </c>
      <c r="H14" s="156" t="inlineStr">
        <is>
          <t>IMPLICACIÓN</t>
        </is>
      </c>
      <c r="I14" s="247" t="n"/>
      <c r="J14" s="247" t="n"/>
      <c r="K14" s="273" t="n"/>
      <c r="L14" s="274">
        <f>IFERROR(IF('(1)_Base_de_Datos'!Q4&lt;&gt;"",'(1)_Base_de_Datos'!Q4,""),"")</f>
        <v/>
      </c>
      <c r="M14" s="275" t="inlineStr">
        <is>
          <t>Se corregirá la clasificación sectorial identificada y el cálculo de la exposición y reserva; adicionalmente, se reforzarán las validaciones previas al cierre para asegurar la correcta determinación de PI, SP y reservas.</t>
        </is>
      </c>
      <c r="N14" s="276" t="n"/>
      <c r="O14" s="276" t="n"/>
      <c r="P14" s="277" t="n"/>
      <c r="Q14" s="278" t="n"/>
      <c r="R14" s="279">
        <f>IFERROR(IF('(1)_Base_de_Datos'!X4&lt;&gt;"",'(1)_Base_de_Datos'!X4,""),"")</f>
        <v/>
      </c>
      <c r="S14" s="279">
        <f>IFERROR(IF('(1)_Base_de_Datos'!Y4&lt;&gt;"",'(1)_Base_de_Datos'!Y4,""),"")</f>
        <v/>
      </c>
      <c r="T14" s="47" t="n"/>
      <c r="U14" s="45" t="n"/>
      <c r="V14" s="46" t="n"/>
      <c r="IC14" s="69" t="n"/>
    </row>
    <row r="15" ht="24.5" customHeight="1" s="150">
      <c r="A15" s="280" t="n"/>
      <c r="B15" s="281">
        <f>IFERROR(IF('(1)_Base_de_Datos'!M4&lt;&gt;"",'(1)_Base_de_Datos'!M4,""),"")</f>
        <v/>
      </c>
      <c r="C15" s="282" t="n"/>
      <c r="D15" s="282" t="n"/>
      <c r="E15" s="282" t="n"/>
      <c r="F15" s="283" t="n"/>
      <c r="G15" s="69" t="n"/>
      <c r="H15" s="155">
        <f>IFERROR(IF('(1)_Base_de_Datos'!N4&lt;&gt;"",'(1)_Base_de_Datos'!N4,""),"")</f>
        <v/>
      </c>
      <c r="I15" s="282" t="n"/>
      <c r="J15" s="282" t="n"/>
      <c r="K15" s="283" t="n"/>
      <c r="L15" s="284" t="n"/>
      <c r="M15" s="285" t="n"/>
      <c r="N15" s="286" t="n"/>
      <c r="O15" s="286" t="n"/>
      <c r="P15" s="287" t="n"/>
      <c r="Q15" s="288" t="n"/>
      <c r="R15" s="289" t="n"/>
      <c r="S15" s="289" t="n"/>
      <c r="T15" s="47" t="n"/>
      <c r="U15" s="48" t="n"/>
      <c r="V15" s="48" t="n"/>
      <c r="IC15" s="69" t="n"/>
    </row>
    <row r="16" ht="18.75" customHeight="1" s="150">
      <c r="A16" s="280" t="n"/>
      <c r="B16" s="284" t="n"/>
      <c r="C16" s="69" t="n"/>
      <c r="D16" s="69" t="n"/>
      <c r="E16" s="69" t="n"/>
      <c r="F16" s="290" t="n"/>
      <c r="G16" s="69" t="n"/>
      <c r="H16" s="291" t="n"/>
      <c r="I16" s="292" t="n"/>
      <c r="J16" s="292" t="n"/>
      <c r="K16" s="293" t="n"/>
      <c r="L16" s="284" t="n"/>
      <c r="M16" s="285" t="n"/>
      <c r="N16" s="286" t="n"/>
      <c r="O16" s="286" t="n"/>
      <c r="P16" s="287" t="n"/>
      <c r="Q16" s="288" t="n"/>
      <c r="R16" s="289" t="n"/>
      <c r="S16" s="289" t="n"/>
      <c r="T16" s="47" t="n"/>
      <c r="U16" s="48" t="n"/>
      <c r="V16" s="48" t="n"/>
      <c r="IC16" s="69" t="n"/>
    </row>
    <row r="17" ht="24" customHeight="1" s="150">
      <c r="A17" s="280" t="n"/>
      <c r="B17" s="284" t="n"/>
      <c r="C17" s="69" t="n"/>
      <c r="D17" s="69" t="n"/>
      <c r="E17" s="69" t="n"/>
      <c r="F17" s="290" t="n"/>
      <c r="G17" s="69" t="n"/>
      <c r="H17" s="156" t="inlineStr">
        <is>
          <t>FUNDAMENTO</t>
        </is>
      </c>
      <c r="I17" s="247" t="n"/>
      <c r="J17" s="247" t="n"/>
      <c r="K17" s="273" t="n"/>
      <c r="L17" s="284" t="n"/>
      <c r="M17" s="285" t="n"/>
      <c r="N17" s="286" t="n"/>
      <c r="O17" s="286" t="n"/>
      <c r="P17" s="287" t="n"/>
      <c r="Q17" s="288" t="n"/>
      <c r="R17" s="289" t="n"/>
      <c r="S17" s="289" t="n"/>
      <c r="T17" s="47" t="n"/>
      <c r="U17" s="48" t="n"/>
      <c r="V17" s="48" t="n"/>
      <c r="IC17" s="69" t="n"/>
    </row>
    <row r="18" ht="57.5" customHeight="1" s="150">
      <c r="A18" s="280" t="n"/>
      <c r="B18" s="284" t="n"/>
      <c r="C18" s="69" t="n"/>
      <c r="D18" s="69" t="n"/>
      <c r="E18" s="69" t="n"/>
      <c r="F18" s="290" t="n"/>
      <c r="G18" s="69" t="n"/>
      <c r="H18" s="155">
        <f>IFERROR(IF('(1)_Base_de_Datos'!O4&lt;&gt;"",'(1)_Base_de_Datos'!O4,""),"")</f>
        <v/>
      </c>
      <c r="I18" s="282" t="n"/>
      <c r="J18" s="282" t="n"/>
      <c r="K18" s="283" t="n"/>
      <c r="L18" s="284" t="n"/>
      <c r="M18" s="285" t="n"/>
      <c r="N18" s="286" t="n"/>
      <c r="O18" s="286" t="n"/>
      <c r="P18" s="287" t="n"/>
      <c r="Q18" s="288" t="n"/>
      <c r="R18" s="289" t="n"/>
      <c r="S18" s="289" t="n"/>
      <c r="T18" s="47" t="n"/>
      <c r="U18" s="48" t="n"/>
      <c r="V18" s="48" t="n"/>
      <c r="IC18" s="69" t="n"/>
    </row>
    <row r="19" ht="72" customHeight="1" s="150">
      <c r="A19" s="280" t="n"/>
      <c r="B19" s="284" t="n"/>
      <c r="C19" s="69" t="n"/>
      <c r="D19" s="69" t="n"/>
      <c r="E19" s="69" t="n"/>
      <c r="F19" s="290" t="n"/>
      <c r="G19" s="69" t="n"/>
      <c r="H19" s="291" t="n"/>
      <c r="I19" s="292" t="n"/>
      <c r="J19" s="292" t="n"/>
      <c r="K19" s="293" t="n"/>
      <c r="L19" s="284" t="n"/>
      <c r="M19" s="285" t="n"/>
      <c r="N19" s="286" t="n"/>
      <c r="O19" s="286" t="n"/>
      <c r="P19" s="287" t="n"/>
      <c r="Q19" s="288" t="n"/>
      <c r="R19" s="289" t="n"/>
      <c r="S19" s="289" t="n"/>
      <c r="T19" s="47" t="n"/>
      <c r="IC19" s="69" t="n"/>
    </row>
    <row r="20" ht="24" customHeight="1" s="150">
      <c r="A20" s="280" t="n"/>
      <c r="B20" s="284" t="n"/>
      <c r="C20" s="69" t="n"/>
      <c r="D20" s="69" t="n"/>
      <c r="E20" s="69" t="n"/>
      <c r="F20" s="290" t="n"/>
      <c r="G20" s="69" t="n"/>
      <c r="H20" s="156" t="inlineStr">
        <is>
          <t>CONTROL</t>
        </is>
      </c>
      <c r="I20" s="247" t="n"/>
      <c r="J20" s="247" t="n"/>
      <c r="K20" s="273" t="n"/>
      <c r="L20" s="284" t="n"/>
      <c r="M20" s="285" t="n"/>
      <c r="N20" s="286" t="n"/>
      <c r="O20" s="286" t="n"/>
      <c r="P20" s="287" t="n"/>
      <c r="Q20" s="288" t="n"/>
      <c r="R20" s="289" t="n"/>
      <c r="S20" s="289" t="n"/>
      <c r="T20" s="47" t="n"/>
      <c r="U20" s="48" t="n"/>
      <c r="V20" s="48" t="n"/>
      <c r="IC20" s="69" t="n"/>
    </row>
    <row r="21" ht="73.5" customHeight="1" s="150">
      <c r="A21" s="294" t="n"/>
      <c r="B21" s="291" t="n"/>
      <c r="C21" s="292" t="n"/>
      <c r="D21" s="292" t="n"/>
      <c r="E21" s="292" t="n"/>
      <c r="F21" s="293" t="n"/>
      <c r="G21" s="251" t="n"/>
      <c r="H21" s="155">
        <f>IFERROR(IF('(1)_Base_de_Datos'!P4&lt;&gt;"",'(1)_Base_de_Datos'!P4,""),"")</f>
        <v/>
      </c>
      <c r="I21" s="269" t="n"/>
      <c r="J21" s="269" t="n"/>
      <c r="K21" s="271" t="n"/>
      <c r="L21" s="291" t="n"/>
      <c r="M21" s="295" t="n"/>
      <c r="N21" s="296" t="n"/>
      <c r="O21" s="296" t="n"/>
      <c r="P21" s="297" t="n"/>
      <c r="Q21" s="298" t="n"/>
      <c r="R21" s="299" t="n"/>
      <c r="S21" s="299" t="n"/>
      <c r="T21" s="47" t="n"/>
      <c r="U21" s="48" t="n"/>
      <c r="V21" s="48" t="n"/>
      <c r="IC21" s="69" t="n"/>
    </row>
    <row r="22" ht="23" customHeight="1" s="150">
      <c r="A22" s="122" t="n"/>
      <c r="B22" s="205">
        <f>IF('(1)_Base_de_Datos'!$R$5&lt;&gt;"",'(1)_Base_de_Datos'!$R$5,"")</f>
        <v/>
      </c>
      <c r="C22" s="269" t="n"/>
      <c r="D22" s="269" t="n"/>
      <c r="E22" s="269" t="n"/>
      <c r="F22" s="269" t="n"/>
      <c r="G22" s="119" t="n"/>
      <c r="H22" s="205">
        <f>IF('(1)_Base_de_Datos'!$B$5="Recomendación",'(1)_Base_de_Datos'!$B$5,"")</f>
        <v/>
      </c>
      <c r="I22" s="269" t="n"/>
      <c r="J22" s="269" t="n"/>
      <c r="K22" s="269" t="n"/>
      <c r="L22" s="119" t="n"/>
      <c r="M22" s="119" t="n"/>
      <c r="N22" s="119" t="n"/>
      <c r="O22" s="119" t="n"/>
      <c r="P22" s="119" t="n"/>
      <c r="Q22" s="119" t="n"/>
      <c r="R22" s="119" t="n"/>
      <c r="S22" s="120" t="n"/>
      <c r="T22" s="69" t="n"/>
      <c r="U22" s="45" t="n"/>
      <c r="V22" s="46" t="n"/>
      <c r="IC22" s="69" t="n"/>
    </row>
    <row r="23" ht="62" customHeight="1" s="150">
      <c r="A23" s="270" t="n">
        <v>2</v>
      </c>
      <c r="B23" s="300">
        <f>IFERROR(IF('(1)_Base_de_Datos'!L5&lt;&gt;"",'(1)_Base_de_Datos'!L5,""),"")</f>
        <v/>
      </c>
      <c r="C23" s="269" t="n"/>
      <c r="D23" s="269" t="n"/>
      <c r="E23" s="269" t="n"/>
      <c r="F23" s="271" t="n"/>
      <c r="G23" s="301">
        <f>IFERROR(IF('(1)_Base_de_Datos'!C5&lt;&gt;"",'(1)_Base_de_Datos'!C5,""),"")</f>
        <v/>
      </c>
      <c r="H23" s="156" t="inlineStr">
        <is>
          <t>IMPLICACIÓN</t>
        </is>
      </c>
      <c r="I23" s="247" t="n"/>
      <c r="J23" s="247" t="n"/>
      <c r="K23" s="273" t="n"/>
      <c r="L23" s="274">
        <f>IFERROR(IF('(1)_Base_de_Datos'!Q5&lt;&gt;"",'(1)_Base_de_Datos'!Q5,""),"")</f>
        <v/>
      </c>
      <c r="M23" s="275" t="inlineStr">
        <is>
          <t>Se corregirá el valor reportado en el campo 45 del R04-C-0438 conforme al instructivo vigente y se incorporará una validación previa al envío para asegurar la calidad de la información regulatoria.</t>
        </is>
      </c>
      <c r="N23" s="276" t="n"/>
      <c r="O23" s="276" t="n"/>
      <c r="P23" s="277" t="n"/>
      <c r="Q23" s="278" t="n"/>
      <c r="R23" s="279">
        <f>IFERROR(IF('(1)_Base_de_Datos'!X5&lt;&gt;"",'(1)_Base_de_Datos'!X5,""),"")</f>
        <v/>
      </c>
      <c r="S23" s="279">
        <f>IFERROR(IF('(1)_Base_de_Datos'!Y5&lt;&gt;"",'(1)_Base_de_Datos'!Y5,""),"")</f>
        <v/>
      </c>
      <c r="T23" s="47" t="n"/>
      <c r="U23" s="46" t="n"/>
      <c r="V23" s="46" t="n"/>
      <c r="IC23" s="69" t="n"/>
    </row>
    <row r="24" ht="18.75" customHeight="1" s="150">
      <c r="A24" s="280" t="n"/>
      <c r="B24" s="281">
        <f>IFERROR(IF('(1)_Base_de_Datos'!M5&lt;&gt;"",'(1)_Base_de_Datos'!M5,""),"")</f>
        <v/>
      </c>
      <c r="C24" s="282" t="n"/>
      <c r="D24" s="282" t="n"/>
      <c r="E24" s="282" t="n"/>
      <c r="F24" s="283" t="n"/>
      <c r="G24" s="290" t="n"/>
      <c r="H24" s="155">
        <f>IFERROR(IF('(1)_Base_de_Datos'!N5&lt;&gt;"",'(1)_Base_de_Datos'!N5,""),"")</f>
        <v/>
      </c>
      <c r="I24" s="282" t="n"/>
      <c r="J24" s="282" t="n"/>
      <c r="K24" s="283" t="n"/>
      <c r="L24" s="284" t="n"/>
      <c r="M24" s="285" t="n"/>
      <c r="N24" s="286" t="n"/>
      <c r="O24" s="286" t="n"/>
      <c r="P24" s="287" t="n"/>
      <c r="Q24" s="288" t="n"/>
      <c r="R24" s="289" t="n"/>
      <c r="S24" s="289" t="n"/>
      <c r="T24" s="47" t="n"/>
      <c r="U24" s="48" t="n"/>
      <c r="V24" s="48" t="n"/>
      <c r="IC24" s="69" t="n"/>
    </row>
    <row r="25" ht="45" customHeight="1" s="150">
      <c r="A25" s="280" t="n"/>
      <c r="B25" s="284" t="n"/>
      <c r="C25" s="69" t="n"/>
      <c r="D25" s="69" t="n"/>
      <c r="E25" s="69" t="n"/>
      <c r="F25" s="290" t="n"/>
      <c r="G25" s="290" t="n"/>
      <c r="H25" s="291" t="n"/>
      <c r="I25" s="292" t="n"/>
      <c r="J25" s="292" t="n"/>
      <c r="K25" s="293" t="n"/>
      <c r="L25" s="284" t="n"/>
      <c r="M25" s="285" t="n"/>
      <c r="N25" s="286" t="n"/>
      <c r="O25" s="286" t="n"/>
      <c r="P25" s="287" t="n"/>
      <c r="Q25" s="288" t="n"/>
      <c r="R25" s="289" t="n"/>
      <c r="S25" s="289" t="n"/>
      <c r="T25" s="47" t="n"/>
      <c r="U25" s="48" t="n"/>
      <c r="V25" s="48" t="n"/>
      <c r="IC25" s="69" t="n"/>
    </row>
    <row r="26" ht="24" customHeight="1" s="150">
      <c r="A26" s="280" t="n"/>
      <c r="B26" s="284" t="n"/>
      <c r="C26" s="69" t="n"/>
      <c r="D26" s="69" t="n"/>
      <c r="E26" s="69" t="n"/>
      <c r="F26" s="290" t="n"/>
      <c r="G26" s="290" t="n"/>
      <c r="H26" s="156" t="inlineStr">
        <is>
          <t>FUNDAMENTO</t>
        </is>
      </c>
      <c r="I26" s="247" t="n"/>
      <c r="J26" s="247" t="n"/>
      <c r="K26" s="273" t="n"/>
      <c r="L26" s="284" t="n"/>
      <c r="M26" s="285" t="n"/>
      <c r="N26" s="286" t="n"/>
      <c r="O26" s="286" t="n"/>
      <c r="P26" s="287" t="n"/>
      <c r="Q26" s="288" t="n"/>
      <c r="R26" s="289" t="n"/>
      <c r="S26" s="289" t="n"/>
      <c r="T26" s="47" t="n"/>
      <c r="U26" s="48" t="n"/>
      <c r="V26" s="48" t="n"/>
      <c r="IC26" s="69" t="n"/>
    </row>
    <row r="27" ht="19.5" customHeight="1" s="150">
      <c r="A27" s="280" t="n"/>
      <c r="B27" s="284" t="n"/>
      <c r="C27" s="69" t="n"/>
      <c r="D27" s="69" t="n"/>
      <c r="E27" s="69" t="n"/>
      <c r="F27" s="290" t="n"/>
      <c r="G27" s="290" t="n"/>
      <c r="H27" s="155">
        <f>IFERROR(IF('(1)_Base_de_Datos'!O5&lt;&gt;"",'(1)_Base_de_Datos'!O5,""),"")</f>
        <v/>
      </c>
      <c r="I27" s="282" t="n"/>
      <c r="J27" s="282" t="n"/>
      <c r="K27" s="283" t="n"/>
      <c r="L27" s="284" t="n"/>
      <c r="M27" s="285" t="n"/>
      <c r="N27" s="286" t="n"/>
      <c r="O27" s="286" t="n"/>
      <c r="P27" s="287" t="n"/>
      <c r="Q27" s="288" t="n"/>
      <c r="R27" s="289" t="n"/>
      <c r="S27" s="289" t="n"/>
      <c r="T27" s="47" t="n"/>
      <c r="U27" s="48" t="n"/>
      <c r="V27" s="48" t="n"/>
      <c r="IC27" s="69" t="n"/>
    </row>
    <row r="28" ht="108" customHeight="1" s="150">
      <c r="A28" s="280" t="n"/>
      <c r="B28" s="284" t="n"/>
      <c r="C28" s="69" t="n"/>
      <c r="D28" s="69" t="n"/>
      <c r="E28" s="69" t="n"/>
      <c r="F28" s="290" t="n"/>
      <c r="G28" s="290" t="n"/>
      <c r="H28" s="291" t="n"/>
      <c r="I28" s="292" t="n"/>
      <c r="J28" s="292" t="n"/>
      <c r="K28" s="293" t="n"/>
      <c r="L28" s="284" t="n"/>
      <c r="M28" s="285" t="n"/>
      <c r="N28" s="286" t="n"/>
      <c r="O28" s="286" t="n"/>
      <c r="P28" s="287" t="n"/>
      <c r="Q28" s="288" t="n"/>
      <c r="R28" s="289" t="n"/>
      <c r="S28" s="289" t="n"/>
      <c r="T28" s="47" t="n"/>
      <c r="IC28" s="69" t="n"/>
    </row>
    <row r="29" ht="24" customHeight="1" s="150">
      <c r="A29" s="280" t="n"/>
      <c r="B29" s="284" t="n"/>
      <c r="C29" s="69" t="n"/>
      <c r="D29" s="69" t="n"/>
      <c r="E29" s="69" t="n"/>
      <c r="F29" s="290" t="n"/>
      <c r="G29" s="290" t="n"/>
      <c r="H29" s="156" t="inlineStr">
        <is>
          <t>CONTROL</t>
        </is>
      </c>
      <c r="I29" s="247" t="n"/>
      <c r="J29" s="247" t="n"/>
      <c r="K29" s="273" t="n"/>
      <c r="L29" s="284" t="n"/>
      <c r="M29" s="285" t="n"/>
      <c r="N29" s="286" t="n"/>
      <c r="O29" s="286" t="n"/>
      <c r="P29" s="287" t="n"/>
      <c r="Q29" s="288" t="n"/>
      <c r="R29" s="289" t="n"/>
      <c r="S29" s="289" t="n"/>
      <c r="T29" s="47" t="n"/>
      <c r="U29" s="48" t="n"/>
      <c r="V29" s="48" t="n"/>
      <c r="IC29" s="69" t="n"/>
    </row>
    <row r="30" ht="45" customHeight="1" s="150">
      <c r="A30" s="294" t="n"/>
      <c r="B30" s="291" t="n"/>
      <c r="C30" s="292" t="n"/>
      <c r="D30" s="292" t="n"/>
      <c r="E30" s="292" t="n"/>
      <c r="F30" s="293" t="n"/>
      <c r="G30" s="293" t="n"/>
      <c r="H30" s="155">
        <f>IFERROR(IF('(1)_Base_de_Datos'!P5&lt;&gt;"",'(1)_Base_de_Datos'!P5,""),"")</f>
        <v/>
      </c>
      <c r="I30" s="269" t="n"/>
      <c r="J30" s="269" t="n"/>
      <c r="K30" s="271" t="n"/>
      <c r="L30" s="291" t="n"/>
      <c r="M30" s="295" t="n"/>
      <c r="N30" s="296" t="n"/>
      <c r="O30" s="296" t="n"/>
      <c r="P30" s="297" t="n"/>
      <c r="Q30" s="298" t="n"/>
      <c r="R30" s="299" t="n"/>
      <c r="S30" s="299" t="n"/>
      <c r="T30" s="47" t="n"/>
      <c r="U30" s="48" t="n"/>
      <c r="V30" s="48" t="n"/>
      <c r="IC30" s="69" t="n"/>
    </row>
    <row r="31" ht="23" customHeight="1" s="150">
      <c r="A31" s="122" t="n"/>
      <c r="B31" s="205">
        <f>IF('(1)_Base_de_Datos'!$R$6&lt;&gt;"",'(1)_Base_de_Datos'!$R$6,"")</f>
        <v/>
      </c>
      <c r="C31" s="269" t="n"/>
      <c r="D31" s="269" t="n"/>
      <c r="E31" s="269" t="n"/>
      <c r="F31" s="269" t="n"/>
      <c r="G31" s="119" t="n"/>
      <c r="H31" s="205">
        <f>IF('(1)_Base_de_Datos'!$B$6="Recomendación",'(1)_Base_de_Datos'!$B$6,"")</f>
        <v/>
      </c>
      <c r="I31" s="269" t="n"/>
      <c r="J31" s="269" t="n"/>
      <c r="K31" s="269" t="n"/>
      <c r="L31" s="119" t="n"/>
      <c r="M31" s="119" t="n"/>
      <c r="N31" s="119" t="n"/>
      <c r="O31" s="119" t="n"/>
      <c r="P31" s="119" t="n"/>
      <c r="Q31" s="119" t="n"/>
      <c r="R31" s="119" t="n"/>
      <c r="S31" s="120" t="n"/>
      <c r="T31" s="69" t="n"/>
      <c r="U31" s="45" t="n"/>
      <c r="V31" s="46" t="n"/>
      <c r="IC31" s="69" t="n"/>
    </row>
    <row r="32" hidden="1" ht="27" customHeight="1" s="150">
      <c r="A32" s="270" t="n">
        <v>3</v>
      </c>
      <c r="B32" s="161">
        <f>IFERROR(IF('(1)_Base_de_Datos'!L6&lt;&gt;"",'(1)_Base_de_Datos'!L6,""),"")</f>
        <v/>
      </c>
      <c r="C32" s="269" t="n"/>
      <c r="D32" s="269" t="n"/>
      <c r="E32" s="269" t="n"/>
      <c r="F32" s="269" t="n"/>
      <c r="G32" s="302">
        <f>IFERROR(IF('(1)_Base_de_Datos'!C6&lt;&gt;"",'(1)_Base_de_Datos'!C6,""),"")</f>
        <v/>
      </c>
      <c r="H32" s="156" t="inlineStr">
        <is>
          <t>IMPLICACIÓN</t>
        </is>
      </c>
      <c r="I32" s="247" t="n"/>
      <c r="J32" s="247" t="n"/>
      <c r="K32" s="273" t="n"/>
      <c r="L32" s="279">
        <f>IFERROR(IF('(1)_Base_de_Datos'!Q6&lt;&gt;"",'(1)_Base_de_Datos'!Q6,""),"")</f>
        <v/>
      </c>
      <c r="M32" s="303" t="n"/>
      <c r="N32" s="276" t="n"/>
      <c r="O32" s="276" t="n"/>
      <c r="P32" s="276" t="n"/>
      <c r="Q32" s="278" t="n"/>
      <c r="R32" s="279">
        <f>IFERROR(IF('(1)_Base_de_Datos'!X6&lt;&gt;"",'(1)_Base_de_Datos'!X6,""),"")</f>
        <v/>
      </c>
      <c r="S32" s="279">
        <f>IFERROR(IF('(1)_Base_de_Datos'!Y6&lt;&gt;"",'(1)_Base_de_Datos'!Y6,""),"")</f>
        <v/>
      </c>
      <c r="T32" s="47" t="n"/>
      <c r="U32" s="46" t="n"/>
      <c r="V32" s="46" t="n"/>
      <c r="IC32" s="69" t="n"/>
    </row>
    <row r="33" hidden="1" ht="18.75" customHeight="1" s="150">
      <c r="A33" s="280" t="n"/>
      <c r="B33" s="304">
        <f>IFERROR(IF('(1)_Base_de_Datos'!M6&lt;&gt;"",'(1)_Base_de_Datos'!M6,""),"")</f>
        <v/>
      </c>
      <c r="C33" s="282" t="n"/>
      <c r="D33" s="282" t="n"/>
      <c r="E33" s="282" t="n"/>
      <c r="F33" s="283" t="n"/>
      <c r="G33" s="289" t="n"/>
      <c r="H33" s="155">
        <f>IFERROR(IF('(1)_Base_de_Datos'!N6&lt;&gt;"",'(1)_Base_de_Datos'!N6,""),"")</f>
        <v/>
      </c>
      <c r="I33" s="282" t="n"/>
      <c r="J33" s="282" t="n"/>
      <c r="K33" s="283" t="n"/>
      <c r="L33" s="289" t="n"/>
      <c r="M33" s="286" t="n"/>
      <c r="N33" s="286" t="n"/>
      <c r="O33" s="286" t="n"/>
      <c r="P33" s="286" t="n"/>
      <c r="Q33" s="288" t="n"/>
      <c r="R33" s="289" t="n"/>
      <c r="S33" s="289" t="n"/>
      <c r="T33" s="47" t="n"/>
      <c r="U33" s="48" t="n"/>
      <c r="V33" s="48" t="n"/>
      <c r="IC33" s="69" t="n"/>
    </row>
    <row r="34" hidden="1" ht="18.75" customHeight="1" s="150">
      <c r="A34" s="280" t="n"/>
      <c r="B34" s="284" t="n"/>
      <c r="C34" s="69" t="n"/>
      <c r="D34" s="69" t="n"/>
      <c r="E34" s="69" t="n"/>
      <c r="F34" s="290" t="n"/>
      <c r="G34" s="289" t="n"/>
      <c r="H34" s="291" t="n"/>
      <c r="I34" s="292" t="n"/>
      <c r="J34" s="292" t="n"/>
      <c r="K34" s="293" t="n"/>
      <c r="L34" s="289" t="n"/>
      <c r="M34" s="286" t="n"/>
      <c r="N34" s="286" t="n"/>
      <c r="O34" s="286" t="n"/>
      <c r="P34" s="286" t="n"/>
      <c r="Q34" s="288" t="n"/>
      <c r="R34" s="289" t="n"/>
      <c r="S34" s="289" t="n"/>
      <c r="T34" s="47" t="n"/>
      <c r="U34" s="48" t="n"/>
      <c r="V34" s="48" t="n"/>
      <c r="IC34" s="69" t="n"/>
    </row>
    <row r="35" hidden="1" ht="24" customHeight="1" s="150">
      <c r="A35" s="280" t="n"/>
      <c r="B35" s="284" t="n"/>
      <c r="C35" s="69" t="n"/>
      <c r="D35" s="69" t="n"/>
      <c r="E35" s="69" t="n"/>
      <c r="F35" s="290" t="n"/>
      <c r="G35" s="289" t="n"/>
      <c r="H35" s="156" t="inlineStr">
        <is>
          <t>FUNDAMENTO</t>
        </is>
      </c>
      <c r="I35" s="247" t="n"/>
      <c r="J35" s="247" t="n"/>
      <c r="K35" s="273" t="n"/>
      <c r="L35" s="289" t="n"/>
      <c r="M35" s="286" t="n"/>
      <c r="N35" s="286" t="n"/>
      <c r="O35" s="286" t="n"/>
      <c r="P35" s="286" t="n"/>
      <c r="Q35" s="288" t="n"/>
      <c r="R35" s="289" t="n"/>
      <c r="S35" s="289" t="n"/>
      <c r="T35" s="47" t="n"/>
      <c r="U35" s="48" t="n"/>
      <c r="V35" s="48" t="n"/>
      <c r="IC35" s="69" t="n"/>
    </row>
    <row r="36" hidden="1" ht="19.5" customHeight="1" s="150">
      <c r="A36" s="280" t="n"/>
      <c r="B36" s="284" t="n"/>
      <c r="C36" s="69" t="n"/>
      <c r="D36" s="69" t="n"/>
      <c r="E36" s="69" t="n"/>
      <c r="F36" s="290" t="n"/>
      <c r="G36" s="289" t="n"/>
      <c r="H36" s="155">
        <f>IFERROR(IF('(1)_Base_de_Datos'!O6&lt;&gt;"",'(1)_Base_de_Datos'!O6,""),"")</f>
        <v/>
      </c>
      <c r="I36" s="282" t="n"/>
      <c r="J36" s="282" t="n"/>
      <c r="K36" s="283" t="n"/>
      <c r="L36" s="289" t="n"/>
      <c r="M36" s="286" t="n"/>
      <c r="N36" s="286" t="n"/>
      <c r="O36" s="286" t="n"/>
      <c r="P36" s="286" t="n"/>
      <c r="Q36" s="288" t="n"/>
      <c r="R36" s="289" t="n"/>
      <c r="S36" s="289" t="n"/>
      <c r="T36" s="47" t="n"/>
      <c r="U36" s="48" t="n"/>
      <c r="V36" s="48" t="n"/>
      <c r="IC36" s="69" t="n"/>
    </row>
    <row r="37" hidden="1" ht="90" customHeight="1" s="150">
      <c r="A37" s="280" t="n"/>
      <c r="B37" s="284" t="n"/>
      <c r="C37" s="69" t="n"/>
      <c r="D37" s="69" t="n"/>
      <c r="E37" s="69" t="n"/>
      <c r="F37" s="290" t="n"/>
      <c r="G37" s="289" t="n"/>
      <c r="H37" s="291" t="n"/>
      <c r="I37" s="292" t="n"/>
      <c r="J37" s="292" t="n"/>
      <c r="K37" s="293" t="n"/>
      <c r="L37" s="289" t="n"/>
      <c r="M37" s="286" t="n"/>
      <c r="N37" s="286" t="n"/>
      <c r="O37" s="286" t="n"/>
      <c r="P37" s="286" t="n"/>
      <c r="Q37" s="288" t="n"/>
      <c r="R37" s="289" t="n"/>
      <c r="S37" s="289" t="n"/>
      <c r="T37" s="47" t="n"/>
      <c r="IC37" s="69" t="n"/>
    </row>
    <row r="38" hidden="1" ht="24" customHeight="1" s="150">
      <c r="A38" s="280" t="n"/>
      <c r="B38" s="284" t="n"/>
      <c r="C38" s="69" t="n"/>
      <c r="D38" s="69" t="n"/>
      <c r="E38" s="69" t="n"/>
      <c r="F38" s="290" t="n"/>
      <c r="G38" s="289" t="n"/>
      <c r="H38" s="156" t="inlineStr">
        <is>
          <t>CONTROL</t>
        </is>
      </c>
      <c r="I38" s="247" t="n"/>
      <c r="J38" s="247" t="n"/>
      <c r="K38" s="273" t="n"/>
      <c r="L38" s="289" t="n"/>
      <c r="M38" s="286" t="n"/>
      <c r="N38" s="286" t="n"/>
      <c r="O38" s="286" t="n"/>
      <c r="P38" s="286" t="n"/>
      <c r="Q38" s="288" t="n"/>
      <c r="R38" s="289" t="n"/>
      <c r="S38" s="289" t="n"/>
      <c r="T38" s="47" t="n"/>
      <c r="U38" s="48" t="n"/>
      <c r="V38" s="48" t="n"/>
      <c r="IC38" s="69" t="n"/>
    </row>
    <row r="39" hidden="1" ht="87.5" customHeight="1" s="150">
      <c r="A39" s="294" t="n"/>
      <c r="B39" s="291" t="n"/>
      <c r="C39" s="292" t="n"/>
      <c r="D39" s="292" t="n"/>
      <c r="E39" s="292" t="n"/>
      <c r="F39" s="293" t="n"/>
      <c r="G39" s="299" t="n"/>
      <c r="H39" s="155">
        <f>IFERROR(IF('(1)_Base_de_Datos'!P6&lt;&gt;"",'(1)_Base_de_Datos'!P6,""),"")</f>
        <v/>
      </c>
      <c r="I39" s="269" t="n"/>
      <c r="J39" s="269" t="n"/>
      <c r="K39" s="271" t="n"/>
      <c r="L39" s="299" t="n"/>
      <c r="M39" s="305" t="n"/>
      <c r="N39" s="305" t="n"/>
      <c r="O39" s="305" t="n"/>
      <c r="P39" s="305" t="n"/>
      <c r="Q39" s="298" t="n"/>
      <c r="R39" s="299" t="n"/>
      <c r="S39" s="299" t="n"/>
      <c r="T39" s="47" t="n"/>
      <c r="U39" s="48" t="n"/>
      <c r="V39" s="48" t="n"/>
      <c r="IC39" s="69" t="n"/>
    </row>
    <row r="40" hidden="1" ht="23" customHeight="1" s="150">
      <c r="A40" s="122" t="n"/>
      <c r="B40" s="205">
        <f>IF('(1)_Base_de_Datos'!$R$7&lt;&gt;"",'(1)_Base_de_Datos'!$R$7,"")</f>
        <v/>
      </c>
      <c r="C40" s="269" t="n"/>
      <c r="D40" s="269" t="n"/>
      <c r="E40" s="269" t="n"/>
      <c r="F40" s="269" t="n"/>
      <c r="G40" s="119" t="n"/>
      <c r="H40" s="205">
        <f>IF('(1)_Base_de_Datos'!$B$7="Recomendación",'(1)_Base_de_Datos'!$B$7,"")</f>
        <v/>
      </c>
      <c r="I40" s="269" t="n"/>
      <c r="J40" s="269" t="n"/>
      <c r="K40" s="269" t="n"/>
      <c r="L40" s="119" t="n"/>
      <c r="M40" s="119" t="n"/>
      <c r="N40" s="119" t="n"/>
      <c r="O40" s="119" t="n"/>
      <c r="P40" s="119" t="n"/>
      <c r="Q40" s="119" t="n"/>
      <c r="R40" s="119" t="n"/>
      <c r="S40" s="120" t="n"/>
      <c r="T40" s="69" t="n"/>
      <c r="U40" s="45" t="n"/>
      <c r="V40" s="46" t="n"/>
      <c r="IC40" s="69" t="n"/>
    </row>
    <row r="41" hidden="1" ht="27" customHeight="1" s="150">
      <c r="A41" s="270" t="n">
        <v>4</v>
      </c>
      <c r="B41" s="160">
        <f>IFERROR(IF('(1)_Base_de_Datos'!L7&lt;&gt;"",'(1)_Base_de_Datos'!L7,""),"")</f>
        <v/>
      </c>
      <c r="C41" s="269" t="n"/>
      <c r="D41" s="269" t="n"/>
      <c r="E41" s="269" t="n"/>
      <c r="F41" s="269" t="n"/>
      <c r="G41" s="302">
        <f>IFERROR(IF('(1)_Base_de_Datos'!C7&lt;&gt;"",'(1)_Base_de_Datos'!C7,""),"")</f>
        <v/>
      </c>
      <c r="H41" s="156" t="inlineStr">
        <is>
          <t>IMPLICACIÓN</t>
        </is>
      </c>
      <c r="I41" s="247" t="n"/>
      <c r="J41" s="247" t="n"/>
      <c r="K41" s="273" t="n"/>
      <c r="L41" s="279">
        <f>IFERROR(IF('(1)_Base_de_Datos'!Q7&lt;&gt;"",'(1)_Base_de_Datos'!Q7,""),"")</f>
        <v/>
      </c>
      <c r="M41" s="275" t="n"/>
      <c r="N41" s="276" t="n"/>
      <c r="O41" s="276" t="n"/>
      <c r="P41" s="277" t="n"/>
      <c r="Q41" s="278" t="n"/>
      <c r="R41" s="279">
        <f>IFERROR(IF('(1)_Base_de_Datos'!X7&lt;&gt;"",'(1)_Base_de_Datos'!X7,""),"")</f>
        <v/>
      </c>
      <c r="S41" s="279">
        <f>IFERROR(IF('(1)_Base_de_Datos'!Y7&lt;&gt;"",'(1)_Base_de_Datos'!Y7,""),"")</f>
        <v/>
      </c>
      <c r="T41" s="47" t="n"/>
      <c r="U41" s="46" t="n"/>
      <c r="V41" s="46" t="n"/>
      <c r="IC41" s="69" t="n"/>
    </row>
    <row r="42" hidden="1" ht="18.75" customHeight="1" s="150">
      <c r="A42" s="280" t="n"/>
      <c r="B42" s="304">
        <f>IFERROR(IF('(1)_Base_de_Datos'!M7&lt;&gt;"",'(1)_Base_de_Datos'!M7,""),"")</f>
        <v/>
      </c>
      <c r="C42" s="282" t="n"/>
      <c r="D42" s="282" t="n"/>
      <c r="E42" s="282" t="n"/>
      <c r="F42" s="283" t="n"/>
      <c r="G42" s="289" t="n"/>
      <c r="H42" s="155">
        <f>IFERROR(IF('(1)_Base_de_Datos'!N7&lt;&gt;"",'(1)_Base_de_Datos'!N7,""),"")</f>
        <v/>
      </c>
      <c r="I42" s="282" t="n"/>
      <c r="J42" s="282" t="n"/>
      <c r="K42" s="283" t="n"/>
      <c r="L42" s="289" t="n"/>
      <c r="M42" s="285" t="n"/>
      <c r="N42" s="286" t="n"/>
      <c r="O42" s="286" t="n"/>
      <c r="P42" s="287" t="n"/>
      <c r="Q42" s="288" t="n"/>
      <c r="R42" s="289" t="n"/>
      <c r="S42" s="289" t="n"/>
      <c r="T42" s="47" t="n"/>
      <c r="U42" s="48" t="n"/>
      <c r="V42" s="48" t="n"/>
      <c r="IC42" s="69" t="n"/>
    </row>
    <row r="43" hidden="1" ht="18.75" customHeight="1" s="150">
      <c r="A43" s="280" t="n"/>
      <c r="B43" s="284" t="n"/>
      <c r="C43" s="69" t="n"/>
      <c r="D43" s="69" t="n"/>
      <c r="E43" s="69" t="n"/>
      <c r="F43" s="290" t="n"/>
      <c r="G43" s="289" t="n"/>
      <c r="H43" s="291" t="n"/>
      <c r="I43" s="292" t="n"/>
      <c r="J43" s="292" t="n"/>
      <c r="K43" s="293" t="n"/>
      <c r="L43" s="289" t="n"/>
      <c r="M43" s="285" t="n"/>
      <c r="N43" s="286" t="n"/>
      <c r="O43" s="286" t="n"/>
      <c r="P43" s="287" t="n"/>
      <c r="Q43" s="288" t="n"/>
      <c r="R43" s="289" t="n"/>
      <c r="S43" s="289" t="n"/>
      <c r="T43" s="47" t="n"/>
      <c r="U43" s="48" t="n"/>
      <c r="V43" s="48" t="n"/>
      <c r="IC43" s="69" t="n"/>
    </row>
    <row r="44" hidden="1" ht="24" customHeight="1" s="150">
      <c r="A44" s="280" t="n"/>
      <c r="B44" s="284" t="n"/>
      <c r="C44" s="69" t="n"/>
      <c r="D44" s="69" t="n"/>
      <c r="E44" s="69" t="n"/>
      <c r="F44" s="290" t="n"/>
      <c r="G44" s="289" t="n"/>
      <c r="H44" s="156" t="inlineStr">
        <is>
          <t>FUNDAMENTO</t>
        </is>
      </c>
      <c r="I44" s="247" t="n"/>
      <c r="J44" s="247" t="n"/>
      <c r="K44" s="273" t="n"/>
      <c r="L44" s="289" t="n"/>
      <c r="M44" s="285" t="n"/>
      <c r="N44" s="286" t="n"/>
      <c r="O44" s="286" t="n"/>
      <c r="P44" s="287" t="n"/>
      <c r="Q44" s="288" t="n"/>
      <c r="R44" s="289" t="n"/>
      <c r="S44" s="289" t="n"/>
      <c r="T44" s="47" t="n"/>
      <c r="U44" s="48" t="n"/>
      <c r="V44" s="48" t="n"/>
      <c r="IC44" s="69" t="n"/>
    </row>
    <row r="45" hidden="1" ht="19.5" customHeight="1" s="150">
      <c r="A45" s="280" t="n"/>
      <c r="B45" s="284" t="n"/>
      <c r="C45" s="69" t="n"/>
      <c r="D45" s="69" t="n"/>
      <c r="E45" s="69" t="n"/>
      <c r="F45" s="290" t="n"/>
      <c r="G45" s="289" t="n"/>
      <c r="H45" s="155">
        <f>IFERROR(IF('(1)_Base_de_Datos'!O7&gt;"",'(1)_Base_de_Datos'!O7,""),"")</f>
        <v/>
      </c>
      <c r="I45" s="282" t="n"/>
      <c r="J45" s="282" t="n"/>
      <c r="K45" s="283" t="n"/>
      <c r="L45" s="289" t="n"/>
      <c r="M45" s="285" t="n"/>
      <c r="N45" s="286" t="n"/>
      <c r="O45" s="286" t="n"/>
      <c r="P45" s="287" t="n"/>
      <c r="Q45" s="288" t="n"/>
      <c r="R45" s="289" t="n"/>
      <c r="S45" s="289" t="n"/>
      <c r="T45" s="47" t="n"/>
      <c r="U45" s="48" t="n"/>
      <c r="V45" s="48" t="n"/>
      <c r="IC45" s="69" t="n"/>
    </row>
    <row r="46" hidden="1" ht="136" customHeight="1" s="150">
      <c r="A46" s="280" t="n"/>
      <c r="B46" s="284" t="n"/>
      <c r="C46" s="69" t="n"/>
      <c r="D46" s="69" t="n"/>
      <c r="E46" s="69" t="n"/>
      <c r="F46" s="290" t="n"/>
      <c r="G46" s="289" t="n"/>
      <c r="H46" s="291" t="n"/>
      <c r="I46" s="292" t="n"/>
      <c r="J46" s="292" t="n"/>
      <c r="K46" s="293" t="n"/>
      <c r="L46" s="289" t="n"/>
      <c r="M46" s="285" t="n"/>
      <c r="N46" s="286" t="n"/>
      <c r="O46" s="286" t="n"/>
      <c r="P46" s="287" t="n"/>
      <c r="Q46" s="288" t="n"/>
      <c r="R46" s="289" t="n"/>
      <c r="S46" s="289" t="n"/>
      <c r="T46" s="47" t="n"/>
      <c r="IC46" s="69" t="n"/>
    </row>
    <row r="47" hidden="1" ht="24" customHeight="1" s="150">
      <c r="A47" s="280" t="n"/>
      <c r="B47" s="284" t="n"/>
      <c r="C47" s="69" t="n"/>
      <c r="D47" s="69" t="n"/>
      <c r="E47" s="69" t="n"/>
      <c r="F47" s="290" t="n"/>
      <c r="G47" s="289" t="n"/>
      <c r="H47" s="156" t="inlineStr">
        <is>
          <t>CONTROL</t>
        </is>
      </c>
      <c r="I47" s="247" t="n"/>
      <c r="J47" s="247" t="n"/>
      <c r="K47" s="273" t="n"/>
      <c r="L47" s="289" t="n"/>
      <c r="M47" s="285" t="n"/>
      <c r="N47" s="286" t="n"/>
      <c r="O47" s="286" t="n"/>
      <c r="P47" s="287" t="n"/>
      <c r="Q47" s="288" t="n"/>
      <c r="R47" s="289" t="n"/>
      <c r="S47" s="289" t="n"/>
      <c r="T47" s="47" t="n"/>
      <c r="U47" s="48" t="n"/>
      <c r="V47" s="48" t="n"/>
      <c r="IC47" s="69" t="n"/>
    </row>
    <row r="48" hidden="1" ht="87.5" customHeight="1" s="150">
      <c r="A48" s="294" t="n"/>
      <c r="B48" s="291" t="n"/>
      <c r="C48" s="292" t="n"/>
      <c r="D48" s="292" t="n"/>
      <c r="E48" s="292" t="n"/>
      <c r="F48" s="293" t="n"/>
      <c r="G48" s="299" t="n"/>
      <c r="H48" s="155">
        <f>IFERROR(IF('(1)_Base_de_Datos'!P7&lt;&gt;"",'(1)_Base_de_Datos'!P7,""),"")</f>
        <v/>
      </c>
      <c r="I48" s="269" t="n"/>
      <c r="J48" s="269" t="n"/>
      <c r="K48" s="271" t="n"/>
      <c r="L48" s="299" t="n"/>
      <c r="M48" s="295" t="n"/>
      <c r="N48" s="296" t="n"/>
      <c r="O48" s="296" t="n"/>
      <c r="P48" s="297" t="n"/>
      <c r="Q48" s="298" t="n"/>
      <c r="R48" s="299" t="n"/>
      <c r="S48" s="299" t="n"/>
      <c r="T48" s="47" t="n"/>
      <c r="U48" s="48" t="n"/>
      <c r="V48" s="48" t="n"/>
      <c r="IC48" s="69" t="n"/>
    </row>
    <row r="49" hidden="1" ht="23" customHeight="1" s="150">
      <c r="A49" s="122" t="n"/>
      <c r="B49" s="205">
        <f>IF('(1)_Base_de_Datos'!$R$8&lt;&gt;"",'(1)_Base_de_Datos'!$R$8,"")</f>
        <v/>
      </c>
      <c r="C49" s="269" t="n"/>
      <c r="D49" s="269" t="n"/>
      <c r="E49" s="269" t="n"/>
      <c r="F49" s="269" t="n"/>
      <c r="G49" s="119" t="n"/>
      <c r="H49" s="205">
        <f>IF('(1)_Base_de_Datos'!$B$8="Recomendación",'(1)_Base_de_Datos'!$B$8,"")</f>
        <v/>
      </c>
      <c r="I49" s="269" t="n"/>
      <c r="J49" s="269" t="n"/>
      <c r="K49" s="269" t="n"/>
      <c r="L49" s="119" t="n"/>
      <c r="M49" s="119" t="n"/>
      <c r="N49" s="119" t="n"/>
      <c r="O49" s="119" t="n"/>
      <c r="P49" s="119" t="n"/>
      <c r="Q49" s="119" t="n"/>
      <c r="R49" s="119" t="n"/>
      <c r="S49" s="120" t="n"/>
      <c r="T49" s="69" t="n"/>
      <c r="U49" s="45" t="n"/>
      <c r="V49" s="46" t="n"/>
      <c r="IC49" s="69" t="n"/>
    </row>
    <row r="50" hidden="1" ht="27" customHeight="1" s="150">
      <c r="A50" s="270" t="n">
        <v>5</v>
      </c>
      <c r="B50" s="160">
        <f>IFERROR(IF('(1)_Base_de_Datos'!L8&lt;&gt;"",'(1)_Base_de_Datos'!L8,""),"")</f>
        <v/>
      </c>
      <c r="C50" s="269" t="n"/>
      <c r="D50" s="269" t="n"/>
      <c r="E50" s="269" t="n"/>
      <c r="F50" s="269" t="n"/>
      <c r="G50" s="302">
        <f>IFERROR(IF('(1)_Base_de_Datos'!C8&lt;&gt;"",'(1)_Base_de_Datos'!C8,""),"")</f>
        <v/>
      </c>
      <c r="H50" s="156" t="inlineStr">
        <is>
          <t>IMPLICACIÓN</t>
        </is>
      </c>
      <c r="I50" s="247" t="n"/>
      <c r="J50" s="247" t="n"/>
      <c r="K50" s="273" t="n"/>
      <c r="L50" s="279">
        <f>IFERROR(IF('(1)_Base_de_Datos'!Q8&lt;&gt;"",'(1)_Base_de_Datos'!Q8,""),"")</f>
        <v/>
      </c>
      <c r="M50" s="275" t="n"/>
      <c r="N50" s="276" t="n"/>
      <c r="O50" s="276" t="n"/>
      <c r="P50" s="277" t="n"/>
      <c r="Q50" s="278" t="n"/>
      <c r="R50" s="279">
        <f>IFERROR(IF('(1)_Base_de_Datos'!X8&lt;&gt;"",'(1)_Base_de_Datos'!X8,""),"")</f>
        <v/>
      </c>
      <c r="S50" s="279">
        <f>IFERROR(IF('(1)_Base_de_Datos'!Y8&lt;&gt;"",'(1)_Base_de_Datos'!Y8,""),"")</f>
        <v/>
      </c>
      <c r="T50" s="47" t="n"/>
      <c r="U50" s="46" t="n"/>
      <c r="V50" s="46" t="n"/>
      <c r="IC50" s="69" t="n"/>
    </row>
    <row r="51" hidden="1" ht="18.75" customHeight="1" s="150">
      <c r="A51" s="280" t="n"/>
      <c r="B51" s="304">
        <f>IFERROR(IF('(1)_Base_de_Datos'!M8&lt;&gt;"",'(1)_Base_de_Datos'!M8,""),"")</f>
        <v/>
      </c>
      <c r="C51" s="282" t="n"/>
      <c r="D51" s="282" t="n"/>
      <c r="E51" s="282" t="n"/>
      <c r="F51" s="283" t="n"/>
      <c r="G51" s="289" t="n"/>
      <c r="H51" s="155">
        <f>IFERROR(IF('(1)_Base_de_Datos'!N8&lt;&gt;"",'(1)_Base_de_Datos'!N8,""),"")</f>
        <v/>
      </c>
      <c r="I51" s="282" t="n"/>
      <c r="J51" s="282" t="n"/>
      <c r="K51" s="283" t="n"/>
      <c r="L51" s="289" t="n"/>
      <c r="M51" s="285" t="n"/>
      <c r="N51" s="286" t="n"/>
      <c r="O51" s="286" t="n"/>
      <c r="P51" s="287" t="n"/>
      <c r="Q51" s="288" t="n"/>
      <c r="R51" s="289" t="n"/>
      <c r="S51" s="289" t="n"/>
      <c r="T51" s="47" t="n"/>
      <c r="U51" s="48" t="n"/>
      <c r="V51" s="48" t="n"/>
      <c r="IC51" s="69" t="n"/>
    </row>
    <row r="52" hidden="1" ht="18.75" customHeight="1" s="150">
      <c r="A52" s="280" t="n"/>
      <c r="B52" s="284" t="n"/>
      <c r="C52" s="69" t="n"/>
      <c r="D52" s="69" t="n"/>
      <c r="E52" s="69" t="n"/>
      <c r="F52" s="290" t="n"/>
      <c r="G52" s="289" t="n"/>
      <c r="H52" s="291" t="n"/>
      <c r="I52" s="292" t="n"/>
      <c r="J52" s="292" t="n"/>
      <c r="K52" s="293" t="n"/>
      <c r="L52" s="289" t="n"/>
      <c r="M52" s="285" t="n"/>
      <c r="N52" s="286" t="n"/>
      <c r="O52" s="286" t="n"/>
      <c r="P52" s="287" t="n"/>
      <c r="Q52" s="288" t="n"/>
      <c r="R52" s="289" t="n"/>
      <c r="S52" s="289" t="n"/>
      <c r="T52" s="47" t="n"/>
      <c r="U52" s="48" t="n"/>
      <c r="V52" s="48" t="n"/>
      <c r="IC52" s="69" t="n"/>
    </row>
    <row r="53" hidden="1" ht="24" customHeight="1" s="150">
      <c r="A53" s="280" t="n"/>
      <c r="B53" s="284" t="n"/>
      <c r="C53" s="69" t="n"/>
      <c r="D53" s="69" t="n"/>
      <c r="E53" s="69" t="n"/>
      <c r="F53" s="290" t="n"/>
      <c r="G53" s="289" t="n"/>
      <c r="H53" s="156" t="inlineStr">
        <is>
          <t>FUNDAMENTO</t>
        </is>
      </c>
      <c r="I53" s="247" t="n"/>
      <c r="J53" s="247" t="n"/>
      <c r="K53" s="273" t="n"/>
      <c r="L53" s="289" t="n"/>
      <c r="M53" s="285" t="n"/>
      <c r="N53" s="286" t="n"/>
      <c r="O53" s="286" t="n"/>
      <c r="P53" s="287" t="n"/>
      <c r="Q53" s="288" t="n"/>
      <c r="R53" s="289" t="n"/>
      <c r="S53" s="289" t="n"/>
      <c r="T53" s="47" t="n"/>
      <c r="U53" s="48" t="n"/>
      <c r="V53" s="48" t="n"/>
      <c r="IC53" s="69" t="n"/>
    </row>
    <row r="54" hidden="1" ht="19.5" customHeight="1" s="150">
      <c r="A54" s="280" t="n"/>
      <c r="B54" s="284" t="n"/>
      <c r="C54" s="69" t="n"/>
      <c r="D54" s="69" t="n"/>
      <c r="E54" s="69" t="n"/>
      <c r="F54" s="290" t="n"/>
      <c r="G54" s="289" t="n"/>
      <c r="H54" s="155">
        <f>IFERROR(IF('(1)_Base_de_Datos'!O8&lt;&gt;"",'(1)_Base_de_Datos'!O8,""),"")</f>
        <v/>
      </c>
      <c r="I54" s="282" t="n"/>
      <c r="J54" s="282" t="n"/>
      <c r="K54" s="283" t="n"/>
      <c r="L54" s="289" t="n"/>
      <c r="M54" s="285" t="n"/>
      <c r="N54" s="286" t="n"/>
      <c r="O54" s="286" t="n"/>
      <c r="P54" s="287" t="n"/>
      <c r="Q54" s="288" t="n"/>
      <c r="R54" s="289" t="n"/>
      <c r="S54" s="289" t="n"/>
      <c r="T54" s="47" t="n"/>
      <c r="U54" s="48" t="n"/>
      <c r="V54" s="48" t="n"/>
      <c r="IC54" s="69" t="n"/>
    </row>
    <row r="55" hidden="1" ht="125" customHeight="1" s="150">
      <c r="A55" s="280" t="n"/>
      <c r="B55" s="284" t="n"/>
      <c r="C55" s="69" t="n"/>
      <c r="D55" s="69" t="n"/>
      <c r="E55" s="69" t="n"/>
      <c r="F55" s="290" t="n"/>
      <c r="G55" s="289" t="n"/>
      <c r="H55" s="291" t="n"/>
      <c r="I55" s="292" t="n"/>
      <c r="J55" s="292" t="n"/>
      <c r="K55" s="293" t="n"/>
      <c r="L55" s="289" t="n"/>
      <c r="M55" s="285" t="n"/>
      <c r="N55" s="286" t="n"/>
      <c r="O55" s="286" t="n"/>
      <c r="P55" s="287" t="n"/>
      <c r="Q55" s="288" t="n"/>
      <c r="R55" s="289" t="n"/>
      <c r="S55" s="289" t="n"/>
      <c r="T55" s="47" t="n"/>
      <c r="IC55" s="69" t="n"/>
    </row>
    <row r="56" hidden="1" ht="24" customHeight="1" s="150">
      <c r="A56" s="280" t="n"/>
      <c r="B56" s="284" t="n"/>
      <c r="C56" s="69" t="n"/>
      <c r="D56" s="69" t="n"/>
      <c r="E56" s="69" t="n"/>
      <c r="F56" s="290" t="n"/>
      <c r="G56" s="289" t="n"/>
      <c r="H56" s="156" t="inlineStr">
        <is>
          <t>CONTROL</t>
        </is>
      </c>
      <c r="I56" s="247" t="n"/>
      <c r="J56" s="247" t="n"/>
      <c r="K56" s="273" t="n"/>
      <c r="L56" s="289" t="n"/>
      <c r="M56" s="285" t="n"/>
      <c r="N56" s="286" t="n"/>
      <c r="O56" s="286" t="n"/>
      <c r="P56" s="287" t="n"/>
      <c r="Q56" s="288" t="n"/>
      <c r="R56" s="289" t="n"/>
      <c r="S56" s="289" t="n"/>
      <c r="T56" s="47" t="n"/>
      <c r="U56" s="48" t="n"/>
      <c r="V56" s="48" t="n"/>
      <c r="IC56" s="69" t="n"/>
    </row>
    <row r="57" hidden="1" ht="87.5" customHeight="1" s="150">
      <c r="A57" s="294" t="n"/>
      <c r="B57" s="291" t="n"/>
      <c r="C57" s="292" t="n"/>
      <c r="D57" s="292" t="n"/>
      <c r="E57" s="292" t="n"/>
      <c r="F57" s="293" t="n"/>
      <c r="G57" s="299" t="n"/>
      <c r="H57" s="155">
        <f>IFERROR(IF('(1)_Base_de_Datos'!P8&lt;&gt;"",'(1)_Base_de_Datos'!P8,""),"")</f>
        <v/>
      </c>
      <c r="I57" s="269" t="n"/>
      <c r="J57" s="269" t="n"/>
      <c r="K57" s="271" t="n"/>
      <c r="L57" s="299" t="n"/>
      <c r="M57" s="295" t="n"/>
      <c r="N57" s="296" t="n"/>
      <c r="O57" s="296" t="n"/>
      <c r="P57" s="297" t="n"/>
      <c r="Q57" s="298" t="n"/>
      <c r="R57" s="299" t="n"/>
      <c r="S57" s="299" t="n"/>
      <c r="T57" s="47" t="n"/>
      <c r="U57" s="48" t="n"/>
      <c r="V57" s="48" t="n"/>
      <c r="IC57" s="69" t="n"/>
    </row>
    <row r="58" hidden="1" ht="23" customHeight="1" s="150">
      <c r="A58" s="122" t="n"/>
      <c r="B58" s="205">
        <f>IF('(1)_Base_de_Datos'!$R$9&lt;&gt;"",'(1)_Base_de_Datos'!$R$9,"")</f>
        <v/>
      </c>
      <c r="C58" s="269" t="n"/>
      <c r="D58" s="269" t="n"/>
      <c r="E58" s="269" t="n"/>
      <c r="F58" s="269" t="n"/>
      <c r="G58" s="119" t="n"/>
      <c r="H58" s="205">
        <f>IF('(1)_Base_de_Datos'!$B$9="Recomendación",'(1)_Base_de_Datos'!$B$9,"")</f>
        <v/>
      </c>
      <c r="I58" s="269" t="n"/>
      <c r="J58" s="269" t="n"/>
      <c r="K58" s="269" t="n"/>
      <c r="L58" s="119" t="n"/>
      <c r="M58" s="119" t="n"/>
      <c r="N58" s="119" t="n"/>
      <c r="O58" s="119" t="n"/>
      <c r="P58" s="119" t="n"/>
      <c r="Q58" s="119" t="n"/>
      <c r="R58" s="119" t="n"/>
      <c r="S58" s="120" t="n"/>
      <c r="T58" s="69" t="n"/>
      <c r="U58" s="45" t="n"/>
      <c r="V58" s="46" t="n"/>
      <c r="IC58" s="69" t="n"/>
    </row>
    <row r="59" hidden="1" ht="27" customHeight="1" s="150">
      <c r="A59" s="270" t="n">
        <v>6</v>
      </c>
      <c r="B59" s="160">
        <f>IFERROR(IF('(1)_Base_de_Datos'!L9&lt;&gt;"",'(1)_Base_de_Datos'!L9,""),"")</f>
        <v/>
      </c>
      <c r="C59" s="269" t="n"/>
      <c r="D59" s="269" t="n"/>
      <c r="E59" s="269" t="n"/>
      <c r="F59" s="269" t="n"/>
      <c r="G59" s="302">
        <f>IFERROR(IF('(1)_Base_de_Datos'!C9&lt;&gt;"",'(1)_Base_de_Datos'!C9,""),"")</f>
        <v/>
      </c>
      <c r="H59" s="156" t="inlineStr">
        <is>
          <t>IMPLICACIÓN</t>
        </is>
      </c>
      <c r="I59" s="247" t="n"/>
      <c r="J59" s="247" t="n"/>
      <c r="K59" s="273" t="n"/>
      <c r="L59" s="279">
        <f>IFERROR(IF('(1)_Base_de_Datos'!Q9&lt;&gt;"",'(1)_Base_de_Datos'!Q9,""),"")</f>
        <v/>
      </c>
      <c r="M59" s="275" t="n"/>
      <c r="N59" s="276" t="n"/>
      <c r="O59" s="276" t="n"/>
      <c r="P59" s="277" t="n"/>
      <c r="Q59" s="278" t="n"/>
      <c r="R59" s="279">
        <f>IFERROR(IF('(1)_Base_de_Datos'!X9&lt;&gt;"",'(1)_Base_de_Datos'!X9,""),"")</f>
        <v/>
      </c>
      <c r="S59" s="279">
        <f>IFERROR(IF('(1)_Base_de_Datos'!Y9&lt;&gt;"",'(1)_Base_de_Datos'!Y9,""),"")</f>
        <v/>
      </c>
      <c r="T59" s="47" t="n"/>
      <c r="U59" s="46" t="n"/>
      <c r="V59" s="46" t="n"/>
      <c r="IC59" s="69" t="n"/>
    </row>
    <row r="60" hidden="1" ht="18.75" customHeight="1" s="150">
      <c r="A60" s="280" t="n"/>
      <c r="B60" s="304">
        <f>IFERROR(IF('(1)_Base_de_Datos'!M9&lt;&gt;"",'(1)_Base_de_Datos'!M9,""),"")</f>
        <v/>
      </c>
      <c r="C60" s="282" t="n"/>
      <c r="D60" s="282" t="n"/>
      <c r="E60" s="282" t="n"/>
      <c r="F60" s="283" t="n"/>
      <c r="G60" s="289" t="n"/>
      <c r="H60" s="155">
        <f>IFERROR(IF('(1)_Base_de_Datos'!N9&lt;&gt;"",'(1)_Base_de_Datos'!N9,""),"")</f>
        <v/>
      </c>
      <c r="I60" s="282" t="n"/>
      <c r="J60" s="282" t="n"/>
      <c r="K60" s="283" t="n"/>
      <c r="L60" s="289" t="n"/>
      <c r="M60" s="285" t="n"/>
      <c r="N60" s="286" t="n"/>
      <c r="O60" s="286" t="n"/>
      <c r="P60" s="287" t="n"/>
      <c r="Q60" s="288" t="n"/>
      <c r="R60" s="289" t="n"/>
      <c r="S60" s="289" t="n"/>
      <c r="T60" s="47" t="n"/>
      <c r="U60" s="48" t="n"/>
      <c r="V60" s="48" t="n"/>
      <c r="IC60" s="69" t="n"/>
    </row>
    <row r="61" hidden="1" ht="28.5" customHeight="1" s="150">
      <c r="A61" s="280" t="n"/>
      <c r="B61" s="284" t="n"/>
      <c r="C61" s="69" t="n"/>
      <c r="D61" s="69" t="n"/>
      <c r="E61" s="69" t="n"/>
      <c r="F61" s="290" t="n"/>
      <c r="G61" s="289" t="n"/>
      <c r="H61" s="291" t="n"/>
      <c r="I61" s="292" t="n"/>
      <c r="J61" s="292" t="n"/>
      <c r="K61" s="293" t="n"/>
      <c r="L61" s="289" t="n"/>
      <c r="M61" s="285" t="n"/>
      <c r="N61" s="286" t="n"/>
      <c r="O61" s="286" t="n"/>
      <c r="P61" s="287" t="n"/>
      <c r="Q61" s="288" t="n"/>
      <c r="R61" s="289" t="n"/>
      <c r="S61" s="289" t="n"/>
      <c r="T61" s="47" t="n"/>
      <c r="U61" s="48" t="n"/>
      <c r="V61" s="48" t="n"/>
      <c r="IC61" s="69" t="n"/>
    </row>
    <row r="62" hidden="1" ht="24" customHeight="1" s="150">
      <c r="A62" s="280" t="n"/>
      <c r="B62" s="284" t="n"/>
      <c r="C62" s="69" t="n"/>
      <c r="D62" s="69" t="n"/>
      <c r="E62" s="69" t="n"/>
      <c r="F62" s="290" t="n"/>
      <c r="G62" s="289" t="n"/>
      <c r="H62" s="156" t="inlineStr">
        <is>
          <t>FUNDAMENTO</t>
        </is>
      </c>
      <c r="I62" s="247" t="n"/>
      <c r="J62" s="247" t="n"/>
      <c r="K62" s="273" t="n"/>
      <c r="L62" s="289" t="n"/>
      <c r="M62" s="285" t="n"/>
      <c r="N62" s="286" t="n"/>
      <c r="O62" s="286" t="n"/>
      <c r="P62" s="287" t="n"/>
      <c r="Q62" s="288" t="n"/>
      <c r="R62" s="289" t="n"/>
      <c r="S62" s="289" t="n"/>
      <c r="T62" s="47" t="n"/>
      <c r="U62" s="48" t="n"/>
      <c r="V62" s="48" t="n"/>
      <c r="IC62" s="69" t="n"/>
    </row>
    <row r="63" hidden="1" ht="19.5" customHeight="1" s="150">
      <c r="A63" s="280" t="n"/>
      <c r="B63" s="284" t="n"/>
      <c r="C63" s="69" t="n"/>
      <c r="D63" s="69" t="n"/>
      <c r="E63" s="69" t="n"/>
      <c r="F63" s="290" t="n"/>
      <c r="G63" s="289" t="n"/>
      <c r="H63" s="155">
        <f>IFERROR(IF('(1)_Base_de_Datos'!O9&lt;&gt;"",'(1)_Base_de_Datos'!O9,""),"")</f>
        <v/>
      </c>
      <c r="I63" s="282" t="n"/>
      <c r="J63" s="282" t="n"/>
      <c r="K63" s="283" t="n"/>
      <c r="L63" s="289" t="n"/>
      <c r="M63" s="285" t="n"/>
      <c r="N63" s="286" t="n"/>
      <c r="O63" s="286" t="n"/>
      <c r="P63" s="287" t="n"/>
      <c r="Q63" s="288" t="n"/>
      <c r="R63" s="289" t="n"/>
      <c r="S63" s="289" t="n"/>
      <c r="T63" s="47" t="n"/>
      <c r="U63" s="48" t="n"/>
      <c r="V63" s="48" t="n"/>
      <c r="IC63" s="69" t="n"/>
    </row>
    <row r="64" hidden="1" ht="56.5" customHeight="1" s="150">
      <c r="A64" s="280" t="n"/>
      <c r="B64" s="284" t="n"/>
      <c r="C64" s="69" t="n"/>
      <c r="D64" s="69" t="n"/>
      <c r="E64" s="69" t="n"/>
      <c r="F64" s="290" t="n"/>
      <c r="G64" s="289" t="n"/>
      <c r="H64" s="291" t="n"/>
      <c r="I64" s="292" t="n"/>
      <c r="J64" s="292" t="n"/>
      <c r="K64" s="293" t="n"/>
      <c r="L64" s="289" t="n"/>
      <c r="M64" s="285" t="n"/>
      <c r="N64" s="286" t="n"/>
      <c r="O64" s="286" t="n"/>
      <c r="P64" s="287" t="n"/>
      <c r="Q64" s="288" t="n"/>
      <c r="R64" s="289" t="n"/>
      <c r="S64" s="289" t="n"/>
      <c r="T64" s="47" t="n"/>
      <c r="IC64" s="69" t="n"/>
    </row>
    <row r="65" hidden="1" ht="24" customHeight="1" s="150">
      <c r="A65" s="280" t="n"/>
      <c r="B65" s="284" t="n"/>
      <c r="C65" s="69" t="n"/>
      <c r="D65" s="69" t="n"/>
      <c r="E65" s="69" t="n"/>
      <c r="F65" s="290" t="n"/>
      <c r="G65" s="289" t="n"/>
      <c r="H65" s="156" t="inlineStr">
        <is>
          <t>CONTROL</t>
        </is>
      </c>
      <c r="I65" s="247" t="n"/>
      <c r="J65" s="247" t="n"/>
      <c r="K65" s="273" t="n"/>
      <c r="L65" s="289" t="n"/>
      <c r="M65" s="285" t="n"/>
      <c r="N65" s="286" t="n"/>
      <c r="O65" s="286" t="n"/>
      <c r="P65" s="287" t="n"/>
      <c r="Q65" s="288" t="n"/>
      <c r="R65" s="289" t="n"/>
      <c r="S65" s="289" t="n"/>
      <c r="T65" s="47" t="n"/>
      <c r="U65" s="48" t="n"/>
      <c r="V65" s="48" t="n"/>
      <c r="IC65" s="69" t="n"/>
    </row>
    <row r="66" hidden="1" ht="87.5" customHeight="1" s="150">
      <c r="A66" s="294" t="n"/>
      <c r="B66" s="291" t="n"/>
      <c r="C66" s="292" t="n"/>
      <c r="D66" s="292" t="n"/>
      <c r="E66" s="292" t="n"/>
      <c r="F66" s="293" t="n"/>
      <c r="G66" s="299" t="n"/>
      <c r="H66" s="155">
        <f>IFERROR(IF('(1)_Base_de_Datos'!P9&lt;&gt;"",'(1)_Base_de_Datos'!P9,""),"")</f>
        <v/>
      </c>
      <c r="I66" s="269" t="n"/>
      <c r="J66" s="269" t="n"/>
      <c r="K66" s="271" t="n"/>
      <c r="L66" s="299" t="n"/>
      <c r="M66" s="295" t="n"/>
      <c r="N66" s="296" t="n"/>
      <c r="O66" s="296" t="n"/>
      <c r="P66" s="297" t="n"/>
      <c r="Q66" s="298" t="n"/>
      <c r="R66" s="299" t="n"/>
      <c r="S66" s="299" t="n"/>
      <c r="T66" s="47" t="n"/>
      <c r="U66" s="48" t="n"/>
      <c r="V66" s="48" t="n"/>
      <c r="IC66" s="69" t="n"/>
    </row>
    <row r="67" hidden="1" ht="23" customHeight="1" s="150">
      <c r="A67" s="122" t="n"/>
      <c r="B67" s="205">
        <f>IF('(1)_Base_de_Datos'!$R$10&lt;&gt;"",'(1)_Base_de_Datos'!$R$10,"")</f>
        <v/>
      </c>
      <c r="C67" s="269" t="n"/>
      <c r="D67" s="269" t="n"/>
      <c r="E67" s="269" t="n"/>
      <c r="F67" s="269" t="n"/>
      <c r="G67" s="119" t="n"/>
      <c r="H67" s="205">
        <f>IF('(1)_Base_de_Datos'!$B$10="Recomendación",'(1)_Base_de_Datos'!$B$10,"")</f>
        <v/>
      </c>
      <c r="I67" s="269" t="n"/>
      <c r="J67" s="269" t="n"/>
      <c r="K67" s="269" t="n"/>
      <c r="L67" s="119" t="n"/>
      <c r="M67" s="119" t="n"/>
      <c r="N67" s="119" t="n"/>
      <c r="O67" s="119" t="n"/>
      <c r="P67" s="119" t="n"/>
      <c r="Q67" s="119" t="n"/>
      <c r="R67" s="119" t="n"/>
      <c r="S67" s="120" t="n"/>
      <c r="T67" s="69" t="n"/>
      <c r="U67" s="45" t="n"/>
      <c r="V67" s="46" t="n"/>
      <c r="IC67" s="69" t="n"/>
    </row>
    <row r="68" hidden="1" ht="27" customHeight="1" s="150">
      <c r="A68" s="270" t="n">
        <v>7</v>
      </c>
      <c r="B68" s="160">
        <f>IFERROR(IF('(1)_Base_de_Datos'!L10&lt;&gt;"",'(1)_Base_de_Datos'!L10,""),"")</f>
        <v/>
      </c>
      <c r="C68" s="269" t="n"/>
      <c r="D68" s="269" t="n"/>
      <c r="E68" s="269" t="n"/>
      <c r="F68" s="269" t="n"/>
      <c r="G68" s="302">
        <f>IFERROR(IF('(1)_Base_de_Datos'!C10&lt;&gt;"",'(1)_Base_de_Datos'!C10,""),"")</f>
        <v/>
      </c>
      <c r="H68" s="156" t="inlineStr">
        <is>
          <t>IMPLICACIÓN</t>
        </is>
      </c>
      <c r="I68" s="247" t="n"/>
      <c r="J68" s="247" t="n"/>
      <c r="K68" s="273" t="n"/>
      <c r="L68" s="279">
        <f>IFERROR(IF('(1)_Base_de_Datos'!Q10&lt;&gt;"",'(1)_Base_de_Datos'!Q10,""),"")</f>
        <v/>
      </c>
      <c r="M68" s="275" t="n"/>
      <c r="N68" s="276" t="n"/>
      <c r="O68" s="276" t="n"/>
      <c r="P68" s="277" t="n"/>
      <c r="Q68" s="278" t="n"/>
      <c r="R68" s="279">
        <f>IFERROR(IF('(1)_Base_de_Datos'!X10&lt;&gt;"",'(1)_Base_de_Datos'!X10,""),"")</f>
        <v/>
      </c>
      <c r="S68" s="279">
        <f>IFERROR(IF('(1)_Base_de_Datos'!Y10&lt;&gt;"",'(1)_Base_de_Datos'!Y10,""),"")</f>
        <v/>
      </c>
      <c r="T68" s="47" t="n"/>
      <c r="U68" s="46" t="n"/>
      <c r="V68" s="46" t="n"/>
      <c r="IC68" s="69" t="n"/>
    </row>
    <row r="69" hidden="1" ht="18.75" customHeight="1" s="150">
      <c r="A69" s="280" t="n"/>
      <c r="B69" s="304">
        <f>IFERROR(IF('(1)_Base_de_Datos'!M10&lt;&gt;"",'(1)_Base_de_Datos'!M10,""),"")</f>
        <v/>
      </c>
      <c r="C69" s="282" t="n"/>
      <c r="D69" s="282" t="n"/>
      <c r="E69" s="282" t="n"/>
      <c r="F69" s="283" t="n"/>
      <c r="G69" s="289" t="n"/>
      <c r="H69" s="155">
        <f>IFERROR(IF('(1)_Base_de_Datos'!N10&lt;&gt;"",'(1)_Base_de_Datos'!N10,""),"")</f>
        <v/>
      </c>
      <c r="I69" s="282" t="n"/>
      <c r="J69" s="282" t="n"/>
      <c r="K69" s="283" t="n"/>
      <c r="L69" s="289" t="n"/>
      <c r="M69" s="285" t="n"/>
      <c r="N69" s="286" t="n"/>
      <c r="O69" s="286" t="n"/>
      <c r="P69" s="287" t="n"/>
      <c r="Q69" s="288" t="n"/>
      <c r="R69" s="289" t="n"/>
      <c r="S69" s="289" t="n"/>
      <c r="T69" s="47" t="n"/>
      <c r="U69" s="48" t="n"/>
      <c r="V69" s="48" t="n"/>
      <c r="IC69" s="69" t="n"/>
    </row>
    <row r="70" hidden="1" ht="18.75" customHeight="1" s="150">
      <c r="A70" s="280" t="n"/>
      <c r="B70" s="284" t="n"/>
      <c r="C70" s="69" t="n"/>
      <c r="D70" s="69" t="n"/>
      <c r="E70" s="69" t="n"/>
      <c r="F70" s="290" t="n"/>
      <c r="G70" s="289" t="n"/>
      <c r="H70" s="291" t="n"/>
      <c r="I70" s="292" t="n"/>
      <c r="J70" s="292" t="n"/>
      <c r="K70" s="293" t="n"/>
      <c r="L70" s="289" t="n"/>
      <c r="M70" s="285" t="n"/>
      <c r="N70" s="286" t="n"/>
      <c r="O70" s="286" t="n"/>
      <c r="P70" s="287" t="n"/>
      <c r="Q70" s="288" t="n"/>
      <c r="R70" s="289" t="n"/>
      <c r="S70" s="289" t="n"/>
      <c r="T70" s="47" t="n"/>
      <c r="U70" s="48" t="n"/>
      <c r="V70" s="48" t="n"/>
      <c r="IC70" s="69" t="n"/>
    </row>
    <row r="71" hidden="1" ht="24" customHeight="1" s="150">
      <c r="A71" s="280" t="n"/>
      <c r="B71" s="284" t="n"/>
      <c r="C71" s="69" t="n"/>
      <c r="D71" s="69" t="n"/>
      <c r="E71" s="69" t="n"/>
      <c r="F71" s="290" t="n"/>
      <c r="G71" s="289" t="n"/>
      <c r="H71" s="156" t="inlineStr">
        <is>
          <t>FUNDAMENTO</t>
        </is>
      </c>
      <c r="I71" s="247" t="n"/>
      <c r="J71" s="247" t="n"/>
      <c r="K71" s="273" t="n"/>
      <c r="L71" s="289" t="n"/>
      <c r="M71" s="285" t="n"/>
      <c r="N71" s="286" t="n"/>
      <c r="O71" s="286" t="n"/>
      <c r="P71" s="287" t="n"/>
      <c r="Q71" s="288" t="n"/>
      <c r="R71" s="289" t="n"/>
      <c r="S71" s="289" t="n"/>
      <c r="T71" s="47" t="n"/>
      <c r="U71" s="48" t="n"/>
      <c r="V71" s="48" t="n"/>
      <c r="IC71" s="69" t="n"/>
    </row>
    <row r="72" hidden="1" ht="19.5" customHeight="1" s="150">
      <c r="A72" s="280" t="n"/>
      <c r="B72" s="284" t="n"/>
      <c r="C72" s="69" t="n"/>
      <c r="D72" s="69" t="n"/>
      <c r="E72" s="69" t="n"/>
      <c r="F72" s="290" t="n"/>
      <c r="G72" s="289" t="n"/>
      <c r="H72" s="155">
        <f>IFERROR(IF('(1)_Base_de_Datos'!O10&lt;&gt;"",'(1)_Base_de_Datos'!O10,""),"")</f>
        <v/>
      </c>
      <c r="I72" s="282" t="n"/>
      <c r="J72" s="282" t="n"/>
      <c r="K72" s="283" t="n"/>
      <c r="L72" s="289" t="n"/>
      <c r="M72" s="285" t="n"/>
      <c r="N72" s="286" t="n"/>
      <c r="O72" s="286" t="n"/>
      <c r="P72" s="287" t="n"/>
      <c r="Q72" s="288" t="n"/>
      <c r="R72" s="289" t="n"/>
      <c r="S72" s="289" t="n"/>
      <c r="T72" s="47" t="n"/>
      <c r="U72" s="48" t="n"/>
      <c r="V72" s="48" t="n"/>
      <c r="IC72" s="69" t="n"/>
    </row>
    <row r="73" hidden="1" ht="24" customHeight="1" s="150">
      <c r="A73" s="280" t="n"/>
      <c r="B73" s="284" t="n"/>
      <c r="C73" s="69" t="n"/>
      <c r="D73" s="69" t="n"/>
      <c r="E73" s="69" t="n"/>
      <c r="F73" s="290" t="n"/>
      <c r="G73" s="289" t="n"/>
      <c r="H73" s="284" t="n"/>
      <c r="I73" s="69" t="n"/>
      <c r="J73" s="69" t="n"/>
      <c r="K73" s="290" t="n"/>
      <c r="L73" s="289" t="n"/>
      <c r="M73" s="285" t="n"/>
      <c r="N73" s="286" t="n"/>
      <c r="O73" s="286" t="n"/>
      <c r="P73" s="287" t="n"/>
      <c r="Q73" s="288" t="n"/>
      <c r="R73" s="289" t="n"/>
      <c r="S73" s="289" t="n"/>
      <c r="T73" s="47" t="n"/>
      <c r="U73" s="48" t="n"/>
      <c r="V73" s="48" t="n"/>
      <c r="IC73" s="69" t="n"/>
    </row>
    <row r="74" hidden="1" ht="24" customHeight="1" s="150">
      <c r="A74" s="280" t="n"/>
      <c r="B74" s="284" t="n"/>
      <c r="C74" s="69" t="n"/>
      <c r="D74" s="69" t="n"/>
      <c r="E74" s="69" t="n"/>
      <c r="F74" s="290" t="n"/>
      <c r="G74" s="289" t="n"/>
      <c r="H74" s="284" t="n"/>
      <c r="I74" s="69" t="n"/>
      <c r="J74" s="69" t="n"/>
      <c r="K74" s="290" t="n"/>
      <c r="L74" s="289" t="n"/>
      <c r="M74" s="285" t="n"/>
      <c r="N74" s="286" t="n"/>
      <c r="O74" s="286" t="n"/>
      <c r="P74" s="287" t="n"/>
      <c r="Q74" s="288" t="n"/>
      <c r="R74" s="289" t="n"/>
      <c r="S74" s="289" t="n"/>
      <c r="T74" s="47" t="n"/>
      <c r="U74" s="48" t="n"/>
      <c r="V74" s="48" t="n"/>
      <c r="IC74" s="69" t="n"/>
    </row>
    <row r="75" hidden="1" ht="87.5" customHeight="1" s="150">
      <c r="A75" s="280" t="n"/>
      <c r="B75" s="284" t="n"/>
      <c r="C75" s="69" t="n"/>
      <c r="D75" s="69" t="n"/>
      <c r="E75" s="69" t="n"/>
      <c r="F75" s="290" t="n"/>
      <c r="G75" s="289" t="n"/>
      <c r="H75" s="291" t="n"/>
      <c r="I75" s="292" t="n"/>
      <c r="J75" s="292" t="n"/>
      <c r="K75" s="293" t="n"/>
      <c r="L75" s="289" t="n"/>
      <c r="M75" s="285" t="n"/>
      <c r="N75" s="286" t="n"/>
      <c r="O75" s="286" t="n"/>
      <c r="P75" s="287" t="n"/>
      <c r="Q75" s="288" t="n"/>
      <c r="R75" s="289" t="n"/>
      <c r="S75" s="289" t="n"/>
      <c r="T75" s="47" t="n"/>
      <c r="U75" s="48" t="n"/>
      <c r="V75" s="48" t="n"/>
      <c r="IC75" s="69" t="n"/>
    </row>
    <row r="76" hidden="1" ht="24" customHeight="1" s="150">
      <c r="A76" s="280" t="n"/>
      <c r="B76" s="284" t="n"/>
      <c r="C76" s="69" t="n"/>
      <c r="D76" s="69" t="n"/>
      <c r="E76" s="69" t="n"/>
      <c r="F76" s="290" t="n"/>
      <c r="G76" s="289" t="n"/>
      <c r="H76" s="156" t="inlineStr">
        <is>
          <t>CONTROL</t>
        </is>
      </c>
      <c r="I76" s="247" t="n"/>
      <c r="J76" s="247" t="n"/>
      <c r="K76" s="273" t="n"/>
      <c r="L76" s="289" t="n"/>
      <c r="M76" s="285" t="n"/>
      <c r="N76" s="286" t="n"/>
      <c r="O76" s="286" t="n"/>
      <c r="P76" s="287" t="n"/>
      <c r="Q76" s="288" t="n"/>
      <c r="R76" s="289" t="n"/>
      <c r="S76" s="289" t="n"/>
      <c r="T76" s="47" t="n"/>
      <c r="U76" s="48" t="n"/>
      <c r="V76" s="48" t="n"/>
      <c r="IC76" s="69" t="n"/>
    </row>
    <row r="77" hidden="1" ht="87.5" customHeight="1" s="150">
      <c r="A77" s="294" t="n"/>
      <c r="B77" s="291" t="n"/>
      <c r="C77" s="292" t="n"/>
      <c r="D77" s="292" t="n"/>
      <c r="E77" s="292" t="n"/>
      <c r="F77" s="293" t="n"/>
      <c r="G77" s="299" t="n"/>
      <c r="H77" s="155">
        <f>IFERROR(IF('(1)_Base_de_Datos'!P10&lt;&gt;"",'(1)_Base_de_Datos'!P10,""),"")</f>
        <v/>
      </c>
      <c r="I77" s="269" t="n"/>
      <c r="J77" s="269" t="n"/>
      <c r="K77" s="271" t="n"/>
      <c r="L77" s="299" t="n"/>
      <c r="M77" s="295" t="n"/>
      <c r="N77" s="296" t="n"/>
      <c r="O77" s="296" t="n"/>
      <c r="P77" s="297" t="n"/>
      <c r="Q77" s="298" t="n"/>
      <c r="R77" s="299" t="n"/>
      <c r="S77" s="299" t="n"/>
      <c r="T77" s="47" t="n"/>
      <c r="U77" s="48" t="n"/>
      <c r="V77" s="48" t="n"/>
      <c r="IC77" s="69" t="n"/>
    </row>
    <row r="78" hidden="1" ht="23" customHeight="1" s="150">
      <c r="A78" s="122" t="n"/>
      <c r="B78" s="205">
        <f>IF('(1)_Base_de_Datos'!$R$11&lt;&gt;"",'(1)_Base_de_Datos'!$R$11,"")</f>
        <v/>
      </c>
      <c r="C78" s="269" t="n"/>
      <c r="D78" s="269" t="n"/>
      <c r="E78" s="269" t="n"/>
      <c r="F78" s="269" t="n"/>
      <c r="G78" s="119" t="n"/>
      <c r="H78" s="205">
        <f>IF('(1)_Base_de_Datos'!$B$11="Recomendación",'(1)_Base_de_Datos'!$B$11,"")</f>
        <v/>
      </c>
      <c r="I78" s="269" t="n"/>
      <c r="J78" s="269" t="n"/>
      <c r="K78" s="269" t="n"/>
      <c r="L78" s="119" t="n"/>
      <c r="M78" s="119" t="n"/>
      <c r="N78" s="119" t="n"/>
      <c r="O78" s="119" t="n"/>
      <c r="P78" s="119" t="n"/>
      <c r="Q78" s="119" t="n"/>
      <c r="R78" s="119" t="n"/>
      <c r="S78" s="120" t="n"/>
      <c r="T78" s="69" t="n"/>
      <c r="U78" s="45" t="n"/>
      <c r="V78" s="46" t="n"/>
      <c r="IC78" s="69" t="n"/>
    </row>
    <row r="79" hidden="1" ht="27" customHeight="1" s="150">
      <c r="A79" s="270" t="n">
        <v>8</v>
      </c>
      <c r="B79" s="160">
        <f>IFERROR(IF('(1)_Base_de_Datos'!L11&lt;&gt;"",'(1)_Base_de_Datos'!L11,""),"")</f>
        <v/>
      </c>
      <c r="C79" s="269" t="n"/>
      <c r="D79" s="269" t="n"/>
      <c r="E79" s="269" t="n"/>
      <c r="F79" s="269" t="n"/>
      <c r="G79" s="302">
        <f>IFERROR(IF('(1)_Base_de_Datos'!C11&lt;&gt;"",'(1)_Base_de_Datos'!C11,""),"")</f>
        <v/>
      </c>
      <c r="H79" s="156" t="inlineStr">
        <is>
          <t>IMPLICACIÓN</t>
        </is>
      </c>
      <c r="I79" s="247" t="n"/>
      <c r="J79" s="247" t="n"/>
      <c r="K79" s="273" t="n"/>
      <c r="L79" s="279">
        <f>IFERROR(IF('(1)_Base_de_Datos'!Q11&lt;&gt;"",'(1)_Base_de_Datos'!Q11,""),"")</f>
        <v/>
      </c>
      <c r="M79" s="275" t="n"/>
      <c r="N79" s="276" t="n"/>
      <c r="O79" s="276" t="n"/>
      <c r="P79" s="277" t="n"/>
      <c r="Q79" s="278" t="n"/>
      <c r="R79" s="279">
        <f>IFERROR(IF('(1)_Base_de_Datos'!X11&lt;&gt;"",'(1)_Base_de_Datos'!X11,""),"")</f>
        <v/>
      </c>
      <c r="S79" s="279">
        <f>IFERROR(IF('(1)_Base_de_Datos'!Y11&lt;&gt;"",'(1)_Base_de_Datos'!Y11,""),"")</f>
        <v/>
      </c>
      <c r="T79" s="47" t="n"/>
      <c r="U79" s="46" t="n"/>
      <c r="V79" s="46" t="n"/>
      <c r="IC79" s="69" t="n"/>
    </row>
    <row r="80" hidden="1" ht="18.75" customHeight="1" s="150">
      <c r="A80" s="280" t="n"/>
      <c r="B80" s="304">
        <f>IFERROR(IF('(1)_Base_de_Datos'!M11&lt;&gt;"",'(1)_Base_de_Datos'!M11,""),"")</f>
        <v/>
      </c>
      <c r="C80" s="282" t="n"/>
      <c r="D80" s="282" t="n"/>
      <c r="E80" s="282" t="n"/>
      <c r="F80" s="283" t="n"/>
      <c r="G80" s="289" t="n"/>
      <c r="H80" s="155">
        <f>IFERROR(IF('(1)_Base_de_Datos'!N11&lt;&gt;"",'(1)_Base_de_Datos'!N11,""),"")</f>
        <v/>
      </c>
      <c r="I80" s="282" t="n"/>
      <c r="J80" s="282" t="n"/>
      <c r="K80" s="283" t="n"/>
      <c r="L80" s="289" t="n"/>
      <c r="M80" s="285" t="n"/>
      <c r="N80" s="286" t="n"/>
      <c r="O80" s="286" t="n"/>
      <c r="P80" s="287" t="n"/>
      <c r="Q80" s="288" t="n"/>
      <c r="R80" s="289" t="n"/>
      <c r="S80" s="289" t="n"/>
      <c r="T80" s="47" t="n"/>
      <c r="U80" s="48" t="n"/>
      <c r="V80" s="48" t="n"/>
      <c r="IC80" s="69" t="n"/>
    </row>
    <row r="81" hidden="1" ht="18.75" customHeight="1" s="150">
      <c r="A81" s="280" t="n"/>
      <c r="B81" s="284" t="n"/>
      <c r="C81" s="69" t="n"/>
      <c r="D81" s="69" t="n"/>
      <c r="E81" s="69" t="n"/>
      <c r="F81" s="290" t="n"/>
      <c r="G81" s="289" t="n"/>
      <c r="H81" s="291" t="n"/>
      <c r="I81" s="292" t="n"/>
      <c r="J81" s="292" t="n"/>
      <c r="K81" s="293" t="n"/>
      <c r="L81" s="289" t="n"/>
      <c r="M81" s="285" t="n"/>
      <c r="N81" s="286" t="n"/>
      <c r="O81" s="286" t="n"/>
      <c r="P81" s="287" t="n"/>
      <c r="Q81" s="288" t="n"/>
      <c r="R81" s="289" t="n"/>
      <c r="S81" s="289" t="n"/>
      <c r="T81" s="47" t="n"/>
      <c r="U81" s="48" t="n"/>
      <c r="V81" s="48" t="n"/>
      <c r="IC81" s="69" t="n"/>
    </row>
    <row r="82" hidden="1" ht="24" customHeight="1" s="150">
      <c r="A82" s="280" t="n"/>
      <c r="B82" s="284" t="n"/>
      <c r="C82" s="69" t="n"/>
      <c r="D82" s="69" t="n"/>
      <c r="E82" s="69" t="n"/>
      <c r="F82" s="290" t="n"/>
      <c r="G82" s="289" t="n"/>
      <c r="H82" s="156" t="inlineStr">
        <is>
          <t>FUNDAMENTO</t>
        </is>
      </c>
      <c r="I82" s="247" t="n"/>
      <c r="J82" s="247" t="n"/>
      <c r="K82" s="273" t="n"/>
      <c r="L82" s="289" t="n"/>
      <c r="M82" s="285" t="n"/>
      <c r="N82" s="286" t="n"/>
      <c r="O82" s="286" t="n"/>
      <c r="P82" s="287" t="n"/>
      <c r="Q82" s="288" t="n"/>
      <c r="R82" s="289" t="n"/>
      <c r="S82" s="289" t="n"/>
      <c r="T82" s="47" t="n"/>
      <c r="U82" s="48" t="n"/>
      <c r="V82" s="48" t="n"/>
      <c r="IC82" s="69" t="n"/>
    </row>
    <row r="83" hidden="1" ht="19.5" customHeight="1" s="150">
      <c r="A83" s="280" t="n"/>
      <c r="B83" s="284" t="n"/>
      <c r="C83" s="69" t="n"/>
      <c r="D83" s="69" t="n"/>
      <c r="E83" s="69" t="n"/>
      <c r="F83" s="290" t="n"/>
      <c r="G83" s="289" t="n"/>
      <c r="H83" s="155">
        <f>IFERROR(IF('(1)_Base_de_Datos'!O11&lt;&gt;"",'(1)_Base_de_Datos'!O11,""),"")</f>
        <v/>
      </c>
      <c r="I83" s="282" t="n"/>
      <c r="J83" s="282" t="n"/>
      <c r="K83" s="283" t="n"/>
      <c r="L83" s="289" t="n"/>
      <c r="M83" s="285" t="n"/>
      <c r="N83" s="286" t="n"/>
      <c r="O83" s="286" t="n"/>
      <c r="P83" s="287" t="n"/>
      <c r="Q83" s="288" t="n"/>
      <c r="R83" s="289" t="n"/>
      <c r="S83" s="289" t="n"/>
      <c r="T83" s="47" t="n"/>
      <c r="U83" s="48" t="n"/>
      <c r="V83" s="48" t="n"/>
      <c r="IC83" s="69" t="n"/>
    </row>
    <row r="84" hidden="1" ht="19.5" customHeight="1" s="150">
      <c r="A84" s="280" t="n"/>
      <c r="B84" s="284" t="n"/>
      <c r="C84" s="69" t="n"/>
      <c r="D84" s="69" t="n"/>
      <c r="E84" s="69" t="n"/>
      <c r="F84" s="290" t="n"/>
      <c r="G84" s="289" t="n"/>
      <c r="H84" s="291" t="n"/>
      <c r="I84" s="292" t="n"/>
      <c r="J84" s="292" t="n"/>
      <c r="K84" s="293" t="n"/>
      <c r="L84" s="289" t="n"/>
      <c r="M84" s="285" t="n"/>
      <c r="N84" s="286" t="n"/>
      <c r="O84" s="286" t="n"/>
      <c r="P84" s="287" t="n"/>
      <c r="Q84" s="288" t="n"/>
      <c r="R84" s="289" t="n"/>
      <c r="S84" s="289" t="n"/>
      <c r="T84" s="47" t="n"/>
      <c r="IC84" s="69" t="n"/>
    </row>
    <row r="85" hidden="1" ht="24" customHeight="1" s="150">
      <c r="A85" s="280" t="n"/>
      <c r="B85" s="284" t="n"/>
      <c r="C85" s="69" t="n"/>
      <c r="D85" s="69" t="n"/>
      <c r="E85" s="69" t="n"/>
      <c r="F85" s="290" t="n"/>
      <c r="G85" s="289" t="n"/>
      <c r="H85" s="156" t="inlineStr">
        <is>
          <t>CONTROL</t>
        </is>
      </c>
      <c r="I85" s="247" t="n"/>
      <c r="J85" s="247" t="n"/>
      <c r="K85" s="273" t="n"/>
      <c r="L85" s="289" t="n"/>
      <c r="M85" s="285" t="n"/>
      <c r="N85" s="286" t="n"/>
      <c r="O85" s="286" t="n"/>
      <c r="P85" s="287" t="n"/>
      <c r="Q85" s="288" t="n"/>
      <c r="R85" s="289" t="n"/>
      <c r="S85" s="289" t="n"/>
      <c r="T85" s="47" t="n"/>
      <c r="U85" s="48" t="n"/>
      <c r="V85" s="48" t="n"/>
      <c r="IC85" s="69" t="n"/>
    </row>
    <row r="86" hidden="1" ht="87.5" customHeight="1" s="150">
      <c r="A86" s="294" t="n"/>
      <c r="B86" s="291" t="n"/>
      <c r="C86" s="292" t="n"/>
      <c r="D86" s="292" t="n"/>
      <c r="E86" s="292" t="n"/>
      <c r="F86" s="293" t="n"/>
      <c r="G86" s="299" t="n"/>
      <c r="H86" s="155">
        <f>IFERROR(IF('(1)_Base_de_Datos'!P11&lt;&gt;"",'(1)_Base_de_Datos'!P11,""),"")</f>
        <v/>
      </c>
      <c r="I86" s="269" t="n"/>
      <c r="J86" s="269" t="n"/>
      <c r="K86" s="271" t="n"/>
      <c r="L86" s="299" t="n"/>
      <c r="M86" s="295" t="n"/>
      <c r="N86" s="296" t="n"/>
      <c r="O86" s="296" t="n"/>
      <c r="P86" s="297" t="n"/>
      <c r="Q86" s="298" t="n"/>
      <c r="R86" s="299" t="n"/>
      <c r="S86" s="299" t="n"/>
      <c r="T86" s="47" t="n"/>
      <c r="U86" s="48" t="n"/>
      <c r="V86" s="48" t="n"/>
      <c r="IC86" s="69" t="n"/>
    </row>
    <row r="87" hidden="1" ht="23" customHeight="1" s="150">
      <c r="A87" s="122" t="n"/>
      <c r="B87" s="205">
        <f>IF('(1)_Base_de_Datos'!$R$12&lt;&gt;"",'(1)_Base_de_Datos'!$R$12,"")</f>
        <v/>
      </c>
      <c r="C87" s="269" t="n"/>
      <c r="D87" s="269" t="n"/>
      <c r="E87" s="269" t="n"/>
      <c r="F87" s="269" t="n"/>
      <c r="G87" s="119" t="n"/>
      <c r="H87" s="205">
        <f>IF('(1)_Base_de_Datos'!$B$12="Recomendación",'(1)_Base_de_Datos'!$B$12,"")</f>
        <v/>
      </c>
      <c r="I87" s="269" t="n"/>
      <c r="J87" s="269" t="n"/>
      <c r="K87" s="269" t="n"/>
      <c r="L87" s="119" t="n"/>
      <c r="M87" s="119" t="n"/>
      <c r="N87" s="119" t="n"/>
      <c r="O87" s="119" t="n"/>
      <c r="P87" s="119" t="n"/>
      <c r="Q87" s="119" t="n"/>
      <c r="R87" s="119" t="n"/>
      <c r="S87" s="120" t="n"/>
      <c r="T87" s="69" t="n"/>
      <c r="U87" s="45" t="n"/>
      <c r="V87" s="46" t="n"/>
      <c r="IC87" s="69" t="n"/>
    </row>
    <row r="88" hidden="1" ht="27" customHeight="1" s="150">
      <c r="A88" s="270" t="n">
        <v>9</v>
      </c>
      <c r="B88" s="160">
        <f>IFERROR(IF('(1)_Base_de_Datos'!L12&lt;&gt;"",'(1)_Base_de_Datos'!L12,""),"")</f>
        <v/>
      </c>
      <c r="C88" s="269" t="n"/>
      <c r="D88" s="269" t="n"/>
      <c r="E88" s="269" t="n"/>
      <c r="F88" s="269" t="n"/>
      <c r="G88" s="302">
        <f>IFERROR(IF('(1)_Base_de_Datos'!C12&lt;&gt;"",'(1)_Base_de_Datos'!C12,""),"")</f>
        <v/>
      </c>
      <c r="H88" s="156" t="inlineStr">
        <is>
          <t>IMPLICACIÓN</t>
        </is>
      </c>
      <c r="I88" s="247" t="n"/>
      <c r="J88" s="247" t="n"/>
      <c r="K88" s="273" t="n"/>
      <c r="L88" s="279">
        <f>IFERROR(IF('(1)_Base_de_Datos'!Q12&lt;&gt;"",'(1)_Base_de_Datos'!Q12,""),"")</f>
        <v/>
      </c>
      <c r="M88" s="275" t="n"/>
      <c r="N88" s="276" t="n"/>
      <c r="O88" s="276" t="n"/>
      <c r="P88" s="277" t="n"/>
      <c r="Q88" s="278" t="n"/>
      <c r="R88" s="279">
        <f>IFERROR(IF('(1)_Base_de_Datos'!X12&lt;&gt;"",'(1)_Base_de_Datos'!X12,""),"")</f>
        <v/>
      </c>
      <c r="S88" s="279">
        <f>IFERROR(IF('(1)_Base_de_Datos'!Y12&lt;&gt;"",'(1)_Base_de_Datos'!Y12,""),"")</f>
        <v/>
      </c>
      <c r="T88" s="47" t="n"/>
      <c r="U88" s="46" t="n"/>
      <c r="V88" s="46" t="n"/>
      <c r="IC88" s="69" t="n"/>
    </row>
    <row r="89" hidden="1" ht="18.75" customHeight="1" s="150">
      <c r="A89" s="280" t="n"/>
      <c r="B89" s="304">
        <f>IFERROR(IF('(1)_Base_de_Datos'!M12&lt;&gt;"",'(1)_Base_de_Datos'!M12,""),"")</f>
        <v/>
      </c>
      <c r="C89" s="282" t="n"/>
      <c r="D89" s="282" t="n"/>
      <c r="E89" s="282" t="n"/>
      <c r="F89" s="283" t="n"/>
      <c r="G89" s="289" t="n"/>
      <c r="H89" s="155">
        <f>IFERROR(IF('(1)_Base_de_Datos'!N12&lt;&gt;"",'(1)_Base_de_Datos'!N12,""),"")</f>
        <v/>
      </c>
      <c r="I89" s="282" t="n"/>
      <c r="J89" s="282" t="n"/>
      <c r="K89" s="283" t="n"/>
      <c r="L89" s="289" t="n"/>
      <c r="M89" s="285" t="n"/>
      <c r="N89" s="286" t="n"/>
      <c r="O89" s="286" t="n"/>
      <c r="P89" s="287" t="n"/>
      <c r="Q89" s="288" t="n"/>
      <c r="R89" s="289" t="n"/>
      <c r="S89" s="289" t="n"/>
      <c r="T89" s="47" t="n"/>
      <c r="U89" s="48" t="n"/>
      <c r="V89" s="48" t="n"/>
      <c r="IC89" s="69" t="n"/>
    </row>
    <row r="90" hidden="1" ht="18.75" customHeight="1" s="150">
      <c r="A90" s="280" t="n"/>
      <c r="B90" s="284" t="n"/>
      <c r="C90" s="69" t="n"/>
      <c r="D90" s="69" t="n"/>
      <c r="E90" s="69" t="n"/>
      <c r="F90" s="290" t="n"/>
      <c r="G90" s="289" t="n"/>
      <c r="H90" s="291" t="n"/>
      <c r="I90" s="292" t="n"/>
      <c r="J90" s="292" t="n"/>
      <c r="K90" s="293" t="n"/>
      <c r="L90" s="289" t="n"/>
      <c r="M90" s="285" t="n"/>
      <c r="N90" s="286" t="n"/>
      <c r="O90" s="286" t="n"/>
      <c r="P90" s="287" t="n"/>
      <c r="Q90" s="288" t="n"/>
      <c r="R90" s="289" t="n"/>
      <c r="S90" s="289" t="n"/>
      <c r="T90" s="47" t="n"/>
      <c r="U90" s="48" t="n"/>
      <c r="V90" s="48" t="n"/>
      <c r="IC90" s="69" t="n"/>
    </row>
    <row r="91" hidden="1" ht="24" customHeight="1" s="150">
      <c r="A91" s="280" t="n"/>
      <c r="B91" s="284" t="n"/>
      <c r="C91" s="69" t="n"/>
      <c r="D91" s="69" t="n"/>
      <c r="E91" s="69" t="n"/>
      <c r="F91" s="290" t="n"/>
      <c r="G91" s="289" t="n"/>
      <c r="H91" s="156" t="inlineStr">
        <is>
          <t>FUNDAMENTO</t>
        </is>
      </c>
      <c r="I91" s="247" t="n"/>
      <c r="J91" s="247" t="n"/>
      <c r="K91" s="273" t="n"/>
      <c r="L91" s="289" t="n"/>
      <c r="M91" s="285" t="n"/>
      <c r="N91" s="286" t="n"/>
      <c r="O91" s="286" t="n"/>
      <c r="P91" s="287" t="n"/>
      <c r="Q91" s="288" t="n"/>
      <c r="R91" s="289" t="n"/>
      <c r="S91" s="289" t="n"/>
      <c r="T91" s="47" t="n"/>
      <c r="U91" s="48" t="n"/>
      <c r="V91" s="48" t="n"/>
      <c r="IC91" s="69" t="n"/>
    </row>
    <row r="92" hidden="1" ht="19.5" customHeight="1" s="150">
      <c r="A92" s="280" t="n"/>
      <c r="B92" s="284" t="n"/>
      <c r="C92" s="69" t="n"/>
      <c r="D92" s="69" t="n"/>
      <c r="E92" s="69" t="n"/>
      <c r="F92" s="290" t="n"/>
      <c r="G92" s="289" t="n"/>
      <c r="H92" s="155">
        <f>IFERROR(IF('(1)_Base_de_Datos'!O12&lt;&gt;"",'(1)_Base_de_Datos'!O12,""),"")</f>
        <v/>
      </c>
      <c r="I92" s="282" t="n"/>
      <c r="J92" s="282" t="n"/>
      <c r="K92" s="283" t="n"/>
      <c r="L92" s="289" t="n"/>
      <c r="M92" s="285" t="n"/>
      <c r="N92" s="286" t="n"/>
      <c r="O92" s="286" t="n"/>
      <c r="P92" s="287" t="n"/>
      <c r="Q92" s="288" t="n"/>
      <c r="R92" s="289" t="n"/>
      <c r="S92" s="289" t="n"/>
      <c r="T92" s="47" t="n"/>
      <c r="IC92" s="69" t="n"/>
    </row>
    <row r="93" hidden="1" ht="19.5" customHeight="1" s="150">
      <c r="A93" s="280" t="n"/>
      <c r="B93" s="284" t="n"/>
      <c r="C93" s="69" t="n"/>
      <c r="D93" s="69" t="n"/>
      <c r="E93" s="69" t="n"/>
      <c r="F93" s="290" t="n"/>
      <c r="G93" s="289" t="n"/>
      <c r="H93" s="291" t="n"/>
      <c r="I93" s="292" t="n"/>
      <c r="J93" s="292" t="n"/>
      <c r="K93" s="293" t="n"/>
      <c r="L93" s="289" t="n"/>
      <c r="M93" s="285" t="n"/>
      <c r="N93" s="286" t="n"/>
      <c r="O93" s="286" t="n"/>
      <c r="P93" s="287" t="n"/>
      <c r="Q93" s="288" t="n"/>
      <c r="R93" s="289" t="n"/>
      <c r="S93" s="289" t="n"/>
      <c r="T93" s="47" t="n"/>
      <c r="IC93" s="69" t="n"/>
    </row>
    <row r="94" hidden="1" ht="24" customHeight="1" s="150">
      <c r="A94" s="280" t="n"/>
      <c r="B94" s="284" t="n"/>
      <c r="C94" s="69" t="n"/>
      <c r="D94" s="69" t="n"/>
      <c r="E94" s="69" t="n"/>
      <c r="F94" s="290" t="n"/>
      <c r="G94" s="289" t="n"/>
      <c r="H94" s="156" t="inlineStr">
        <is>
          <t>CONTROL</t>
        </is>
      </c>
      <c r="I94" s="247" t="n"/>
      <c r="J94" s="247" t="n"/>
      <c r="K94" s="273" t="n"/>
      <c r="L94" s="289" t="n"/>
      <c r="M94" s="285" t="n"/>
      <c r="N94" s="286" t="n"/>
      <c r="O94" s="286" t="n"/>
      <c r="P94" s="287" t="n"/>
      <c r="Q94" s="288" t="n"/>
      <c r="R94" s="289" t="n"/>
      <c r="S94" s="289" t="n"/>
      <c r="T94" s="47" t="n"/>
      <c r="U94" s="48" t="n"/>
      <c r="V94" s="48" t="n"/>
      <c r="IC94" s="69" t="n"/>
    </row>
    <row r="95" hidden="1" ht="87.5" customHeight="1" s="150">
      <c r="A95" s="294" t="n"/>
      <c r="B95" s="291" t="n"/>
      <c r="C95" s="292" t="n"/>
      <c r="D95" s="292" t="n"/>
      <c r="E95" s="292" t="n"/>
      <c r="F95" s="293" t="n"/>
      <c r="G95" s="299" t="n"/>
      <c r="H95" s="155">
        <f>IFERROR(IF('(1)_Base_de_Datos'!P12&lt;&gt;"",'(1)_Base_de_Datos'!P12,""),"")</f>
        <v/>
      </c>
      <c r="I95" s="269" t="n"/>
      <c r="J95" s="269" t="n"/>
      <c r="K95" s="271" t="n"/>
      <c r="L95" s="299" t="n"/>
      <c r="M95" s="295" t="n"/>
      <c r="N95" s="296" t="n"/>
      <c r="O95" s="296" t="n"/>
      <c r="P95" s="297" t="n"/>
      <c r="Q95" s="298" t="n"/>
      <c r="R95" s="299" t="n"/>
      <c r="S95" s="299" t="n"/>
      <c r="T95" s="47" t="n"/>
      <c r="U95" s="48" t="n"/>
      <c r="V95" s="48" t="n"/>
      <c r="IC95" s="69" t="n"/>
    </row>
    <row r="96" hidden="1" ht="23" customHeight="1" s="150">
      <c r="A96" s="122" t="n"/>
      <c r="B96" s="205">
        <f>IF('(1)_Base_de_Datos'!$R$13&lt;&gt;"",'(1)_Base_de_Datos'!$R$13,"")</f>
        <v/>
      </c>
      <c r="C96" s="269" t="n"/>
      <c r="D96" s="269" t="n"/>
      <c r="E96" s="269" t="n"/>
      <c r="F96" s="269" t="n"/>
      <c r="G96" s="119" t="n"/>
      <c r="H96" s="205">
        <f>IF('(1)_Base_de_Datos'!$B$13="Recomendación",'(1)_Base_de_Datos'!$B$13,"")</f>
        <v/>
      </c>
      <c r="I96" s="269" t="n"/>
      <c r="J96" s="269" t="n"/>
      <c r="K96" s="269" t="n"/>
      <c r="L96" s="119" t="n"/>
      <c r="M96" s="119" t="n"/>
      <c r="N96" s="119" t="n"/>
      <c r="O96" s="119" t="n"/>
      <c r="P96" s="119" t="n"/>
      <c r="Q96" s="119" t="n"/>
      <c r="R96" s="119" t="n"/>
      <c r="S96" s="120" t="n"/>
      <c r="T96" s="69" t="n"/>
      <c r="U96" s="45" t="n"/>
      <c r="V96" s="46" t="n"/>
      <c r="IC96" s="69" t="n"/>
    </row>
    <row r="97" hidden="1" ht="27" customHeight="1" s="150">
      <c r="A97" s="270" t="n">
        <v>10</v>
      </c>
      <c r="B97" s="160">
        <f>IFERROR(IF('(1)_Base_de_Datos'!L13&lt;&gt;"",'(1)_Base_de_Datos'!L13,""),"")</f>
        <v/>
      </c>
      <c r="C97" s="269" t="n"/>
      <c r="D97" s="269" t="n"/>
      <c r="E97" s="269" t="n"/>
      <c r="F97" s="269" t="n"/>
      <c r="G97" s="302">
        <f>IFERROR(IF('(1)_Base_de_Datos'!C13&lt;&gt;"",'(1)_Base_de_Datos'!C13,""),"")</f>
        <v/>
      </c>
      <c r="H97" s="156" t="inlineStr">
        <is>
          <t>IMPLICACIÓN</t>
        </is>
      </c>
      <c r="I97" s="247" t="n"/>
      <c r="J97" s="247" t="n"/>
      <c r="K97" s="273" t="n"/>
      <c r="L97" s="279">
        <f>IFERROR(IF('(1)_Base_de_Datos'!Q13&lt;&gt;"",'(1)_Base_de_Datos'!Q13,""),"")</f>
        <v/>
      </c>
      <c r="M97" s="275" t="n"/>
      <c r="N97" s="276" t="n"/>
      <c r="O97" s="276" t="n"/>
      <c r="P97" s="277" t="n"/>
      <c r="Q97" s="278" t="n"/>
      <c r="R97" s="279">
        <f>IFERROR(IF('(1)_Base_de_Datos'!X13&lt;&gt;"",'(1)_Base_de_Datos'!X13,""),"")</f>
        <v/>
      </c>
      <c r="S97" s="279">
        <f>IFERROR(IF('(1)_Base_de_Datos'!Y13&lt;&gt;"",'(1)_Base_de_Datos'!Y13,""),"")</f>
        <v/>
      </c>
      <c r="T97" s="47" t="n"/>
      <c r="IC97" s="69" t="n"/>
    </row>
    <row r="98" hidden="1" ht="18.75" customHeight="1" s="150" thickBot="1">
      <c r="A98" s="280" t="n"/>
      <c r="B98" s="304">
        <f>IFERROR(IF('(1)_Base_de_Datos'!M13&lt;&gt;"",'(1)_Base_de_Datos'!M13,""),"")</f>
        <v/>
      </c>
      <c r="C98" s="282" t="n"/>
      <c r="D98" s="282" t="n"/>
      <c r="E98" s="282" t="n"/>
      <c r="F98" s="283" t="n"/>
      <c r="G98" s="289" t="n"/>
      <c r="H98" s="155">
        <f>IFERROR(IF('(1)_Base_de_Datos'!N13&lt;&gt;"",'(1)_Base_de_Datos'!N13,""),"")</f>
        <v/>
      </c>
      <c r="I98" s="282" t="n"/>
      <c r="J98" s="282" t="n"/>
      <c r="K98" s="283" t="n"/>
      <c r="L98" s="289" t="n"/>
      <c r="M98" s="285" t="n"/>
      <c r="N98" s="286" t="n"/>
      <c r="O98" s="286" t="n"/>
      <c r="P98" s="287" t="n"/>
      <c r="Q98" s="288" t="n"/>
      <c r="R98" s="289" t="n"/>
      <c r="S98" s="289" t="n"/>
      <c r="T98" s="47" t="n"/>
      <c r="IC98" s="69" t="n"/>
    </row>
    <row r="99" hidden="1" ht="18.75" customHeight="1" s="150">
      <c r="A99" s="280" t="n"/>
      <c r="B99" s="284" t="n"/>
      <c r="C99" s="69" t="n"/>
      <c r="D99" s="69" t="n"/>
      <c r="E99" s="69" t="n"/>
      <c r="F99" s="290" t="n"/>
      <c r="G99" s="289" t="n"/>
      <c r="H99" s="291" t="n"/>
      <c r="I99" s="292" t="n"/>
      <c r="J99" s="292" t="n"/>
      <c r="K99" s="293" t="n"/>
      <c r="L99" s="289" t="n"/>
      <c r="M99" s="285" t="n"/>
      <c r="N99" s="286" t="n"/>
      <c r="O99" s="286" t="n"/>
      <c r="P99" s="287" t="n"/>
      <c r="Q99" s="288" t="n"/>
      <c r="R99" s="289" t="n"/>
      <c r="S99" s="289" t="n"/>
      <c r="T99" s="47" t="n"/>
      <c r="U99" s="252" t="inlineStr">
        <is>
          <t>EN CASO DE NECESITAR MAS HALLAZGOS, MOSTRAR LAS CELDAS 88 A 227 QUE ESTÁN OCULTAS.</t>
        </is>
      </c>
      <c r="V99" s="254" t="n"/>
      <c r="IC99" s="69" t="n"/>
    </row>
    <row r="100" hidden="1" ht="24" customHeight="1" s="150">
      <c r="A100" s="280" t="n"/>
      <c r="B100" s="284" t="n"/>
      <c r="C100" s="69" t="n"/>
      <c r="D100" s="69" t="n"/>
      <c r="E100" s="69" t="n"/>
      <c r="F100" s="290" t="n"/>
      <c r="G100" s="289" t="n"/>
      <c r="H100" s="156" t="inlineStr">
        <is>
          <t>FUNDAMENTO</t>
        </is>
      </c>
      <c r="I100" s="247" t="n"/>
      <c r="J100" s="247" t="n"/>
      <c r="K100" s="273" t="n"/>
      <c r="L100" s="289" t="n"/>
      <c r="M100" s="285" t="n"/>
      <c r="N100" s="286" t="n"/>
      <c r="O100" s="286" t="n"/>
      <c r="P100" s="287" t="n"/>
      <c r="Q100" s="288" t="n"/>
      <c r="R100" s="289" t="n"/>
      <c r="S100" s="289" t="n"/>
      <c r="T100" s="47" t="n"/>
      <c r="U100" s="255" t="n"/>
      <c r="V100" s="256" t="n"/>
      <c r="IC100" s="69" t="n"/>
    </row>
    <row r="101" hidden="1" ht="19.5" customHeight="1" s="150">
      <c r="A101" s="280" t="n"/>
      <c r="B101" s="284" t="n"/>
      <c r="C101" s="69" t="n"/>
      <c r="D101" s="69" t="n"/>
      <c r="E101" s="69" t="n"/>
      <c r="F101" s="290" t="n"/>
      <c r="G101" s="289" t="n"/>
      <c r="H101" s="155">
        <f>IFERROR(IF('(1)_Base_de_Datos'!O13&lt;&gt;"",'(1)_Base_de_Datos'!O13,""),"")</f>
        <v/>
      </c>
      <c r="I101" s="282" t="n"/>
      <c r="J101" s="282" t="n"/>
      <c r="K101" s="283" t="n"/>
      <c r="L101" s="289" t="n"/>
      <c r="M101" s="285" t="n"/>
      <c r="N101" s="286" t="n"/>
      <c r="O101" s="286" t="n"/>
      <c r="P101" s="287" t="n"/>
      <c r="Q101" s="288" t="n"/>
      <c r="R101" s="289" t="n"/>
      <c r="S101" s="289" t="n"/>
      <c r="T101" s="47" t="n"/>
      <c r="U101" s="255" t="n"/>
      <c r="V101" s="256" t="n"/>
      <c r="IC101" s="69" t="n"/>
    </row>
    <row r="102" hidden="1" ht="19.5" customHeight="1" s="150" thickBot="1">
      <c r="A102" s="280" t="n"/>
      <c r="B102" s="284" t="n"/>
      <c r="C102" s="69" t="n"/>
      <c r="D102" s="69" t="n"/>
      <c r="E102" s="69" t="n"/>
      <c r="F102" s="290" t="n"/>
      <c r="G102" s="289" t="n"/>
      <c r="H102" s="291" t="n"/>
      <c r="I102" s="292" t="n"/>
      <c r="J102" s="292" t="n"/>
      <c r="K102" s="293" t="n"/>
      <c r="L102" s="289" t="n"/>
      <c r="M102" s="285" t="n"/>
      <c r="N102" s="286" t="n"/>
      <c r="O102" s="286" t="n"/>
      <c r="P102" s="287" t="n"/>
      <c r="Q102" s="288" t="n"/>
      <c r="R102" s="289" t="n"/>
      <c r="S102" s="289" t="n"/>
      <c r="T102" s="47" t="n"/>
      <c r="U102" s="257" t="n"/>
      <c r="V102" s="259" t="n"/>
      <c r="IC102" s="69" t="n"/>
    </row>
    <row r="103" hidden="1" ht="24" customHeight="1" s="150">
      <c r="A103" s="280" t="n"/>
      <c r="B103" s="284" t="n"/>
      <c r="C103" s="69" t="n"/>
      <c r="D103" s="69" t="n"/>
      <c r="E103" s="69" t="n"/>
      <c r="F103" s="290" t="n"/>
      <c r="G103" s="289" t="n"/>
      <c r="H103" s="156" t="inlineStr">
        <is>
          <t>CONTROL</t>
        </is>
      </c>
      <c r="I103" s="247" t="n"/>
      <c r="J103" s="247" t="n"/>
      <c r="K103" s="273" t="n"/>
      <c r="L103" s="289" t="n"/>
      <c r="M103" s="285" t="n"/>
      <c r="N103" s="286" t="n"/>
      <c r="O103" s="286" t="n"/>
      <c r="P103" s="287" t="n"/>
      <c r="Q103" s="288" t="n"/>
      <c r="R103" s="289" t="n"/>
      <c r="S103" s="289" t="n"/>
      <c r="T103" s="47" t="n"/>
      <c r="U103" s="48" t="n"/>
      <c r="V103" s="48" t="n"/>
      <c r="IC103" s="69" t="n"/>
    </row>
    <row r="104" hidden="1" ht="87.5" customHeight="1" s="150">
      <c r="A104" s="294" t="n"/>
      <c r="B104" s="291" t="n"/>
      <c r="C104" s="292" t="n"/>
      <c r="D104" s="292" t="n"/>
      <c r="E104" s="292" t="n"/>
      <c r="F104" s="293" t="n"/>
      <c r="G104" s="299" t="n"/>
      <c r="H104" s="155">
        <f>IFERROR(IF('(1)_Base_de_Datos'!P13&lt;&gt;"",'(1)_Base_de_Datos'!P13,""),"")</f>
        <v/>
      </c>
      <c r="I104" s="269" t="n"/>
      <c r="J104" s="269" t="n"/>
      <c r="K104" s="271" t="n"/>
      <c r="L104" s="299" t="n"/>
      <c r="M104" s="295" t="n"/>
      <c r="N104" s="296" t="n"/>
      <c r="O104" s="296" t="n"/>
      <c r="P104" s="297" t="n"/>
      <c r="Q104" s="298" t="n"/>
      <c r="R104" s="299" t="n"/>
      <c r="S104" s="299" t="n"/>
      <c r="T104" s="47" t="n"/>
      <c r="U104" s="48" t="n"/>
      <c r="V104" s="48" t="n"/>
      <c r="IC104" s="69" t="n"/>
    </row>
    <row r="105" hidden="1" ht="23" customHeight="1" s="150">
      <c r="A105" s="122" t="n"/>
      <c r="B105" s="205">
        <f>IF('(1)_Base_de_Datos'!$R$14&lt;&gt;"",'(1)_Base_de_Datos'!$R$14,"")</f>
        <v/>
      </c>
      <c r="C105" s="269" t="n"/>
      <c r="D105" s="269" t="n"/>
      <c r="E105" s="269" t="n"/>
      <c r="F105" s="269" t="n"/>
      <c r="G105" s="119" t="n"/>
      <c r="H105" s="205">
        <f>IF('(1)_Base_de_Datos'!$B$14="Recomendación",'(1)_Base_de_Datos'!$B$14,"")</f>
        <v/>
      </c>
      <c r="I105" s="269" t="n"/>
      <c r="J105" s="269" t="n"/>
      <c r="K105" s="269" t="n"/>
      <c r="L105" s="119" t="n"/>
      <c r="M105" s="119" t="n"/>
      <c r="N105" s="119" t="n"/>
      <c r="O105" s="119" t="n"/>
      <c r="P105" s="119" t="n"/>
      <c r="Q105" s="119" t="n"/>
      <c r="R105" s="119" t="n"/>
      <c r="S105" s="120" t="n"/>
      <c r="T105" s="69" t="n"/>
      <c r="U105" s="45" t="n"/>
      <c r="V105" s="46" t="n"/>
      <c r="IC105" s="69" t="n"/>
    </row>
    <row r="106" hidden="1" ht="27" customHeight="1" s="150">
      <c r="A106" s="270" t="n">
        <v>11</v>
      </c>
      <c r="B106" s="160">
        <f>IFERROR(IF('(1)_Base_de_Datos'!L14&lt;&gt;"",'(1)_Base_de_Datos'!L14,""),"")</f>
        <v/>
      </c>
      <c r="C106" s="269" t="n"/>
      <c r="D106" s="269" t="n"/>
      <c r="E106" s="269" t="n"/>
      <c r="F106" s="269" t="n"/>
      <c r="G106" s="302">
        <f>IFERROR(IF('(1)_Base_de_Datos'!C14&lt;&gt;"",'(1)_Base_de_Datos'!C14,""),"")</f>
        <v/>
      </c>
      <c r="H106" s="156" t="inlineStr">
        <is>
          <t>IMPLICACIÓN</t>
        </is>
      </c>
      <c r="I106" s="247" t="n"/>
      <c r="J106" s="247" t="n"/>
      <c r="K106" s="273" t="n"/>
      <c r="L106" s="279">
        <f>IFERROR(IF('(1)_Base_de_Datos'!Q14&lt;&gt;"",'(1)_Base_de_Datos'!Q14,""),"")</f>
        <v/>
      </c>
      <c r="M106" s="275" t="n"/>
      <c r="N106" s="276" t="n"/>
      <c r="O106" s="276" t="n"/>
      <c r="P106" s="277" t="n"/>
      <c r="Q106" s="278" t="n"/>
      <c r="R106" s="279">
        <f>IFERROR(IF('(1)_Base_de_Datos'!X14&lt;&gt;"",'(1)_Base_de_Datos'!X14,""),"")</f>
        <v/>
      </c>
      <c r="S106" s="279">
        <f>IFERROR(IF('(1)_Base_de_Datos'!Y14&lt;&gt;"",'(1)_Base_de_Datos'!Y14,""),"")</f>
        <v/>
      </c>
      <c r="T106" s="47" t="n"/>
      <c r="U106" s="46" t="n"/>
      <c r="V106" s="46" t="n"/>
      <c r="IC106" s="69" t="n"/>
    </row>
    <row r="107" hidden="1" ht="18.75" customHeight="1" s="150">
      <c r="A107" s="280" t="n"/>
      <c r="B107" s="304">
        <f>IFERROR(IF('(1)_Base_de_Datos'!M14&lt;&gt;"",'(1)_Base_de_Datos'!M14,""),"")</f>
        <v/>
      </c>
      <c r="C107" s="282" t="n"/>
      <c r="D107" s="282" t="n"/>
      <c r="E107" s="282" t="n"/>
      <c r="F107" s="283" t="n"/>
      <c r="G107" s="289" t="n"/>
      <c r="H107" s="155">
        <f>IFERROR(IF('(1)_Base_de_Datos'!N14&lt;&gt;"",'(1)_Base_de_Datos'!N14,""),"")</f>
        <v/>
      </c>
      <c r="I107" s="282" t="n"/>
      <c r="J107" s="282" t="n"/>
      <c r="K107" s="283" t="n"/>
      <c r="L107" s="289" t="n"/>
      <c r="M107" s="285" t="n"/>
      <c r="N107" s="286" t="n"/>
      <c r="O107" s="286" t="n"/>
      <c r="P107" s="287" t="n"/>
      <c r="Q107" s="288" t="n"/>
      <c r="R107" s="289" t="n"/>
      <c r="S107" s="289" t="n"/>
      <c r="T107" s="47" t="n"/>
      <c r="U107" s="48" t="n"/>
      <c r="V107" s="48" t="n"/>
      <c r="IC107" s="69" t="n"/>
    </row>
    <row r="108" hidden="1" ht="18.75" customHeight="1" s="150">
      <c r="A108" s="280" t="n"/>
      <c r="B108" s="284" t="n"/>
      <c r="C108" s="69" t="n"/>
      <c r="D108" s="69" t="n"/>
      <c r="E108" s="69" t="n"/>
      <c r="F108" s="290" t="n"/>
      <c r="G108" s="289" t="n"/>
      <c r="H108" s="291" t="n"/>
      <c r="I108" s="292" t="n"/>
      <c r="J108" s="292" t="n"/>
      <c r="K108" s="293" t="n"/>
      <c r="L108" s="289" t="n"/>
      <c r="M108" s="285" t="n"/>
      <c r="N108" s="286" t="n"/>
      <c r="O108" s="286" t="n"/>
      <c r="P108" s="287" t="n"/>
      <c r="Q108" s="288" t="n"/>
      <c r="R108" s="289" t="n"/>
      <c r="S108" s="289" t="n"/>
      <c r="T108" s="47" t="n"/>
      <c r="U108" s="48" t="n"/>
      <c r="V108" s="48" t="n"/>
      <c r="IC108" s="69" t="n"/>
    </row>
    <row r="109" hidden="1" ht="24" customHeight="1" s="150">
      <c r="A109" s="280" t="n"/>
      <c r="B109" s="284" t="n"/>
      <c r="C109" s="69" t="n"/>
      <c r="D109" s="69" t="n"/>
      <c r="E109" s="69" t="n"/>
      <c r="F109" s="290" t="n"/>
      <c r="G109" s="289" t="n"/>
      <c r="H109" s="156" t="inlineStr">
        <is>
          <t>FUNDAMENTO</t>
        </is>
      </c>
      <c r="I109" s="247" t="n"/>
      <c r="J109" s="247" t="n"/>
      <c r="K109" s="273" t="n"/>
      <c r="L109" s="289" t="n"/>
      <c r="M109" s="285" t="n"/>
      <c r="N109" s="286" t="n"/>
      <c r="O109" s="286" t="n"/>
      <c r="P109" s="287" t="n"/>
      <c r="Q109" s="288" t="n"/>
      <c r="R109" s="289" t="n"/>
      <c r="S109" s="289" t="n"/>
      <c r="T109" s="47" t="n"/>
      <c r="U109" s="48" t="n"/>
      <c r="V109" s="48" t="n"/>
      <c r="IC109" s="69" t="n"/>
    </row>
    <row r="110" hidden="1" ht="19.5" customHeight="1" s="150">
      <c r="A110" s="280" t="n"/>
      <c r="B110" s="284" t="n"/>
      <c r="C110" s="69" t="n"/>
      <c r="D110" s="69" t="n"/>
      <c r="E110" s="69" t="n"/>
      <c r="F110" s="290" t="n"/>
      <c r="G110" s="289" t="n"/>
      <c r="H110" s="155">
        <f>IFERROR(IF('(1)_Base_de_Datos'!O14&lt;&gt;"",'(1)_Base_de_Datos'!O14,""),"")</f>
        <v/>
      </c>
      <c r="I110" s="282" t="n"/>
      <c r="J110" s="282" t="n"/>
      <c r="K110" s="283" t="n"/>
      <c r="L110" s="289" t="n"/>
      <c r="M110" s="285" t="n"/>
      <c r="N110" s="286" t="n"/>
      <c r="O110" s="286" t="n"/>
      <c r="P110" s="287" t="n"/>
      <c r="Q110" s="288" t="n"/>
      <c r="R110" s="289" t="n"/>
      <c r="S110" s="289" t="n"/>
      <c r="T110" s="47" t="n"/>
      <c r="U110" s="48" t="n"/>
      <c r="V110" s="48" t="n"/>
      <c r="IC110" s="69" t="n"/>
    </row>
    <row r="111" hidden="1" ht="19.5" customHeight="1" s="150">
      <c r="A111" s="280" t="n"/>
      <c r="B111" s="284" t="n"/>
      <c r="C111" s="69" t="n"/>
      <c r="D111" s="69" t="n"/>
      <c r="E111" s="69" t="n"/>
      <c r="F111" s="290" t="n"/>
      <c r="G111" s="289" t="n"/>
      <c r="H111" s="291" t="n"/>
      <c r="I111" s="292" t="n"/>
      <c r="J111" s="292" t="n"/>
      <c r="K111" s="293" t="n"/>
      <c r="L111" s="289" t="n"/>
      <c r="M111" s="285" t="n"/>
      <c r="N111" s="286" t="n"/>
      <c r="O111" s="286" t="n"/>
      <c r="P111" s="287" t="n"/>
      <c r="Q111" s="288" t="n"/>
      <c r="R111" s="289" t="n"/>
      <c r="S111" s="289" t="n"/>
      <c r="T111" s="47" t="n"/>
      <c r="IC111" s="69" t="n"/>
    </row>
    <row r="112" hidden="1" ht="24" customHeight="1" s="150">
      <c r="A112" s="280" t="n"/>
      <c r="B112" s="284" t="n"/>
      <c r="C112" s="69" t="n"/>
      <c r="D112" s="69" t="n"/>
      <c r="E112" s="69" t="n"/>
      <c r="F112" s="290" t="n"/>
      <c r="G112" s="289" t="n"/>
      <c r="H112" s="156" t="inlineStr">
        <is>
          <t>CONTROL</t>
        </is>
      </c>
      <c r="I112" s="247" t="n"/>
      <c r="J112" s="247" t="n"/>
      <c r="K112" s="273" t="n"/>
      <c r="L112" s="289" t="n"/>
      <c r="M112" s="285" t="n"/>
      <c r="N112" s="286" t="n"/>
      <c r="O112" s="286" t="n"/>
      <c r="P112" s="287" t="n"/>
      <c r="Q112" s="288" t="n"/>
      <c r="R112" s="289" t="n"/>
      <c r="S112" s="289" t="n"/>
      <c r="T112" s="47" t="n"/>
      <c r="U112" s="48" t="n"/>
      <c r="V112" s="48" t="n"/>
      <c r="IC112" s="69" t="n"/>
    </row>
    <row r="113" hidden="1" ht="87.5" customHeight="1" s="150">
      <c r="A113" s="294" t="n"/>
      <c r="B113" s="291" t="n"/>
      <c r="C113" s="292" t="n"/>
      <c r="D113" s="292" t="n"/>
      <c r="E113" s="292" t="n"/>
      <c r="F113" s="293" t="n"/>
      <c r="G113" s="299" t="n"/>
      <c r="H113" s="155">
        <f>IFERROR(IF('(1)_Base_de_Datos'!P14&lt;&gt;"",'(1)_Base_de_Datos'!P14,""),"")</f>
        <v/>
      </c>
      <c r="I113" s="269" t="n"/>
      <c r="J113" s="269" t="n"/>
      <c r="K113" s="271" t="n"/>
      <c r="L113" s="299" t="n"/>
      <c r="M113" s="295" t="n"/>
      <c r="N113" s="296" t="n"/>
      <c r="O113" s="296" t="n"/>
      <c r="P113" s="297" t="n"/>
      <c r="Q113" s="298" t="n"/>
      <c r="R113" s="299" t="n"/>
      <c r="S113" s="299" t="n"/>
      <c r="T113" s="47" t="n"/>
      <c r="U113" s="48" t="n"/>
      <c r="V113" s="48" t="n"/>
      <c r="IC113" s="69" t="n"/>
    </row>
    <row r="114" hidden="1" ht="23" customHeight="1" s="150">
      <c r="A114" s="122" t="n"/>
      <c r="B114" s="205">
        <f>IF('(1)_Base_de_Datos'!$R$15&lt;&gt;"",'(1)_Base_de_Datos'!$R$15,"")</f>
        <v/>
      </c>
      <c r="C114" s="269" t="n"/>
      <c r="D114" s="269" t="n"/>
      <c r="E114" s="269" t="n"/>
      <c r="F114" s="269" t="n"/>
      <c r="G114" s="119" t="n"/>
      <c r="H114" s="205">
        <f>IF('(1)_Base_de_Datos'!$B$15="Recomendación",'(1)_Base_de_Datos'!$B$15,"")</f>
        <v/>
      </c>
      <c r="I114" s="269" t="n"/>
      <c r="J114" s="269" t="n"/>
      <c r="K114" s="269" t="n"/>
      <c r="L114" s="119" t="n"/>
      <c r="M114" s="119" t="n"/>
      <c r="N114" s="119" t="n"/>
      <c r="O114" s="119" t="n"/>
      <c r="P114" s="119" t="n"/>
      <c r="Q114" s="119" t="n"/>
      <c r="R114" s="119" t="n"/>
      <c r="S114" s="120" t="n"/>
      <c r="T114" s="69" t="n"/>
      <c r="U114" s="45" t="n"/>
      <c r="V114" s="46" t="n"/>
      <c r="IC114" s="69" t="n"/>
    </row>
    <row r="115" hidden="1" ht="27" customHeight="1" s="150">
      <c r="A115" s="270" t="n">
        <v>12</v>
      </c>
      <c r="B115" s="160">
        <f>IFERROR(IF('(1)_Base_de_Datos'!L15&lt;&gt;"",'(1)_Base_de_Datos'!L15,""),"")</f>
        <v/>
      </c>
      <c r="C115" s="269" t="n"/>
      <c r="D115" s="269" t="n"/>
      <c r="E115" s="269" t="n"/>
      <c r="F115" s="269" t="n"/>
      <c r="G115" s="302">
        <f>IFERROR(IF('(1)_Base_de_Datos'!C15&lt;&gt;"",'(1)_Base_de_Datos'!C15,""),"")</f>
        <v/>
      </c>
      <c r="H115" s="156" t="inlineStr">
        <is>
          <t>IMPLICACIÓN</t>
        </is>
      </c>
      <c r="I115" s="247" t="n"/>
      <c r="J115" s="247" t="n"/>
      <c r="K115" s="273" t="n"/>
      <c r="L115" s="279">
        <f>IFERROR(IF('(1)_Base_de_Datos'!Q15&lt;&gt;"",'(1)_Base_de_Datos'!Q15,""),"")</f>
        <v/>
      </c>
      <c r="M115" s="275" t="n"/>
      <c r="N115" s="276" t="n"/>
      <c r="O115" s="276" t="n"/>
      <c r="P115" s="277" t="n"/>
      <c r="Q115" s="278" t="n"/>
      <c r="R115" s="279">
        <f>IFERROR(IF('(1)_Base_de_Datos'!X15&lt;&gt;"",'(1)_Base_de_Datos'!X15,""),"")</f>
        <v/>
      </c>
      <c r="S115" s="279">
        <f>IFERROR(IF('(1)_Base_de_Datos'!Y15&lt;&gt;"",'(1)_Base_de_Datos'!Y15,""),"")</f>
        <v/>
      </c>
      <c r="T115" s="47" t="n"/>
      <c r="U115" s="46" t="n"/>
      <c r="V115" s="46" t="n"/>
      <c r="IC115" s="69" t="n"/>
    </row>
    <row r="116" hidden="1" ht="18.75" customHeight="1" s="150">
      <c r="A116" s="280" t="n"/>
      <c r="B116" s="304">
        <f>IFERROR(IF('(1)_Base_de_Datos'!M15&lt;&gt;"",'(1)_Base_de_Datos'!M15,""),"")</f>
        <v/>
      </c>
      <c r="C116" s="282" t="n"/>
      <c r="D116" s="282" t="n"/>
      <c r="E116" s="282" t="n"/>
      <c r="F116" s="283" t="n"/>
      <c r="G116" s="289" t="n"/>
      <c r="H116" s="155">
        <f>IFERROR(IF('(1)_Base_de_Datos'!N15&lt;&gt;"",'(1)_Base_de_Datos'!N15,""),"")</f>
        <v/>
      </c>
      <c r="I116" s="282" t="n"/>
      <c r="J116" s="282" t="n"/>
      <c r="K116" s="283" t="n"/>
      <c r="L116" s="289" t="n"/>
      <c r="M116" s="285" t="n"/>
      <c r="N116" s="286" t="n"/>
      <c r="O116" s="286" t="n"/>
      <c r="P116" s="287" t="n"/>
      <c r="Q116" s="288" t="n"/>
      <c r="R116" s="289" t="n"/>
      <c r="S116" s="289" t="n"/>
      <c r="T116" s="47" t="n"/>
      <c r="U116" s="48" t="n"/>
      <c r="V116" s="48" t="n"/>
      <c r="IC116" s="69" t="n"/>
    </row>
    <row r="117" hidden="1" ht="18.75" customHeight="1" s="150">
      <c r="A117" s="280" t="n"/>
      <c r="B117" s="284" t="n"/>
      <c r="C117" s="69" t="n"/>
      <c r="D117" s="69" t="n"/>
      <c r="E117" s="69" t="n"/>
      <c r="F117" s="290" t="n"/>
      <c r="G117" s="289" t="n"/>
      <c r="H117" s="291" t="n"/>
      <c r="I117" s="292" t="n"/>
      <c r="J117" s="292" t="n"/>
      <c r="K117" s="293" t="n"/>
      <c r="L117" s="289" t="n"/>
      <c r="M117" s="285" t="n"/>
      <c r="N117" s="286" t="n"/>
      <c r="O117" s="286" t="n"/>
      <c r="P117" s="287" t="n"/>
      <c r="Q117" s="288" t="n"/>
      <c r="R117" s="289" t="n"/>
      <c r="S117" s="289" t="n"/>
      <c r="T117" s="47" t="n"/>
      <c r="U117" s="48" t="n"/>
      <c r="V117" s="48" t="n"/>
      <c r="IC117" s="69" t="n"/>
    </row>
    <row r="118" hidden="1" ht="24" customHeight="1" s="150">
      <c r="A118" s="280" t="n"/>
      <c r="B118" s="284" t="n"/>
      <c r="C118" s="69" t="n"/>
      <c r="D118" s="69" t="n"/>
      <c r="E118" s="69" t="n"/>
      <c r="F118" s="290" t="n"/>
      <c r="G118" s="289" t="n"/>
      <c r="H118" s="156" t="inlineStr">
        <is>
          <t>FUNDAMENTO</t>
        </is>
      </c>
      <c r="I118" s="247" t="n"/>
      <c r="J118" s="247" t="n"/>
      <c r="K118" s="273" t="n"/>
      <c r="L118" s="289" t="n"/>
      <c r="M118" s="285" t="n"/>
      <c r="N118" s="286" t="n"/>
      <c r="O118" s="286" t="n"/>
      <c r="P118" s="287" t="n"/>
      <c r="Q118" s="288" t="n"/>
      <c r="R118" s="289" t="n"/>
      <c r="S118" s="289" t="n"/>
      <c r="T118" s="47" t="n"/>
      <c r="U118" s="48" t="n"/>
      <c r="V118" s="48" t="n"/>
      <c r="IC118" s="69" t="n"/>
    </row>
    <row r="119" hidden="1" ht="19.5" customHeight="1" s="150">
      <c r="A119" s="280" t="n"/>
      <c r="B119" s="284" t="n"/>
      <c r="C119" s="69" t="n"/>
      <c r="D119" s="69" t="n"/>
      <c r="E119" s="69" t="n"/>
      <c r="F119" s="290" t="n"/>
      <c r="G119" s="289" t="n"/>
      <c r="H119" s="155">
        <f>IFERROR(IF('(1)_Base_de_Datos'!O15&lt;&gt;"",'(1)_Base_de_Datos'!O15,""),"")</f>
        <v/>
      </c>
      <c r="I119" s="282" t="n"/>
      <c r="J119" s="282" t="n"/>
      <c r="K119" s="283" t="n"/>
      <c r="L119" s="289" t="n"/>
      <c r="M119" s="285" t="n"/>
      <c r="N119" s="286" t="n"/>
      <c r="O119" s="286" t="n"/>
      <c r="P119" s="287" t="n"/>
      <c r="Q119" s="288" t="n"/>
      <c r="R119" s="289" t="n"/>
      <c r="S119" s="289" t="n"/>
      <c r="T119" s="47" t="n"/>
      <c r="U119" s="48" t="n"/>
      <c r="V119" s="48" t="n"/>
      <c r="IC119" s="69" t="n"/>
    </row>
    <row r="120" hidden="1" ht="19.5" customHeight="1" s="150">
      <c r="A120" s="280" t="n"/>
      <c r="B120" s="284" t="n"/>
      <c r="C120" s="69" t="n"/>
      <c r="D120" s="69" t="n"/>
      <c r="E120" s="69" t="n"/>
      <c r="F120" s="290" t="n"/>
      <c r="G120" s="289" t="n"/>
      <c r="H120" s="291" t="n"/>
      <c r="I120" s="292" t="n"/>
      <c r="J120" s="292" t="n"/>
      <c r="K120" s="293" t="n"/>
      <c r="L120" s="289" t="n"/>
      <c r="M120" s="285" t="n"/>
      <c r="N120" s="286" t="n"/>
      <c r="O120" s="286" t="n"/>
      <c r="P120" s="287" t="n"/>
      <c r="Q120" s="288" t="n"/>
      <c r="R120" s="289" t="n"/>
      <c r="S120" s="289" t="n"/>
      <c r="T120" s="47" t="n"/>
      <c r="IC120" s="69" t="n"/>
    </row>
    <row r="121" hidden="1" ht="24" customHeight="1" s="150">
      <c r="A121" s="280" t="n"/>
      <c r="B121" s="284" t="n"/>
      <c r="C121" s="69" t="n"/>
      <c r="D121" s="69" t="n"/>
      <c r="E121" s="69" t="n"/>
      <c r="F121" s="290" t="n"/>
      <c r="G121" s="289" t="n"/>
      <c r="H121" s="156" t="inlineStr">
        <is>
          <t>CONTROL</t>
        </is>
      </c>
      <c r="I121" s="247" t="n"/>
      <c r="J121" s="247" t="n"/>
      <c r="K121" s="273" t="n"/>
      <c r="L121" s="289" t="n"/>
      <c r="M121" s="285" t="n"/>
      <c r="N121" s="286" t="n"/>
      <c r="O121" s="286" t="n"/>
      <c r="P121" s="287" t="n"/>
      <c r="Q121" s="288" t="n"/>
      <c r="R121" s="289" t="n"/>
      <c r="S121" s="289" t="n"/>
      <c r="T121" s="47" t="n"/>
      <c r="U121" s="48" t="n"/>
      <c r="V121" s="48" t="n"/>
      <c r="IC121" s="69" t="n"/>
    </row>
    <row r="122" hidden="1" ht="87.5" customHeight="1" s="150">
      <c r="A122" s="294" t="n"/>
      <c r="B122" s="291" t="n"/>
      <c r="C122" s="292" t="n"/>
      <c r="D122" s="292" t="n"/>
      <c r="E122" s="292" t="n"/>
      <c r="F122" s="293" t="n"/>
      <c r="G122" s="299" t="n"/>
      <c r="H122" s="155">
        <f>IFERROR(IF('(1)_Base_de_Datos'!P15&lt;&gt;"",'(1)_Base_de_Datos'!P15,""),"")</f>
        <v/>
      </c>
      <c r="I122" s="269" t="n"/>
      <c r="J122" s="269" t="n"/>
      <c r="K122" s="271" t="n"/>
      <c r="L122" s="299" t="n"/>
      <c r="M122" s="295" t="n"/>
      <c r="N122" s="296" t="n"/>
      <c r="O122" s="296" t="n"/>
      <c r="P122" s="297" t="n"/>
      <c r="Q122" s="298" t="n"/>
      <c r="R122" s="299" t="n"/>
      <c r="S122" s="299" t="n"/>
      <c r="T122" s="47" t="n"/>
      <c r="U122" s="48" t="n"/>
      <c r="V122" s="48" t="n"/>
      <c r="IC122" s="69" t="n"/>
    </row>
    <row r="123" hidden="1" ht="23" customHeight="1" s="150">
      <c r="A123" s="122" t="n"/>
      <c r="B123" s="205">
        <f>IF('(1)_Base_de_Datos'!$R$16&lt;&gt;"",'(1)_Base_de_Datos'!$R$16,"")</f>
        <v/>
      </c>
      <c r="C123" s="269" t="n"/>
      <c r="D123" s="269" t="n"/>
      <c r="E123" s="269" t="n"/>
      <c r="F123" s="269" t="n"/>
      <c r="G123" s="119" t="n"/>
      <c r="H123" s="205">
        <f>IF('(1)_Base_de_Datos'!$B$16="Recomendación",'(1)_Base_de_Datos'!$B$16,"")</f>
        <v/>
      </c>
      <c r="I123" s="269" t="n"/>
      <c r="J123" s="269" t="n"/>
      <c r="K123" s="269" t="n"/>
      <c r="L123" s="119" t="n"/>
      <c r="M123" s="119" t="n"/>
      <c r="N123" s="119" t="n"/>
      <c r="O123" s="119" t="n"/>
      <c r="P123" s="119" t="n"/>
      <c r="Q123" s="119" t="n"/>
      <c r="R123" s="119" t="n"/>
      <c r="S123" s="120" t="n"/>
      <c r="T123" s="69" t="n"/>
      <c r="U123" s="45" t="n"/>
      <c r="V123" s="46" t="n"/>
      <c r="IC123" s="69" t="n"/>
    </row>
    <row r="124" hidden="1" ht="27" customHeight="1" s="150">
      <c r="A124" s="270" t="n">
        <v>13</v>
      </c>
      <c r="B124" s="160">
        <f>IFERROR(IF('(1)_Base_de_Datos'!L16&lt;&gt;"",'(1)_Base_de_Datos'!L16,""),"")</f>
        <v/>
      </c>
      <c r="C124" s="269" t="n"/>
      <c r="D124" s="269" t="n"/>
      <c r="E124" s="269" t="n"/>
      <c r="F124" s="269" t="n"/>
      <c r="G124" s="302">
        <f>IFERROR(IF('(1)_Base_de_Datos'!C16&lt;&gt;"",'(1)_Base_de_Datos'!C16,""),"")</f>
        <v/>
      </c>
      <c r="H124" s="156" t="inlineStr">
        <is>
          <t>IMPLICACIÓN</t>
        </is>
      </c>
      <c r="I124" s="247" t="n"/>
      <c r="J124" s="247" t="n"/>
      <c r="K124" s="273" t="n"/>
      <c r="L124" s="279">
        <f>IFERROR(IF('(1)_Base_de_Datos'!Q16&lt;&gt;"",'(1)_Base_de_Datos'!Q16,""),"")</f>
        <v/>
      </c>
      <c r="M124" s="275" t="n"/>
      <c r="N124" s="276" t="n"/>
      <c r="O124" s="276" t="n"/>
      <c r="P124" s="277" t="n"/>
      <c r="Q124" s="278" t="n"/>
      <c r="R124" s="279">
        <f>IFERROR(IF('(1)_Base_de_Datos'!X16&lt;&gt;"",'(1)_Base_de_Datos'!X16,""),"")</f>
        <v/>
      </c>
      <c r="S124" s="279">
        <f>IFERROR(IF('(1)_Base_de_Datos'!Y16&lt;&gt;"",'(1)_Base_de_Datos'!Y16,""),"")</f>
        <v/>
      </c>
      <c r="T124" s="47" t="n"/>
      <c r="U124" s="46" t="n"/>
      <c r="V124" s="46" t="n"/>
      <c r="IC124" s="69" t="n"/>
    </row>
    <row r="125" hidden="1" ht="18.75" customHeight="1" s="150">
      <c r="A125" s="280" t="n"/>
      <c r="B125" s="304">
        <f>IFERROR(IF('(1)_Base_de_Datos'!M16&lt;&gt;"",'(1)_Base_de_Datos'!M16,""),"")</f>
        <v/>
      </c>
      <c r="C125" s="282" t="n"/>
      <c r="D125" s="282" t="n"/>
      <c r="E125" s="282" t="n"/>
      <c r="F125" s="283" t="n"/>
      <c r="G125" s="289" t="n"/>
      <c r="H125" s="155">
        <f>IFERROR(IF('(1)_Base_de_Datos'!N16&lt;&gt;"",'(1)_Base_de_Datos'!N16,""),"")</f>
        <v/>
      </c>
      <c r="I125" s="282" t="n"/>
      <c r="J125" s="282" t="n"/>
      <c r="K125" s="283" t="n"/>
      <c r="L125" s="289" t="n"/>
      <c r="M125" s="285" t="n"/>
      <c r="N125" s="286" t="n"/>
      <c r="O125" s="286" t="n"/>
      <c r="P125" s="287" t="n"/>
      <c r="Q125" s="288" t="n"/>
      <c r="R125" s="289" t="n"/>
      <c r="S125" s="289" t="n"/>
      <c r="T125" s="47" t="n"/>
      <c r="U125" s="48" t="n"/>
      <c r="V125" s="48" t="n"/>
      <c r="IC125" s="69" t="n"/>
    </row>
    <row r="126" hidden="1" ht="18.75" customHeight="1" s="150">
      <c r="A126" s="280" t="n"/>
      <c r="B126" s="284" t="n"/>
      <c r="C126" s="69" t="n"/>
      <c r="D126" s="69" t="n"/>
      <c r="E126" s="69" t="n"/>
      <c r="F126" s="290" t="n"/>
      <c r="G126" s="289" t="n"/>
      <c r="H126" s="291" t="n"/>
      <c r="I126" s="292" t="n"/>
      <c r="J126" s="292" t="n"/>
      <c r="K126" s="293" t="n"/>
      <c r="L126" s="289" t="n"/>
      <c r="M126" s="285" t="n"/>
      <c r="N126" s="286" t="n"/>
      <c r="O126" s="286" t="n"/>
      <c r="P126" s="287" t="n"/>
      <c r="Q126" s="288" t="n"/>
      <c r="R126" s="289" t="n"/>
      <c r="S126" s="289" t="n"/>
      <c r="T126" s="47" t="n"/>
      <c r="U126" s="48" t="n"/>
      <c r="V126" s="48" t="n"/>
      <c r="IC126" s="69" t="n"/>
    </row>
    <row r="127" hidden="1" ht="24" customHeight="1" s="150">
      <c r="A127" s="280" t="n"/>
      <c r="B127" s="284" t="n"/>
      <c r="C127" s="69" t="n"/>
      <c r="D127" s="69" t="n"/>
      <c r="E127" s="69" t="n"/>
      <c r="F127" s="290" t="n"/>
      <c r="G127" s="289" t="n"/>
      <c r="H127" s="156" t="inlineStr">
        <is>
          <t>FUNDAMENTO</t>
        </is>
      </c>
      <c r="I127" s="247" t="n"/>
      <c r="J127" s="247" t="n"/>
      <c r="K127" s="273" t="n"/>
      <c r="L127" s="289" t="n"/>
      <c r="M127" s="285" t="n"/>
      <c r="N127" s="286" t="n"/>
      <c r="O127" s="286" t="n"/>
      <c r="P127" s="287" t="n"/>
      <c r="Q127" s="288" t="n"/>
      <c r="R127" s="289" t="n"/>
      <c r="S127" s="289" t="n"/>
      <c r="T127" s="47" t="n"/>
      <c r="U127" s="48" t="n"/>
      <c r="V127" s="48" t="n"/>
      <c r="IC127" s="69" t="n"/>
    </row>
    <row r="128" hidden="1" ht="19.5" customHeight="1" s="150">
      <c r="A128" s="280" t="n"/>
      <c r="B128" s="284" t="n"/>
      <c r="C128" s="69" t="n"/>
      <c r="D128" s="69" t="n"/>
      <c r="E128" s="69" t="n"/>
      <c r="F128" s="290" t="n"/>
      <c r="G128" s="289" t="n"/>
      <c r="H128" s="155">
        <f>IFERROR(IF('(1)_Base_de_Datos'!O16&lt;&gt;"",'(1)_Base_de_Datos'!O16,""),"")</f>
        <v/>
      </c>
      <c r="I128" s="282" t="n"/>
      <c r="J128" s="282" t="n"/>
      <c r="K128" s="283" t="n"/>
      <c r="L128" s="289" t="n"/>
      <c r="M128" s="285" t="n"/>
      <c r="N128" s="286" t="n"/>
      <c r="O128" s="286" t="n"/>
      <c r="P128" s="287" t="n"/>
      <c r="Q128" s="288" t="n"/>
      <c r="R128" s="289" t="n"/>
      <c r="S128" s="289" t="n"/>
      <c r="T128" s="47" t="n"/>
      <c r="U128" s="48" t="n"/>
      <c r="V128" s="48" t="n"/>
      <c r="IC128" s="69" t="n"/>
    </row>
    <row r="129" hidden="1" ht="19.5" customHeight="1" s="150">
      <c r="A129" s="280" t="n"/>
      <c r="B129" s="284" t="n"/>
      <c r="C129" s="69" t="n"/>
      <c r="D129" s="69" t="n"/>
      <c r="E129" s="69" t="n"/>
      <c r="F129" s="290" t="n"/>
      <c r="G129" s="289" t="n"/>
      <c r="H129" s="291" t="n"/>
      <c r="I129" s="292" t="n"/>
      <c r="J129" s="292" t="n"/>
      <c r="K129" s="293" t="n"/>
      <c r="L129" s="289" t="n"/>
      <c r="M129" s="285" t="n"/>
      <c r="N129" s="286" t="n"/>
      <c r="O129" s="286" t="n"/>
      <c r="P129" s="287" t="n"/>
      <c r="Q129" s="288" t="n"/>
      <c r="R129" s="289" t="n"/>
      <c r="S129" s="289" t="n"/>
      <c r="T129" s="47" t="n"/>
      <c r="IC129" s="69" t="n"/>
    </row>
    <row r="130" hidden="1" ht="24" customHeight="1" s="150">
      <c r="A130" s="280" t="n"/>
      <c r="B130" s="284" t="n"/>
      <c r="C130" s="69" t="n"/>
      <c r="D130" s="69" t="n"/>
      <c r="E130" s="69" t="n"/>
      <c r="F130" s="290" t="n"/>
      <c r="G130" s="289" t="n"/>
      <c r="H130" s="156" t="inlineStr">
        <is>
          <t>CONTROL</t>
        </is>
      </c>
      <c r="I130" s="247" t="n"/>
      <c r="J130" s="247" t="n"/>
      <c r="K130" s="273" t="n"/>
      <c r="L130" s="289" t="n"/>
      <c r="M130" s="285" t="n"/>
      <c r="N130" s="286" t="n"/>
      <c r="O130" s="286" t="n"/>
      <c r="P130" s="287" t="n"/>
      <c r="Q130" s="288" t="n"/>
      <c r="R130" s="289" t="n"/>
      <c r="S130" s="289" t="n"/>
      <c r="T130" s="47" t="n"/>
      <c r="U130" s="48" t="n"/>
      <c r="V130" s="48" t="n"/>
      <c r="IC130" s="69" t="n"/>
    </row>
    <row r="131" hidden="1" ht="87.5" customHeight="1" s="150">
      <c r="A131" s="294" t="n"/>
      <c r="B131" s="291" t="n"/>
      <c r="C131" s="292" t="n"/>
      <c r="D131" s="292" t="n"/>
      <c r="E131" s="292" t="n"/>
      <c r="F131" s="293" t="n"/>
      <c r="G131" s="299" t="n"/>
      <c r="H131" s="155">
        <f>IFERROR(IF('(1)_Base_de_Datos'!P16&lt;&gt;"",'(1)_Base_de_Datos'!P16,""),"")</f>
        <v/>
      </c>
      <c r="I131" s="269" t="n"/>
      <c r="J131" s="269" t="n"/>
      <c r="K131" s="271" t="n"/>
      <c r="L131" s="299" t="n"/>
      <c r="M131" s="295" t="n"/>
      <c r="N131" s="296" t="n"/>
      <c r="O131" s="296" t="n"/>
      <c r="P131" s="297" t="n"/>
      <c r="Q131" s="298" t="n"/>
      <c r="R131" s="299" t="n"/>
      <c r="S131" s="299" t="n"/>
      <c r="T131" s="47" t="n"/>
      <c r="U131" s="48" t="n"/>
      <c r="V131" s="48" t="n"/>
      <c r="IC131" s="69" t="n"/>
    </row>
    <row r="132" hidden="1" ht="23" customHeight="1" s="150">
      <c r="A132" s="122" t="n"/>
      <c r="B132" s="205">
        <f>IF('(1)_Base_de_Datos'!$R$17&lt;&gt;"",'(1)_Base_de_Datos'!$R$17,"")</f>
        <v/>
      </c>
      <c r="C132" s="269" t="n"/>
      <c r="D132" s="269" t="n"/>
      <c r="E132" s="269" t="n"/>
      <c r="F132" s="269" t="n"/>
      <c r="G132" s="119" t="n"/>
      <c r="H132" s="205">
        <f>IF('(1)_Base_de_Datos'!$B$17="Recomendación",'(1)_Base_de_Datos'!$B$17,"")</f>
        <v/>
      </c>
      <c r="I132" s="269" t="n"/>
      <c r="J132" s="269" t="n"/>
      <c r="K132" s="269" t="n"/>
      <c r="L132" s="119" t="n"/>
      <c r="M132" s="119" t="n"/>
      <c r="N132" s="119" t="n"/>
      <c r="O132" s="119" t="n"/>
      <c r="P132" s="119" t="n"/>
      <c r="Q132" s="119" t="n"/>
      <c r="R132" s="119" t="n"/>
      <c r="S132" s="120" t="n"/>
      <c r="T132" s="69" t="n"/>
      <c r="U132" s="45" t="n"/>
      <c r="V132" s="46" t="n"/>
      <c r="IC132" s="69" t="n"/>
    </row>
    <row r="133" hidden="1" ht="27" customHeight="1" s="150">
      <c r="A133" s="270" t="n">
        <v>14</v>
      </c>
      <c r="B133" s="160">
        <f>IFERROR(IF('(1)_Base_de_Datos'!L17&lt;&gt;"",'(1)_Base_de_Datos'!L17,""),"")</f>
        <v/>
      </c>
      <c r="C133" s="269" t="n"/>
      <c r="D133" s="269" t="n"/>
      <c r="E133" s="269" t="n"/>
      <c r="F133" s="269" t="n"/>
      <c r="G133" s="302">
        <f>IFERROR(IF('(1)_Base_de_Datos'!C17&lt;&gt;"",'(1)_Base_de_Datos'!C17,""),"")</f>
        <v/>
      </c>
      <c r="H133" s="156" t="inlineStr">
        <is>
          <t>IMPLICACIÓN</t>
        </is>
      </c>
      <c r="I133" s="247" t="n"/>
      <c r="J133" s="247" t="n"/>
      <c r="K133" s="273" t="n"/>
      <c r="L133" s="279">
        <f>IFERROR(IF('(1)_Base_de_Datos'!Q17&lt;&gt;"",'(1)_Base_de_Datos'!Q17,""),"")</f>
        <v/>
      </c>
      <c r="M133" s="275" t="n"/>
      <c r="N133" s="276" t="n"/>
      <c r="O133" s="276" t="n"/>
      <c r="P133" s="277" t="n"/>
      <c r="Q133" s="278" t="n"/>
      <c r="R133" s="279">
        <f>IFERROR(IF('(1)_Base_de_Datos'!X17&lt;&gt;"",'(1)_Base_de_Datos'!X17,""),"")</f>
        <v/>
      </c>
      <c r="S133" s="279">
        <f>IFERROR(IF('(1)_Base_de_Datos'!Y17&lt;&gt;"",'(1)_Base_de_Datos'!Y17,""),"")</f>
        <v/>
      </c>
      <c r="T133" s="47" t="n"/>
      <c r="U133" s="46" t="n"/>
      <c r="V133" s="46" t="n"/>
      <c r="IC133" s="69" t="n"/>
    </row>
    <row r="134" hidden="1" ht="18.75" customHeight="1" s="150">
      <c r="A134" s="280" t="n"/>
      <c r="B134" s="304">
        <f>IFERROR(IF('(1)_Base_de_Datos'!M17&lt;&gt;"",'(1)_Base_de_Datos'!M17,""),"")</f>
        <v/>
      </c>
      <c r="C134" s="282" t="n"/>
      <c r="D134" s="282" t="n"/>
      <c r="E134" s="282" t="n"/>
      <c r="F134" s="283" t="n"/>
      <c r="G134" s="289" t="n"/>
      <c r="H134" s="155">
        <f>IFERROR(IF('(1)_Base_de_Datos'!N17&lt;&gt;"",'(1)_Base_de_Datos'!N17,""),"")</f>
        <v/>
      </c>
      <c r="I134" s="282" t="n"/>
      <c r="J134" s="282" t="n"/>
      <c r="K134" s="283" t="n"/>
      <c r="L134" s="289" t="n"/>
      <c r="M134" s="285" t="n"/>
      <c r="N134" s="286" t="n"/>
      <c r="O134" s="286" t="n"/>
      <c r="P134" s="287" t="n"/>
      <c r="Q134" s="288" t="n"/>
      <c r="R134" s="289" t="n"/>
      <c r="S134" s="289" t="n"/>
      <c r="T134" s="47" t="n"/>
      <c r="U134" s="48" t="n"/>
      <c r="V134" s="48" t="n"/>
      <c r="IC134" s="69" t="n"/>
    </row>
    <row r="135" hidden="1" ht="18.75" customHeight="1" s="150">
      <c r="A135" s="280" t="n"/>
      <c r="B135" s="284" t="n"/>
      <c r="C135" s="69" t="n"/>
      <c r="D135" s="69" t="n"/>
      <c r="E135" s="69" t="n"/>
      <c r="F135" s="290" t="n"/>
      <c r="G135" s="289" t="n"/>
      <c r="H135" s="291" t="n"/>
      <c r="I135" s="292" t="n"/>
      <c r="J135" s="292" t="n"/>
      <c r="K135" s="293" t="n"/>
      <c r="L135" s="289" t="n"/>
      <c r="M135" s="285" t="n"/>
      <c r="N135" s="286" t="n"/>
      <c r="O135" s="286" t="n"/>
      <c r="P135" s="287" t="n"/>
      <c r="Q135" s="288" t="n"/>
      <c r="R135" s="289" t="n"/>
      <c r="S135" s="289" t="n"/>
      <c r="T135" s="47" t="n"/>
      <c r="U135" s="48" t="n"/>
      <c r="V135" s="48" t="n"/>
      <c r="IC135" s="69" t="n"/>
    </row>
    <row r="136" hidden="1" ht="24" customHeight="1" s="150">
      <c r="A136" s="280" t="n"/>
      <c r="B136" s="284" t="n"/>
      <c r="C136" s="69" t="n"/>
      <c r="D136" s="69" t="n"/>
      <c r="E136" s="69" t="n"/>
      <c r="F136" s="290" t="n"/>
      <c r="G136" s="289" t="n"/>
      <c r="H136" s="156" t="inlineStr">
        <is>
          <t>FUNDAMENTO</t>
        </is>
      </c>
      <c r="I136" s="247" t="n"/>
      <c r="J136" s="247" t="n"/>
      <c r="K136" s="273" t="n"/>
      <c r="L136" s="289" t="n"/>
      <c r="M136" s="285" t="n"/>
      <c r="N136" s="286" t="n"/>
      <c r="O136" s="286" t="n"/>
      <c r="P136" s="287" t="n"/>
      <c r="Q136" s="288" t="n"/>
      <c r="R136" s="289" t="n"/>
      <c r="S136" s="289" t="n"/>
      <c r="T136" s="47" t="n"/>
      <c r="U136" s="48" t="n"/>
      <c r="V136" s="48" t="n"/>
      <c r="IC136" s="69" t="n"/>
    </row>
    <row r="137" hidden="1" ht="19.5" customHeight="1" s="150">
      <c r="A137" s="280" t="n"/>
      <c r="B137" s="284" t="n"/>
      <c r="C137" s="69" t="n"/>
      <c r="D137" s="69" t="n"/>
      <c r="E137" s="69" t="n"/>
      <c r="F137" s="290" t="n"/>
      <c r="G137" s="289" t="n"/>
      <c r="H137" s="155">
        <f>IFERROR(IF('(1)_Base_de_Datos'!O17&lt;&gt;"",'(1)_Base_de_Datos'!O17,""),"")</f>
        <v/>
      </c>
      <c r="I137" s="282" t="n"/>
      <c r="J137" s="282" t="n"/>
      <c r="K137" s="283" t="n"/>
      <c r="L137" s="289" t="n"/>
      <c r="M137" s="285" t="n"/>
      <c r="N137" s="286" t="n"/>
      <c r="O137" s="286" t="n"/>
      <c r="P137" s="287" t="n"/>
      <c r="Q137" s="288" t="n"/>
      <c r="R137" s="289" t="n"/>
      <c r="S137" s="289" t="n"/>
      <c r="T137" s="47" t="n"/>
      <c r="U137" s="48" t="n"/>
      <c r="V137" s="48" t="n"/>
      <c r="IC137" s="69" t="n"/>
    </row>
    <row r="138" hidden="1" ht="19.5" customHeight="1" s="150">
      <c r="A138" s="280" t="n"/>
      <c r="B138" s="284" t="n"/>
      <c r="C138" s="69" t="n"/>
      <c r="D138" s="69" t="n"/>
      <c r="E138" s="69" t="n"/>
      <c r="F138" s="290" t="n"/>
      <c r="G138" s="289" t="n"/>
      <c r="H138" s="291" t="n"/>
      <c r="I138" s="292" t="n"/>
      <c r="J138" s="292" t="n"/>
      <c r="K138" s="293" t="n"/>
      <c r="L138" s="289" t="n"/>
      <c r="M138" s="285" t="n"/>
      <c r="N138" s="286" t="n"/>
      <c r="O138" s="286" t="n"/>
      <c r="P138" s="287" t="n"/>
      <c r="Q138" s="288" t="n"/>
      <c r="R138" s="289" t="n"/>
      <c r="S138" s="289" t="n"/>
      <c r="T138" s="47" t="n"/>
      <c r="IC138" s="69" t="n"/>
    </row>
    <row r="139" hidden="1" ht="24" customHeight="1" s="150">
      <c r="A139" s="280" t="n"/>
      <c r="B139" s="284" t="n"/>
      <c r="C139" s="69" t="n"/>
      <c r="D139" s="69" t="n"/>
      <c r="E139" s="69" t="n"/>
      <c r="F139" s="290" t="n"/>
      <c r="G139" s="289" t="n"/>
      <c r="H139" s="156" t="inlineStr">
        <is>
          <t>CONTROL</t>
        </is>
      </c>
      <c r="I139" s="247" t="n"/>
      <c r="J139" s="247" t="n"/>
      <c r="K139" s="273" t="n"/>
      <c r="L139" s="289" t="n"/>
      <c r="M139" s="285" t="n"/>
      <c r="N139" s="286" t="n"/>
      <c r="O139" s="286" t="n"/>
      <c r="P139" s="287" t="n"/>
      <c r="Q139" s="288" t="n"/>
      <c r="R139" s="289" t="n"/>
      <c r="S139" s="289" t="n"/>
      <c r="T139" s="47" t="n"/>
      <c r="U139" s="48" t="n"/>
      <c r="V139" s="48" t="n"/>
      <c r="IC139" s="69" t="n"/>
    </row>
    <row r="140" hidden="1" ht="87.5" customHeight="1" s="150">
      <c r="A140" s="294" t="n"/>
      <c r="B140" s="291" t="n"/>
      <c r="C140" s="292" t="n"/>
      <c r="D140" s="292" t="n"/>
      <c r="E140" s="292" t="n"/>
      <c r="F140" s="293" t="n"/>
      <c r="G140" s="299" t="n"/>
      <c r="H140" s="155">
        <f>IFERROR(IF('(1)_Base_de_Datos'!P17&lt;&gt;"",'(1)_Base_de_Datos'!P17,""),"")</f>
        <v/>
      </c>
      <c r="I140" s="269" t="n"/>
      <c r="J140" s="269" t="n"/>
      <c r="K140" s="271" t="n"/>
      <c r="L140" s="299" t="n"/>
      <c r="M140" s="295" t="n"/>
      <c r="N140" s="296" t="n"/>
      <c r="O140" s="296" t="n"/>
      <c r="P140" s="297" t="n"/>
      <c r="Q140" s="298" t="n"/>
      <c r="R140" s="299" t="n"/>
      <c r="S140" s="299" t="n"/>
      <c r="T140" s="47" t="n"/>
      <c r="U140" s="48" t="n"/>
      <c r="V140" s="48" t="n"/>
      <c r="IC140" s="69" t="n"/>
    </row>
    <row r="141" hidden="1" ht="23" customHeight="1" s="150">
      <c r="A141" s="122" t="n"/>
      <c r="B141" s="205">
        <f>IF('(1)_Base_de_Datos'!$R$18&lt;&gt;"",'(1)_Base_de_Datos'!$R$18,"")</f>
        <v/>
      </c>
      <c r="C141" s="269" t="n"/>
      <c r="D141" s="269" t="n"/>
      <c r="E141" s="269" t="n"/>
      <c r="F141" s="269" t="n"/>
      <c r="G141" s="119" t="n"/>
      <c r="H141" s="205">
        <f>IF('(1)_Base_de_Datos'!$B$18="Recomendación",'(1)_Base_de_Datos'!$B$18,"")</f>
        <v/>
      </c>
      <c r="I141" s="269" t="n"/>
      <c r="J141" s="269" t="n"/>
      <c r="K141" s="269" t="n"/>
      <c r="L141" s="119" t="n"/>
      <c r="M141" s="119" t="n"/>
      <c r="N141" s="119" t="n"/>
      <c r="O141" s="119" t="n"/>
      <c r="P141" s="119" t="n"/>
      <c r="Q141" s="119" t="n"/>
      <c r="R141" s="119" t="n"/>
      <c r="S141" s="120" t="n"/>
      <c r="T141" s="69" t="n"/>
      <c r="U141" s="45" t="n"/>
      <c r="V141" s="46" t="n"/>
      <c r="IC141" s="69" t="n"/>
    </row>
    <row r="142" hidden="1" ht="27" customHeight="1" s="150">
      <c r="A142" s="270" t="n">
        <v>15</v>
      </c>
      <c r="B142" s="160">
        <f>IFERROR(IF('(1)_Base_de_Datos'!L18&lt;&gt;"",'(1)_Base_de_Datos'!L18,""),"")</f>
        <v/>
      </c>
      <c r="C142" s="269" t="n"/>
      <c r="D142" s="269" t="n"/>
      <c r="E142" s="269" t="n"/>
      <c r="F142" s="269" t="n"/>
      <c r="G142" s="302">
        <f>IFERROR(IF('(1)_Base_de_Datos'!C18&lt;&gt;"",'(1)_Base_de_Datos'!C18,""),"")</f>
        <v/>
      </c>
      <c r="H142" s="156" t="inlineStr">
        <is>
          <t>IMPLICACIÓN</t>
        </is>
      </c>
      <c r="I142" s="247" t="n"/>
      <c r="J142" s="247" t="n"/>
      <c r="K142" s="273" t="n"/>
      <c r="L142" s="279">
        <f>IFERROR(IF('(1)_Base_de_Datos'!Q18&lt;&gt;"",'(1)_Base_de_Datos'!Q18,""),"")</f>
        <v/>
      </c>
      <c r="M142" s="275" t="n"/>
      <c r="N142" s="276" t="n"/>
      <c r="O142" s="276" t="n"/>
      <c r="P142" s="277" t="n"/>
      <c r="Q142" s="278" t="n"/>
      <c r="R142" s="279">
        <f>IFERROR(IF('(1)_Base_de_Datos'!X18&lt;&gt;"",'(1)_Base_de_Datos'!X18,""),"")</f>
        <v/>
      </c>
      <c r="S142" s="279">
        <f>IFERROR(IF('(1)_Base_de_Datos'!Y18&lt;&gt;"",'(1)_Base_de_Datos'!Y18,""),"")</f>
        <v/>
      </c>
      <c r="T142" s="47" t="n"/>
      <c r="U142" s="46" t="n"/>
      <c r="V142" s="46" t="n"/>
      <c r="IC142" s="69" t="n"/>
    </row>
    <row r="143" hidden="1" ht="18.75" customHeight="1" s="150">
      <c r="A143" s="280" t="n"/>
      <c r="B143" s="304">
        <f>IFERROR(IF('(1)_Base_de_Datos'!M18&lt;&gt;"",'(1)_Base_de_Datos'!M18,""),"")</f>
        <v/>
      </c>
      <c r="C143" s="282" t="n"/>
      <c r="D143" s="282" t="n"/>
      <c r="E143" s="282" t="n"/>
      <c r="F143" s="283" t="n"/>
      <c r="G143" s="289" t="n"/>
      <c r="H143" s="155">
        <f>IFERROR(IF('(1)_Base_de_Datos'!N18&lt;&gt;"",'(1)_Base_de_Datos'!N18,""),"")</f>
        <v/>
      </c>
      <c r="I143" s="282" t="n"/>
      <c r="J143" s="282" t="n"/>
      <c r="K143" s="283" t="n"/>
      <c r="L143" s="289" t="n"/>
      <c r="M143" s="285" t="n"/>
      <c r="N143" s="286" t="n"/>
      <c r="O143" s="286" t="n"/>
      <c r="P143" s="287" t="n"/>
      <c r="Q143" s="288" t="n"/>
      <c r="R143" s="289" t="n"/>
      <c r="S143" s="289" t="n"/>
      <c r="T143" s="47" t="n"/>
      <c r="U143" s="48" t="n"/>
      <c r="V143" s="48" t="n"/>
      <c r="IC143" s="69" t="n"/>
    </row>
    <row r="144" hidden="1" ht="18.75" customHeight="1" s="150">
      <c r="A144" s="280" t="n"/>
      <c r="B144" s="284" t="n"/>
      <c r="C144" s="69" t="n"/>
      <c r="D144" s="69" t="n"/>
      <c r="E144" s="69" t="n"/>
      <c r="F144" s="290" t="n"/>
      <c r="G144" s="289" t="n"/>
      <c r="H144" s="291" t="n"/>
      <c r="I144" s="292" t="n"/>
      <c r="J144" s="292" t="n"/>
      <c r="K144" s="293" t="n"/>
      <c r="L144" s="289" t="n"/>
      <c r="M144" s="285" t="n"/>
      <c r="N144" s="286" t="n"/>
      <c r="O144" s="286" t="n"/>
      <c r="P144" s="287" t="n"/>
      <c r="Q144" s="288" t="n"/>
      <c r="R144" s="289" t="n"/>
      <c r="S144" s="289" t="n"/>
      <c r="T144" s="47" t="n"/>
      <c r="U144" s="48" t="n"/>
      <c r="V144" s="48" t="n"/>
      <c r="IC144" s="69" t="n"/>
    </row>
    <row r="145" hidden="1" ht="24" customHeight="1" s="150">
      <c r="A145" s="280" t="n"/>
      <c r="B145" s="284" t="n"/>
      <c r="C145" s="69" t="n"/>
      <c r="D145" s="69" t="n"/>
      <c r="E145" s="69" t="n"/>
      <c r="F145" s="290" t="n"/>
      <c r="G145" s="289" t="n"/>
      <c r="H145" s="156" t="inlineStr">
        <is>
          <t>FUNDAMENTO</t>
        </is>
      </c>
      <c r="I145" s="247" t="n"/>
      <c r="J145" s="247" t="n"/>
      <c r="K145" s="273" t="n"/>
      <c r="L145" s="289" t="n"/>
      <c r="M145" s="285" t="n"/>
      <c r="N145" s="286" t="n"/>
      <c r="O145" s="286" t="n"/>
      <c r="P145" s="287" t="n"/>
      <c r="Q145" s="288" t="n"/>
      <c r="R145" s="289" t="n"/>
      <c r="S145" s="289" t="n"/>
      <c r="T145" s="47" t="n"/>
      <c r="U145" s="48" t="n"/>
      <c r="V145" s="48" t="n"/>
      <c r="IC145" s="69" t="n"/>
    </row>
    <row r="146" hidden="1" ht="19.5" customHeight="1" s="150">
      <c r="A146" s="280" t="n"/>
      <c r="B146" s="284" t="n"/>
      <c r="C146" s="69" t="n"/>
      <c r="D146" s="69" t="n"/>
      <c r="E146" s="69" t="n"/>
      <c r="F146" s="290" t="n"/>
      <c r="G146" s="289" t="n"/>
      <c r="H146" s="155">
        <f>IFERROR(IF('(1)_Base_de_Datos'!O18&lt;&gt;"",'(1)_Base_de_Datos'!O18,""),"")</f>
        <v/>
      </c>
      <c r="I146" s="282" t="n"/>
      <c r="J146" s="282" t="n"/>
      <c r="K146" s="283" t="n"/>
      <c r="L146" s="289" t="n"/>
      <c r="M146" s="285" t="n"/>
      <c r="N146" s="286" t="n"/>
      <c r="O146" s="286" t="n"/>
      <c r="P146" s="287" t="n"/>
      <c r="Q146" s="288" t="n"/>
      <c r="R146" s="289" t="n"/>
      <c r="S146" s="289" t="n"/>
      <c r="T146" s="47" t="n"/>
      <c r="U146" s="48" t="n"/>
      <c r="V146" s="48" t="n"/>
      <c r="IC146" s="69" t="n"/>
    </row>
    <row r="147" hidden="1" ht="19.5" customHeight="1" s="150">
      <c r="A147" s="280" t="n"/>
      <c r="B147" s="284" t="n"/>
      <c r="C147" s="69" t="n"/>
      <c r="D147" s="69" t="n"/>
      <c r="E147" s="69" t="n"/>
      <c r="F147" s="290" t="n"/>
      <c r="G147" s="289" t="n"/>
      <c r="H147" s="291" t="n"/>
      <c r="I147" s="292" t="n"/>
      <c r="J147" s="292" t="n"/>
      <c r="K147" s="293" t="n"/>
      <c r="L147" s="289" t="n"/>
      <c r="M147" s="285" t="n"/>
      <c r="N147" s="286" t="n"/>
      <c r="O147" s="286" t="n"/>
      <c r="P147" s="287" t="n"/>
      <c r="Q147" s="288" t="n"/>
      <c r="R147" s="289" t="n"/>
      <c r="S147" s="289" t="n"/>
      <c r="T147" s="47" t="n"/>
      <c r="IC147" s="69" t="n"/>
    </row>
    <row r="148" hidden="1" ht="24" customHeight="1" s="150">
      <c r="A148" s="280" t="n"/>
      <c r="B148" s="284" t="n"/>
      <c r="C148" s="69" t="n"/>
      <c r="D148" s="69" t="n"/>
      <c r="E148" s="69" t="n"/>
      <c r="F148" s="290" t="n"/>
      <c r="G148" s="289" t="n"/>
      <c r="H148" s="156" t="inlineStr">
        <is>
          <t>CONTROL</t>
        </is>
      </c>
      <c r="I148" s="247" t="n"/>
      <c r="J148" s="247" t="n"/>
      <c r="K148" s="273" t="n"/>
      <c r="L148" s="289" t="n"/>
      <c r="M148" s="285" t="n"/>
      <c r="N148" s="286" t="n"/>
      <c r="O148" s="286" t="n"/>
      <c r="P148" s="287" t="n"/>
      <c r="Q148" s="288" t="n"/>
      <c r="R148" s="289" t="n"/>
      <c r="S148" s="289" t="n"/>
      <c r="T148" s="47" t="n"/>
      <c r="U148" s="48" t="n"/>
      <c r="V148" s="48" t="n"/>
      <c r="IC148" s="69" t="n"/>
    </row>
    <row r="149" hidden="1" ht="87.5" customHeight="1" s="150">
      <c r="A149" s="294" t="n"/>
      <c r="B149" s="291" t="n"/>
      <c r="C149" s="292" t="n"/>
      <c r="D149" s="292" t="n"/>
      <c r="E149" s="292" t="n"/>
      <c r="F149" s="293" t="n"/>
      <c r="G149" s="299" t="n"/>
      <c r="H149" s="155">
        <f>IFERROR(IF('(1)_Base_de_Datos'!P18&lt;&gt;"",'(1)_Base_de_Datos'!P18,""),"")</f>
        <v/>
      </c>
      <c r="I149" s="269" t="n"/>
      <c r="J149" s="269" t="n"/>
      <c r="K149" s="271" t="n"/>
      <c r="L149" s="299" t="n"/>
      <c r="M149" s="295" t="n"/>
      <c r="N149" s="296" t="n"/>
      <c r="O149" s="296" t="n"/>
      <c r="P149" s="297" t="n"/>
      <c r="Q149" s="298" t="n"/>
      <c r="R149" s="299" t="n"/>
      <c r="S149" s="299" t="n"/>
      <c r="T149" s="47" t="n"/>
      <c r="U149" s="48" t="n"/>
      <c r="V149" s="48" t="n"/>
      <c r="IC149" s="69" t="n"/>
    </row>
    <row r="150" hidden="1" ht="23" customHeight="1" s="150">
      <c r="A150" s="122" t="n"/>
      <c r="B150" s="205">
        <f>IF('(1)_Base_de_Datos'!$R$19&lt;&gt;"",'(1)_Base_de_Datos'!$R$19,"")</f>
        <v/>
      </c>
      <c r="C150" s="269" t="n"/>
      <c r="D150" s="269" t="n"/>
      <c r="E150" s="269" t="n"/>
      <c r="F150" s="269" t="n"/>
      <c r="G150" s="119" t="n"/>
      <c r="H150" s="205">
        <f>IF('(1)_Base_de_Datos'!$B$19="Recomendación",'(1)_Base_de_Datos'!$B$19,"")</f>
        <v/>
      </c>
      <c r="I150" s="269" t="n"/>
      <c r="J150" s="269" t="n"/>
      <c r="K150" s="269" t="n"/>
      <c r="L150" s="119" t="n"/>
      <c r="M150" s="119" t="n"/>
      <c r="N150" s="119" t="n"/>
      <c r="O150" s="119" t="n"/>
      <c r="P150" s="119" t="n"/>
      <c r="Q150" s="119" t="n"/>
      <c r="R150" s="119" t="n"/>
      <c r="S150" s="120" t="n"/>
      <c r="T150" s="69" t="n"/>
      <c r="U150" s="45" t="n"/>
      <c r="V150" s="46" t="n"/>
      <c r="IC150" s="69" t="n"/>
    </row>
    <row r="151" hidden="1" ht="27" customHeight="1" s="150">
      <c r="A151" s="270" t="n">
        <v>16</v>
      </c>
      <c r="B151" s="160">
        <f>IFERROR(IF('(1)_Base_de_Datos'!L19&lt;&gt;"",'(1)_Base_de_Datos'!L19,""),"")</f>
        <v/>
      </c>
      <c r="C151" s="269" t="n"/>
      <c r="D151" s="269" t="n"/>
      <c r="E151" s="269" t="n"/>
      <c r="F151" s="269" t="n"/>
      <c r="G151" s="302">
        <f>IFERROR(IF('(1)_Base_de_Datos'!C19&lt;&gt;"",'(1)_Base_de_Datos'!C19,""),"")</f>
        <v/>
      </c>
      <c r="H151" s="156" t="inlineStr">
        <is>
          <t>IMPLICACIÓN</t>
        </is>
      </c>
      <c r="I151" s="247" t="n"/>
      <c r="J151" s="247" t="n"/>
      <c r="K151" s="273" t="n"/>
      <c r="L151" s="279">
        <f>IFERROR(IF('(1)_Base_de_Datos'!Q19&lt;&gt;"",'(1)_Base_de_Datos'!Q19,""),"")</f>
        <v/>
      </c>
      <c r="M151" s="275" t="n"/>
      <c r="N151" s="276" t="n"/>
      <c r="O151" s="276" t="n"/>
      <c r="P151" s="277" t="n"/>
      <c r="Q151" s="278" t="n"/>
      <c r="R151" s="279">
        <f>IFERROR(IF('(1)_Base_de_Datos'!X19&lt;&gt;"",'(1)_Base_de_Datos'!X19,""),"")</f>
        <v/>
      </c>
      <c r="S151" s="279">
        <f>IFERROR(IF('(1)_Base_de_Datos'!Y19&lt;&gt;"",'(1)_Base_de_Datos'!Y19,""),"")</f>
        <v/>
      </c>
      <c r="T151" s="47" t="n"/>
      <c r="U151" s="46" t="n"/>
      <c r="V151" s="46" t="n"/>
      <c r="IC151" s="69" t="n"/>
    </row>
    <row r="152" hidden="1" ht="18.75" customHeight="1" s="150">
      <c r="A152" s="280" t="n"/>
      <c r="B152" s="304">
        <f>IFERROR(IF('(1)_Base_de_Datos'!M19&lt;&gt;"",'(1)_Base_de_Datos'!M19,""),"")</f>
        <v/>
      </c>
      <c r="C152" s="282" t="n"/>
      <c r="D152" s="282" t="n"/>
      <c r="E152" s="282" t="n"/>
      <c r="F152" s="283" t="n"/>
      <c r="G152" s="289" t="n"/>
      <c r="H152" s="155">
        <f>IFERROR(IF('(1)_Base_de_Datos'!N19&lt;&gt;"",'(1)_Base_de_Datos'!N19,""),"")</f>
        <v/>
      </c>
      <c r="I152" s="282" t="n"/>
      <c r="J152" s="282" t="n"/>
      <c r="K152" s="283" t="n"/>
      <c r="L152" s="289" t="n"/>
      <c r="M152" s="285" t="n"/>
      <c r="N152" s="286" t="n"/>
      <c r="O152" s="286" t="n"/>
      <c r="P152" s="287" t="n"/>
      <c r="Q152" s="288" t="n"/>
      <c r="R152" s="289" t="n"/>
      <c r="S152" s="289" t="n"/>
      <c r="T152" s="47" t="n"/>
      <c r="U152" s="48" t="n"/>
      <c r="V152" s="48" t="n"/>
      <c r="IC152" s="69" t="n"/>
    </row>
    <row r="153" hidden="1" ht="18.75" customHeight="1" s="150">
      <c r="A153" s="280" t="n"/>
      <c r="B153" s="284" t="n"/>
      <c r="C153" s="69" t="n"/>
      <c r="D153" s="69" t="n"/>
      <c r="E153" s="69" t="n"/>
      <c r="F153" s="290" t="n"/>
      <c r="G153" s="289" t="n"/>
      <c r="H153" s="291" t="n"/>
      <c r="I153" s="292" t="n"/>
      <c r="J153" s="292" t="n"/>
      <c r="K153" s="293" t="n"/>
      <c r="L153" s="289" t="n"/>
      <c r="M153" s="285" t="n"/>
      <c r="N153" s="286" t="n"/>
      <c r="O153" s="286" t="n"/>
      <c r="P153" s="287" t="n"/>
      <c r="Q153" s="288" t="n"/>
      <c r="R153" s="289" t="n"/>
      <c r="S153" s="289" t="n"/>
      <c r="T153" s="47" t="n"/>
      <c r="U153" s="48" t="n"/>
      <c r="V153" s="48" t="n"/>
      <c r="IC153" s="69" t="n"/>
    </row>
    <row r="154" hidden="1" ht="24" customHeight="1" s="150">
      <c r="A154" s="280" t="n"/>
      <c r="B154" s="284" t="n"/>
      <c r="C154" s="69" t="n"/>
      <c r="D154" s="69" t="n"/>
      <c r="E154" s="69" t="n"/>
      <c r="F154" s="290" t="n"/>
      <c r="G154" s="289" t="n"/>
      <c r="H154" s="156" t="inlineStr">
        <is>
          <t>FUNDAMENTO</t>
        </is>
      </c>
      <c r="I154" s="247" t="n"/>
      <c r="J154" s="247" t="n"/>
      <c r="K154" s="273" t="n"/>
      <c r="L154" s="289" t="n"/>
      <c r="M154" s="285" t="n"/>
      <c r="N154" s="286" t="n"/>
      <c r="O154" s="286" t="n"/>
      <c r="P154" s="287" t="n"/>
      <c r="Q154" s="288" t="n"/>
      <c r="R154" s="289" t="n"/>
      <c r="S154" s="289" t="n"/>
      <c r="T154" s="47" t="n"/>
      <c r="U154" s="48" t="n"/>
      <c r="V154" s="48" t="n"/>
      <c r="IC154" s="69" t="n"/>
    </row>
    <row r="155" hidden="1" ht="19.5" customHeight="1" s="150">
      <c r="A155" s="280" t="n"/>
      <c r="B155" s="284" t="n"/>
      <c r="C155" s="69" t="n"/>
      <c r="D155" s="69" t="n"/>
      <c r="E155" s="69" t="n"/>
      <c r="F155" s="290" t="n"/>
      <c r="G155" s="289" t="n"/>
      <c r="H155" s="155">
        <f>IFERROR(IF('(1)_Base_de_Datos'!O19&lt;&gt;"",'(1)_Base_de_Datos'!O19,""),"")</f>
        <v/>
      </c>
      <c r="I155" s="282" t="n"/>
      <c r="J155" s="282" t="n"/>
      <c r="K155" s="283" t="n"/>
      <c r="L155" s="289" t="n"/>
      <c r="M155" s="285" t="n"/>
      <c r="N155" s="286" t="n"/>
      <c r="O155" s="286" t="n"/>
      <c r="P155" s="287" t="n"/>
      <c r="Q155" s="288" t="n"/>
      <c r="R155" s="289" t="n"/>
      <c r="S155" s="289" t="n"/>
      <c r="T155" s="47" t="n"/>
      <c r="U155" s="48" t="n"/>
      <c r="V155" s="48" t="n"/>
      <c r="IC155" s="69" t="n"/>
    </row>
    <row r="156" hidden="1" ht="19.5" customHeight="1" s="150">
      <c r="A156" s="280" t="n"/>
      <c r="B156" s="284" t="n"/>
      <c r="C156" s="69" t="n"/>
      <c r="D156" s="69" t="n"/>
      <c r="E156" s="69" t="n"/>
      <c r="F156" s="290" t="n"/>
      <c r="G156" s="289" t="n"/>
      <c r="H156" s="291" t="n"/>
      <c r="I156" s="292" t="n"/>
      <c r="J156" s="292" t="n"/>
      <c r="K156" s="293" t="n"/>
      <c r="L156" s="289" t="n"/>
      <c r="M156" s="285" t="n"/>
      <c r="N156" s="286" t="n"/>
      <c r="O156" s="286" t="n"/>
      <c r="P156" s="287" t="n"/>
      <c r="Q156" s="288" t="n"/>
      <c r="R156" s="289" t="n"/>
      <c r="S156" s="289" t="n"/>
      <c r="T156" s="47" t="n"/>
      <c r="IC156" s="69" t="n"/>
    </row>
    <row r="157" hidden="1" ht="24" customHeight="1" s="150">
      <c r="A157" s="280" t="n"/>
      <c r="B157" s="284" t="n"/>
      <c r="C157" s="69" t="n"/>
      <c r="D157" s="69" t="n"/>
      <c r="E157" s="69" t="n"/>
      <c r="F157" s="290" t="n"/>
      <c r="G157" s="289" t="n"/>
      <c r="H157" s="156" t="inlineStr">
        <is>
          <t>CONTROL</t>
        </is>
      </c>
      <c r="I157" s="247" t="n"/>
      <c r="J157" s="247" t="n"/>
      <c r="K157" s="273" t="n"/>
      <c r="L157" s="289" t="n"/>
      <c r="M157" s="285" t="n"/>
      <c r="N157" s="286" t="n"/>
      <c r="O157" s="286" t="n"/>
      <c r="P157" s="287" t="n"/>
      <c r="Q157" s="288" t="n"/>
      <c r="R157" s="289" t="n"/>
      <c r="S157" s="289" t="n"/>
      <c r="T157" s="47" t="n"/>
      <c r="U157" s="48" t="n"/>
      <c r="V157" s="48" t="n"/>
      <c r="IC157" s="69" t="n"/>
    </row>
    <row r="158" hidden="1" ht="87.5" customHeight="1" s="150">
      <c r="A158" s="294" t="n"/>
      <c r="B158" s="291" t="n"/>
      <c r="C158" s="292" t="n"/>
      <c r="D158" s="292" t="n"/>
      <c r="E158" s="292" t="n"/>
      <c r="F158" s="293" t="n"/>
      <c r="G158" s="299" t="n"/>
      <c r="H158" s="155">
        <f>IFERROR(IF('(1)_Base_de_Datos'!P19&lt;&gt;"",'(1)_Base_de_Datos'!P19,""),"")</f>
        <v/>
      </c>
      <c r="I158" s="269" t="n"/>
      <c r="J158" s="269" t="n"/>
      <c r="K158" s="271" t="n"/>
      <c r="L158" s="299" t="n"/>
      <c r="M158" s="295" t="n"/>
      <c r="N158" s="296" t="n"/>
      <c r="O158" s="296" t="n"/>
      <c r="P158" s="297" t="n"/>
      <c r="Q158" s="298" t="n"/>
      <c r="R158" s="299" t="n"/>
      <c r="S158" s="299" t="n"/>
      <c r="T158" s="47" t="n"/>
      <c r="U158" s="48" t="n"/>
      <c r="V158" s="48" t="n"/>
      <c r="IC158" s="69" t="n"/>
    </row>
    <row r="159" hidden="1" ht="23" customHeight="1" s="150">
      <c r="A159" s="122" t="n"/>
      <c r="B159" s="205">
        <f>IF('(1)_Base_de_Datos'!$R$20&lt;&gt;"",'(1)_Base_de_Datos'!$R$20,"")</f>
        <v/>
      </c>
      <c r="C159" s="269" t="n"/>
      <c r="D159" s="269" t="n"/>
      <c r="E159" s="269" t="n"/>
      <c r="F159" s="269" t="n"/>
      <c r="G159" s="119" t="n"/>
      <c r="H159" s="205">
        <f>IF('(1)_Base_de_Datos'!$B$20="Recomendación",'(1)_Base_de_Datos'!$B$20,"")</f>
        <v/>
      </c>
      <c r="I159" s="269" t="n"/>
      <c r="J159" s="269" t="n"/>
      <c r="K159" s="269" t="n"/>
      <c r="L159" s="119" t="n"/>
      <c r="M159" s="119" t="n"/>
      <c r="N159" s="119" t="n"/>
      <c r="O159" s="119" t="n"/>
      <c r="P159" s="119" t="n"/>
      <c r="Q159" s="119" t="n"/>
      <c r="R159" s="119" t="n"/>
      <c r="S159" s="120" t="n"/>
      <c r="T159" s="69" t="n"/>
      <c r="U159" s="45" t="n"/>
      <c r="V159" s="46" t="n"/>
      <c r="IC159" s="69" t="n"/>
    </row>
    <row r="160" hidden="1" ht="27" customHeight="1" s="150">
      <c r="A160" s="270" t="n">
        <v>17</v>
      </c>
      <c r="B160" s="160">
        <f>IFERROR(IF('(1)_Base_de_Datos'!L20&lt;&gt;"",'(1)_Base_de_Datos'!L20,""),"")</f>
        <v/>
      </c>
      <c r="C160" s="269" t="n"/>
      <c r="D160" s="269" t="n"/>
      <c r="E160" s="269" t="n"/>
      <c r="F160" s="269" t="n"/>
      <c r="G160" s="302">
        <f>IFERROR(IF('(1)_Base_de_Datos'!C20&lt;&gt;"",'(1)_Base_de_Datos'!C20,""),"")</f>
        <v/>
      </c>
      <c r="H160" s="156" t="inlineStr">
        <is>
          <t>IMPLICACIÓN</t>
        </is>
      </c>
      <c r="I160" s="247" t="n"/>
      <c r="J160" s="247" t="n"/>
      <c r="K160" s="273" t="n"/>
      <c r="L160" s="279">
        <f>IFERROR(IF('(1)_Base_de_Datos'!Q20&lt;&gt;"",'(1)_Base_de_Datos'!Q20,""),"")</f>
        <v/>
      </c>
      <c r="M160" s="275" t="n"/>
      <c r="N160" s="276" t="n"/>
      <c r="O160" s="276" t="n"/>
      <c r="P160" s="277" t="n"/>
      <c r="Q160" s="278" t="n"/>
      <c r="R160" s="279">
        <f>IFERROR(IF('(1)_Base_de_Datos'!X20&lt;&gt;"",'(1)_Base_de_Datos'!X20,""),"")</f>
        <v/>
      </c>
      <c r="S160" s="279">
        <f>IFERROR(IF('(1)_Base_de_Datos'!Y20&lt;&gt;"",'(1)_Base_de_Datos'!Y20,""),"")</f>
        <v/>
      </c>
      <c r="T160" s="47" t="n"/>
      <c r="U160" s="46" t="n"/>
      <c r="V160" s="46" t="n"/>
      <c r="IC160" s="69" t="n"/>
    </row>
    <row r="161" hidden="1" ht="18.75" customHeight="1" s="150">
      <c r="A161" s="280" t="n"/>
      <c r="B161" s="304">
        <f>IFERROR(IF('(1)_Base_de_Datos'!M20&lt;&gt;"",'(1)_Base_de_Datos'!M20,""),"")</f>
        <v/>
      </c>
      <c r="C161" s="282" t="n"/>
      <c r="D161" s="282" t="n"/>
      <c r="E161" s="282" t="n"/>
      <c r="F161" s="283" t="n"/>
      <c r="G161" s="289" t="n"/>
      <c r="H161" s="155">
        <f>IFERROR(IF('(1)_Base_de_Datos'!N20&lt;&gt;"",'(1)_Base_de_Datos'!N20,""),"")</f>
        <v/>
      </c>
      <c r="I161" s="282" t="n"/>
      <c r="J161" s="282" t="n"/>
      <c r="K161" s="283" t="n"/>
      <c r="L161" s="289" t="n"/>
      <c r="M161" s="285" t="n"/>
      <c r="N161" s="286" t="n"/>
      <c r="O161" s="286" t="n"/>
      <c r="P161" s="287" t="n"/>
      <c r="Q161" s="288" t="n"/>
      <c r="R161" s="289" t="n"/>
      <c r="S161" s="289" t="n"/>
      <c r="T161" s="47" t="n"/>
      <c r="U161" s="48" t="n"/>
      <c r="V161" s="48" t="n"/>
      <c r="IC161" s="69" t="n"/>
    </row>
    <row r="162" hidden="1" ht="18.75" customHeight="1" s="150">
      <c r="A162" s="280" t="n"/>
      <c r="B162" s="284" t="n"/>
      <c r="C162" s="69" t="n"/>
      <c r="D162" s="69" t="n"/>
      <c r="E162" s="69" t="n"/>
      <c r="F162" s="290" t="n"/>
      <c r="G162" s="289" t="n"/>
      <c r="H162" s="291" t="n"/>
      <c r="I162" s="292" t="n"/>
      <c r="J162" s="292" t="n"/>
      <c r="K162" s="293" t="n"/>
      <c r="L162" s="289" t="n"/>
      <c r="M162" s="285" t="n"/>
      <c r="N162" s="286" t="n"/>
      <c r="O162" s="286" t="n"/>
      <c r="P162" s="287" t="n"/>
      <c r="Q162" s="288" t="n"/>
      <c r="R162" s="289" t="n"/>
      <c r="S162" s="289" t="n"/>
      <c r="T162" s="47" t="n"/>
      <c r="U162" s="48" t="n"/>
      <c r="V162" s="48" t="n"/>
      <c r="IC162" s="69" t="n"/>
    </row>
    <row r="163" hidden="1" ht="24" customHeight="1" s="150">
      <c r="A163" s="280" t="n"/>
      <c r="B163" s="284" t="n"/>
      <c r="C163" s="69" t="n"/>
      <c r="D163" s="69" t="n"/>
      <c r="E163" s="69" t="n"/>
      <c r="F163" s="290" t="n"/>
      <c r="G163" s="289" t="n"/>
      <c r="H163" s="156" t="inlineStr">
        <is>
          <t>FUNDAMENTO</t>
        </is>
      </c>
      <c r="I163" s="247" t="n"/>
      <c r="J163" s="247" t="n"/>
      <c r="K163" s="273" t="n"/>
      <c r="L163" s="289" t="n"/>
      <c r="M163" s="285" t="n"/>
      <c r="N163" s="286" t="n"/>
      <c r="O163" s="286" t="n"/>
      <c r="P163" s="287" t="n"/>
      <c r="Q163" s="288" t="n"/>
      <c r="R163" s="289" t="n"/>
      <c r="S163" s="289" t="n"/>
      <c r="T163" s="47" t="n"/>
      <c r="U163" s="48" t="n"/>
      <c r="V163" s="48" t="n"/>
      <c r="IC163" s="69" t="n"/>
    </row>
    <row r="164" hidden="1" ht="19.5" customHeight="1" s="150">
      <c r="A164" s="280" t="n"/>
      <c r="B164" s="284" t="n"/>
      <c r="C164" s="69" t="n"/>
      <c r="D164" s="69" t="n"/>
      <c r="E164" s="69" t="n"/>
      <c r="F164" s="290" t="n"/>
      <c r="G164" s="289" t="n"/>
      <c r="H164" s="155">
        <f>IFERROR(IF('(1)_Base_de_Datos'!O20&lt;&gt;"",'(1)_Base_de_Datos'!O20,""),"")</f>
        <v/>
      </c>
      <c r="I164" s="282" t="n"/>
      <c r="J164" s="282" t="n"/>
      <c r="K164" s="283" t="n"/>
      <c r="L164" s="289" t="n"/>
      <c r="M164" s="285" t="n"/>
      <c r="N164" s="286" t="n"/>
      <c r="O164" s="286" t="n"/>
      <c r="P164" s="287" t="n"/>
      <c r="Q164" s="288" t="n"/>
      <c r="R164" s="289" t="n"/>
      <c r="S164" s="289" t="n"/>
      <c r="T164" s="47" t="n"/>
      <c r="U164" s="48" t="n"/>
      <c r="V164" s="48" t="n"/>
      <c r="IC164" s="69" t="n"/>
    </row>
    <row r="165" hidden="1" ht="19.5" customHeight="1" s="150">
      <c r="A165" s="280" t="n"/>
      <c r="B165" s="284" t="n"/>
      <c r="C165" s="69" t="n"/>
      <c r="D165" s="69" t="n"/>
      <c r="E165" s="69" t="n"/>
      <c r="F165" s="290" t="n"/>
      <c r="G165" s="289" t="n"/>
      <c r="H165" s="291" t="n"/>
      <c r="I165" s="292" t="n"/>
      <c r="J165" s="292" t="n"/>
      <c r="K165" s="293" t="n"/>
      <c r="L165" s="289" t="n"/>
      <c r="M165" s="285" t="n"/>
      <c r="N165" s="286" t="n"/>
      <c r="O165" s="286" t="n"/>
      <c r="P165" s="287" t="n"/>
      <c r="Q165" s="288" t="n"/>
      <c r="R165" s="289" t="n"/>
      <c r="S165" s="289" t="n"/>
      <c r="T165" s="47" t="n"/>
      <c r="IC165" s="69" t="n"/>
    </row>
    <row r="166" hidden="1" ht="24" customHeight="1" s="150">
      <c r="A166" s="280" t="n"/>
      <c r="B166" s="284" t="n"/>
      <c r="C166" s="69" t="n"/>
      <c r="D166" s="69" t="n"/>
      <c r="E166" s="69" t="n"/>
      <c r="F166" s="290" t="n"/>
      <c r="G166" s="289" t="n"/>
      <c r="H166" s="156" t="inlineStr">
        <is>
          <t>CONTROL</t>
        </is>
      </c>
      <c r="I166" s="247" t="n"/>
      <c r="J166" s="247" t="n"/>
      <c r="K166" s="273" t="n"/>
      <c r="L166" s="289" t="n"/>
      <c r="M166" s="285" t="n"/>
      <c r="N166" s="286" t="n"/>
      <c r="O166" s="286" t="n"/>
      <c r="P166" s="287" t="n"/>
      <c r="Q166" s="288" t="n"/>
      <c r="R166" s="289" t="n"/>
      <c r="S166" s="289" t="n"/>
      <c r="T166" s="47" t="n"/>
      <c r="U166" s="48" t="n"/>
      <c r="V166" s="48" t="n"/>
      <c r="IC166" s="69" t="n"/>
    </row>
    <row r="167" hidden="1" ht="87.5" customHeight="1" s="150">
      <c r="A167" s="294" t="n"/>
      <c r="B167" s="291" t="n"/>
      <c r="C167" s="292" t="n"/>
      <c r="D167" s="292" t="n"/>
      <c r="E167" s="292" t="n"/>
      <c r="F167" s="293" t="n"/>
      <c r="G167" s="299" t="n"/>
      <c r="H167" s="155">
        <f>IFERROR(IF('(1)_Base_de_Datos'!P20&lt;&gt;"",'(1)_Base_de_Datos'!P20,""),"")</f>
        <v/>
      </c>
      <c r="I167" s="269" t="n"/>
      <c r="J167" s="269" t="n"/>
      <c r="K167" s="271" t="n"/>
      <c r="L167" s="299" t="n"/>
      <c r="M167" s="295" t="n"/>
      <c r="N167" s="296" t="n"/>
      <c r="O167" s="296" t="n"/>
      <c r="P167" s="297" t="n"/>
      <c r="Q167" s="298" t="n"/>
      <c r="R167" s="299" t="n"/>
      <c r="S167" s="299" t="n"/>
      <c r="T167" s="47" t="n"/>
      <c r="U167" s="48" t="n"/>
      <c r="V167" s="48" t="n"/>
      <c r="IC167" s="69" t="n"/>
    </row>
    <row r="168" hidden="1" ht="23" customHeight="1" s="150">
      <c r="A168" s="122" t="n"/>
      <c r="B168" s="205">
        <f>IF('(1)_Base_de_Datos'!$R$21&lt;&gt;"",'(1)_Base_de_Datos'!$R$21,"")</f>
        <v/>
      </c>
      <c r="C168" s="269" t="n"/>
      <c r="D168" s="269" t="n"/>
      <c r="E168" s="269" t="n"/>
      <c r="F168" s="269" t="n"/>
      <c r="G168" s="119" t="n"/>
      <c r="H168" s="205">
        <f>IF('(1)_Base_de_Datos'!$B$21="Recomendación",'(1)_Base_de_Datos'!$B$21,"")</f>
        <v/>
      </c>
      <c r="I168" s="269" t="n"/>
      <c r="J168" s="269" t="n"/>
      <c r="K168" s="269" t="n"/>
      <c r="L168" s="119" t="n"/>
      <c r="M168" s="119" t="n"/>
      <c r="N168" s="119" t="n"/>
      <c r="O168" s="119" t="n"/>
      <c r="P168" s="119" t="n"/>
      <c r="Q168" s="119" t="n"/>
      <c r="R168" s="119" t="n"/>
      <c r="S168" s="120" t="n"/>
      <c r="T168" s="69" t="n"/>
      <c r="U168" s="45" t="n"/>
      <c r="V168" s="46" t="n"/>
      <c r="IC168" s="69" t="n"/>
    </row>
    <row r="169" hidden="1" ht="27" customHeight="1" s="150">
      <c r="A169" s="270" t="n">
        <v>18</v>
      </c>
      <c r="B169" s="160">
        <f>IFERROR(IF('(1)_Base_de_Datos'!L21&lt;&gt;"",'(1)_Base_de_Datos'!L21,""),"")</f>
        <v/>
      </c>
      <c r="C169" s="269" t="n"/>
      <c r="D169" s="269" t="n"/>
      <c r="E169" s="269" t="n"/>
      <c r="F169" s="269" t="n"/>
      <c r="G169" s="302">
        <f>IFERROR(IF('(1)_Base_de_Datos'!C21&lt;&gt;"",'(1)_Base_de_Datos'!C21,""),"")</f>
        <v/>
      </c>
      <c r="H169" s="156" t="inlineStr">
        <is>
          <t>IMPLICACIÓN</t>
        </is>
      </c>
      <c r="I169" s="247" t="n"/>
      <c r="J169" s="247" t="n"/>
      <c r="K169" s="273" t="n"/>
      <c r="L169" s="279">
        <f>IFERROR(IF('(1)_Base_de_Datos'!Q21&lt;&gt;"",'(1)_Base_de_Datos'!Q21,""),"")</f>
        <v/>
      </c>
      <c r="M169" s="275" t="n"/>
      <c r="N169" s="276" t="n"/>
      <c r="O169" s="276" t="n"/>
      <c r="P169" s="277" t="n"/>
      <c r="Q169" s="278" t="n"/>
      <c r="R169" s="279">
        <f>IFERROR(IF('(1)_Base_de_Datos'!X21&lt;&gt;"",'(1)_Base_de_Datos'!X21,""),"")</f>
        <v/>
      </c>
      <c r="S169" s="279">
        <f>IFERROR(IF('(1)_Base_de_Datos'!Y21&lt;&gt;"",'(1)_Base_de_Datos'!Y21,""),"")</f>
        <v/>
      </c>
      <c r="T169" s="47" t="n"/>
      <c r="U169" s="46" t="n"/>
      <c r="V169" s="46" t="n"/>
      <c r="IC169" s="69" t="n"/>
    </row>
    <row r="170" hidden="1" ht="18.75" customHeight="1" s="150">
      <c r="A170" s="280" t="n"/>
      <c r="B170" s="304">
        <f>IFERROR(IF('(1)_Base_de_Datos'!M21&lt;&gt;"",'(1)_Base_de_Datos'!M21,""),"")</f>
        <v/>
      </c>
      <c r="C170" s="282" t="n"/>
      <c r="D170" s="282" t="n"/>
      <c r="E170" s="282" t="n"/>
      <c r="F170" s="283" t="n"/>
      <c r="G170" s="289" t="n"/>
      <c r="H170" s="155">
        <f>IFERROR(IF('(1)_Base_de_Datos'!N21&lt;&gt;"",'(1)_Base_de_Datos'!N21,""),"")</f>
        <v/>
      </c>
      <c r="I170" s="282" t="n"/>
      <c r="J170" s="282" t="n"/>
      <c r="K170" s="283" t="n"/>
      <c r="L170" s="289" t="n"/>
      <c r="M170" s="285" t="n"/>
      <c r="N170" s="286" t="n"/>
      <c r="O170" s="286" t="n"/>
      <c r="P170" s="287" t="n"/>
      <c r="Q170" s="288" t="n"/>
      <c r="R170" s="289" t="n"/>
      <c r="S170" s="289" t="n"/>
      <c r="T170" s="47" t="n"/>
      <c r="U170" s="48" t="n"/>
      <c r="V170" s="48" t="n"/>
      <c r="IC170" s="69" t="n"/>
    </row>
    <row r="171" hidden="1" ht="18.75" customHeight="1" s="150">
      <c r="A171" s="280" t="n"/>
      <c r="B171" s="284" t="n"/>
      <c r="C171" s="69" t="n"/>
      <c r="D171" s="69" t="n"/>
      <c r="E171" s="69" t="n"/>
      <c r="F171" s="290" t="n"/>
      <c r="G171" s="289" t="n"/>
      <c r="H171" s="291" t="n"/>
      <c r="I171" s="292" t="n"/>
      <c r="J171" s="292" t="n"/>
      <c r="K171" s="293" t="n"/>
      <c r="L171" s="289" t="n"/>
      <c r="M171" s="285" t="n"/>
      <c r="N171" s="286" t="n"/>
      <c r="O171" s="286" t="n"/>
      <c r="P171" s="287" t="n"/>
      <c r="Q171" s="288" t="n"/>
      <c r="R171" s="289" t="n"/>
      <c r="S171" s="289" t="n"/>
      <c r="T171" s="47" t="n"/>
      <c r="U171" s="48" t="n"/>
      <c r="V171" s="48" t="n"/>
      <c r="IC171" s="69" t="n"/>
    </row>
    <row r="172" hidden="1" ht="24" customHeight="1" s="150">
      <c r="A172" s="280" t="n"/>
      <c r="B172" s="284" t="n"/>
      <c r="C172" s="69" t="n"/>
      <c r="D172" s="69" t="n"/>
      <c r="E172" s="69" t="n"/>
      <c r="F172" s="290" t="n"/>
      <c r="G172" s="289" t="n"/>
      <c r="H172" s="156" t="inlineStr">
        <is>
          <t>FUNDAMENTO</t>
        </is>
      </c>
      <c r="I172" s="247" t="n"/>
      <c r="J172" s="247" t="n"/>
      <c r="K172" s="273" t="n"/>
      <c r="L172" s="289" t="n"/>
      <c r="M172" s="285" t="n"/>
      <c r="N172" s="286" t="n"/>
      <c r="O172" s="286" t="n"/>
      <c r="P172" s="287" t="n"/>
      <c r="Q172" s="288" t="n"/>
      <c r="R172" s="289" t="n"/>
      <c r="S172" s="289" t="n"/>
      <c r="T172" s="47" t="n"/>
      <c r="U172" s="48" t="n"/>
      <c r="V172" s="48" t="n"/>
      <c r="IC172" s="69" t="n"/>
    </row>
    <row r="173" hidden="1" ht="19.5" customHeight="1" s="150">
      <c r="A173" s="280" t="n"/>
      <c r="B173" s="284" t="n"/>
      <c r="C173" s="69" t="n"/>
      <c r="D173" s="69" t="n"/>
      <c r="E173" s="69" t="n"/>
      <c r="F173" s="290" t="n"/>
      <c r="G173" s="289" t="n"/>
      <c r="H173" s="155">
        <f>IFERROR(IF('(1)_Base_de_Datos'!O21&lt;&gt;"",'(1)_Base_de_Datos'!O21,""),"")</f>
        <v/>
      </c>
      <c r="I173" s="282" t="n"/>
      <c r="J173" s="282" t="n"/>
      <c r="K173" s="283" t="n"/>
      <c r="L173" s="289" t="n"/>
      <c r="M173" s="285" t="n"/>
      <c r="N173" s="286" t="n"/>
      <c r="O173" s="286" t="n"/>
      <c r="P173" s="287" t="n"/>
      <c r="Q173" s="288" t="n"/>
      <c r="R173" s="289" t="n"/>
      <c r="S173" s="289" t="n"/>
      <c r="T173" s="47" t="n"/>
      <c r="U173" s="48" t="n"/>
      <c r="V173" s="48" t="n"/>
      <c r="IC173" s="69" t="n"/>
    </row>
    <row r="174" hidden="1" ht="19.5" customHeight="1" s="150">
      <c r="A174" s="280" t="n"/>
      <c r="B174" s="284" t="n"/>
      <c r="C174" s="69" t="n"/>
      <c r="D174" s="69" t="n"/>
      <c r="E174" s="69" t="n"/>
      <c r="F174" s="290" t="n"/>
      <c r="G174" s="289" t="n"/>
      <c r="H174" s="291" t="n"/>
      <c r="I174" s="292" t="n"/>
      <c r="J174" s="292" t="n"/>
      <c r="K174" s="293" t="n"/>
      <c r="L174" s="289" t="n"/>
      <c r="M174" s="285" t="n"/>
      <c r="N174" s="286" t="n"/>
      <c r="O174" s="286" t="n"/>
      <c r="P174" s="287" t="n"/>
      <c r="Q174" s="288" t="n"/>
      <c r="R174" s="289" t="n"/>
      <c r="S174" s="289" t="n"/>
      <c r="T174" s="47" t="n"/>
      <c r="IC174" s="69" t="n"/>
    </row>
    <row r="175" hidden="1" ht="24" customHeight="1" s="150">
      <c r="A175" s="280" t="n"/>
      <c r="B175" s="284" t="n"/>
      <c r="C175" s="69" t="n"/>
      <c r="D175" s="69" t="n"/>
      <c r="E175" s="69" t="n"/>
      <c r="F175" s="290" t="n"/>
      <c r="G175" s="289" t="n"/>
      <c r="H175" s="156" t="inlineStr">
        <is>
          <t>CONTROL</t>
        </is>
      </c>
      <c r="I175" s="247" t="n"/>
      <c r="J175" s="247" t="n"/>
      <c r="K175" s="273" t="n"/>
      <c r="L175" s="289" t="n"/>
      <c r="M175" s="285" t="n"/>
      <c r="N175" s="286" t="n"/>
      <c r="O175" s="286" t="n"/>
      <c r="P175" s="287" t="n"/>
      <c r="Q175" s="288" t="n"/>
      <c r="R175" s="289" t="n"/>
      <c r="S175" s="289" t="n"/>
      <c r="T175" s="47" t="n"/>
      <c r="U175" s="48" t="n"/>
      <c r="V175" s="48" t="n"/>
      <c r="IC175" s="69" t="n"/>
    </row>
    <row r="176" hidden="1" ht="87.5" customHeight="1" s="150">
      <c r="A176" s="294" t="n"/>
      <c r="B176" s="291" t="n"/>
      <c r="C176" s="292" t="n"/>
      <c r="D176" s="292" t="n"/>
      <c r="E176" s="292" t="n"/>
      <c r="F176" s="293" t="n"/>
      <c r="G176" s="299" t="n"/>
      <c r="H176" s="155">
        <f>IFERROR(IF('(1)_Base_de_Datos'!P21&lt;&gt;"",'(1)_Base_de_Datos'!P21,""),"")</f>
        <v/>
      </c>
      <c r="I176" s="269" t="n"/>
      <c r="J176" s="269" t="n"/>
      <c r="K176" s="271" t="n"/>
      <c r="L176" s="299" t="n"/>
      <c r="M176" s="295" t="n"/>
      <c r="N176" s="296" t="n"/>
      <c r="O176" s="296" t="n"/>
      <c r="P176" s="297" t="n"/>
      <c r="Q176" s="298" t="n"/>
      <c r="R176" s="299" t="n"/>
      <c r="S176" s="299" t="n"/>
      <c r="T176" s="47" t="n"/>
      <c r="U176" s="48" t="n"/>
      <c r="V176" s="48" t="n"/>
      <c r="IC176" s="69" t="n"/>
    </row>
    <row r="177" hidden="1" ht="23" customHeight="1" s="150">
      <c r="A177" s="122" t="n"/>
      <c r="B177" s="205">
        <f>IF('(1)_Base_de_Datos'!$R$22&lt;&gt;"",'(1)_Base_de_Datos'!$R$22,"")</f>
        <v/>
      </c>
      <c r="C177" s="269" t="n"/>
      <c r="D177" s="269" t="n"/>
      <c r="E177" s="269" t="n"/>
      <c r="F177" s="269" t="n"/>
      <c r="G177" s="119" t="n"/>
      <c r="H177" s="205">
        <f>IF('(1)_Base_de_Datos'!$B$22="Recomendación",'(1)_Base_de_Datos'!$B$22,"")</f>
        <v/>
      </c>
      <c r="I177" s="269" t="n"/>
      <c r="J177" s="269" t="n"/>
      <c r="K177" s="269" t="n"/>
      <c r="L177" s="119" t="n"/>
      <c r="M177" s="119" t="n"/>
      <c r="N177" s="119" t="n"/>
      <c r="O177" s="119" t="n"/>
      <c r="P177" s="119" t="n"/>
      <c r="Q177" s="119" t="n"/>
      <c r="R177" s="119" t="n"/>
      <c r="S177" s="120" t="n"/>
      <c r="T177" s="69" t="n"/>
      <c r="U177" s="45" t="n"/>
      <c r="V177" s="46" t="n"/>
      <c r="IC177" s="69" t="n"/>
    </row>
    <row r="178" hidden="1" ht="27" customHeight="1" s="150">
      <c r="A178" s="270" t="n">
        <v>19</v>
      </c>
      <c r="B178" s="160">
        <f>IFERROR(IF('(1)_Base_de_Datos'!L22&lt;&gt;"",'(1)_Base_de_Datos'!L22,""),"")</f>
        <v/>
      </c>
      <c r="C178" s="269" t="n"/>
      <c r="D178" s="269" t="n"/>
      <c r="E178" s="269" t="n"/>
      <c r="F178" s="269" t="n"/>
      <c r="G178" s="302">
        <f>IFERROR(IF('(1)_Base_de_Datos'!C22&lt;&gt;"",'(1)_Base_de_Datos'!C22,""),"")</f>
        <v/>
      </c>
      <c r="H178" s="156" t="inlineStr">
        <is>
          <t>IMPLICACIÓN</t>
        </is>
      </c>
      <c r="I178" s="247" t="n"/>
      <c r="J178" s="247" t="n"/>
      <c r="K178" s="273" t="n"/>
      <c r="L178" s="279">
        <f>IFERROR(IF('(1)_Base_de_Datos'!Q22&lt;&gt;"",'(1)_Base_de_Datos'!Q22,""),"")</f>
        <v/>
      </c>
      <c r="M178" s="275" t="n"/>
      <c r="N178" s="276" t="n"/>
      <c r="O178" s="276" t="n"/>
      <c r="P178" s="277" t="n"/>
      <c r="Q178" s="278" t="n"/>
      <c r="R178" s="279">
        <f>IFERROR(IF('(1)_Base_de_Datos'!X22&lt;&gt;"",'(1)_Base_de_Datos'!X22,""),"")</f>
        <v/>
      </c>
      <c r="S178" s="279">
        <f>IFERROR(IF('(1)_Base_de_Datos'!Y22&lt;&gt;"",'(1)_Base_de_Datos'!Y22,""),"")</f>
        <v/>
      </c>
      <c r="T178" s="47" t="n"/>
      <c r="U178" s="46" t="n"/>
      <c r="V178" s="46" t="n"/>
      <c r="IC178" s="69" t="n"/>
    </row>
    <row r="179" hidden="1" ht="18.75" customHeight="1" s="150">
      <c r="A179" s="280" t="n"/>
      <c r="B179" s="304">
        <f>IFERROR(IF('(1)_Base_de_Datos'!M22&lt;&gt;"",'(1)_Base_de_Datos'!M22,""),"")</f>
        <v/>
      </c>
      <c r="C179" s="282" t="n"/>
      <c r="D179" s="282" t="n"/>
      <c r="E179" s="282" t="n"/>
      <c r="F179" s="283" t="n"/>
      <c r="G179" s="289" t="n"/>
      <c r="H179" s="155">
        <f>IFERROR(IF('(1)_Base_de_Datos'!N22&lt;&gt;"",'(1)_Base_de_Datos'!N22,""),"")</f>
        <v/>
      </c>
      <c r="I179" s="282" t="n"/>
      <c r="J179" s="282" t="n"/>
      <c r="K179" s="283" t="n"/>
      <c r="L179" s="289" t="n"/>
      <c r="M179" s="285" t="n"/>
      <c r="N179" s="286" t="n"/>
      <c r="O179" s="286" t="n"/>
      <c r="P179" s="287" t="n"/>
      <c r="Q179" s="288" t="n"/>
      <c r="R179" s="289" t="n"/>
      <c r="S179" s="289" t="n"/>
      <c r="T179" s="47" t="n"/>
      <c r="U179" s="48" t="n"/>
      <c r="V179" s="48" t="n"/>
      <c r="IC179" s="69" t="n"/>
    </row>
    <row r="180" hidden="1" ht="18.75" customHeight="1" s="150">
      <c r="A180" s="280" t="n"/>
      <c r="B180" s="284" t="n"/>
      <c r="C180" s="69" t="n"/>
      <c r="D180" s="69" t="n"/>
      <c r="E180" s="69" t="n"/>
      <c r="F180" s="290" t="n"/>
      <c r="G180" s="289" t="n"/>
      <c r="H180" s="291" t="n"/>
      <c r="I180" s="292" t="n"/>
      <c r="J180" s="292" t="n"/>
      <c r="K180" s="293" t="n"/>
      <c r="L180" s="289" t="n"/>
      <c r="M180" s="285" t="n"/>
      <c r="N180" s="286" t="n"/>
      <c r="O180" s="286" t="n"/>
      <c r="P180" s="287" t="n"/>
      <c r="Q180" s="288" t="n"/>
      <c r="R180" s="289" t="n"/>
      <c r="S180" s="289" t="n"/>
      <c r="T180" s="47" t="n"/>
      <c r="U180" s="48" t="n"/>
      <c r="V180" s="48" t="n"/>
      <c r="IC180" s="69" t="n"/>
    </row>
    <row r="181" hidden="1" ht="24" customHeight="1" s="150">
      <c r="A181" s="280" t="n"/>
      <c r="B181" s="284" t="n"/>
      <c r="C181" s="69" t="n"/>
      <c r="D181" s="69" t="n"/>
      <c r="E181" s="69" t="n"/>
      <c r="F181" s="290" t="n"/>
      <c r="G181" s="289" t="n"/>
      <c r="H181" s="156" t="inlineStr">
        <is>
          <t>FUNDAMENTO</t>
        </is>
      </c>
      <c r="I181" s="247" t="n"/>
      <c r="J181" s="247" t="n"/>
      <c r="K181" s="273" t="n"/>
      <c r="L181" s="289" t="n"/>
      <c r="M181" s="285" t="n"/>
      <c r="N181" s="286" t="n"/>
      <c r="O181" s="286" t="n"/>
      <c r="P181" s="287" t="n"/>
      <c r="Q181" s="288" t="n"/>
      <c r="R181" s="289" t="n"/>
      <c r="S181" s="289" t="n"/>
      <c r="T181" s="47" t="n"/>
      <c r="U181" s="48" t="n"/>
      <c r="V181" s="48" t="n"/>
      <c r="IC181" s="69" t="n"/>
    </row>
    <row r="182" hidden="1" ht="19.5" customHeight="1" s="150">
      <c r="A182" s="280" t="n"/>
      <c r="B182" s="284" t="n"/>
      <c r="C182" s="69" t="n"/>
      <c r="D182" s="69" t="n"/>
      <c r="E182" s="69" t="n"/>
      <c r="F182" s="290" t="n"/>
      <c r="G182" s="289" t="n"/>
      <c r="H182" s="155">
        <f>IFERROR(IF('(1)_Base_de_Datos'!O22&lt;&gt;"",'(1)_Base_de_Datos'!O22,""),"")</f>
        <v/>
      </c>
      <c r="I182" s="282" t="n"/>
      <c r="J182" s="282" t="n"/>
      <c r="K182" s="283" t="n"/>
      <c r="L182" s="289" t="n"/>
      <c r="M182" s="285" t="n"/>
      <c r="N182" s="286" t="n"/>
      <c r="O182" s="286" t="n"/>
      <c r="P182" s="287" t="n"/>
      <c r="Q182" s="288" t="n"/>
      <c r="R182" s="289" t="n"/>
      <c r="S182" s="289" t="n"/>
      <c r="T182" s="47" t="n"/>
      <c r="U182" s="48" t="n"/>
      <c r="V182" s="48" t="n"/>
      <c r="IC182" s="69" t="n"/>
    </row>
    <row r="183" hidden="1" ht="19.5" customHeight="1" s="150">
      <c r="A183" s="280" t="n"/>
      <c r="B183" s="284" t="n"/>
      <c r="C183" s="69" t="n"/>
      <c r="D183" s="69" t="n"/>
      <c r="E183" s="69" t="n"/>
      <c r="F183" s="290" t="n"/>
      <c r="G183" s="289" t="n"/>
      <c r="H183" s="291" t="n"/>
      <c r="I183" s="292" t="n"/>
      <c r="J183" s="292" t="n"/>
      <c r="K183" s="293" t="n"/>
      <c r="L183" s="289" t="n"/>
      <c r="M183" s="285" t="n"/>
      <c r="N183" s="286" t="n"/>
      <c r="O183" s="286" t="n"/>
      <c r="P183" s="287" t="n"/>
      <c r="Q183" s="288" t="n"/>
      <c r="R183" s="289" t="n"/>
      <c r="S183" s="289" t="n"/>
      <c r="T183" s="47" t="n"/>
      <c r="IC183" s="69" t="n"/>
    </row>
    <row r="184" hidden="1" ht="24" customHeight="1" s="150">
      <c r="A184" s="280" t="n"/>
      <c r="B184" s="284" t="n"/>
      <c r="C184" s="69" t="n"/>
      <c r="D184" s="69" t="n"/>
      <c r="E184" s="69" t="n"/>
      <c r="F184" s="290" t="n"/>
      <c r="G184" s="289" t="n"/>
      <c r="H184" s="156" t="inlineStr">
        <is>
          <t>CONTROL</t>
        </is>
      </c>
      <c r="I184" s="247" t="n"/>
      <c r="J184" s="247" t="n"/>
      <c r="K184" s="273" t="n"/>
      <c r="L184" s="289" t="n"/>
      <c r="M184" s="285" t="n"/>
      <c r="N184" s="286" t="n"/>
      <c r="O184" s="286" t="n"/>
      <c r="P184" s="287" t="n"/>
      <c r="Q184" s="288" t="n"/>
      <c r="R184" s="289" t="n"/>
      <c r="S184" s="289" t="n"/>
      <c r="T184" s="47" t="n"/>
      <c r="U184" s="48" t="n"/>
      <c r="V184" s="48" t="n"/>
      <c r="IC184" s="69" t="n"/>
    </row>
    <row r="185" hidden="1" ht="87.5" customHeight="1" s="150">
      <c r="A185" s="294" t="n"/>
      <c r="B185" s="291" t="n"/>
      <c r="C185" s="292" t="n"/>
      <c r="D185" s="292" t="n"/>
      <c r="E185" s="292" t="n"/>
      <c r="F185" s="293" t="n"/>
      <c r="G185" s="299" t="n"/>
      <c r="H185" s="155">
        <f>IFERROR(IF('(1)_Base_de_Datos'!P22&lt;&gt;"",'(1)_Base_de_Datos'!P22,""),"")</f>
        <v/>
      </c>
      <c r="I185" s="269" t="n"/>
      <c r="J185" s="269" t="n"/>
      <c r="K185" s="271" t="n"/>
      <c r="L185" s="299" t="n"/>
      <c r="M185" s="295" t="n"/>
      <c r="N185" s="296" t="n"/>
      <c r="O185" s="296" t="n"/>
      <c r="P185" s="297" t="n"/>
      <c r="Q185" s="298" t="n"/>
      <c r="R185" s="299" t="n"/>
      <c r="S185" s="299" t="n"/>
      <c r="T185" s="47" t="n"/>
      <c r="U185" s="48" t="n"/>
      <c r="V185" s="48" t="n"/>
      <c r="IC185" s="69" t="n"/>
    </row>
    <row r="186" hidden="1" ht="23" customHeight="1" s="150">
      <c r="A186" s="122" t="n"/>
      <c r="B186" s="205">
        <f>IF('(1)_Base_de_Datos'!$R$23&lt;&gt;"",'(1)_Base_de_Datos'!$R$23,"")</f>
        <v/>
      </c>
      <c r="C186" s="269" t="n"/>
      <c r="D186" s="269" t="n"/>
      <c r="E186" s="269" t="n"/>
      <c r="F186" s="269" t="n"/>
      <c r="G186" s="119" t="n"/>
      <c r="H186" s="205">
        <f>IF('(1)_Base_de_Datos'!$B$23="Recomendación",'(1)_Base_de_Datos'!$B$23,"")</f>
        <v/>
      </c>
      <c r="I186" s="269" t="n"/>
      <c r="J186" s="269" t="n"/>
      <c r="K186" s="269" t="n"/>
      <c r="L186" s="119" t="n"/>
      <c r="M186" s="119" t="n"/>
      <c r="N186" s="119" t="n"/>
      <c r="O186" s="119" t="n"/>
      <c r="P186" s="119" t="n"/>
      <c r="Q186" s="119" t="n"/>
      <c r="R186" s="119" t="n"/>
      <c r="S186" s="120" t="n"/>
      <c r="T186" s="69" t="n"/>
      <c r="U186" s="45" t="n"/>
      <c r="V186" s="46" t="n"/>
      <c r="IC186" s="69" t="n"/>
    </row>
    <row r="187" hidden="1" ht="27" customHeight="1" s="150">
      <c r="A187" s="270" t="n">
        <v>20</v>
      </c>
      <c r="B187" s="160">
        <f>IFERROR(IF('(1)_Base_de_Datos'!L23&lt;&gt;"",'(1)_Base_de_Datos'!L23,""),"")</f>
        <v/>
      </c>
      <c r="C187" s="269" t="n"/>
      <c r="D187" s="269" t="n"/>
      <c r="E187" s="269" t="n"/>
      <c r="F187" s="269" t="n"/>
      <c r="G187" s="302">
        <f>IFERROR(IF('(1)_Base_de_Datos'!C23&lt;&gt;"",'(1)_Base_de_Datos'!C23,""),"")</f>
        <v/>
      </c>
      <c r="H187" s="156" t="inlineStr">
        <is>
          <t>IMPLICACIÓN</t>
        </is>
      </c>
      <c r="I187" s="247" t="n"/>
      <c r="J187" s="247" t="n"/>
      <c r="K187" s="273" t="n"/>
      <c r="L187" s="279">
        <f>IFERROR(IF('(1)_Base_de_Datos'!Q23&lt;&gt;"",'(1)_Base_de_Datos'!Q23,""),"")</f>
        <v/>
      </c>
      <c r="M187" s="275" t="n"/>
      <c r="N187" s="276" t="n"/>
      <c r="O187" s="276" t="n"/>
      <c r="P187" s="277" t="n"/>
      <c r="Q187" s="278" t="n"/>
      <c r="R187" s="279">
        <f>IFERROR(IF('(1)_Base_de_Datos'!X23&lt;&gt;"",'(1)_Base_de_Datos'!X23,""),"")</f>
        <v/>
      </c>
      <c r="S187" s="279">
        <f>IFERROR(IF('(1)_Base_de_Datos'!Y23&lt;&gt;"",'(1)_Base_de_Datos'!Y23,""),"")</f>
        <v/>
      </c>
      <c r="T187" s="47" t="n"/>
      <c r="U187" s="46" t="n"/>
      <c r="V187" s="46" t="n"/>
      <c r="IC187" s="69" t="n"/>
    </row>
    <row r="188" hidden="1" ht="18.75" customHeight="1" s="150">
      <c r="A188" s="280" t="n"/>
      <c r="B188" s="304">
        <f>IFERROR(IF('(1)_Base_de_Datos'!M23&lt;&gt;"",'(1)_Base_de_Datos'!M23,""),"")</f>
        <v/>
      </c>
      <c r="C188" s="282" t="n"/>
      <c r="D188" s="282" t="n"/>
      <c r="E188" s="282" t="n"/>
      <c r="F188" s="283" t="n"/>
      <c r="G188" s="289" t="n"/>
      <c r="H188" s="155">
        <f>IFERROR(IF('(1)_Base_de_Datos'!N23&lt;&gt;"",'(1)_Base_de_Datos'!N23,""),"")</f>
        <v/>
      </c>
      <c r="I188" s="282" t="n"/>
      <c r="J188" s="282" t="n"/>
      <c r="K188" s="283" t="n"/>
      <c r="L188" s="289" t="n"/>
      <c r="M188" s="285" t="n"/>
      <c r="N188" s="286" t="n"/>
      <c r="O188" s="286" t="n"/>
      <c r="P188" s="287" t="n"/>
      <c r="Q188" s="288" t="n"/>
      <c r="R188" s="289" t="n"/>
      <c r="S188" s="289" t="n"/>
      <c r="T188" s="47" t="n"/>
      <c r="U188" s="48" t="n"/>
      <c r="V188" s="48" t="n"/>
      <c r="IC188" s="69" t="n"/>
    </row>
    <row r="189" hidden="1" ht="18.75" customHeight="1" s="150">
      <c r="A189" s="280" t="n"/>
      <c r="B189" s="284" t="n"/>
      <c r="C189" s="69" t="n"/>
      <c r="D189" s="69" t="n"/>
      <c r="E189" s="69" t="n"/>
      <c r="F189" s="290" t="n"/>
      <c r="G189" s="289" t="n"/>
      <c r="H189" s="291" t="n"/>
      <c r="I189" s="292" t="n"/>
      <c r="J189" s="292" t="n"/>
      <c r="K189" s="293" t="n"/>
      <c r="L189" s="289" t="n"/>
      <c r="M189" s="285" t="n"/>
      <c r="N189" s="286" t="n"/>
      <c r="O189" s="286" t="n"/>
      <c r="P189" s="287" t="n"/>
      <c r="Q189" s="288" t="n"/>
      <c r="R189" s="289" t="n"/>
      <c r="S189" s="289" t="n"/>
      <c r="T189" s="47" t="n"/>
      <c r="U189" s="48" t="n"/>
      <c r="V189" s="48" t="n"/>
      <c r="IC189" s="69" t="n"/>
    </row>
    <row r="190" hidden="1" ht="24" customHeight="1" s="150">
      <c r="A190" s="280" t="n"/>
      <c r="B190" s="284" t="n"/>
      <c r="C190" s="69" t="n"/>
      <c r="D190" s="69" t="n"/>
      <c r="E190" s="69" t="n"/>
      <c r="F190" s="290" t="n"/>
      <c r="G190" s="289" t="n"/>
      <c r="H190" s="156" t="inlineStr">
        <is>
          <t>FUNDAMENTO</t>
        </is>
      </c>
      <c r="I190" s="247" t="n"/>
      <c r="J190" s="247" t="n"/>
      <c r="K190" s="273" t="n"/>
      <c r="L190" s="289" t="n"/>
      <c r="M190" s="285" t="n"/>
      <c r="N190" s="286" t="n"/>
      <c r="O190" s="286" t="n"/>
      <c r="P190" s="287" t="n"/>
      <c r="Q190" s="288" t="n"/>
      <c r="R190" s="289" t="n"/>
      <c r="S190" s="289" t="n"/>
      <c r="T190" s="47" t="n"/>
      <c r="U190" s="48" t="n"/>
      <c r="V190" s="48" t="n"/>
      <c r="IC190" s="69" t="n"/>
    </row>
    <row r="191" hidden="1" ht="19.5" customHeight="1" s="150">
      <c r="A191" s="280" t="n"/>
      <c r="B191" s="284" t="n"/>
      <c r="C191" s="69" t="n"/>
      <c r="D191" s="69" t="n"/>
      <c r="E191" s="69" t="n"/>
      <c r="F191" s="290" t="n"/>
      <c r="G191" s="289" t="n"/>
      <c r="H191" s="155">
        <f>IFERROR(IF('(1)_Base_de_Datos'!O23&lt;&gt;"",'(1)_Base_de_Datos'!O23,""),"")</f>
        <v/>
      </c>
      <c r="I191" s="282" t="n"/>
      <c r="J191" s="282" t="n"/>
      <c r="K191" s="283" t="n"/>
      <c r="L191" s="289" t="n"/>
      <c r="M191" s="285" t="n"/>
      <c r="N191" s="286" t="n"/>
      <c r="O191" s="286" t="n"/>
      <c r="P191" s="287" t="n"/>
      <c r="Q191" s="288" t="n"/>
      <c r="R191" s="289" t="n"/>
      <c r="S191" s="289" t="n"/>
      <c r="T191" s="47" t="n"/>
      <c r="U191" s="48" t="n"/>
      <c r="V191" s="48" t="n"/>
      <c r="IC191" s="69" t="n"/>
    </row>
    <row r="192" hidden="1" ht="19.5" customHeight="1" s="150">
      <c r="A192" s="280" t="n"/>
      <c r="B192" s="284" t="n"/>
      <c r="C192" s="69" t="n"/>
      <c r="D192" s="69" t="n"/>
      <c r="E192" s="69" t="n"/>
      <c r="F192" s="290" t="n"/>
      <c r="G192" s="289" t="n"/>
      <c r="H192" s="291" t="n"/>
      <c r="I192" s="292" t="n"/>
      <c r="J192" s="292" t="n"/>
      <c r="K192" s="293" t="n"/>
      <c r="L192" s="289" t="n"/>
      <c r="M192" s="285" t="n"/>
      <c r="N192" s="286" t="n"/>
      <c r="O192" s="286" t="n"/>
      <c r="P192" s="287" t="n"/>
      <c r="Q192" s="288" t="n"/>
      <c r="R192" s="289" t="n"/>
      <c r="S192" s="289" t="n"/>
      <c r="T192" s="47" t="n"/>
      <c r="IC192" s="69" t="n"/>
    </row>
    <row r="193" hidden="1" ht="24" customHeight="1" s="150">
      <c r="A193" s="280" t="n"/>
      <c r="B193" s="284" t="n"/>
      <c r="C193" s="69" t="n"/>
      <c r="D193" s="69" t="n"/>
      <c r="E193" s="69" t="n"/>
      <c r="F193" s="290" t="n"/>
      <c r="G193" s="289" t="n"/>
      <c r="H193" s="156" t="inlineStr">
        <is>
          <t>CONTROL</t>
        </is>
      </c>
      <c r="I193" s="247" t="n"/>
      <c r="J193" s="247" t="n"/>
      <c r="K193" s="273" t="n"/>
      <c r="L193" s="289" t="n"/>
      <c r="M193" s="285" t="n"/>
      <c r="N193" s="286" t="n"/>
      <c r="O193" s="286" t="n"/>
      <c r="P193" s="287" t="n"/>
      <c r="Q193" s="288" t="n"/>
      <c r="R193" s="289" t="n"/>
      <c r="S193" s="289" t="n"/>
      <c r="T193" s="47" t="n"/>
      <c r="U193" s="48" t="n"/>
      <c r="V193" s="48" t="n"/>
      <c r="IC193" s="69" t="n"/>
    </row>
    <row r="194" hidden="1" ht="87.5" customHeight="1" s="150">
      <c r="A194" s="294" t="n"/>
      <c r="B194" s="291" t="n"/>
      <c r="C194" s="292" t="n"/>
      <c r="D194" s="292" t="n"/>
      <c r="E194" s="292" t="n"/>
      <c r="F194" s="293" t="n"/>
      <c r="G194" s="299" t="n"/>
      <c r="H194" s="155">
        <f>IFERROR(IF('(1)_Base_de_Datos'!P23&lt;&gt;"",'(1)_Base_de_Datos'!P23,""),"")</f>
        <v/>
      </c>
      <c r="I194" s="269" t="n"/>
      <c r="J194" s="269" t="n"/>
      <c r="K194" s="271" t="n"/>
      <c r="L194" s="299" t="n"/>
      <c r="M194" s="295" t="n"/>
      <c r="N194" s="296" t="n"/>
      <c r="O194" s="296" t="n"/>
      <c r="P194" s="297" t="n"/>
      <c r="Q194" s="298" t="n"/>
      <c r="R194" s="299" t="n"/>
      <c r="S194" s="299" t="n"/>
      <c r="T194" s="47" t="n"/>
      <c r="U194" s="48" t="n"/>
      <c r="V194" s="48" t="n"/>
      <c r="IC194" s="69" t="n"/>
    </row>
    <row r="195" hidden="1" ht="23" customHeight="1" s="150">
      <c r="A195" s="122" t="n"/>
      <c r="B195" s="205">
        <f>IF('(1)_Base_de_Datos'!$R$24&lt;&gt;"",'(1)_Base_de_Datos'!$R$24,"")</f>
        <v/>
      </c>
      <c r="C195" s="269" t="n"/>
      <c r="D195" s="269" t="n"/>
      <c r="E195" s="269" t="n"/>
      <c r="F195" s="269" t="n"/>
      <c r="G195" s="119" t="n"/>
      <c r="H195" s="205">
        <f>IF('(1)_Base_de_Datos'!$B$24="Recomendación",'(1)_Base_de_Datos'!$B$24,"")</f>
        <v/>
      </c>
      <c r="I195" s="269" t="n"/>
      <c r="J195" s="269" t="n"/>
      <c r="K195" s="269" t="n"/>
      <c r="L195" s="119" t="n"/>
      <c r="M195" s="119" t="n"/>
      <c r="N195" s="119" t="n"/>
      <c r="O195" s="119" t="n"/>
      <c r="P195" s="119" t="n"/>
      <c r="Q195" s="119" t="n"/>
      <c r="R195" s="119" t="n"/>
      <c r="S195" s="120" t="n"/>
      <c r="T195" s="69" t="n"/>
      <c r="U195" s="45" t="n"/>
      <c r="V195" s="46" t="n"/>
      <c r="IC195" s="69" t="n"/>
    </row>
    <row r="196" hidden="1" ht="27" customHeight="1" s="150">
      <c r="A196" s="270" t="n">
        <v>21</v>
      </c>
      <c r="B196" s="160">
        <f>IFERROR(IF('(1)_Base_de_Datos'!L24&lt;&gt;"",'(1)_Base_de_Datos'!L24,""),"")</f>
        <v/>
      </c>
      <c r="C196" s="269" t="n"/>
      <c r="D196" s="269" t="n"/>
      <c r="E196" s="269" t="n"/>
      <c r="F196" s="269" t="n"/>
      <c r="G196" s="302">
        <f>IFERROR(IF('(1)_Base_de_Datos'!C24&lt;&gt;"",'(1)_Base_de_Datos'!C24,""),"")</f>
        <v/>
      </c>
      <c r="H196" s="156" t="inlineStr">
        <is>
          <t>IMPLICACIÓN</t>
        </is>
      </c>
      <c r="I196" s="247" t="n"/>
      <c r="J196" s="247" t="n"/>
      <c r="K196" s="273" t="n"/>
      <c r="L196" s="279">
        <f>IFERROR(IF('(1)_Base_de_Datos'!Q24&lt;&gt;"",'(1)_Base_de_Datos'!Q24,""),"")</f>
        <v/>
      </c>
      <c r="M196" s="275" t="n"/>
      <c r="N196" s="276" t="n"/>
      <c r="O196" s="276" t="n"/>
      <c r="P196" s="277" t="n"/>
      <c r="Q196" s="278" t="n"/>
      <c r="R196" s="279">
        <f>IFERROR(IF('(1)_Base_de_Datos'!X24&lt;&gt;"",'(1)_Base_de_Datos'!X24,""),"")</f>
        <v/>
      </c>
      <c r="S196" s="279">
        <f>IFERROR(IF('(1)_Base_de_Datos'!Y24&lt;&gt;"",'(1)_Base_de_Datos'!Y24,""),"")</f>
        <v/>
      </c>
      <c r="T196" s="47" t="n"/>
      <c r="U196" s="46" t="n"/>
      <c r="V196" s="46" t="n"/>
      <c r="IC196" s="69" t="n"/>
    </row>
    <row r="197" hidden="1" ht="18.75" customHeight="1" s="150">
      <c r="A197" s="280" t="n"/>
      <c r="B197" s="304">
        <f>IFERROR(IF('(1)_Base_de_Datos'!M24&lt;&gt;"",'(1)_Base_de_Datos'!M24,""),"")</f>
        <v/>
      </c>
      <c r="C197" s="282" t="n"/>
      <c r="D197" s="282" t="n"/>
      <c r="E197" s="282" t="n"/>
      <c r="F197" s="283" t="n"/>
      <c r="G197" s="289" t="n"/>
      <c r="H197" s="155">
        <f>IFERROR(IF('(1)_Base_de_Datos'!N24&lt;&gt;"",'(1)_Base_de_Datos'!N24,""),"")</f>
        <v/>
      </c>
      <c r="I197" s="282" t="n"/>
      <c r="J197" s="282" t="n"/>
      <c r="K197" s="283" t="n"/>
      <c r="L197" s="289" t="n"/>
      <c r="M197" s="285" t="n"/>
      <c r="N197" s="286" t="n"/>
      <c r="O197" s="286" t="n"/>
      <c r="P197" s="287" t="n"/>
      <c r="Q197" s="288" t="n"/>
      <c r="R197" s="289" t="n"/>
      <c r="S197" s="289" t="n"/>
      <c r="T197" s="47" t="n"/>
      <c r="U197" s="48" t="n"/>
      <c r="V197" s="48" t="n"/>
      <c r="IC197" s="69" t="n"/>
    </row>
    <row r="198" hidden="1" ht="18.75" customHeight="1" s="150">
      <c r="A198" s="280" t="n"/>
      <c r="B198" s="284" t="n"/>
      <c r="C198" s="69" t="n"/>
      <c r="D198" s="69" t="n"/>
      <c r="E198" s="69" t="n"/>
      <c r="F198" s="290" t="n"/>
      <c r="G198" s="289" t="n"/>
      <c r="H198" s="291" t="n"/>
      <c r="I198" s="292" t="n"/>
      <c r="J198" s="292" t="n"/>
      <c r="K198" s="293" t="n"/>
      <c r="L198" s="289" t="n"/>
      <c r="M198" s="285" t="n"/>
      <c r="N198" s="286" t="n"/>
      <c r="O198" s="286" t="n"/>
      <c r="P198" s="287" t="n"/>
      <c r="Q198" s="288" t="n"/>
      <c r="R198" s="289" t="n"/>
      <c r="S198" s="289" t="n"/>
      <c r="T198" s="47" t="n"/>
      <c r="U198" s="48" t="n"/>
      <c r="V198" s="48" t="n"/>
      <c r="IC198" s="69" t="n"/>
    </row>
    <row r="199" hidden="1" ht="24" customHeight="1" s="150">
      <c r="A199" s="280" t="n"/>
      <c r="B199" s="284" t="n"/>
      <c r="C199" s="69" t="n"/>
      <c r="D199" s="69" t="n"/>
      <c r="E199" s="69" t="n"/>
      <c r="F199" s="290" t="n"/>
      <c r="G199" s="289" t="n"/>
      <c r="H199" s="156" t="inlineStr">
        <is>
          <t>FUNDAMENTO</t>
        </is>
      </c>
      <c r="I199" s="247" t="n"/>
      <c r="J199" s="247" t="n"/>
      <c r="K199" s="273" t="n"/>
      <c r="L199" s="289" t="n"/>
      <c r="M199" s="285" t="n"/>
      <c r="N199" s="286" t="n"/>
      <c r="O199" s="286" t="n"/>
      <c r="P199" s="287" t="n"/>
      <c r="Q199" s="288" t="n"/>
      <c r="R199" s="289" t="n"/>
      <c r="S199" s="289" t="n"/>
      <c r="T199" s="47" t="n"/>
      <c r="U199" s="48" t="n"/>
      <c r="V199" s="48" t="n"/>
      <c r="IC199" s="69" t="n"/>
    </row>
    <row r="200" hidden="1" ht="19.5" customHeight="1" s="150">
      <c r="A200" s="280" t="n"/>
      <c r="B200" s="284" t="n"/>
      <c r="C200" s="69" t="n"/>
      <c r="D200" s="69" t="n"/>
      <c r="E200" s="69" t="n"/>
      <c r="F200" s="290" t="n"/>
      <c r="G200" s="289" t="n"/>
      <c r="H200" s="155">
        <f>IFERROR(IF('(1)_Base_de_Datos'!O24&lt;&gt;"",'(1)_Base_de_Datos'!O24,""),"")</f>
        <v/>
      </c>
      <c r="I200" s="282" t="n"/>
      <c r="J200" s="282" t="n"/>
      <c r="K200" s="283" t="n"/>
      <c r="L200" s="289" t="n"/>
      <c r="M200" s="285" t="n"/>
      <c r="N200" s="286" t="n"/>
      <c r="O200" s="286" t="n"/>
      <c r="P200" s="287" t="n"/>
      <c r="Q200" s="288" t="n"/>
      <c r="R200" s="289" t="n"/>
      <c r="S200" s="289" t="n"/>
      <c r="T200" s="47" t="n"/>
      <c r="U200" s="48" t="n"/>
      <c r="V200" s="48" t="n"/>
      <c r="IC200" s="69" t="n"/>
    </row>
    <row r="201" hidden="1" ht="19.5" customHeight="1" s="150">
      <c r="A201" s="280" t="n"/>
      <c r="B201" s="284" t="n"/>
      <c r="C201" s="69" t="n"/>
      <c r="D201" s="69" t="n"/>
      <c r="E201" s="69" t="n"/>
      <c r="F201" s="290" t="n"/>
      <c r="G201" s="289" t="n"/>
      <c r="H201" s="291" t="n"/>
      <c r="I201" s="292" t="n"/>
      <c r="J201" s="292" t="n"/>
      <c r="K201" s="293" t="n"/>
      <c r="L201" s="289" t="n"/>
      <c r="M201" s="285" t="n"/>
      <c r="N201" s="286" t="n"/>
      <c r="O201" s="286" t="n"/>
      <c r="P201" s="287" t="n"/>
      <c r="Q201" s="288" t="n"/>
      <c r="R201" s="289" t="n"/>
      <c r="S201" s="289" t="n"/>
      <c r="T201" s="47" t="n"/>
      <c r="IC201" s="69" t="n"/>
    </row>
    <row r="202" hidden="1" ht="24" customHeight="1" s="150">
      <c r="A202" s="280" t="n"/>
      <c r="B202" s="284" t="n"/>
      <c r="C202" s="69" t="n"/>
      <c r="D202" s="69" t="n"/>
      <c r="E202" s="69" t="n"/>
      <c r="F202" s="290" t="n"/>
      <c r="G202" s="289" t="n"/>
      <c r="H202" s="156" t="inlineStr">
        <is>
          <t>CONTROL</t>
        </is>
      </c>
      <c r="I202" s="247" t="n"/>
      <c r="J202" s="247" t="n"/>
      <c r="K202" s="273" t="n"/>
      <c r="L202" s="289" t="n"/>
      <c r="M202" s="285" t="n"/>
      <c r="N202" s="286" t="n"/>
      <c r="O202" s="286" t="n"/>
      <c r="P202" s="287" t="n"/>
      <c r="Q202" s="288" t="n"/>
      <c r="R202" s="289" t="n"/>
      <c r="S202" s="289" t="n"/>
      <c r="T202" s="47" t="n"/>
      <c r="U202" s="48" t="n"/>
      <c r="V202" s="48" t="n"/>
      <c r="IC202" s="69" t="n"/>
    </row>
    <row r="203" hidden="1" ht="87.5" customHeight="1" s="150">
      <c r="A203" s="294" t="n"/>
      <c r="B203" s="291" t="n"/>
      <c r="C203" s="292" t="n"/>
      <c r="D203" s="292" t="n"/>
      <c r="E203" s="292" t="n"/>
      <c r="F203" s="293" t="n"/>
      <c r="G203" s="299" t="n"/>
      <c r="H203" s="155">
        <f>IFERROR(IF('(1)_Base_de_Datos'!P24&lt;&gt;"",'(1)_Base_de_Datos'!P24,""),"")</f>
        <v/>
      </c>
      <c r="I203" s="269" t="n"/>
      <c r="J203" s="269" t="n"/>
      <c r="K203" s="271" t="n"/>
      <c r="L203" s="299" t="n"/>
      <c r="M203" s="295" t="n"/>
      <c r="N203" s="296" t="n"/>
      <c r="O203" s="296" t="n"/>
      <c r="P203" s="297" t="n"/>
      <c r="Q203" s="298" t="n"/>
      <c r="R203" s="299" t="n"/>
      <c r="S203" s="299" t="n"/>
      <c r="T203" s="47" t="n"/>
      <c r="U203" s="48" t="n"/>
      <c r="V203" s="48" t="n"/>
      <c r="IC203" s="69" t="n"/>
    </row>
    <row r="204" hidden="1" ht="23" customHeight="1" s="150">
      <c r="A204" s="122" t="n"/>
      <c r="B204" s="205">
        <f>IF('(1)_Base_de_Datos'!$R$25&lt;&gt;"",'(1)_Base_de_Datos'!$R$25,"")</f>
        <v/>
      </c>
      <c r="C204" s="269" t="n"/>
      <c r="D204" s="269" t="n"/>
      <c r="E204" s="269" t="n"/>
      <c r="F204" s="269" t="n"/>
      <c r="G204" s="119" t="n"/>
      <c r="H204" s="205">
        <f>IF('(1)_Base_de_Datos'!$B$25="Recomendación",'(1)_Base_de_Datos'!$B$25,"")</f>
        <v/>
      </c>
      <c r="I204" s="269" t="n"/>
      <c r="J204" s="269" t="n"/>
      <c r="K204" s="269" t="n"/>
      <c r="L204" s="119" t="n"/>
      <c r="M204" s="119" t="n"/>
      <c r="N204" s="119" t="n"/>
      <c r="O204" s="119" t="n"/>
      <c r="P204" s="119" t="n"/>
      <c r="Q204" s="119" t="n"/>
      <c r="R204" s="119" t="n"/>
      <c r="S204" s="120" t="n"/>
      <c r="T204" s="69" t="n"/>
      <c r="U204" s="45" t="n"/>
      <c r="V204" s="46" t="n"/>
      <c r="IC204" s="69" t="n"/>
    </row>
    <row r="205" hidden="1" ht="27" customHeight="1" s="150">
      <c r="A205" s="270" t="n">
        <v>22</v>
      </c>
      <c r="B205" s="160">
        <f>IFERROR(IF('(1)_Base_de_Datos'!L25&lt;&gt;"",'(1)_Base_de_Datos'!L25,""),"")</f>
        <v/>
      </c>
      <c r="C205" s="269" t="n"/>
      <c r="D205" s="269" t="n"/>
      <c r="E205" s="269" t="n"/>
      <c r="F205" s="269" t="n"/>
      <c r="G205" s="302">
        <f>IFERROR(IF('(1)_Base_de_Datos'!C25&lt;&gt;"",'(1)_Base_de_Datos'!C25,""),"")</f>
        <v/>
      </c>
      <c r="H205" s="156" t="inlineStr">
        <is>
          <t>IMPLICACIÓN</t>
        </is>
      </c>
      <c r="I205" s="247" t="n"/>
      <c r="J205" s="247" t="n"/>
      <c r="K205" s="273" t="n"/>
      <c r="L205" s="279">
        <f>IFERROR(IF('(1)_Base_de_Datos'!Q25&lt;&gt;"",'(1)_Base_de_Datos'!Q25,""),"")</f>
        <v/>
      </c>
      <c r="M205" s="275" t="n"/>
      <c r="N205" s="276" t="n"/>
      <c r="O205" s="276" t="n"/>
      <c r="P205" s="277" t="n"/>
      <c r="Q205" s="278" t="n"/>
      <c r="R205" s="279">
        <f>IFERROR(IF('(1)_Base_de_Datos'!X25&lt;&gt;"",'(1)_Base_de_Datos'!X25,""),"")</f>
        <v/>
      </c>
      <c r="S205" s="279">
        <f>IFERROR(IF('(1)_Base_de_Datos'!Y25&lt;&gt;"",'(1)_Base_de_Datos'!Y25,""),"")</f>
        <v/>
      </c>
      <c r="T205" s="47" t="n"/>
      <c r="U205" s="46" t="n"/>
      <c r="V205" s="46" t="n"/>
      <c r="IC205" s="69" t="n"/>
    </row>
    <row r="206" hidden="1" ht="18.75" customHeight="1" s="150">
      <c r="A206" s="280" t="n"/>
      <c r="B206" s="304">
        <f>IFERROR(IF('(1)_Base_de_Datos'!M25&lt;&gt;"",'(1)_Base_de_Datos'!M25,""),"")</f>
        <v/>
      </c>
      <c r="C206" s="282" t="n"/>
      <c r="D206" s="282" t="n"/>
      <c r="E206" s="282" t="n"/>
      <c r="F206" s="283" t="n"/>
      <c r="G206" s="289" t="n"/>
      <c r="H206" s="155">
        <f>IFERROR(IF('(1)_Base_de_Datos'!N25&lt;&gt;"",'(1)_Base_de_Datos'!N25,""),"")</f>
        <v/>
      </c>
      <c r="I206" s="282" t="n"/>
      <c r="J206" s="282" t="n"/>
      <c r="K206" s="283" t="n"/>
      <c r="L206" s="289" t="n"/>
      <c r="M206" s="285" t="n"/>
      <c r="N206" s="286" t="n"/>
      <c r="O206" s="286" t="n"/>
      <c r="P206" s="287" t="n"/>
      <c r="Q206" s="288" t="n"/>
      <c r="R206" s="289" t="n"/>
      <c r="S206" s="289" t="n"/>
      <c r="T206" s="47" t="n"/>
      <c r="U206" s="48" t="n"/>
      <c r="V206" s="48" t="n"/>
      <c r="IC206" s="69" t="n"/>
    </row>
    <row r="207" hidden="1" ht="18.75" customHeight="1" s="150">
      <c r="A207" s="280" t="n"/>
      <c r="B207" s="284" t="n"/>
      <c r="C207" s="69" t="n"/>
      <c r="D207" s="69" t="n"/>
      <c r="E207" s="69" t="n"/>
      <c r="F207" s="290" t="n"/>
      <c r="G207" s="289" t="n"/>
      <c r="H207" s="291" t="n"/>
      <c r="I207" s="292" t="n"/>
      <c r="J207" s="292" t="n"/>
      <c r="K207" s="293" t="n"/>
      <c r="L207" s="289" t="n"/>
      <c r="M207" s="285" t="n"/>
      <c r="N207" s="286" t="n"/>
      <c r="O207" s="286" t="n"/>
      <c r="P207" s="287" t="n"/>
      <c r="Q207" s="288" t="n"/>
      <c r="R207" s="289" t="n"/>
      <c r="S207" s="289" t="n"/>
      <c r="T207" s="47" t="n"/>
      <c r="U207" s="48" t="n"/>
      <c r="V207" s="48" t="n"/>
      <c r="IC207" s="69" t="n"/>
    </row>
    <row r="208" hidden="1" ht="24" customHeight="1" s="150">
      <c r="A208" s="280" t="n"/>
      <c r="B208" s="284" t="n"/>
      <c r="C208" s="69" t="n"/>
      <c r="D208" s="69" t="n"/>
      <c r="E208" s="69" t="n"/>
      <c r="F208" s="290" t="n"/>
      <c r="G208" s="289" t="n"/>
      <c r="H208" s="156" t="inlineStr">
        <is>
          <t>FUNDAMENTO</t>
        </is>
      </c>
      <c r="I208" s="247" t="n"/>
      <c r="J208" s="247" t="n"/>
      <c r="K208" s="273" t="n"/>
      <c r="L208" s="289" t="n"/>
      <c r="M208" s="285" t="n"/>
      <c r="N208" s="286" t="n"/>
      <c r="O208" s="286" t="n"/>
      <c r="P208" s="287" t="n"/>
      <c r="Q208" s="288" t="n"/>
      <c r="R208" s="289" t="n"/>
      <c r="S208" s="289" t="n"/>
      <c r="T208" s="47" t="n"/>
      <c r="U208" s="48" t="n"/>
      <c r="V208" s="48" t="n"/>
      <c r="IC208" s="69" t="n"/>
    </row>
    <row r="209" hidden="1" ht="19.5" customHeight="1" s="150">
      <c r="A209" s="280" t="n"/>
      <c r="B209" s="284" t="n"/>
      <c r="C209" s="69" t="n"/>
      <c r="D209" s="69" t="n"/>
      <c r="E209" s="69" t="n"/>
      <c r="F209" s="290" t="n"/>
      <c r="G209" s="289" t="n"/>
      <c r="H209" s="155">
        <f>IFERROR(IF('(1)_Base_de_Datos'!O25&lt;&gt;"",'(1)_Base_de_Datos'!O25,""),"")</f>
        <v/>
      </c>
      <c r="I209" s="282" t="n"/>
      <c r="J209" s="282" t="n"/>
      <c r="K209" s="283" t="n"/>
      <c r="L209" s="289" t="n"/>
      <c r="M209" s="285" t="n"/>
      <c r="N209" s="286" t="n"/>
      <c r="O209" s="286" t="n"/>
      <c r="P209" s="287" t="n"/>
      <c r="Q209" s="288" t="n"/>
      <c r="R209" s="289" t="n"/>
      <c r="S209" s="289" t="n"/>
      <c r="T209" s="47" t="n"/>
      <c r="U209" s="48" t="n"/>
      <c r="V209" s="48" t="n"/>
      <c r="IC209" s="69" t="n"/>
    </row>
    <row r="210" hidden="1" ht="19.5" customHeight="1" s="150">
      <c r="A210" s="280" t="n"/>
      <c r="B210" s="284" t="n"/>
      <c r="C210" s="69" t="n"/>
      <c r="D210" s="69" t="n"/>
      <c r="E210" s="69" t="n"/>
      <c r="F210" s="290" t="n"/>
      <c r="G210" s="289" t="n"/>
      <c r="H210" s="291" t="n"/>
      <c r="I210" s="292" t="n"/>
      <c r="J210" s="292" t="n"/>
      <c r="K210" s="293" t="n"/>
      <c r="L210" s="289" t="n"/>
      <c r="M210" s="285" t="n"/>
      <c r="N210" s="286" t="n"/>
      <c r="O210" s="286" t="n"/>
      <c r="P210" s="287" t="n"/>
      <c r="Q210" s="288" t="n"/>
      <c r="R210" s="289" t="n"/>
      <c r="S210" s="289" t="n"/>
      <c r="T210" s="47" t="n"/>
      <c r="IC210" s="69" t="n"/>
    </row>
    <row r="211" hidden="1" ht="24" customHeight="1" s="150">
      <c r="A211" s="280" t="n"/>
      <c r="B211" s="284" t="n"/>
      <c r="C211" s="69" t="n"/>
      <c r="D211" s="69" t="n"/>
      <c r="E211" s="69" t="n"/>
      <c r="F211" s="290" t="n"/>
      <c r="G211" s="289" t="n"/>
      <c r="H211" s="156" t="inlineStr">
        <is>
          <t>CONTROL</t>
        </is>
      </c>
      <c r="I211" s="247" t="n"/>
      <c r="J211" s="247" t="n"/>
      <c r="K211" s="273" t="n"/>
      <c r="L211" s="289" t="n"/>
      <c r="M211" s="285" t="n"/>
      <c r="N211" s="286" t="n"/>
      <c r="O211" s="286" t="n"/>
      <c r="P211" s="287" t="n"/>
      <c r="Q211" s="288" t="n"/>
      <c r="R211" s="289" t="n"/>
      <c r="S211" s="289" t="n"/>
      <c r="T211" s="47" t="n"/>
      <c r="U211" s="48" t="n"/>
      <c r="V211" s="48" t="n"/>
      <c r="IC211" s="69" t="n"/>
    </row>
    <row r="212" hidden="1" ht="87.5" customHeight="1" s="150">
      <c r="A212" s="294" t="n"/>
      <c r="B212" s="291" t="n"/>
      <c r="C212" s="292" t="n"/>
      <c r="D212" s="292" t="n"/>
      <c r="E212" s="292" t="n"/>
      <c r="F212" s="293" t="n"/>
      <c r="G212" s="299" t="n"/>
      <c r="H212" s="155">
        <f>IFERROR(IF('(1)_Base_de_Datos'!P25&lt;&gt;"",'(1)_Base_de_Datos'!P25,""),"")</f>
        <v/>
      </c>
      <c r="I212" s="269" t="n"/>
      <c r="J212" s="269" t="n"/>
      <c r="K212" s="271" t="n"/>
      <c r="L212" s="299" t="n"/>
      <c r="M212" s="295" t="n"/>
      <c r="N212" s="296" t="n"/>
      <c r="O212" s="296" t="n"/>
      <c r="P212" s="297" t="n"/>
      <c r="Q212" s="298" t="n"/>
      <c r="R212" s="299" t="n"/>
      <c r="S212" s="299" t="n"/>
      <c r="T212" s="47" t="n"/>
      <c r="U212" s="48" t="n"/>
      <c r="V212" s="48" t="n"/>
      <c r="IC212" s="69" t="n"/>
    </row>
    <row r="213" hidden="1" ht="23" customHeight="1" s="150">
      <c r="A213" s="122" t="n"/>
      <c r="B213" s="205">
        <f>IF('(1)_Base_de_Datos'!$R$26&lt;&gt;"",'(1)_Base_de_Datos'!$R$26,"")</f>
        <v/>
      </c>
      <c r="C213" s="269" t="n"/>
      <c r="D213" s="269" t="n"/>
      <c r="E213" s="269" t="n"/>
      <c r="F213" s="269" t="n"/>
      <c r="G213" s="119" t="n"/>
      <c r="H213" s="205">
        <f>IF('(1)_Base_de_Datos'!$B$26="Recomendación",'(1)_Base_de_Datos'!$B$26,"")</f>
        <v/>
      </c>
      <c r="I213" s="269" t="n"/>
      <c r="J213" s="269" t="n"/>
      <c r="K213" s="269" t="n"/>
      <c r="L213" s="119" t="n"/>
      <c r="M213" s="119" t="n"/>
      <c r="N213" s="119" t="n"/>
      <c r="O213" s="119" t="n"/>
      <c r="P213" s="119" t="n"/>
      <c r="Q213" s="119" t="n"/>
      <c r="R213" s="119" t="n"/>
      <c r="S213" s="120" t="n"/>
      <c r="T213" s="69" t="n"/>
      <c r="U213" s="45" t="n"/>
      <c r="V213" s="46" t="n"/>
      <c r="IC213" s="69" t="n"/>
    </row>
    <row r="214" hidden="1" ht="27" customHeight="1" s="150">
      <c r="A214" s="270" t="n">
        <v>23</v>
      </c>
      <c r="B214" s="160">
        <f>IFERROR(IF('(1)_Base_de_Datos'!L26&lt;&gt;"",'(1)_Base_de_Datos'!L26,""),"")</f>
        <v/>
      </c>
      <c r="C214" s="269" t="n"/>
      <c r="D214" s="269" t="n"/>
      <c r="E214" s="269" t="n"/>
      <c r="F214" s="269" t="n"/>
      <c r="G214" s="302">
        <f>IFERROR(IF('(1)_Base_de_Datos'!C26&lt;&gt;"",'(1)_Base_de_Datos'!C26,""),"")</f>
        <v/>
      </c>
      <c r="H214" s="156" t="inlineStr">
        <is>
          <t>IMPLICACIÓN</t>
        </is>
      </c>
      <c r="I214" s="247" t="n"/>
      <c r="J214" s="247" t="n"/>
      <c r="K214" s="273" t="n"/>
      <c r="L214" s="279">
        <f>IFERROR(IF('(1)_Base_de_Datos'!Q26&lt;&gt;"",'(1)_Base_de_Datos'!Q26,""),"")</f>
        <v/>
      </c>
      <c r="M214" s="275" t="n"/>
      <c r="N214" s="276" t="n"/>
      <c r="O214" s="276" t="n"/>
      <c r="P214" s="277" t="n"/>
      <c r="Q214" s="278" t="n"/>
      <c r="R214" s="279">
        <f>IFERROR(IF('(1)_Base_de_Datos'!X26&lt;&gt;"",'(1)_Base_de_Datos'!X26,""),"")</f>
        <v/>
      </c>
      <c r="S214" s="279">
        <f>IFERROR(IF('(1)_Base_de_Datos'!Y26&lt;&gt;"",'(1)_Base_de_Datos'!Y26,""),"")</f>
        <v/>
      </c>
      <c r="T214" s="47" t="n"/>
      <c r="U214" s="46" t="n"/>
      <c r="V214" s="46" t="n"/>
      <c r="IC214" s="69" t="n"/>
    </row>
    <row r="215" hidden="1" ht="18.75" customHeight="1" s="150">
      <c r="A215" s="280" t="n"/>
      <c r="B215" s="304">
        <f>IFERROR(IF('(1)_Base_de_Datos'!M26&lt;&gt;"",'(1)_Base_de_Datos'!M26,""),"")</f>
        <v/>
      </c>
      <c r="C215" s="282" t="n"/>
      <c r="D215" s="282" t="n"/>
      <c r="E215" s="282" t="n"/>
      <c r="F215" s="283" t="n"/>
      <c r="G215" s="289" t="n"/>
      <c r="H215" s="155">
        <f>IFERROR(IF('(1)_Base_de_Datos'!N26&lt;&gt;"",'(1)_Base_de_Datos'!N26,""),"")</f>
        <v/>
      </c>
      <c r="I215" s="282" t="n"/>
      <c r="J215" s="282" t="n"/>
      <c r="K215" s="283" t="n"/>
      <c r="L215" s="289" t="n"/>
      <c r="M215" s="285" t="n"/>
      <c r="N215" s="286" t="n"/>
      <c r="O215" s="286" t="n"/>
      <c r="P215" s="287" t="n"/>
      <c r="Q215" s="288" t="n"/>
      <c r="R215" s="289" t="n"/>
      <c r="S215" s="289" t="n"/>
      <c r="T215" s="47" t="n"/>
      <c r="U215" s="48" t="n"/>
      <c r="V215" s="48" t="n"/>
      <c r="IC215" s="69" t="n"/>
    </row>
    <row r="216" hidden="1" ht="18.75" customHeight="1" s="150">
      <c r="A216" s="280" t="n"/>
      <c r="B216" s="284" t="n"/>
      <c r="C216" s="69" t="n"/>
      <c r="D216" s="69" t="n"/>
      <c r="E216" s="69" t="n"/>
      <c r="F216" s="290" t="n"/>
      <c r="G216" s="289" t="n"/>
      <c r="H216" s="291" t="n"/>
      <c r="I216" s="292" t="n"/>
      <c r="J216" s="292" t="n"/>
      <c r="K216" s="293" t="n"/>
      <c r="L216" s="289" t="n"/>
      <c r="M216" s="285" t="n"/>
      <c r="N216" s="286" t="n"/>
      <c r="O216" s="286" t="n"/>
      <c r="P216" s="287" t="n"/>
      <c r="Q216" s="288" t="n"/>
      <c r="R216" s="289" t="n"/>
      <c r="S216" s="289" t="n"/>
      <c r="T216" s="47" t="n"/>
      <c r="U216" s="48" t="n"/>
      <c r="V216" s="48" t="n"/>
      <c r="IC216" s="69" t="n"/>
    </row>
    <row r="217" hidden="1" ht="24" customHeight="1" s="150">
      <c r="A217" s="280" t="n"/>
      <c r="B217" s="284" t="n"/>
      <c r="C217" s="69" t="n"/>
      <c r="D217" s="69" t="n"/>
      <c r="E217" s="69" t="n"/>
      <c r="F217" s="290" t="n"/>
      <c r="G217" s="289" t="n"/>
      <c r="H217" s="156" t="inlineStr">
        <is>
          <t>FUNDAMENTO</t>
        </is>
      </c>
      <c r="I217" s="247" t="n"/>
      <c r="J217" s="247" t="n"/>
      <c r="K217" s="273" t="n"/>
      <c r="L217" s="289" t="n"/>
      <c r="M217" s="285" t="n"/>
      <c r="N217" s="286" t="n"/>
      <c r="O217" s="286" t="n"/>
      <c r="P217" s="287" t="n"/>
      <c r="Q217" s="288" t="n"/>
      <c r="R217" s="289" t="n"/>
      <c r="S217" s="289" t="n"/>
      <c r="T217" s="47" t="n"/>
      <c r="U217" s="48" t="n"/>
      <c r="V217" s="48" t="n"/>
      <c r="IC217" s="69" t="n"/>
    </row>
    <row r="218" hidden="1" ht="19.5" customHeight="1" s="150">
      <c r="A218" s="280" t="n"/>
      <c r="B218" s="284" t="n"/>
      <c r="C218" s="69" t="n"/>
      <c r="D218" s="69" t="n"/>
      <c r="E218" s="69" t="n"/>
      <c r="F218" s="290" t="n"/>
      <c r="G218" s="289" t="n"/>
      <c r="H218" s="155">
        <f>IFERROR(IF('(1)_Base_de_Datos'!O26&lt;&gt;"",'(1)_Base_de_Datos'!O26,""),"")</f>
        <v/>
      </c>
      <c r="I218" s="282" t="n"/>
      <c r="J218" s="282" t="n"/>
      <c r="K218" s="283" t="n"/>
      <c r="L218" s="289" t="n"/>
      <c r="M218" s="285" t="n"/>
      <c r="N218" s="286" t="n"/>
      <c r="O218" s="286" t="n"/>
      <c r="P218" s="287" t="n"/>
      <c r="Q218" s="288" t="n"/>
      <c r="R218" s="289" t="n"/>
      <c r="S218" s="289" t="n"/>
      <c r="T218" s="47" t="n"/>
      <c r="U218" s="48" t="n"/>
      <c r="V218" s="48" t="n"/>
      <c r="IC218" s="69" t="n"/>
    </row>
    <row r="219" hidden="1" ht="19.5" customHeight="1" s="150">
      <c r="A219" s="280" t="n"/>
      <c r="B219" s="284" t="n"/>
      <c r="C219" s="69" t="n"/>
      <c r="D219" s="69" t="n"/>
      <c r="E219" s="69" t="n"/>
      <c r="F219" s="290" t="n"/>
      <c r="G219" s="289" t="n"/>
      <c r="H219" s="291" t="n"/>
      <c r="I219" s="292" t="n"/>
      <c r="J219" s="292" t="n"/>
      <c r="K219" s="293" t="n"/>
      <c r="L219" s="289" t="n"/>
      <c r="M219" s="285" t="n"/>
      <c r="N219" s="286" t="n"/>
      <c r="O219" s="286" t="n"/>
      <c r="P219" s="287" t="n"/>
      <c r="Q219" s="288" t="n"/>
      <c r="R219" s="289" t="n"/>
      <c r="S219" s="289" t="n"/>
      <c r="T219" s="47" t="n"/>
      <c r="IC219" s="69" t="n"/>
    </row>
    <row r="220" hidden="1" ht="24" customHeight="1" s="150">
      <c r="A220" s="280" t="n"/>
      <c r="B220" s="284" t="n"/>
      <c r="C220" s="69" t="n"/>
      <c r="D220" s="69" t="n"/>
      <c r="E220" s="69" t="n"/>
      <c r="F220" s="290" t="n"/>
      <c r="G220" s="289" t="n"/>
      <c r="H220" s="156" t="inlineStr">
        <is>
          <t>CONTROL</t>
        </is>
      </c>
      <c r="I220" s="247" t="n"/>
      <c r="J220" s="247" t="n"/>
      <c r="K220" s="273" t="n"/>
      <c r="L220" s="289" t="n"/>
      <c r="M220" s="285" t="n"/>
      <c r="N220" s="286" t="n"/>
      <c r="O220" s="286" t="n"/>
      <c r="P220" s="287" t="n"/>
      <c r="Q220" s="288" t="n"/>
      <c r="R220" s="289" t="n"/>
      <c r="S220" s="289" t="n"/>
      <c r="T220" s="47" t="n"/>
      <c r="U220" s="48" t="n"/>
      <c r="V220" s="48" t="n"/>
      <c r="IC220" s="69" t="n"/>
    </row>
    <row r="221" hidden="1" ht="87.5" customHeight="1" s="150">
      <c r="A221" s="294" t="n"/>
      <c r="B221" s="291" t="n"/>
      <c r="C221" s="292" t="n"/>
      <c r="D221" s="292" t="n"/>
      <c r="E221" s="292" t="n"/>
      <c r="F221" s="293" t="n"/>
      <c r="G221" s="299" t="n"/>
      <c r="H221" s="155">
        <f>IFERROR(IF('(1)_Base_de_Datos'!P26&lt;&gt;"",'(1)_Base_de_Datos'!P26,""),"")</f>
        <v/>
      </c>
      <c r="I221" s="269" t="n"/>
      <c r="J221" s="269" t="n"/>
      <c r="K221" s="271" t="n"/>
      <c r="L221" s="299" t="n"/>
      <c r="M221" s="295" t="n"/>
      <c r="N221" s="296" t="n"/>
      <c r="O221" s="296" t="n"/>
      <c r="P221" s="297" t="n"/>
      <c r="Q221" s="298" t="n"/>
      <c r="R221" s="299" t="n"/>
      <c r="S221" s="299" t="n"/>
      <c r="T221" s="47" t="n"/>
      <c r="U221" s="48" t="n"/>
      <c r="V221" s="48" t="n"/>
      <c r="IC221" s="69" t="n"/>
    </row>
    <row r="222" hidden="1" ht="23" customHeight="1" s="150">
      <c r="A222" s="122" t="n"/>
      <c r="B222" s="205">
        <f>IF('(1)_Base_de_Datos'!$R$27&lt;&gt;"",'(1)_Base_de_Datos'!$R$27,"")</f>
        <v/>
      </c>
      <c r="C222" s="269" t="n"/>
      <c r="D222" s="269" t="n"/>
      <c r="E222" s="269" t="n"/>
      <c r="F222" s="269" t="n"/>
      <c r="G222" s="119" t="n"/>
      <c r="H222" s="205">
        <f>IF('(1)_Base_de_Datos'!$B$27="Recomendación",'(1)_Base_de_Datos'!$B$27,"")</f>
        <v/>
      </c>
      <c r="I222" s="269" t="n"/>
      <c r="J222" s="269" t="n"/>
      <c r="K222" s="269" t="n"/>
      <c r="L222" s="119" t="n"/>
      <c r="M222" s="119" t="n"/>
      <c r="N222" s="119" t="n"/>
      <c r="O222" s="119" t="n"/>
      <c r="P222" s="119" t="n"/>
      <c r="Q222" s="119" t="n"/>
      <c r="R222" s="119" t="n"/>
      <c r="S222" s="120" t="n"/>
      <c r="T222" s="69" t="n"/>
      <c r="U222" s="45" t="n"/>
      <c r="V222" s="46" t="n"/>
      <c r="IC222" s="69" t="n"/>
    </row>
    <row r="223" hidden="1" ht="27" customHeight="1" s="150">
      <c r="A223" s="270" t="n">
        <v>24</v>
      </c>
      <c r="B223" s="160">
        <f>IFERROR(IF('(1)_Base_de_Datos'!L27&lt;&gt;"",'(1)_Base_de_Datos'!L27,""),"")</f>
        <v/>
      </c>
      <c r="C223" s="269" t="n"/>
      <c r="D223" s="269" t="n"/>
      <c r="E223" s="269" t="n"/>
      <c r="F223" s="269" t="n"/>
      <c r="G223" s="302">
        <f>IFERROR(IF('(1)_Base_de_Datos'!C27&lt;&gt;"",'(1)_Base_de_Datos'!C27,""),"")</f>
        <v/>
      </c>
      <c r="H223" s="156" t="inlineStr">
        <is>
          <t>IMPLICACIÓN</t>
        </is>
      </c>
      <c r="I223" s="247" t="n"/>
      <c r="J223" s="247" t="n"/>
      <c r="K223" s="273" t="n"/>
      <c r="L223" s="279">
        <f>IFERROR(IF('(1)_Base_de_Datos'!Q27&lt;&gt;"",'(1)_Base_de_Datos'!Q27,""),"")</f>
        <v/>
      </c>
      <c r="M223" s="275" t="n"/>
      <c r="N223" s="276" t="n"/>
      <c r="O223" s="276" t="n"/>
      <c r="P223" s="277" t="n"/>
      <c r="Q223" s="278" t="n"/>
      <c r="R223" s="279">
        <f>IFERROR(IF('(1)_Base_de_Datos'!X27&lt;&gt;"",'(1)_Base_de_Datos'!X27,""),"")</f>
        <v/>
      </c>
      <c r="S223" s="279">
        <f>IFERROR(IF('(1)_Base_de_Datos'!Y27&lt;&gt;"",'(1)_Base_de_Datos'!Y27,""),"")</f>
        <v/>
      </c>
      <c r="T223" s="47" t="n"/>
      <c r="U223" s="46" t="n"/>
      <c r="V223" s="46" t="n"/>
      <c r="IC223" s="69" t="n"/>
    </row>
    <row r="224" hidden="1" ht="18.75" customHeight="1" s="150">
      <c r="A224" s="280" t="n"/>
      <c r="B224" s="304">
        <f>IFERROR(IF('(1)_Base_de_Datos'!M27&lt;&gt;"",'(1)_Base_de_Datos'!M27,""),"")</f>
        <v/>
      </c>
      <c r="C224" s="282" t="n"/>
      <c r="D224" s="282" t="n"/>
      <c r="E224" s="282" t="n"/>
      <c r="F224" s="283" t="n"/>
      <c r="G224" s="289" t="n"/>
      <c r="H224" s="155">
        <f>IFERROR(IF('(1)_Base_de_Datos'!N27&lt;&gt;"",'(1)_Base_de_Datos'!N27,""),"")</f>
        <v/>
      </c>
      <c r="I224" s="282" t="n"/>
      <c r="J224" s="282" t="n"/>
      <c r="K224" s="283" t="n"/>
      <c r="L224" s="289" t="n"/>
      <c r="M224" s="285" t="n"/>
      <c r="N224" s="286" t="n"/>
      <c r="O224" s="286" t="n"/>
      <c r="P224" s="287" t="n"/>
      <c r="Q224" s="288" t="n"/>
      <c r="R224" s="289" t="n"/>
      <c r="S224" s="289" t="n"/>
      <c r="T224" s="47" t="n"/>
      <c r="U224" s="48" t="n"/>
      <c r="V224" s="48" t="n"/>
      <c r="IC224" s="69" t="n"/>
    </row>
    <row r="225" hidden="1" ht="18.75" customHeight="1" s="150">
      <c r="A225" s="280" t="n"/>
      <c r="B225" s="284" t="n"/>
      <c r="C225" s="69" t="n"/>
      <c r="D225" s="69" t="n"/>
      <c r="E225" s="69" t="n"/>
      <c r="F225" s="290" t="n"/>
      <c r="G225" s="289" t="n"/>
      <c r="H225" s="291" t="n"/>
      <c r="I225" s="292" t="n"/>
      <c r="J225" s="292" t="n"/>
      <c r="K225" s="293" t="n"/>
      <c r="L225" s="289" t="n"/>
      <c r="M225" s="285" t="n"/>
      <c r="N225" s="286" t="n"/>
      <c r="O225" s="286" t="n"/>
      <c r="P225" s="287" t="n"/>
      <c r="Q225" s="288" t="n"/>
      <c r="R225" s="289" t="n"/>
      <c r="S225" s="289" t="n"/>
      <c r="T225" s="47" t="n"/>
      <c r="U225" s="48" t="n"/>
      <c r="V225" s="48" t="n"/>
      <c r="IC225" s="69" t="n"/>
    </row>
    <row r="226" hidden="1" ht="24" customHeight="1" s="150">
      <c r="A226" s="280" t="n"/>
      <c r="B226" s="284" t="n"/>
      <c r="C226" s="69" t="n"/>
      <c r="D226" s="69" t="n"/>
      <c r="E226" s="69" t="n"/>
      <c r="F226" s="290" t="n"/>
      <c r="G226" s="289" t="n"/>
      <c r="H226" s="156" t="inlineStr">
        <is>
          <t>FUNDAMENTO</t>
        </is>
      </c>
      <c r="I226" s="247" t="n"/>
      <c r="J226" s="247" t="n"/>
      <c r="K226" s="273" t="n"/>
      <c r="L226" s="289" t="n"/>
      <c r="M226" s="285" t="n"/>
      <c r="N226" s="286" t="n"/>
      <c r="O226" s="286" t="n"/>
      <c r="P226" s="287" t="n"/>
      <c r="Q226" s="288" t="n"/>
      <c r="R226" s="289" t="n"/>
      <c r="S226" s="289" t="n"/>
      <c r="T226" s="47" t="n"/>
      <c r="U226" s="48" t="n"/>
      <c r="V226" s="48" t="n"/>
      <c r="IC226" s="69" t="n"/>
    </row>
    <row r="227" hidden="1" ht="19.5" customHeight="1" s="150">
      <c r="A227" s="280" t="n"/>
      <c r="B227" s="284" t="n"/>
      <c r="C227" s="69" t="n"/>
      <c r="D227" s="69" t="n"/>
      <c r="E227" s="69" t="n"/>
      <c r="F227" s="290" t="n"/>
      <c r="G227" s="289" t="n"/>
      <c r="H227" s="155">
        <f>IFERROR(IF('(1)_Base_de_Datos'!O27&lt;&gt;"",'(1)_Base_de_Datos'!O27,""),"")</f>
        <v/>
      </c>
      <c r="I227" s="282" t="n"/>
      <c r="J227" s="282" t="n"/>
      <c r="K227" s="283" t="n"/>
      <c r="L227" s="289" t="n"/>
      <c r="M227" s="285" t="n"/>
      <c r="N227" s="286" t="n"/>
      <c r="O227" s="286" t="n"/>
      <c r="P227" s="287" t="n"/>
      <c r="Q227" s="288" t="n"/>
      <c r="R227" s="289" t="n"/>
      <c r="S227" s="289" t="n"/>
      <c r="T227" s="47" t="n"/>
      <c r="U227" s="48" t="n"/>
      <c r="V227" s="48" t="n"/>
      <c r="IC227" s="69" t="n"/>
    </row>
    <row r="228" hidden="1" ht="19.5" customHeight="1" s="150">
      <c r="A228" s="280" t="n"/>
      <c r="B228" s="284" t="n"/>
      <c r="C228" s="69" t="n"/>
      <c r="D228" s="69" t="n"/>
      <c r="E228" s="69" t="n"/>
      <c r="F228" s="290" t="n"/>
      <c r="G228" s="289" t="n"/>
      <c r="H228" s="291" t="n"/>
      <c r="I228" s="292" t="n"/>
      <c r="J228" s="292" t="n"/>
      <c r="K228" s="293" t="n"/>
      <c r="L228" s="289" t="n"/>
      <c r="M228" s="285" t="n"/>
      <c r="N228" s="286" t="n"/>
      <c r="O228" s="286" t="n"/>
      <c r="P228" s="287" t="n"/>
      <c r="Q228" s="288" t="n"/>
      <c r="R228" s="289" t="n"/>
      <c r="S228" s="289" t="n"/>
      <c r="T228" s="47" t="n"/>
      <c r="IC228" s="69" t="n"/>
    </row>
    <row r="229" hidden="1" ht="24" customHeight="1" s="150">
      <c r="A229" s="280" t="n"/>
      <c r="B229" s="284" t="n"/>
      <c r="C229" s="69" t="n"/>
      <c r="D229" s="69" t="n"/>
      <c r="E229" s="69" t="n"/>
      <c r="F229" s="290" t="n"/>
      <c r="G229" s="289" t="n"/>
      <c r="H229" s="156" t="inlineStr">
        <is>
          <t>CONTROL</t>
        </is>
      </c>
      <c r="I229" s="247" t="n"/>
      <c r="J229" s="247" t="n"/>
      <c r="K229" s="273" t="n"/>
      <c r="L229" s="289" t="n"/>
      <c r="M229" s="285" t="n"/>
      <c r="N229" s="286" t="n"/>
      <c r="O229" s="286" t="n"/>
      <c r="P229" s="287" t="n"/>
      <c r="Q229" s="288" t="n"/>
      <c r="R229" s="289" t="n"/>
      <c r="S229" s="289" t="n"/>
      <c r="T229" s="47" t="n"/>
      <c r="U229" s="48" t="n"/>
      <c r="V229" s="48" t="n"/>
      <c r="IC229" s="69" t="n"/>
    </row>
    <row r="230" hidden="1" ht="87.5" customHeight="1" s="150">
      <c r="A230" s="294" t="n"/>
      <c r="B230" s="291" t="n"/>
      <c r="C230" s="292" t="n"/>
      <c r="D230" s="292" t="n"/>
      <c r="E230" s="292" t="n"/>
      <c r="F230" s="293" t="n"/>
      <c r="G230" s="299" t="n"/>
      <c r="H230" s="155">
        <f>IFERROR(IF('(1)_Base_de_Datos'!P27&lt;&gt;"",'(1)_Base_de_Datos'!P27,""),"")</f>
        <v/>
      </c>
      <c r="I230" s="269" t="n"/>
      <c r="J230" s="269" t="n"/>
      <c r="K230" s="271" t="n"/>
      <c r="L230" s="299" t="n"/>
      <c r="M230" s="295" t="n"/>
      <c r="N230" s="296" t="n"/>
      <c r="O230" s="296" t="n"/>
      <c r="P230" s="297" t="n"/>
      <c r="Q230" s="298" t="n"/>
      <c r="R230" s="299" t="n"/>
      <c r="S230" s="299" t="n"/>
      <c r="T230" s="47" t="n"/>
      <c r="U230" s="48" t="n"/>
      <c r="V230" s="48" t="n"/>
      <c r="IC230" s="69" t="n"/>
    </row>
    <row r="231" hidden="1" ht="23" customHeight="1" s="150">
      <c r="A231" s="122" t="n"/>
      <c r="B231" s="205">
        <f>IF('(1)_Base_de_Datos'!$R$28&lt;&gt;"",'(1)_Base_de_Datos'!$R$28,"")</f>
        <v/>
      </c>
      <c r="C231" s="269" t="n"/>
      <c r="D231" s="269" t="n"/>
      <c r="E231" s="269" t="n"/>
      <c r="F231" s="269" t="n"/>
      <c r="G231" s="119" t="n"/>
      <c r="H231" s="205">
        <f>IF('(1)_Base_de_Datos'!$B$28="Recomendación",'(1)_Base_de_Datos'!$B$28,"")</f>
        <v/>
      </c>
      <c r="I231" s="269" t="n"/>
      <c r="J231" s="269" t="n"/>
      <c r="K231" s="269" t="n"/>
      <c r="L231" s="119" t="n"/>
      <c r="M231" s="119" t="n"/>
      <c r="N231" s="119" t="n"/>
      <c r="O231" s="119" t="n"/>
      <c r="P231" s="119" t="n"/>
      <c r="Q231" s="119" t="n"/>
      <c r="R231" s="119" t="n"/>
      <c r="S231" s="120" t="n"/>
      <c r="T231" s="69" t="n"/>
      <c r="U231" s="45" t="n"/>
      <c r="V231" s="46" t="n"/>
      <c r="IC231" s="69" t="n"/>
    </row>
    <row r="232" hidden="1" ht="27" customHeight="1" s="150">
      <c r="A232" s="270" t="n">
        <v>25</v>
      </c>
      <c r="B232" s="160">
        <f>IFERROR(IF('(1)_Base_de_Datos'!L28&lt;&gt;"",'(1)_Base_de_Datos'!L28,""),"")</f>
        <v/>
      </c>
      <c r="C232" s="269" t="n"/>
      <c r="D232" s="269" t="n"/>
      <c r="E232" s="269" t="n"/>
      <c r="F232" s="269" t="n"/>
      <c r="G232" s="302">
        <f>IFERROR(IF('(1)_Base_de_Datos'!C28&lt;&gt;"",'(1)_Base_de_Datos'!C28,""),"")</f>
        <v/>
      </c>
      <c r="H232" s="156" t="inlineStr">
        <is>
          <t>IMPLICACIÓN</t>
        </is>
      </c>
      <c r="I232" s="247" t="n"/>
      <c r="J232" s="247" t="n"/>
      <c r="K232" s="273" t="n"/>
      <c r="L232" s="279">
        <f>IFERROR(IF('(1)_Base_de_Datos'!Q28&lt;&gt;"",'(1)_Base_de_Datos'!Q28,""),"")</f>
        <v/>
      </c>
      <c r="M232" s="275" t="n"/>
      <c r="N232" s="276" t="n"/>
      <c r="O232" s="276" t="n"/>
      <c r="P232" s="277" t="n"/>
      <c r="Q232" s="278" t="n"/>
      <c r="R232" s="279">
        <f>IFERROR(IF('(1)_Base_de_Datos'!X28&lt;&gt;"",'(1)_Base_de_Datos'!X28,""),"")</f>
        <v/>
      </c>
      <c r="S232" s="279">
        <f>IFERROR(IF('(1)_Base_de_Datos'!Y28&lt;&gt;"",'(1)_Base_de_Datos'!Y28,""),"")</f>
        <v/>
      </c>
      <c r="T232" s="47" t="n"/>
      <c r="U232" s="46" t="n"/>
      <c r="V232" s="46" t="n"/>
      <c r="IC232" s="69" t="n"/>
    </row>
    <row r="233" hidden="1" ht="18.75" customHeight="1" s="150">
      <c r="A233" s="280" t="n"/>
      <c r="B233" s="304">
        <f>IFERROR(IF('(1)_Base_de_Datos'!M28&lt;&gt;"",'(1)_Base_de_Datos'!M28,""),"")</f>
        <v/>
      </c>
      <c r="C233" s="282" t="n"/>
      <c r="D233" s="282" t="n"/>
      <c r="E233" s="282" t="n"/>
      <c r="F233" s="283" t="n"/>
      <c r="G233" s="289" t="n"/>
      <c r="H233" s="155">
        <f>IFERROR(IF('(1)_Base_de_Datos'!N28&lt;&gt;"",'(1)_Base_de_Datos'!N28,""),"")</f>
        <v/>
      </c>
      <c r="I233" s="282" t="n"/>
      <c r="J233" s="282" t="n"/>
      <c r="K233" s="283" t="n"/>
      <c r="L233" s="289" t="n"/>
      <c r="M233" s="285" t="n"/>
      <c r="N233" s="286" t="n"/>
      <c r="O233" s="286" t="n"/>
      <c r="P233" s="287" t="n"/>
      <c r="Q233" s="288" t="n"/>
      <c r="R233" s="289" t="n"/>
      <c r="S233" s="289" t="n"/>
      <c r="T233" s="47" t="n"/>
      <c r="U233" s="48" t="n"/>
      <c r="V233" s="48" t="n"/>
      <c r="IC233" s="69" t="n"/>
    </row>
    <row r="234" hidden="1" ht="18.75" customHeight="1" s="150">
      <c r="A234" s="280" t="n"/>
      <c r="B234" s="284" t="n"/>
      <c r="C234" s="69" t="n"/>
      <c r="D234" s="69" t="n"/>
      <c r="E234" s="69" t="n"/>
      <c r="F234" s="290" t="n"/>
      <c r="G234" s="289" t="n"/>
      <c r="H234" s="291" t="n"/>
      <c r="I234" s="292" t="n"/>
      <c r="J234" s="292" t="n"/>
      <c r="K234" s="293" t="n"/>
      <c r="L234" s="289" t="n"/>
      <c r="M234" s="285" t="n"/>
      <c r="N234" s="286" t="n"/>
      <c r="O234" s="286" t="n"/>
      <c r="P234" s="287" t="n"/>
      <c r="Q234" s="288" t="n"/>
      <c r="R234" s="289" t="n"/>
      <c r="S234" s="289" t="n"/>
      <c r="T234" s="47" t="n"/>
      <c r="U234" s="48" t="n"/>
      <c r="V234" s="48" t="n"/>
      <c r="IC234" s="69" t="n"/>
    </row>
    <row r="235" hidden="1" ht="24" customHeight="1" s="150">
      <c r="A235" s="280" t="n"/>
      <c r="B235" s="284" t="n"/>
      <c r="C235" s="69" t="n"/>
      <c r="D235" s="69" t="n"/>
      <c r="E235" s="69" t="n"/>
      <c r="F235" s="290" t="n"/>
      <c r="G235" s="289" t="n"/>
      <c r="H235" s="156" t="inlineStr">
        <is>
          <t>FUNDAMENTO</t>
        </is>
      </c>
      <c r="I235" s="247" t="n"/>
      <c r="J235" s="247" t="n"/>
      <c r="K235" s="273" t="n"/>
      <c r="L235" s="289" t="n"/>
      <c r="M235" s="285" t="n"/>
      <c r="N235" s="286" t="n"/>
      <c r="O235" s="286" t="n"/>
      <c r="P235" s="287" t="n"/>
      <c r="Q235" s="288" t="n"/>
      <c r="R235" s="289" t="n"/>
      <c r="S235" s="289" t="n"/>
      <c r="T235" s="47" t="n"/>
      <c r="U235" s="48" t="n"/>
      <c r="V235" s="48" t="n"/>
      <c r="IC235" s="69" t="n"/>
    </row>
    <row r="236" hidden="1" ht="19.5" customHeight="1" s="150">
      <c r="A236" s="280" t="n"/>
      <c r="B236" s="284" t="n"/>
      <c r="C236" s="69" t="n"/>
      <c r="D236" s="69" t="n"/>
      <c r="E236" s="69" t="n"/>
      <c r="F236" s="290" t="n"/>
      <c r="G236" s="289" t="n"/>
      <c r="H236" s="155">
        <f>IFERROR(IF('(1)_Base_de_Datos'!O28&lt;&gt;"",'(1)_Base_de_Datos'!O28,""),"")</f>
        <v/>
      </c>
      <c r="I236" s="282" t="n"/>
      <c r="J236" s="282" t="n"/>
      <c r="K236" s="283" t="n"/>
      <c r="L236" s="289" t="n"/>
      <c r="M236" s="285" t="n"/>
      <c r="N236" s="286" t="n"/>
      <c r="O236" s="286" t="n"/>
      <c r="P236" s="287" t="n"/>
      <c r="Q236" s="288" t="n"/>
      <c r="R236" s="289" t="n"/>
      <c r="S236" s="289" t="n"/>
      <c r="T236" s="47" t="n"/>
      <c r="U236" s="48" t="n"/>
      <c r="V236" s="48" t="n"/>
      <c r="IC236" s="69" t="n"/>
    </row>
    <row r="237" hidden="1" ht="19.5" customHeight="1" s="150">
      <c r="A237" s="280" t="n"/>
      <c r="B237" s="284" t="n"/>
      <c r="C237" s="69" t="n"/>
      <c r="D237" s="69" t="n"/>
      <c r="E237" s="69" t="n"/>
      <c r="F237" s="290" t="n"/>
      <c r="G237" s="289" t="n"/>
      <c r="H237" s="291" t="n"/>
      <c r="I237" s="292" t="n"/>
      <c r="J237" s="292" t="n"/>
      <c r="K237" s="293" t="n"/>
      <c r="L237" s="289" t="n"/>
      <c r="M237" s="285" t="n"/>
      <c r="N237" s="286" t="n"/>
      <c r="O237" s="286" t="n"/>
      <c r="P237" s="287" t="n"/>
      <c r="Q237" s="288" t="n"/>
      <c r="R237" s="289" t="n"/>
      <c r="S237" s="289" t="n"/>
      <c r="T237" s="47" t="n"/>
      <c r="IC237" s="69" t="n"/>
    </row>
    <row r="238" hidden="1" ht="24" customHeight="1" s="150">
      <c r="A238" s="280" t="n"/>
      <c r="B238" s="284" t="n"/>
      <c r="C238" s="69" t="n"/>
      <c r="D238" s="69" t="n"/>
      <c r="E238" s="69" t="n"/>
      <c r="F238" s="290" t="n"/>
      <c r="G238" s="289" t="n"/>
      <c r="H238" s="156" t="inlineStr">
        <is>
          <t>CONTROL</t>
        </is>
      </c>
      <c r="I238" s="247" t="n"/>
      <c r="J238" s="247" t="n"/>
      <c r="K238" s="273" t="n"/>
      <c r="L238" s="289" t="n"/>
      <c r="M238" s="285" t="n"/>
      <c r="N238" s="286" t="n"/>
      <c r="O238" s="286" t="n"/>
      <c r="P238" s="287" t="n"/>
      <c r="Q238" s="288" t="n"/>
      <c r="R238" s="289" t="n"/>
      <c r="S238" s="289" t="n"/>
      <c r="T238" s="47" t="n"/>
      <c r="U238" s="48" t="n"/>
      <c r="V238" s="48" t="n"/>
      <c r="IC238" s="69" t="n"/>
    </row>
    <row r="239" hidden="1" ht="87.5" customHeight="1" s="150">
      <c r="A239" s="294" t="n"/>
      <c r="B239" s="291" t="n"/>
      <c r="C239" s="292" t="n"/>
      <c r="D239" s="292" t="n"/>
      <c r="E239" s="292" t="n"/>
      <c r="F239" s="293" t="n"/>
      <c r="G239" s="299" t="n"/>
      <c r="H239" s="155">
        <f>IFERROR(IF('(1)_Base_de_Datos'!P28&lt;&gt;"",'(1)_Base_de_Datos'!P28,""),"")</f>
        <v/>
      </c>
      <c r="I239" s="269" t="n"/>
      <c r="J239" s="269" t="n"/>
      <c r="K239" s="271" t="n"/>
      <c r="L239" s="299" t="n"/>
      <c r="M239" s="295" t="n"/>
      <c r="N239" s="296" t="n"/>
      <c r="O239" s="296" t="n"/>
      <c r="P239" s="297" t="n"/>
      <c r="Q239" s="298" t="n"/>
      <c r="R239" s="299" t="n"/>
      <c r="S239" s="299" t="n"/>
      <c r="T239" s="47" t="n"/>
      <c r="U239" s="48" t="n"/>
      <c r="V239" s="48" t="n"/>
      <c r="IC239" s="69" t="n"/>
    </row>
    <row r="240" hidden="1" ht="23" customHeight="1" s="150">
      <c r="A240" s="122" t="n"/>
      <c r="B240" s="205">
        <f>IF('(1)_Base_de_Datos'!$R$29&lt;&gt;"",'(1)_Base_de_Datos'!$R$29,"")</f>
        <v/>
      </c>
      <c r="C240" s="269" t="n"/>
      <c r="D240" s="269" t="n"/>
      <c r="E240" s="269" t="n"/>
      <c r="F240" s="269" t="n"/>
      <c r="G240" s="119" t="n"/>
      <c r="H240" s="205">
        <f>IF('(1)_Base_de_Datos'!$B$29="Recomendación",'(1)_Base_de_Datos'!$B$29,"")</f>
        <v/>
      </c>
      <c r="I240" s="269" t="n"/>
      <c r="J240" s="269" t="n"/>
      <c r="K240" s="269" t="n"/>
      <c r="L240" s="119" t="n"/>
      <c r="M240" s="119" t="n"/>
      <c r="N240" s="119" t="n"/>
      <c r="O240" s="119" t="n"/>
      <c r="P240" s="119" t="n"/>
      <c r="Q240" s="119" t="n"/>
      <c r="R240" s="119" t="n"/>
      <c r="S240" s="120" t="n"/>
      <c r="T240" s="69" t="n"/>
      <c r="U240" s="45" t="n"/>
      <c r="V240" s="46" t="n"/>
      <c r="IC240" s="69" t="n"/>
    </row>
    <row r="241" hidden="1" ht="27" customHeight="1" s="150">
      <c r="A241" s="270" t="n">
        <v>26</v>
      </c>
      <c r="B241" s="160">
        <f>IFERROR(IF('(1)_Base_de_Datos'!L29&lt;&gt;"",'(1)_Base_de_Datos'!L29,""),"")</f>
        <v/>
      </c>
      <c r="C241" s="269" t="n"/>
      <c r="D241" s="269" t="n"/>
      <c r="E241" s="269" t="n"/>
      <c r="F241" s="269" t="n"/>
      <c r="G241" s="302">
        <f>IFERROR(IF('(1)_Base_de_Datos'!C29&lt;&gt;"",'(1)_Base_de_Datos'!C29,""),"")</f>
        <v/>
      </c>
      <c r="H241" s="156" t="inlineStr">
        <is>
          <t>IMPLICACIÓN</t>
        </is>
      </c>
      <c r="I241" s="247" t="n"/>
      <c r="J241" s="247" t="n"/>
      <c r="K241" s="273" t="n"/>
      <c r="L241" s="279">
        <f>IFERROR(IF('(1)_Base_de_Datos'!Q29&lt;&gt;"",'(1)_Base_de_Datos'!Q29,""),"")</f>
        <v/>
      </c>
      <c r="M241" s="275" t="n"/>
      <c r="N241" s="276" t="n"/>
      <c r="O241" s="276" t="n"/>
      <c r="P241" s="277" t="n"/>
      <c r="Q241" s="278" t="n"/>
      <c r="R241" s="279">
        <f>IFERROR(IF('(1)_Base_de_Datos'!X29&lt;&gt;"",'(1)_Base_de_Datos'!X29,""),"")</f>
        <v/>
      </c>
      <c r="S241" s="279">
        <f>IFERROR(IF('(1)_Base_de_Datos'!Y29&lt;&gt;"",'(1)_Base_de_Datos'!Y29,""),"")</f>
        <v/>
      </c>
      <c r="T241" s="47" t="n"/>
      <c r="U241" s="46" t="n"/>
      <c r="V241" s="46" t="n"/>
      <c r="IC241" s="69" t="n"/>
    </row>
    <row r="242" hidden="1" ht="18.75" customHeight="1" s="150">
      <c r="A242" s="280" t="n"/>
      <c r="B242" s="304">
        <f>IFERROR(IF('(1)_Base_de_Datos'!M29&lt;&gt;"",'(1)_Base_de_Datos'!M29,""),"")</f>
        <v/>
      </c>
      <c r="C242" s="282" t="n"/>
      <c r="D242" s="282" t="n"/>
      <c r="E242" s="282" t="n"/>
      <c r="F242" s="283" t="n"/>
      <c r="G242" s="289" t="n"/>
      <c r="H242" s="155">
        <f>IFERROR(IF('(1)_Base_de_Datos'!N29&lt;&gt;"",'(1)_Base_de_Datos'!N29,""),"")</f>
        <v/>
      </c>
      <c r="I242" s="282" t="n"/>
      <c r="J242" s="282" t="n"/>
      <c r="K242" s="283" t="n"/>
      <c r="L242" s="289" t="n"/>
      <c r="M242" s="285" t="n"/>
      <c r="N242" s="286" t="n"/>
      <c r="O242" s="286" t="n"/>
      <c r="P242" s="287" t="n"/>
      <c r="Q242" s="288" t="n"/>
      <c r="R242" s="289" t="n"/>
      <c r="S242" s="289" t="n"/>
      <c r="T242" s="47" t="n"/>
      <c r="U242" s="48" t="n"/>
      <c r="V242" s="48" t="n"/>
      <c r="IC242" s="69" t="n"/>
    </row>
    <row r="243" hidden="1" ht="18.75" customHeight="1" s="150">
      <c r="A243" s="280" t="n"/>
      <c r="B243" s="284" t="n"/>
      <c r="C243" s="69" t="n"/>
      <c r="D243" s="69" t="n"/>
      <c r="E243" s="69" t="n"/>
      <c r="F243" s="290" t="n"/>
      <c r="G243" s="289" t="n"/>
      <c r="H243" s="291" t="n"/>
      <c r="I243" s="292" t="n"/>
      <c r="J243" s="292" t="n"/>
      <c r="K243" s="293" t="n"/>
      <c r="L243" s="289" t="n"/>
      <c r="M243" s="285" t="n"/>
      <c r="N243" s="286" t="n"/>
      <c r="O243" s="286" t="n"/>
      <c r="P243" s="287" t="n"/>
      <c r="Q243" s="288" t="n"/>
      <c r="R243" s="289" t="n"/>
      <c r="S243" s="289" t="n"/>
      <c r="T243" s="47" t="n"/>
      <c r="U243" s="48" t="n"/>
      <c r="V243" s="48" t="n"/>
      <c r="IC243" s="69" t="n"/>
    </row>
    <row r="244" hidden="1" ht="24" customHeight="1" s="150">
      <c r="A244" s="280" t="n"/>
      <c r="B244" s="284" t="n"/>
      <c r="C244" s="69" t="n"/>
      <c r="D244" s="69" t="n"/>
      <c r="E244" s="69" t="n"/>
      <c r="F244" s="290" t="n"/>
      <c r="G244" s="289" t="n"/>
      <c r="H244" s="156" t="inlineStr">
        <is>
          <t>FUNDAMENTO</t>
        </is>
      </c>
      <c r="I244" s="247" t="n"/>
      <c r="J244" s="247" t="n"/>
      <c r="K244" s="273" t="n"/>
      <c r="L244" s="289" t="n"/>
      <c r="M244" s="285" t="n"/>
      <c r="N244" s="286" t="n"/>
      <c r="O244" s="286" t="n"/>
      <c r="P244" s="287" t="n"/>
      <c r="Q244" s="288" t="n"/>
      <c r="R244" s="289" t="n"/>
      <c r="S244" s="289" t="n"/>
      <c r="T244" s="47" t="n"/>
      <c r="U244" s="48" t="n"/>
      <c r="V244" s="48" t="n"/>
      <c r="IC244" s="69" t="n"/>
    </row>
    <row r="245" hidden="1" ht="19.5" customHeight="1" s="150">
      <c r="A245" s="280" t="n"/>
      <c r="B245" s="284" t="n"/>
      <c r="C245" s="69" t="n"/>
      <c r="D245" s="69" t="n"/>
      <c r="E245" s="69" t="n"/>
      <c r="F245" s="290" t="n"/>
      <c r="G245" s="289" t="n"/>
      <c r="H245" s="155">
        <f>IFERROR(IF('(1)_Base_de_Datos'!O29&lt;&gt;"",'(1)_Base_de_Datos'!O29,""),"")</f>
        <v/>
      </c>
      <c r="I245" s="282" t="n"/>
      <c r="J245" s="282" t="n"/>
      <c r="K245" s="283" t="n"/>
      <c r="L245" s="289" t="n"/>
      <c r="M245" s="285" t="n"/>
      <c r="N245" s="286" t="n"/>
      <c r="O245" s="286" t="n"/>
      <c r="P245" s="287" t="n"/>
      <c r="Q245" s="288" t="n"/>
      <c r="R245" s="289" t="n"/>
      <c r="S245" s="289" t="n"/>
      <c r="T245" s="47" t="n"/>
      <c r="U245" s="48" t="n"/>
      <c r="V245" s="48" t="n"/>
      <c r="IC245" s="69" t="n"/>
    </row>
    <row r="246" hidden="1" ht="19.5" customHeight="1" s="150">
      <c r="A246" s="280" t="n"/>
      <c r="B246" s="284" t="n"/>
      <c r="C246" s="69" t="n"/>
      <c r="D246" s="69" t="n"/>
      <c r="E246" s="69" t="n"/>
      <c r="F246" s="290" t="n"/>
      <c r="G246" s="289" t="n"/>
      <c r="H246" s="291" t="n"/>
      <c r="I246" s="292" t="n"/>
      <c r="J246" s="292" t="n"/>
      <c r="K246" s="293" t="n"/>
      <c r="L246" s="289" t="n"/>
      <c r="M246" s="285" t="n"/>
      <c r="N246" s="286" t="n"/>
      <c r="O246" s="286" t="n"/>
      <c r="P246" s="287" t="n"/>
      <c r="Q246" s="288" t="n"/>
      <c r="R246" s="289" t="n"/>
      <c r="S246" s="289" t="n"/>
      <c r="T246" s="47" t="n"/>
      <c r="IC246" s="69" t="n"/>
    </row>
    <row r="247" hidden="1" ht="24" customHeight="1" s="150">
      <c r="A247" s="280" t="n"/>
      <c r="B247" s="284" t="n"/>
      <c r="C247" s="69" t="n"/>
      <c r="D247" s="69" t="n"/>
      <c r="E247" s="69" t="n"/>
      <c r="F247" s="290" t="n"/>
      <c r="G247" s="289" t="n"/>
      <c r="H247" s="156" t="inlineStr">
        <is>
          <t>CONTROL</t>
        </is>
      </c>
      <c r="I247" s="247" t="n"/>
      <c r="J247" s="247" t="n"/>
      <c r="K247" s="273" t="n"/>
      <c r="L247" s="289" t="n"/>
      <c r="M247" s="285" t="n"/>
      <c r="N247" s="286" t="n"/>
      <c r="O247" s="286" t="n"/>
      <c r="P247" s="287" t="n"/>
      <c r="Q247" s="288" t="n"/>
      <c r="R247" s="289" t="n"/>
      <c r="S247" s="289" t="n"/>
      <c r="T247" s="47" t="n"/>
      <c r="U247" s="48" t="n"/>
      <c r="V247" s="48" t="n"/>
      <c r="IC247" s="69" t="n"/>
    </row>
    <row r="248" hidden="1" ht="87.5" customHeight="1" s="150">
      <c r="A248" s="294" t="n"/>
      <c r="B248" s="291" t="n"/>
      <c r="C248" s="292" t="n"/>
      <c r="D248" s="292" t="n"/>
      <c r="E248" s="292" t="n"/>
      <c r="F248" s="293" t="n"/>
      <c r="G248" s="299" t="n"/>
      <c r="H248" s="155">
        <f>IFERROR(IF('(1)_Base_de_Datos'!P29&lt;&gt;"",'(1)_Base_de_Datos'!P29,""),"")</f>
        <v/>
      </c>
      <c r="I248" s="269" t="n"/>
      <c r="J248" s="269" t="n"/>
      <c r="K248" s="271" t="n"/>
      <c r="L248" s="299" t="n"/>
      <c r="M248" s="295" t="n"/>
      <c r="N248" s="296" t="n"/>
      <c r="O248" s="296" t="n"/>
      <c r="P248" s="297" t="n"/>
      <c r="Q248" s="298" t="n"/>
      <c r="R248" s="299" t="n"/>
      <c r="S248" s="299" t="n"/>
      <c r="T248" s="47" t="n"/>
      <c r="U248" s="48" t="n"/>
      <c r="V248" s="48" t="n"/>
      <c r="IC248" s="69" t="n"/>
    </row>
    <row r="249" hidden="1" ht="23" customHeight="1" s="150">
      <c r="A249" s="122" t="n"/>
      <c r="B249" s="205">
        <f>IF('(1)_Base_de_Datos'!$R$30&lt;&gt;"",'(1)_Base_de_Datos'!$R$30,"")</f>
        <v/>
      </c>
      <c r="C249" s="269" t="n"/>
      <c r="D249" s="269" t="n"/>
      <c r="E249" s="269" t="n"/>
      <c r="F249" s="269" t="n"/>
      <c r="G249" s="119" t="n"/>
      <c r="H249" s="205">
        <f>IF('(1)_Base_de_Datos'!$B$30="Recomendación",'(1)_Base_de_Datos'!$B$30,"")</f>
        <v/>
      </c>
      <c r="I249" s="269" t="n"/>
      <c r="J249" s="269" t="n"/>
      <c r="K249" s="269" t="n"/>
      <c r="L249" s="119" t="n"/>
      <c r="M249" s="119" t="n"/>
      <c r="N249" s="119" t="n"/>
      <c r="O249" s="119" t="n"/>
      <c r="P249" s="119" t="n"/>
      <c r="Q249" s="119" t="n"/>
      <c r="R249" s="119" t="n"/>
      <c r="S249" s="120" t="n"/>
      <c r="T249" s="69" t="n"/>
      <c r="U249" s="45" t="n"/>
      <c r="V249" s="46" t="n"/>
      <c r="IC249" s="69" t="n"/>
    </row>
    <row r="250" hidden="1" ht="27" customHeight="1" s="150">
      <c r="A250" s="270" t="n">
        <v>27</v>
      </c>
      <c r="B250" s="160">
        <f>IFERROR(IF('(1)_Base_de_Datos'!L30&lt;&gt;"",'(1)_Base_de_Datos'!L30,""),"")</f>
        <v/>
      </c>
      <c r="C250" s="269" t="n"/>
      <c r="D250" s="269" t="n"/>
      <c r="E250" s="269" t="n"/>
      <c r="F250" s="269" t="n"/>
      <c r="G250" s="302">
        <f>IFERROR(IF('(1)_Base_de_Datos'!C30&lt;&gt;"",'(1)_Base_de_Datos'!C124,""),"")</f>
        <v/>
      </c>
      <c r="H250" s="156" t="inlineStr">
        <is>
          <t>IMPLICACIÓN</t>
        </is>
      </c>
      <c r="I250" s="247" t="n"/>
      <c r="J250" s="247" t="n"/>
      <c r="K250" s="273" t="n"/>
      <c r="L250" s="279">
        <f>IFERROR(IF('(1)_Base_de_Datos'!Q30&lt;&gt;"",'(1)_Base_de_Datos'!Q30,""),"")</f>
        <v/>
      </c>
      <c r="M250" s="275" t="n"/>
      <c r="N250" s="276" t="n"/>
      <c r="O250" s="276" t="n"/>
      <c r="P250" s="277" t="n"/>
      <c r="Q250" s="278" t="n"/>
      <c r="R250" s="279">
        <f>IFERROR(IF('(1)_Base_de_Datos'!X30&lt;&gt;"",'(1)_Base_de_Datos'!X30,""),"")</f>
        <v/>
      </c>
      <c r="S250" s="279">
        <f>IFERROR(IF('(1)_Base_de_Datos'!Y30&lt;&gt;"",'(1)_Base_de_Datos'!Y30,""),"")</f>
        <v/>
      </c>
      <c r="T250" s="47" t="n"/>
      <c r="U250" s="46" t="n"/>
      <c r="V250" s="46" t="n"/>
      <c r="IC250" s="69" t="n"/>
    </row>
    <row r="251" hidden="1" ht="18.75" customHeight="1" s="150">
      <c r="A251" s="280" t="n"/>
      <c r="B251" s="304">
        <f>IFERROR(IF('(1)_Base_de_Datos'!M30&lt;&gt;"",'(1)_Base_de_Datos'!M30,""),"")</f>
        <v/>
      </c>
      <c r="C251" s="282" t="n"/>
      <c r="D251" s="282" t="n"/>
      <c r="E251" s="282" t="n"/>
      <c r="F251" s="283" t="n"/>
      <c r="G251" s="289" t="n"/>
      <c r="H251" s="155">
        <f>IFERROR(IF('(1)_Base_de_Datos'!N30&lt;&gt;"",'(1)_Base_de_Datos'!N30,""),"")</f>
        <v/>
      </c>
      <c r="I251" s="282" t="n"/>
      <c r="J251" s="282" t="n"/>
      <c r="K251" s="283" t="n"/>
      <c r="L251" s="289" t="n"/>
      <c r="M251" s="285" t="n"/>
      <c r="N251" s="286" t="n"/>
      <c r="O251" s="286" t="n"/>
      <c r="P251" s="287" t="n"/>
      <c r="Q251" s="288" t="n"/>
      <c r="R251" s="289" t="n"/>
      <c r="S251" s="289" t="n"/>
      <c r="T251" s="47" t="n"/>
      <c r="U251" s="48" t="n"/>
      <c r="V251" s="48" t="n"/>
      <c r="IC251" s="69" t="n"/>
    </row>
    <row r="252" hidden="1" ht="18.75" customHeight="1" s="150">
      <c r="A252" s="280" t="n"/>
      <c r="B252" s="284" t="n"/>
      <c r="C252" s="69" t="n"/>
      <c r="D252" s="69" t="n"/>
      <c r="E252" s="69" t="n"/>
      <c r="F252" s="290" t="n"/>
      <c r="G252" s="289" t="n"/>
      <c r="H252" s="291" t="n"/>
      <c r="I252" s="292" t="n"/>
      <c r="J252" s="292" t="n"/>
      <c r="K252" s="293" t="n"/>
      <c r="L252" s="289" t="n"/>
      <c r="M252" s="285" t="n"/>
      <c r="N252" s="286" t="n"/>
      <c r="O252" s="286" t="n"/>
      <c r="P252" s="287" t="n"/>
      <c r="Q252" s="288" t="n"/>
      <c r="R252" s="289" t="n"/>
      <c r="S252" s="289" t="n"/>
      <c r="T252" s="47" t="n"/>
      <c r="U252" s="48" t="n"/>
      <c r="V252" s="48" t="n"/>
      <c r="IC252" s="69" t="n"/>
    </row>
    <row r="253" hidden="1" ht="24" customHeight="1" s="150">
      <c r="A253" s="280" t="n"/>
      <c r="B253" s="284" t="n"/>
      <c r="C253" s="69" t="n"/>
      <c r="D253" s="69" t="n"/>
      <c r="E253" s="69" t="n"/>
      <c r="F253" s="290" t="n"/>
      <c r="G253" s="289" t="n"/>
      <c r="H253" s="156" t="inlineStr">
        <is>
          <t>FUNDAMENTO</t>
        </is>
      </c>
      <c r="I253" s="247" t="n"/>
      <c r="J253" s="247" t="n"/>
      <c r="K253" s="273" t="n"/>
      <c r="L253" s="289" t="n"/>
      <c r="M253" s="285" t="n"/>
      <c r="N253" s="286" t="n"/>
      <c r="O253" s="286" t="n"/>
      <c r="P253" s="287" t="n"/>
      <c r="Q253" s="288" t="n"/>
      <c r="R253" s="289" t="n"/>
      <c r="S253" s="289" t="n"/>
      <c r="T253" s="47" t="n"/>
      <c r="U253" s="48" t="n"/>
      <c r="V253" s="48" t="n"/>
      <c r="IC253" s="69" t="n"/>
    </row>
    <row r="254" hidden="1" ht="19.5" customHeight="1" s="150">
      <c r="A254" s="280" t="n"/>
      <c r="B254" s="284" t="n"/>
      <c r="C254" s="69" t="n"/>
      <c r="D254" s="69" t="n"/>
      <c r="E254" s="69" t="n"/>
      <c r="F254" s="290" t="n"/>
      <c r="G254" s="289" t="n"/>
      <c r="H254" s="155">
        <f>IFERROR(IF('(1)_Base_de_Datos'!O30&lt;&gt;"",'(1)_Base_de_Datos'!O30,""),"")</f>
        <v/>
      </c>
      <c r="I254" s="282" t="n"/>
      <c r="J254" s="282" t="n"/>
      <c r="K254" s="283" t="n"/>
      <c r="L254" s="289" t="n"/>
      <c r="M254" s="285" t="n"/>
      <c r="N254" s="286" t="n"/>
      <c r="O254" s="286" t="n"/>
      <c r="P254" s="287" t="n"/>
      <c r="Q254" s="288" t="n"/>
      <c r="R254" s="289" t="n"/>
      <c r="S254" s="289" t="n"/>
      <c r="T254" s="47" t="n"/>
      <c r="U254" s="48" t="n"/>
      <c r="V254" s="48" t="n"/>
      <c r="IC254" s="69" t="n"/>
    </row>
    <row r="255" hidden="1" ht="19.5" customHeight="1" s="150">
      <c r="A255" s="280" t="n"/>
      <c r="B255" s="284" t="n"/>
      <c r="C255" s="69" t="n"/>
      <c r="D255" s="69" t="n"/>
      <c r="E255" s="69" t="n"/>
      <c r="F255" s="290" t="n"/>
      <c r="G255" s="289" t="n"/>
      <c r="H255" s="291" t="n"/>
      <c r="I255" s="292" t="n"/>
      <c r="J255" s="292" t="n"/>
      <c r="K255" s="293" t="n"/>
      <c r="L255" s="289" t="n"/>
      <c r="M255" s="285" t="n"/>
      <c r="N255" s="286" t="n"/>
      <c r="O255" s="286" t="n"/>
      <c r="P255" s="287" t="n"/>
      <c r="Q255" s="288" t="n"/>
      <c r="R255" s="289" t="n"/>
      <c r="S255" s="289" t="n"/>
      <c r="T255" s="47" t="n"/>
      <c r="IC255" s="69" t="n"/>
    </row>
    <row r="256" hidden="1" ht="24" customHeight="1" s="150">
      <c r="A256" s="280" t="n"/>
      <c r="B256" s="284" t="n"/>
      <c r="C256" s="69" t="n"/>
      <c r="D256" s="69" t="n"/>
      <c r="E256" s="69" t="n"/>
      <c r="F256" s="290" t="n"/>
      <c r="G256" s="289" t="n"/>
      <c r="H256" s="156" t="inlineStr">
        <is>
          <t>CONTROL</t>
        </is>
      </c>
      <c r="I256" s="247" t="n"/>
      <c r="J256" s="247" t="n"/>
      <c r="K256" s="273" t="n"/>
      <c r="L256" s="289" t="n"/>
      <c r="M256" s="285" t="n"/>
      <c r="N256" s="286" t="n"/>
      <c r="O256" s="286" t="n"/>
      <c r="P256" s="287" t="n"/>
      <c r="Q256" s="288" t="n"/>
      <c r="R256" s="289" t="n"/>
      <c r="S256" s="289" t="n"/>
      <c r="T256" s="47" t="n"/>
      <c r="U256" s="48" t="n"/>
      <c r="V256" s="48" t="n"/>
      <c r="IC256" s="69" t="n"/>
    </row>
    <row r="257" hidden="1" ht="87.5" customHeight="1" s="150">
      <c r="A257" s="294" t="n"/>
      <c r="B257" s="291" t="n"/>
      <c r="C257" s="292" t="n"/>
      <c r="D257" s="292" t="n"/>
      <c r="E257" s="292" t="n"/>
      <c r="F257" s="293" t="n"/>
      <c r="G257" s="299" t="n"/>
      <c r="H257" s="155">
        <f>IFERROR(IF('(1)_Base_de_Datos'!P30&lt;&gt;"",'(1)_Base_de_Datos'!P30,""),"")</f>
        <v/>
      </c>
      <c r="I257" s="269" t="n"/>
      <c r="J257" s="269" t="n"/>
      <c r="K257" s="271" t="n"/>
      <c r="L257" s="299" t="n"/>
      <c r="M257" s="295" t="n"/>
      <c r="N257" s="296" t="n"/>
      <c r="O257" s="296" t="n"/>
      <c r="P257" s="297" t="n"/>
      <c r="Q257" s="298" t="n"/>
      <c r="R257" s="299" t="n"/>
      <c r="S257" s="299" t="n"/>
      <c r="T257" s="47" t="n"/>
      <c r="U257" s="48" t="n"/>
      <c r="V257" s="48" t="n"/>
      <c r="IC257" s="69" t="n"/>
    </row>
    <row r="258" hidden="1" ht="23" customHeight="1" s="150">
      <c r="A258" s="122" t="n"/>
      <c r="B258" s="205">
        <f>IF('(1)_Base_de_Datos'!$R$31&lt;&gt;"",'(1)_Base_de_Datos'!$R$31,"")</f>
        <v/>
      </c>
      <c r="C258" s="269" t="n"/>
      <c r="D258" s="269" t="n"/>
      <c r="E258" s="269" t="n"/>
      <c r="F258" s="269" t="n"/>
      <c r="G258" s="119" t="n"/>
      <c r="H258" s="205">
        <f>IF('(1)_Base_de_Datos'!$B$31="Recomendación",'(1)_Base_de_Datos'!$B$31,"")</f>
        <v/>
      </c>
      <c r="I258" s="269" t="n"/>
      <c r="J258" s="269" t="n"/>
      <c r="K258" s="269" t="n"/>
      <c r="L258" s="119" t="n"/>
      <c r="M258" s="119" t="n"/>
      <c r="N258" s="119" t="n"/>
      <c r="O258" s="119" t="n"/>
      <c r="P258" s="119" t="n"/>
      <c r="Q258" s="119" t="n"/>
      <c r="R258" s="119" t="n"/>
      <c r="S258" s="120" t="n"/>
      <c r="T258" s="69" t="n"/>
      <c r="U258" s="45" t="n"/>
      <c r="V258" s="46" t="n"/>
      <c r="IC258" s="69" t="n"/>
    </row>
    <row r="259" hidden="1" ht="27" customHeight="1" s="150">
      <c r="A259" s="270" t="n">
        <v>28</v>
      </c>
      <c r="B259" s="160">
        <f>IFERROR(IF('(1)_Base_de_Datos'!L31&lt;&gt;"",'(1)_Base_de_Datos'!L31,""),"")</f>
        <v/>
      </c>
      <c r="C259" s="269" t="n"/>
      <c r="D259" s="269" t="n"/>
      <c r="E259" s="269" t="n"/>
      <c r="F259" s="269" t="n"/>
      <c r="G259" s="302">
        <f>IFERROR(IF('(1)_Base_de_Datos'!C31&lt;&gt;"",'(1)_Base_de_Datos'!C31,""),"")</f>
        <v/>
      </c>
      <c r="H259" s="156" t="inlineStr">
        <is>
          <t>IMPLICACIÓN</t>
        </is>
      </c>
      <c r="I259" s="247" t="n"/>
      <c r="J259" s="247" t="n"/>
      <c r="K259" s="273" t="n"/>
      <c r="L259" s="279">
        <f>IFERROR(IF('(1)_Base_de_Datos'!Q31&lt;&gt;"",'(1)_Base_de_Datos'!Q31,""),"")</f>
        <v/>
      </c>
      <c r="M259" s="275" t="n"/>
      <c r="N259" s="276" t="n"/>
      <c r="O259" s="276" t="n"/>
      <c r="P259" s="277" t="n"/>
      <c r="Q259" s="278" t="n"/>
      <c r="R259" s="279">
        <f>IFERROR(IF('(1)_Base_de_Datos'!X31&lt;&gt;"",'(1)_Base_de_Datos'!X31,""),"")</f>
        <v/>
      </c>
      <c r="S259" s="279">
        <f>IFERROR(IF('(1)_Base_de_Datos'!Y31&lt;&gt;"",'(1)_Base_de_Datos'!Y31,""),"")</f>
        <v/>
      </c>
      <c r="T259" s="47" t="n"/>
      <c r="U259" s="46" t="n"/>
      <c r="V259" s="46" t="n"/>
      <c r="IC259" s="69" t="n"/>
    </row>
    <row r="260" hidden="1" ht="18.75" customHeight="1" s="150">
      <c r="A260" s="280" t="n"/>
      <c r="B260" s="304">
        <f>IFERROR(IF('(1)_Base_de_Datos'!M31&lt;&gt;"",'(1)_Base_de_Datos'!M31,""),"")</f>
        <v/>
      </c>
      <c r="C260" s="282" t="n"/>
      <c r="D260" s="282" t="n"/>
      <c r="E260" s="282" t="n"/>
      <c r="F260" s="283" t="n"/>
      <c r="G260" s="289" t="n"/>
      <c r="H260" s="155">
        <f>IFERROR(IF('(1)_Base_de_Datos'!N31&lt;&gt;"",'(1)_Base_de_Datos'!N31,""),"")</f>
        <v/>
      </c>
      <c r="I260" s="282" t="n"/>
      <c r="J260" s="282" t="n"/>
      <c r="K260" s="283" t="n"/>
      <c r="L260" s="289" t="n"/>
      <c r="M260" s="285" t="n"/>
      <c r="N260" s="286" t="n"/>
      <c r="O260" s="286" t="n"/>
      <c r="P260" s="287" t="n"/>
      <c r="Q260" s="288" t="n"/>
      <c r="R260" s="289" t="n"/>
      <c r="S260" s="289" t="n"/>
      <c r="T260" s="47" t="n"/>
      <c r="U260" s="48" t="n"/>
      <c r="V260" s="48" t="n"/>
      <c r="IC260" s="69" t="n"/>
    </row>
    <row r="261" hidden="1" ht="18.75" customHeight="1" s="150">
      <c r="A261" s="280" t="n"/>
      <c r="B261" s="284" t="n"/>
      <c r="C261" s="69" t="n"/>
      <c r="D261" s="69" t="n"/>
      <c r="E261" s="69" t="n"/>
      <c r="F261" s="290" t="n"/>
      <c r="G261" s="289" t="n"/>
      <c r="H261" s="291" t="n"/>
      <c r="I261" s="292" t="n"/>
      <c r="J261" s="292" t="n"/>
      <c r="K261" s="293" t="n"/>
      <c r="L261" s="289" t="n"/>
      <c r="M261" s="285" t="n"/>
      <c r="N261" s="286" t="n"/>
      <c r="O261" s="286" t="n"/>
      <c r="P261" s="287" t="n"/>
      <c r="Q261" s="288" t="n"/>
      <c r="R261" s="289" t="n"/>
      <c r="S261" s="289" t="n"/>
      <c r="T261" s="47" t="n"/>
      <c r="U261" s="48" t="n"/>
      <c r="V261" s="48" t="n"/>
      <c r="IC261" s="69" t="n"/>
    </row>
    <row r="262" hidden="1" ht="24" customHeight="1" s="150">
      <c r="A262" s="280" t="n"/>
      <c r="B262" s="284" t="n"/>
      <c r="C262" s="69" t="n"/>
      <c r="D262" s="69" t="n"/>
      <c r="E262" s="69" t="n"/>
      <c r="F262" s="290" t="n"/>
      <c r="G262" s="289" t="n"/>
      <c r="H262" s="156" t="inlineStr">
        <is>
          <t>FUNDAMENTO</t>
        </is>
      </c>
      <c r="I262" s="247" t="n"/>
      <c r="J262" s="247" t="n"/>
      <c r="K262" s="273" t="n"/>
      <c r="L262" s="289" t="n"/>
      <c r="M262" s="285" t="n"/>
      <c r="N262" s="286" t="n"/>
      <c r="O262" s="286" t="n"/>
      <c r="P262" s="287" t="n"/>
      <c r="Q262" s="288" t="n"/>
      <c r="R262" s="289" t="n"/>
      <c r="S262" s="289" t="n"/>
      <c r="T262" s="47" t="n"/>
      <c r="U262" s="48" t="n"/>
      <c r="V262" s="48" t="n"/>
      <c r="IC262" s="69" t="n"/>
    </row>
    <row r="263" hidden="1" ht="19.5" customHeight="1" s="150">
      <c r="A263" s="280" t="n"/>
      <c r="B263" s="284" t="n"/>
      <c r="C263" s="69" t="n"/>
      <c r="D263" s="69" t="n"/>
      <c r="E263" s="69" t="n"/>
      <c r="F263" s="290" t="n"/>
      <c r="G263" s="289" t="n"/>
      <c r="H263" s="155">
        <f>IFERROR(IF('(1)_Base_de_Datos'!O31&lt;&gt;"",'(1)_Base_de_Datos'!O31,""),"")</f>
        <v/>
      </c>
      <c r="I263" s="282" t="n"/>
      <c r="J263" s="282" t="n"/>
      <c r="K263" s="283" t="n"/>
      <c r="L263" s="289" t="n"/>
      <c r="M263" s="285" t="n"/>
      <c r="N263" s="286" t="n"/>
      <c r="O263" s="286" t="n"/>
      <c r="P263" s="287" t="n"/>
      <c r="Q263" s="288" t="n"/>
      <c r="R263" s="289" t="n"/>
      <c r="S263" s="289" t="n"/>
      <c r="T263" s="47" t="n"/>
      <c r="U263" s="48" t="n"/>
      <c r="V263" s="48" t="n"/>
      <c r="IC263" s="69" t="n"/>
    </row>
    <row r="264" hidden="1" ht="19.5" customHeight="1" s="150">
      <c r="A264" s="280" t="n"/>
      <c r="B264" s="284" t="n"/>
      <c r="C264" s="69" t="n"/>
      <c r="D264" s="69" t="n"/>
      <c r="E264" s="69" t="n"/>
      <c r="F264" s="290" t="n"/>
      <c r="G264" s="289" t="n"/>
      <c r="H264" s="291" t="n"/>
      <c r="I264" s="292" t="n"/>
      <c r="J264" s="292" t="n"/>
      <c r="K264" s="293" t="n"/>
      <c r="L264" s="289" t="n"/>
      <c r="M264" s="285" t="n"/>
      <c r="N264" s="286" t="n"/>
      <c r="O264" s="286" t="n"/>
      <c r="P264" s="287" t="n"/>
      <c r="Q264" s="288" t="n"/>
      <c r="R264" s="289" t="n"/>
      <c r="S264" s="289" t="n"/>
      <c r="T264" s="47" t="n"/>
      <c r="IC264" s="69" t="n"/>
    </row>
    <row r="265" hidden="1" ht="24" customHeight="1" s="150">
      <c r="A265" s="280" t="n"/>
      <c r="B265" s="284" t="n"/>
      <c r="C265" s="69" t="n"/>
      <c r="D265" s="69" t="n"/>
      <c r="E265" s="69" t="n"/>
      <c r="F265" s="290" t="n"/>
      <c r="G265" s="289" t="n"/>
      <c r="H265" s="156" t="inlineStr">
        <is>
          <t>CONTROL</t>
        </is>
      </c>
      <c r="I265" s="247" t="n"/>
      <c r="J265" s="247" t="n"/>
      <c r="K265" s="273" t="n"/>
      <c r="L265" s="289" t="n"/>
      <c r="M265" s="285" t="n"/>
      <c r="N265" s="286" t="n"/>
      <c r="O265" s="286" t="n"/>
      <c r="P265" s="287" t="n"/>
      <c r="Q265" s="288" t="n"/>
      <c r="R265" s="289" t="n"/>
      <c r="S265" s="289" t="n"/>
      <c r="T265" s="47" t="n"/>
      <c r="U265" s="48" t="n"/>
      <c r="V265" s="48" t="n"/>
      <c r="IC265" s="69" t="n"/>
    </row>
    <row r="266" hidden="1" ht="87.5" customHeight="1" s="150">
      <c r="A266" s="294" t="n"/>
      <c r="B266" s="291" t="n"/>
      <c r="C266" s="292" t="n"/>
      <c r="D266" s="292" t="n"/>
      <c r="E266" s="292" t="n"/>
      <c r="F266" s="293" t="n"/>
      <c r="G266" s="299" t="n"/>
      <c r="H266" s="155">
        <f>IFERROR(IF('(1)_Base_de_Datos'!P31&lt;&gt;"",'(1)_Base_de_Datos'!P31,""),"")</f>
        <v/>
      </c>
      <c r="I266" s="269" t="n"/>
      <c r="J266" s="269" t="n"/>
      <c r="K266" s="271" t="n"/>
      <c r="L266" s="299" t="n"/>
      <c r="M266" s="295" t="n"/>
      <c r="N266" s="296" t="n"/>
      <c r="O266" s="296" t="n"/>
      <c r="P266" s="297" t="n"/>
      <c r="Q266" s="298" t="n"/>
      <c r="R266" s="299" t="n"/>
      <c r="S266" s="299" t="n"/>
      <c r="T266" s="47" t="n"/>
      <c r="U266" s="48" t="n"/>
      <c r="V266" s="48" t="n"/>
      <c r="IC266" s="69" t="n"/>
    </row>
    <row r="267" hidden="1" ht="23" customHeight="1" s="150">
      <c r="A267" s="122" t="n"/>
      <c r="B267" s="205">
        <f>IF('(1)_Base_de_Datos'!$R$32&lt;&gt;"",'(1)_Base_de_Datos'!$R$32,"")</f>
        <v/>
      </c>
      <c r="C267" s="269" t="n"/>
      <c r="D267" s="269" t="n"/>
      <c r="E267" s="269" t="n"/>
      <c r="F267" s="269" t="n"/>
      <c r="G267" s="119" t="n"/>
      <c r="H267" s="205">
        <f>IF('(1)_Base_de_Datos'!$B$32="Recomendación",'(1)_Base_de_Datos'!$B$32,"")</f>
        <v/>
      </c>
      <c r="I267" s="269" t="n"/>
      <c r="J267" s="269" t="n"/>
      <c r="K267" s="269" t="n"/>
      <c r="L267" s="119" t="n"/>
      <c r="M267" s="119" t="n"/>
      <c r="N267" s="119" t="n"/>
      <c r="O267" s="119" t="n"/>
      <c r="P267" s="119" t="n"/>
      <c r="Q267" s="119" t="n"/>
      <c r="R267" s="119" t="n"/>
      <c r="S267" s="120" t="n"/>
      <c r="T267" s="69" t="n"/>
      <c r="U267" s="45" t="n"/>
      <c r="V267" s="46" t="n"/>
      <c r="IC267" s="69" t="n"/>
    </row>
    <row r="268" hidden="1" ht="27" customHeight="1" s="150">
      <c r="A268" s="270" t="n">
        <v>29</v>
      </c>
      <c r="B268" s="160">
        <f>IFERROR(IF('(1)_Base_de_Datos'!L32&lt;&gt;"",'(1)_Base_de_Datos'!L32,""),"")</f>
        <v/>
      </c>
      <c r="C268" s="269" t="n"/>
      <c r="D268" s="269" t="n"/>
      <c r="E268" s="269" t="n"/>
      <c r="F268" s="269" t="n"/>
      <c r="G268" s="302">
        <f>IFERROR(IF('(1)_Base_de_Datos'!C32&lt;&gt;"",'(1)_Base_de_Datos'!C32,""),"")</f>
        <v/>
      </c>
      <c r="H268" s="156" t="inlineStr">
        <is>
          <t>IMPLICACIÓN</t>
        </is>
      </c>
      <c r="I268" s="247" t="n"/>
      <c r="J268" s="247" t="n"/>
      <c r="K268" s="273" t="n"/>
      <c r="L268" s="279">
        <f>IFERROR(IF('(1)_Base_de_Datos'!Q32&lt;&gt;"",'(1)_Base_de_Datos'!Q32,""),"")</f>
        <v/>
      </c>
      <c r="M268" s="275" t="n"/>
      <c r="N268" s="276" t="n"/>
      <c r="O268" s="276" t="n"/>
      <c r="P268" s="277" t="n"/>
      <c r="Q268" s="278" t="n"/>
      <c r="R268" s="279">
        <f>IFERROR(IF('(1)_Base_de_Datos'!X32&lt;&gt;"",'(1)_Base_de_Datos'!X32,""),"")</f>
        <v/>
      </c>
      <c r="S268" s="279">
        <f>IFERROR(IF('(1)_Base_de_Datos'!Y32&lt;&gt;"",'(1)_Base_de_Datos'!Y32,""),"")</f>
        <v/>
      </c>
      <c r="T268" s="47" t="n"/>
      <c r="U268" s="46" t="n"/>
      <c r="V268" s="46" t="n"/>
      <c r="IC268" s="69" t="n"/>
    </row>
    <row r="269" hidden="1" ht="18.75" customHeight="1" s="150">
      <c r="A269" s="280" t="n"/>
      <c r="B269" s="304">
        <f>IFERROR(IF('(1)_Base_de_Datos'!M32&lt;&gt;"",'(1)_Base_de_Datos'!M32,""),"")</f>
        <v/>
      </c>
      <c r="C269" s="282" t="n"/>
      <c r="D269" s="282" t="n"/>
      <c r="E269" s="282" t="n"/>
      <c r="F269" s="283" t="n"/>
      <c r="G269" s="289" t="n"/>
      <c r="H269" s="155">
        <f>IFERROR(IF('(1)_Base_de_Datos'!N32&lt;&gt;"",'(1)_Base_de_Datos'!N32,""),"")</f>
        <v/>
      </c>
      <c r="I269" s="282" t="n"/>
      <c r="J269" s="282" t="n"/>
      <c r="K269" s="283" t="n"/>
      <c r="L269" s="289" t="n"/>
      <c r="M269" s="285" t="n"/>
      <c r="N269" s="286" t="n"/>
      <c r="O269" s="286" t="n"/>
      <c r="P269" s="287" t="n"/>
      <c r="Q269" s="288" t="n"/>
      <c r="R269" s="289" t="n"/>
      <c r="S269" s="289" t="n"/>
      <c r="T269" s="47" t="n"/>
      <c r="U269" s="48" t="n"/>
      <c r="V269" s="48" t="n"/>
      <c r="IC269" s="69" t="n"/>
    </row>
    <row r="270" hidden="1" ht="18.75" customHeight="1" s="150">
      <c r="A270" s="280" t="n"/>
      <c r="B270" s="284" t="n"/>
      <c r="C270" s="69" t="n"/>
      <c r="D270" s="69" t="n"/>
      <c r="E270" s="69" t="n"/>
      <c r="F270" s="290" t="n"/>
      <c r="G270" s="289" t="n"/>
      <c r="H270" s="291" t="n"/>
      <c r="I270" s="292" t="n"/>
      <c r="J270" s="292" t="n"/>
      <c r="K270" s="293" t="n"/>
      <c r="L270" s="289" t="n"/>
      <c r="M270" s="285" t="n"/>
      <c r="N270" s="286" t="n"/>
      <c r="O270" s="286" t="n"/>
      <c r="P270" s="287" t="n"/>
      <c r="Q270" s="288" t="n"/>
      <c r="R270" s="289" t="n"/>
      <c r="S270" s="289" t="n"/>
      <c r="T270" s="47" t="n"/>
      <c r="U270" s="48" t="n"/>
      <c r="V270" s="48" t="n"/>
      <c r="IC270" s="69" t="n"/>
    </row>
    <row r="271" hidden="1" ht="24" customHeight="1" s="150">
      <c r="A271" s="280" t="n"/>
      <c r="B271" s="284" t="n"/>
      <c r="C271" s="69" t="n"/>
      <c r="D271" s="69" t="n"/>
      <c r="E271" s="69" t="n"/>
      <c r="F271" s="290" t="n"/>
      <c r="G271" s="289" t="n"/>
      <c r="H271" s="156" t="inlineStr">
        <is>
          <t>FUNDAMENTO</t>
        </is>
      </c>
      <c r="I271" s="247" t="n"/>
      <c r="J271" s="247" t="n"/>
      <c r="K271" s="273" t="n"/>
      <c r="L271" s="289" t="n"/>
      <c r="M271" s="285" t="n"/>
      <c r="N271" s="286" t="n"/>
      <c r="O271" s="286" t="n"/>
      <c r="P271" s="287" t="n"/>
      <c r="Q271" s="288" t="n"/>
      <c r="R271" s="289" t="n"/>
      <c r="S271" s="289" t="n"/>
      <c r="T271" s="47" t="n"/>
      <c r="U271" s="48" t="n"/>
      <c r="V271" s="48" t="n"/>
      <c r="IC271" s="69" t="n"/>
    </row>
    <row r="272" hidden="1" ht="19.5" customHeight="1" s="150">
      <c r="A272" s="280" t="n"/>
      <c r="B272" s="284" t="n"/>
      <c r="C272" s="69" t="n"/>
      <c r="D272" s="69" t="n"/>
      <c r="E272" s="69" t="n"/>
      <c r="F272" s="290" t="n"/>
      <c r="G272" s="289" t="n"/>
      <c r="H272" s="155">
        <f>IFERROR(IF('(1)_Base_de_Datos'!O32&lt;&gt;"",'(1)_Base_de_Datos'!O32,""),"")</f>
        <v/>
      </c>
      <c r="I272" s="282" t="n"/>
      <c r="J272" s="282" t="n"/>
      <c r="K272" s="283" t="n"/>
      <c r="L272" s="289" t="n"/>
      <c r="M272" s="285" t="n"/>
      <c r="N272" s="286" t="n"/>
      <c r="O272" s="286" t="n"/>
      <c r="P272" s="287" t="n"/>
      <c r="Q272" s="288" t="n"/>
      <c r="R272" s="289" t="n"/>
      <c r="S272" s="289" t="n"/>
      <c r="T272" s="47" t="n"/>
      <c r="U272" s="48" t="n"/>
      <c r="V272" s="48" t="n"/>
      <c r="IC272" s="69" t="n"/>
    </row>
    <row r="273" hidden="1" ht="19.5" customHeight="1" s="150">
      <c r="A273" s="280" t="n"/>
      <c r="B273" s="284" t="n"/>
      <c r="C273" s="69" t="n"/>
      <c r="D273" s="69" t="n"/>
      <c r="E273" s="69" t="n"/>
      <c r="F273" s="290" t="n"/>
      <c r="G273" s="289" t="n"/>
      <c r="H273" s="291" t="n"/>
      <c r="I273" s="292" t="n"/>
      <c r="J273" s="292" t="n"/>
      <c r="K273" s="293" t="n"/>
      <c r="L273" s="289" t="n"/>
      <c r="M273" s="285" t="n"/>
      <c r="N273" s="286" t="n"/>
      <c r="O273" s="286" t="n"/>
      <c r="P273" s="287" t="n"/>
      <c r="Q273" s="288" t="n"/>
      <c r="R273" s="289" t="n"/>
      <c r="S273" s="289" t="n"/>
      <c r="T273" s="47" t="n"/>
      <c r="IC273" s="69" t="n"/>
    </row>
    <row r="274" hidden="1" ht="24" customHeight="1" s="150">
      <c r="A274" s="280" t="n"/>
      <c r="B274" s="284" t="n"/>
      <c r="C274" s="69" t="n"/>
      <c r="D274" s="69" t="n"/>
      <c r="E274" s="69" t="n"/>
      <c r="F274" s="290" t="n"/>
      <c r="G274" s="289" t="n"/>
      <c r="H274" s="156" t="inlineStr">
        <is>
          <t>CONTROL</t>
        </is>
      </c>
      <c r="I274" s="247" t="n"/>
      <c r="J274" s="247" t="n"/>
      <c r="K274" s="273" t="n"/>
      <c r="L274" s="289" t="n"/>
      <c r="M274" s="285" t="n"/>
      <c r="N274" s="286" t="n"/>
      <c r="O274" s="286" t="n"/>
      <c r="P274" s="287" t="n"/>
      <c r="Q274" s="288" t="n"/>
      <c r="R274" s="289" t="n"/>
      <c r="S274" s="289" t="n"/>
      <c r="T274" s="47" t="n"/>
      <c r="U274" s="48" t="n"/>
      <c r="V274" s="48" t="n"/>
      <c r="IC274" s="69" t="n"/>
    </row>
    <row r="275" hidden="1" ht="87.5" customHeight="1" s="150">
      <c r="A275" s="294" t="n"/>
      <c r="B275" s="291" t="n"/>
      <c r="C275" s="292" t="n"/>
      <c r="D275" s="292" t="n"/>
      <c r="E275" s="292" t="n"/>
      <c r="F275" s="293" t="n"/>
      <c r="G275" s="299" t="n"/>
      <c r="H275" s="155">
        <f>IFERROR(IF('(1)_Base_de_Datos'!P32&lt;&gt;"",'(1)_Base_de_Datos'!P32,""),"")</f>
        <v/>
      </c>
      <c r="I275" s="269" t="n"/>
      <c r="J275" s="269" t="n"/>
      <c r="K275" s="271" t="n"/>
      <c r="L275" s="299" t="n"/>
      <c r="M275" s="295" t="n"/>
      <c r="N275" s="296" t="n"/>
      <c r="O275" s="296" t="n"/>
      <c r="P275" s="297" t="n"/>
      <c r="Q275" s="298" t="n"/>
      <c r="R275" s="299" t="n"/>
      <c r="S275" s="299" t="n"/>
      <c r="T275" s="47" t="n"/>
      <c r="U275" s="48" t="n"/>
      <c r="V275" s="48" t="n"/>
      <c r="IC275" s="69" t="n"/>
    </row>
    <row r="276" hidden="1" ht="23" customHeight="1" s="150">
      <c r="A276" s="122" t="n"/>
      <c r="B276" s="205">
        <f>IF('(1)_Base_de_Datos'!$R$33&lt;&gt;"",'(1)_Base_de_Datos'!$R$33,"")</f>
        <v/>
      </c>
      <c r="C276" s="269" t="n"/>
      <c r="D276" s="269" t="n"/>
      <c r="E276" s="269" t="n"/>
      <c r="F276" s="269" t="n"/>
      <c r="G276" s="119" t="n"/>
      <c r="H276" s="205" t="n"/>
      <c r="I276" s="269" t="n"/>
      <c r="J276" s="269" t="n"/>
      <c r="K276" s="269" t="n"/>
      <c r="L276" s="119" t="n"/>
      <c r="M276" s="119" t="n"/>
      <c r="N276" s="119" t="n"/>
      <c r="O276" s="119" t="n"/>
      <c r="P276" s="119" t="n"/>
      <c r="Q276" s="119" t="n"/>
      <c r="R276" s="119" t="n"/>
      <c r="S276" s="120" t="n"/>
      <c r="T276" s="69" t="n"/>
      <c r="U276" s="45" t="n"/>
      <c r="V276" s="46" t="n"/>
      <c r="IC276" s="69" t="n"/>
    </row>
    <row r="277" hidden="1" ht="27" customHeight="1" s="150">
      <c r="A277" s="270" t="n">
        <v>30</v>
      </c>
      <c r="B277" s="160">
        <f>IFERROR(IF('(1)_Base_de_Datos'!L33&lt;&gt;"",'(1)_Base_de_Datos'!L33,""),"")</f>
        <v/>
      </c>
      <c r="C277" s="269" t="n"/>
      <c r="D277" s="269" t="n"/>
      <c r="E277" s="269" t="n"/>
      <c r="F277" s="269" t="n"/>
      <c r="G277" s="302">
        <f>IFERROR(IF('(1)_Base_de_Datos'!C33&lt;&gt;"",'(1)_Base_de_Datos'!C33,""),"")</f>
        <v/>
      </c>
      <c r="H277" s="156" t="inlineStr">
        <is>
          <t>IMPLICACIÓN</t>
        </is>
      </c>
      <c r="I277" s="247" t="n"/>
      <c r="J277" s="247" t="n"/>
      <c r="K277" s="273" t="n"/>
      <c r="L277" s="279">
        <f>IFERROR(IF('(1)_Base_de_Datos'!Q33&lt;&gt;"",'(1)_Base_de_Datos'!Q33,""),"")</f>
        <v/>
      </c>
      <c r="M277" s="275" t="n"/>
      <c r="N277" s="276" t="n"/>
      <c r="O277" s="276" t="n"/>
      <c r="P277" s="277" t="n"/>
      <c r="Q277" s="278" t="n"/>
      <c r="R277" s="279">
        <f>IFERROR(IF('(1)_Base_de_Datos'!X33&lt;&gt;"",'(1)_Base_de_Datos'!X33,""),"")</f>
        <v/>
      </c>
      <c r="S277" s="279">
        <f>IFERROR(IF('(1)_Base_de_Datos'!Y33&lt;&gt;"",'(1)_Base_de_Datos'!Y33,""),"")</f>
        <v/>
      </c>
      <c r="T277" s="47" t="n"/>
      <c r="U277" s="46" t="n"/>
      <c r="V277" s="46" t="n"/>
      <c r="IC277" s="69" t="n"/>
    </row>
    <row r="278" hidden="1" ht="18.75" customHeight="1" s="150">
      <c r="A278" s="280" t="n"/>
      <c r="B278" s="304">
        <f>IFERROR(IF('(1)_Base_de_Datos'!M33&lt;&gt;"",'(1)_Base_de_Datos'!M33,""),"")</f>
        <v/>
      </c>
      <c r="C278" s="282" t="n"/>
      <c r="D278" s="282" t="n"/>
      <c r="E278" s="282" t="n"/>
      <c r="F278" s="283" t="n"/>
      <c r="G278" s="289" t="n"/>
      <c r="H278" s="155">
        <f>IFERROR(IF('(1)_Base_de_Datos'!N33&lt;&gt;"",'(1)_Base_de_Datos'!N33,""),"")</f>
        <v/>
      </c>
      <c r="I278" s="282" t="n"/>
      <c r="J278" s="282" t="n"/>
      <c r="K278" s="283" t="n"/>
      <c r="L278" s="289" t="n"/>
      <c r="M278" s="285" t="n"/>
      <c r="N278" s="286" t="n"/>
      <c r="O278" s="286" t="n"/>
      <c r="P278" s="287" t="n"/>
      <c r="Q278" s="288" t="n"/>
      <c r="R278" s="289" t="n"/>
      <c r="S278" s="289" t="n"/>
      <c r="T278" s="47" t="n"/>
      <c r="U278" s="48" t="n"/>
      <c r="V278" s="48" t="n"/>
      <c r="IC278" s="69" t="n"/>
    </row>
    <row r="279" hidden="1" ht="18.75" customHeight="1" s="150">
      <c r="A279" s="280" t="n"/>
      <c r="B279" s="284" t="n"/>
      <c r="C279" s="69" t="n"/>
      <c r="D279" s="69" t="n"/>
      <c r="E279" s="69" t="n"/>
      <c r="F279" s="290" t="n"/>
      <c r="G279" s="289" t="n"/>
      <c r="H279" s="291" t="n"/>
      <c r="I279" s="292" t="n"/>
      <c r="J279" s="292" t="n"/>
      <c r="K279" s="293" t="n"/>
      <c r="L279" s="289" t="n"/>
      <c r="M279" s="285" t="n"/>
      <c r="N279" s="286" t="n"/>
      <c r="O279" s="286" t="n"/>
      <c r="P279" s="287" t="n"/>
      <c r="Q279" s="288" t="n"/>
      <c r="R279" s="289" t="n"/>
      <c r="S279" s="289" t="n"/>
      <c r="T279" s="47" t="n"/>
      <c r="U279" s="48" t="n"/>
      <c r="V279" s="48" t="n"/>
      <c r="IC279" s="69" t="n"/>
    </row>
    <row r="280" hidden="1" ht="24" customHeight="1" s="150">
      <c r="A280" s="280" t="n"/>
      <c r="B280" s="284" t="n"/>
      <c r="C280" s="69" t="n"/>
      <c r="D280" s="69" t="n"/>
      <c r="E280" s="69" t="n"/>
      <c r="F280" s="290" t="n"/>
      <c r="G280" s="289" t="n"/>
      <c r="H280" s="156" t="inlineStr">
        <is>
          <t>FUNDAMENTO</t>
        </is>
      </c>
      <c r="I280" s="247" t="n"/>
      <c r="J280" s="247" t="n"/>
      <c r="K280" s="273" t="n"/>
      <c r="L280" s="289" t="n"/>
      <c r="M280" s="285" t="n"/>
      <c r="N280" s="286" t="n"/>
      <c r="O280" s="286" t="n"/>
      <c r="P280" s="287" t="n"/>
      <c r="Q280" s="288" t="n"/>
      <c r="R280" s="289" t="n"/>
      <c r="S280" s="289" t="n"/>
      <c r="T280" s="47" t="n"/>
      <c r="U280" s="48" t="n"/>
      <c r="V280" s="48" t="n"/>
      <c r="IC280" s="69" t="n"/>
    </row>
    <row r="281" hidden="1" ht="19.5" customHeight="1" s="150">
      <c r="A281" s="280" t="n"/>
      <c r="B281" s="284" t="n"/>
      <c r="C281" s="69" t="n"/>
      <c r="D281" s="69" t="n"/>
      <c r="E281" s="69" t="n"/>
      <c r="F281" s="290" t="n"/>
      <c r="G281" s="289" t="n"/>
      <c r="H281" s="155">
        <f>IFERROR(IF('(1)_Base_de_Datos'!O33&lt;&gt;"",'(1)_Base_de_Datos'!O33,""),"")</f>
        <v/>
      </c>
      <c r="I281" s="282" t="n"/>
      <c r="J281" s="282" t="n"/>
      <c r="K281" s="283" t="n"/>
      <c r="L281" s="289" t="n"/>
      <c r="M281" s="285" t="n"/>
      <c r="N281" s="286" t="n"/>
      <c r="O281" s="286" t="n"/>
      <c r="P281" s="287" t="n"/>
      <c r="Q281" s="288" t="n"/>
      <c r="R281" s="289" t="n"/>
      <c r="S281" s="289" t="n"/>
      <c r="T281" s="47" t="n"/>
      <c r="U281" s="48" t="n"/>
      <c r="V281" s="48" t="n"/>
      <c r="IC281" s="69" t="n"/>
    </row>
    <row r="282" hidden="1" ht="19.5" customHeight="1" s="150">
      <c r="A282" s="280" t="n"/>
      <c r="B282" s="284" t="n"/>
      <c r="C282" s="69" t="n"/>
      <c r="D282" s="69" t="n"/>
      <c r="E282" s="69" t="n"/>
      <c r="F282" s="290" t="n"/>
      <c r="G282" s="289" t="n"/>
      <c r="H282" s="291" t="n"/>
      <c r="I282" s="292" t="n"/>
      <c r="J282" s="292" t="n"/>
      <c r="K282" s="293" t="n"/>
      <c r="L282" s="289" t="n"/>
      <c r="M282" s="285" t="n"/>
      <c r="N282" s="286" t="n"/>
      <c r="O282" s="286" t="n"/>
      <c r="P282" s="287" t="n"/>
      <c r="Q282" s="288" t="n"/>
      <c r="R282" s="289" t="n"/>
      <c r="S282" s="289" t="n"/>
      <c r="T282" s="47" t="n"/>
      <c r="IC282" s="69" t="n"/>
    </row>
    <row r="283" hidden="1" ht="24" customHeight="1" s="150">
      <c r="A283" s="280" t="n"/>
      <c r="B283" s="284" t="n"/>
      <c r="C283" s="69" t="n"/>
      <c r="D283" s="69" t="n"/>
      <c r="E283" s="69" t="n"/>
      <c r="F283" s="290" t="n"/>
      <c r="G283" s="289" t="n"/>
      <c r="H283" s="156" t="inlineStr">
        <is>
          <t>CONTROL</t>
        </is>
      </c>
      <c r="I283" s="247" t="n"/>
      <c r="J283" s="247" t="n"/>
      <c r="K283" s="273" t="n"/>
      <c r="L283" s="289" t="n"/>
      <c r="M283" s="285" t="n"/>
      <c r="N283" s="286" t="n"/>
      <c r="O283" s="286" t="n"/>
      <c r="P283" s="287" t="n"/>
      <c r="Q283" s="288" t="n"/>
      <c r="R283" s="289" t="n"/>
      <c r="S283" s="289" t="n"/>
      <c r="T283" s="47" t="n"/>
      <c r="U283" s="48" t="n"/>
      <c r="V283" s="48" t="n"/>
      <c r="IC283" s="69" t="n"/>
    </row>
    <row r="284" hidden="1" ht="87.5" customHeight="1" s="150">
      <c r="A284" s="294" t="n"/>
      <c r="B284" s="291" t="n"/>
      <c r="C284" s="292" t="n"/>
      <c r="D284" s="292" t="n"/>
      <c r="E284" s="292" t="n"/>
      <c r="F284" s="293" t="n"/>
      <c r="G284" s="299" t="n"/>
      <c r="H284" s="155">
        <f>IFERROR(IF('(1)_Base_de_Datos'!P33&lt;&gt;"",'(1)_Base_de_Datos'!P33,""),"")</f>
        <v/>
      </c>
      <c r="I284" s="269" t="n"/>
      <c r="J284" s="269" t="n"/>
      <c r="K284" s="271" t="n"/>
      <c r="L284" s="299" t="n"/>
      <c r="M284" s="295" t="n"/>
      <c r="N284" s="296" t="n"/>
      <c r="O284" s="296" t="n"/>
      <c r="P284" s="297" t="n"/>
      <c r="Q284" s="298" t="n"/>
      <c r="R284" s="299" t="n"/>
      <c r="S284" s="299" t="n"/>
      <c r="T284" s="47" t="n"/>
      <c r="U284" s="48" t="n"/>
      <c r="V284" s="48" t="n"/>
      <c r="IC284" s="69" t="n"/>
    </row>
    <row r="285" ht="15" customHeight="1" s="150">
      <c r="A285" s="49" t="n"/>
      <c r="B285" s="49" t="n"/>
      <c r="C285" s="49" t="n"/>
      <c r="D285" s="49" t="n"/>
      <c r="E285" s="49" t="n"/>
      <c r="F285" s="49" t="n"/>
      <c r="G285" s="49" t="n"/>
      <c r="H285" s="49" t="n"/>
      <c r="I285" s="49" t="n"/>
      <c r="J285" s="49" t="n"/>
      <c r="K285" s="49" t="n"/>
      <c r="L285" s="49" t="n"/>
      <c r="M285" s="49" t="n"/>
      <c r="N285" s="49" t="n"/>
      <c r="O285" s="49" t="n"/>
      <c r="P285" s="49" t="n"/>
      <c r="Q285" s="306" t="n"/>
      <c r="R285" s="306" t="n"/>
      <c r="S285" s="306" t="n"/>
      <c r="T285" s="47" t="n"/>
      <c r="IC285" s="69" t="n"/>
    </row>
    <row r="286" ht="21" customFormat="1" customHeight="1" s="74">
      <c r="A286" s="69" t="n"/>
      <c r="B286" s="67" t="n"/>
      <c r="C286" s="67" t="n"/>
      <c r="D286" s="67" t="n"/>
      <c r="E286" s="67" t="n"/>
      <c r="F286" s="67" t="n"/>
      <c r="G286" s="68" t="n"/>
      <c r="H286" s="68" t="n"/>
      <c r="I286" s="69" t="n"/>
      <c r="J286" s="68" t="n"/>
      <c r="K286" s="68" t="n"/>
      <c r="L286" s="67" t="n"/>
      <c r="M286" s="67" t="n"/>
      <c r="N286" s="67" t="n"/>
      <c r="O286" s="67" t="n"/>
      <c r="P286" s="69" t="n"/>
      <c r="Q286" s="67" t="n"/>
      <c r="R286" s="67" t="n"/>
      <c r="S286" s="67" t="n"/>
      <c r="Z286" s="74" t="n"/>
      <c r="AA286" s="74" t="n"/>
      <c r="AB286" s="74" t="n"/>
      <c r="AC286" s="74" t="n"/>
      <c r="ID286" s="69" t="n"/>
      <c r="IE286" s="69" t="n"/>
      <c r="IF286" s="69" t="n"/>
      <c r="IG286" s="69" t="n"/>
      <c r="IH286" s="69" t="n"/>
      <c r="II286" s="69" t="n"/>
      <c r="IJ286" s="69" t="n"/>
      <c r="IK286" s="69" t="n"/>
      <c r="IL286" s="69" t="n"/>
      <c r="IM286" s="69" t="n"/>
      <c r="IN286" s="69" t="n"/>
      <c r="IO286" s="69" t="n"/>
      <c r="IP286" s="69" t="n"/>
      <c r="IQ286" s="69" t="n"/>
      <c r="IR286" s="69" t="n"/>
      <c r="IS286" s="69" t="n"/>
      <c r="IT286" s="69" t="n"/>
      <c r="IU286" s="69" t="n"/>
      <c r="IV286" s="69" t="n"/>
    </row>
    <row r="287" ht="20.25" customFormat="1" customHeight="1" s="74">
      <c r="A287" s="69" t="n"/>
      <c r="B287" s="204" t="inlineStr">
        <is>
          <t>Director de Riesgos</t>
        </is>
      </c>
      <c r="C287" s="286" t="n"/>
      <c r="D287" s="286" t="n"/>
      <c r="E287" s="286" t="n"/>
      <c r="F287" s="286" t="n"/>
      <c r="G287" s="286" t="n"/>
      <c r="H287" s="69" t="n"/>
      <c r="I287" s="204" t="inlineStr">
        <is>
          <t>.</t>
        </is>
      </c>
      <c r="J287" s="286" t="n"/>
      <c r="K287" s="286" t="n"/>
      <c r="L287" s="286" t="n"/>
      <c r="M287" s="286" t="n"/>
      <c r="N287" s="52" t="n"/>
      <c r="O287" s="204" t="inlineStr">
        <is>
          <t xml:space="preserve">Auditor Sr. </t>
        </is>
      </c>
      <c r="P287" s="286" t="n"/>
      <c r="Q287" s="286" t="n"/>
      <c r="R287" s="286" t="n"/>
      <c r="S287" s="53" t="n"/>
      <c r="Z287" s="74" t="n"/>
      <c r="AA287" s="74" t="n"/>
      <c r="AB287" s="74" t="n"/>
      <c r="AC287" s="74" t="n"/>
      <c r="ID287" s="69" t="n"/>
      <c r="IE287" s="69" t="n"/>
      <c r="IF287" s="69" t="n"/>
      <c r="IG287" s="69" t="n"/>
      <c r="IH287" s="69" t="n"/>
      <c r="II287" s="69" t="n"/>
      <c r="IJ287" s="69" t="n"/>
      <c r="IK287" s="69" t="n"/>
      <c r="IL287" s="69" t="n"/>
      <c r="IM287" s="69" t="n"/>
      <c r="IN287" s="69" t="n"/>
      <c r="IO287" s="69" t="n"/>
      <c r="IP287" s="69" t="n"/>
      <c r="IQ287" s="69" t="n"/>
      <c r="IR287" s="69" t="n"/>
      <c r="IS287" s="69" t="n"/>
      <c r="IT287" s="69" t="n"/>
      <c r="IU287" s="69" t="n"/>
      <c r="IV287" s="69" t="n"/>
    </row>
    <row r="288" ht="20.15" customFormat="1" customHeight="1" s="74">
      <c r="A288" s="69" t="n"/>
      <c r="B288" s="55" t="n"/>
      <c r="C288" s="55" t="n"/>
      <c r="D288" s="55" t="n"/>
      <c r="E288" s="55" t="n"/>
      <c r="F288" s="55" t="n"/>
      <c r="G288" s="55" t="n"/>
      <c r="H288" s="70" t="n"/>
      <c r="I288" s="65" t="n"/>
      <c r="J288" s="55" t="n"/>
      <c r="K288" s="55" t="n"/>
      <c r="L288" s="55" t="n"/>
      <c r="M288" s="55" t="n"/>
      <c r="N288" s="58" t="n"/>
      <c r="O288" s="55" t="n"/>
      <c r="P288" s="65" t="n"/>
      <c r="Q288" s="55" t="n"/>
      <c r="R288" s="82" t="n"/>
      <c r="S288" s="77" t="n"/>
      <c r="Z288" s="74" t="n"/>
      <c r="AA288" s="74" t="n"/>
      <c r="AB288" s="74" t="n"/>
      <c r="AC288" s="74" t="n"/>
      <c r="ID288" s="69" t="n"/>
      <c r="IE288" s="69" t="n"/>
      <c r="IF288" s="69" t="n"/>
      <c r="IG288" s="69" t="n"/>
      <c r="IH288" s="69" t="n"/>
      <c r="II288" s="69" t="n"/>
      <c r="IJ288" s="69" t="n"/>
      <c r="IK288" s="69" t="n"/>
      <c r="IL288" s="69" t="n"/>
      <c r="IM288" s="69" t="n"/>
      <c r="IN288" s="69" t="n"/>
      <c r="IO288" s="69" t="n"/>
      <c r="IP288" s="69" t="n"/>
      <c r="IQ288" s="69" t="n"/>
      <c r="IR288" s="69" t="n"/>
      <c r="IS288" s="69" t="n"/>
      <c r="IT288" s="69" t="n"/>
      <c r="IU288" s="69" t="n"/>
      <c r="IV288" s="69" t="n"/>
    </row>
    <row r="289" ht="20.15" customFormat="1" customHeight="1" s="74">
      <c r="A289" s="69" t="n"/>
      <c r="B289" s="55" t="n"/>
      <c r="C289" s="55" t="n"/>
      <c r="D289" s="55" t="n"/>
      <c r="E289" s="55" t="n"/>
      <c r="F289" s="55" t="n"/>
      <c r="G289" s="55" t="n"/>
      <c r="H289" s="69" t="n"/>
      <c r="I289" s="61" t="n"/>
      <c r="J289" s="61" t="n"/>
      <c r="K289" s="61" t="n"/>
      <c r="L289" s="55" t="n"/>
      <c r="M289" s="62" t="n"/>
      <c r="N289" s="58" t="n"/>
      <c r="O289" s="55" t="n"/>
      <c r="P289" s="55" t="n"/>
      <c r="Q289" s="55" t="n"/>
      <c r="R289" s="65" t="n"/>
      <c r="S289" s="63" t="n"/>
      <c r="Z289" s="74" t="n"/>
      <c r="AA289" s="74" t="n"/>
      <c r="AB289" s="74" t="n"/>
      <c r="AC289" s="74" t="n"/>
      <c r="ID289" s="69" t="n"/>
      <c r="IE289" s="69" t="n"/>
      <c r="IF289" s="69" t="n"/>
      <c r="IG289" s="69" t="n"/>
      <c r="IH289" s="69" t="n"/>
      <c r="II289" s="69" t="n"/>
      <c r="IJ289" s="69" t="n"/>
      <c r="IK289" s="69" t="n"/>
      <c r="IL289" s="69" t="n"/>
      <c r="IM289" s="69" t="n"/>
      <c r="IN289" s="69" t="n"/>
      <c r="IO289" s="69" t="n"/>
      <c r="IP289" s="69" t="n"/>
      <c r="IQ289" s="69" t="n"/>
      <c r="IR289" s="69" t="n"/>
      <c r="IS289" s="69" t="n"/>
      <c r="IT289" s="69" t="n"/>
      <c r="IU289" s="69" t="n"/>
      <c r="IV289" s="69" t="n"/>
    </row>
    <row r="290" ht="20.25" customHeight="1" s="150" thickBot="1">
      <c r="A290" s="69" t="n"/>
      <c r="B290" s="203" t="inlineStr">
        <is>
          <t>Daniel Edmundo Zamudio Rosales</t>
        </is>
      </c>
      <c r="C290" s="286" t="n"/>
      <c r="D290" s="286" t="n"/>
      <c r="E290" s="286" t="n"/>
      <c r="F290" s="286" t="n"/>
      <c r="G290" s="286" t="n"/>
      <c r="H290" s="74" t="n"/>
      <c r="I290" s="203" t="n"/>
      <c r="J290" s="286" t="n"/>
      <c r="K290" s="286" t="n"/>
      <c r="L290" s="286" t="n"/>
      <c r="M290" s="286" t="n"/>
      <c r="N290" s="65" t="n"/>
      <c r="O290" s="203" t="inlineStr">
        <is>
          <t>Blanca Nelly Gutiérrez Garza</t>
        </is>
      </c>
      <c r="P290" s="286" t="n"/>
      <c r="Q290" s="286" t="n"/>
      <c r="R290" s="286" t="n"/>
      <c r="S290" s="65" t="n"/>
    </row>
    <row r="291" ht="21" customFormat="1" customHeight="1" s="74">
      <c r="A291" s="69" t="n"/>
      <c r="B291" s="67" t="n"/>
      <c r="C291" s="67" t="n"/>
      <c r="D291" s="67" t="n"/>
      <c r="E291" s="67" t="n"/>
      <c r="F291" s="67" t="n"/>
      <c r="G291" s="68" t="n"/>
      <c r="H291" s="68" t="n"/>
      <c r="I291" s="69" t="n"/>
      <c r="J291" s="68" t="n"/>
      <c r="K291" s="68" t="n"/>
      <c r="L291" s="67" t="n"/>
      <c r="M291" s="67" t="n"/>
      <c r="N291" s="67" t="n"/>
      <c r="O291" s="67" t="n"/>
      <c r="P291" s="69" t="n"/>
      <c r="Q291" s="67" t="n"/>
      <c r="R291" s="67" t="n"/>
      <c r="S291" s="67" t="n"/>
      <c r="U291" s="252" t="inlineStr">
        <is>
          <t>EN CASO DE NECESITAR MAS FIRMAS, MOSTRAR LAS CELDAS 243 A 252 QUE ESTÁN OCULTAS.</t>
        </is>
      </c>
      <c r="V291" s="254" t="n"/>
      <c r="Z291" s="74" t="n"/>
      <c r="AA291" s="74" t="n"/>
      <c r="AB291" s="74" t="n"/>
      <c r="AC291" s="74" t="n"/>
      <c r="ID291" s="69" t="n"/>
      <c r="IE291" s="69" t="n"/>
      <c r="IF291" s="69" t="n"/>
      <c r="IG291" s="69" t="n"/>
      <c r="IH291" s="69" t="n"/>
      <c r="II291" s="69" t="n"/>
      <c r="IJ291" s="69" t="n"/>
      <c r="IK291" s="69" t="n"/>
      <c r="IL291" s="69" t="n"/>
      <c r="IM291" s="69" t="n"/>
      <c r="IN291" s="69" t="n"/>
      <c r="IO291" s="69" t="n"/>
      <c r="IP291" s="69" t="n"/>
      <c r="IQ291" s="69" t="n"/>
      <c r="IR291" s="69" t="n"/>
      <c r="IS291" s="69" t="n"/>
      <c r="IT291" s="69" t="n"/>
      <c r="IU291" s="69" t="n"/>
      <c r="IV291" s="69" t="n"/>
    </row>
    <row r="292" hidden="1" ht="20.25" customFormat="1" customHeight="1" s="74">
      <c r="A292" s="69" t="n"/>
      <c r="B292" s="204" t="n"/>
      <c r="C292" s="286" t="n"/>
      <c r="D292" s="286" t="n"/>
      <c r="E292" s="286" t="n"/>
      <c r="F292" s="286" t="n"/>
      <c r="G292" s="286" t="n"/>
      <c r="H292" s="69" t="n"/>
      <c r="I292" s="204" t="n"/>
      <c r="J292" s="286" t="n"/>
      <c r="K292" s="286" t="n"/>
      <c r="L292" s="286" t="n"/>
      <c r="M292" s="286" t="n"/>
      <c r="N292" s="52" t="n"/>
      <c r="O292" s="204" t="n"/>
      <c r="P292" s="286" t="n"/>
      <c r="Q292" s="286" t="n"/>
      <c r="R292" s="286" t="n"/>
      <c r="S292" s="53" t="n"/>
      <c r="T292" s="54" t="n"/>
      <c r="U292" s="255" t="n"/>
      <c r="V292" s="256" t="n"/>
      <c r="Z292" s="74" t="n"/>
      <c r="AA292" s="74" t="n"/>
      <c r="AB292" s="74" t="n"/>
      <c r="AC292" s="74" t="n"/>
      <c r="ID292" s="69" t="n"/>
      <c r="IE292" s="69" t="n"/>
      <c r="IF292" s="69" t="n"/>
      <c r="IG292" s="69" t="n"/>
      <c r="IH292" s="69" t="n"/>
      <c r="II292" s="69" t="n"/>
      <c r="IJ292" s="69" t="n"/>
      <c r="IK292" s="69" t="n"/>
      <c r="IL292" s="69" t="n"/>
      <c r="IM292" s="69" t="n"/>
      <c r="IN292" s="69" t="n"/>
      <c r="IO292" s="69" t="n"/>
      <c r="IP292" s="69" t="n"/>
      <c r="IQ292" s="69" t="n"/>
      <c r="IR292" s="69" t="n"/>
      <c r="IS292" s="69" t="n"/>
      <c r="IT292" s="69" t="n"/>
      <c r="IU292" s="69" t="n"/>
      <c r="IV292" s="69" t="n"/>
    </row>
    <row r="293" hidden="1" ht="20.15" customFormat="1" customHeight="1" s="74" thickBot="1">
      <c r="A293" s="69" t="n"/>
      <c r="B293" s="55" t="n"/>
      <c r="C293" s="55" t="n"/>
      <c r="D293" s="55" t="n"/>
      <c r="E293" s="55" t="n"/>
      <c r="F293" s="55" t="n"/>
      <c r="G293" s="55" t="n"/>
      <c r="H293" s="70" t="n"/>
      <c r="I293" s="65" t="n"/>
      <c r="J293" s="55" t="n"/>
      <c r="K293" s="55" t="n"/>
      <c r="L293" s="55" t="n"/>
      <c r="M293" s="55" t="n"/>
      <c r="N293" s="58" t="n"/>
      <c r="O293" s="55" t="n"/>
      <c r="P293" s="65" t="n"/>
      <c r="Q293" s="55" t="n"/>
      <c r="R293" s="82" t="n"/>
      <c r="S293" s="77" t="n"/>
      <c r="T293" s="70" t="n"/>
      <c r="U293" s="257" t="n"/>
      <c r="V293" s="259" t="n"/>
      <c r="Z293" s="74" t="n"/>
      <c r="AA293" s="74" t="n"/>
      <c r="AB293" s="74" t="n"/>
      <c r="AC293" s="74" t="n"/>
      <c r="ID293" s="69" t="n"/>
      <c r="IE293" s="69" t="n"/>
      <c r="IF293" s="69" t="n"/>
      <c r="IG293" s="69" t="n"/>
      <c r="IH293" s="69" t="n"/>
      <c r="II293" s="69" t="n"/>
      <c r="IJ293" s="69" t="n"/>
      <c r="IK293" s="69" t="n"/>
      <c r="IL293" s="69" t="n"/>
      <c r="IM293" s="69" t="n"/>
      <c r="IN293" s="69" t="n"/>
      <c r="IO293" s="69" t="n"/>
      <c r="IP293" s="69" t="n"/>
      <c r="IQ293" s="69" t="n"/>
      <c r="IR293" s="69" t="n"/>
      <c r="IS293" s="69" t="n"/>
      <c r="IT293" s="69" t="n"/>
      <c r="IU293" s="69" t="n"/>
      <c r="IV293" s="69" t="n"/>
    </row>
    <row r="294" hidden="1" ht="20.15" customFormat="1" customHeight="1" s="74">
      <c r="A294" s="69" t="n"/>
      <c r="B294" s="55" t="n"/>
      <c r="C294" s="55" t="n"/>
      <c r="D294" s="55" t="n"/>
      <c r="E294" s="55" t="n"/>
      <c r="F294" s="55" t="n"/>
      <c r="G294" s="55" t="n"/>
      <c r="H294" s="69" t="n"/>
      <c r="I294" s="61" t="n"/>
      <c r="J294" s="61" t="n"/>
      <c r="K294" s="61" t="n"/>
      <c r="L294" s="55" t="n"/>
      <c r="M294" s="62" t="n"/>
      <c r="N294" s="58" t="n"/>
      <c r="O294" s="55" t="n"/>
      <c r="P294" s="55" t="n"/>
      <c r="Q294" s="55" t="n"/>
      <c r="R294" s="65" t="n"/>
      <c r="S294" s="63" t="n"/>
      <c r="T294" s="70" t="n"/>
      <c r="U294" s="72" t="n"/>
      <c r="V294" s="72" t="n"/>
      <c r="Z294" s="74" t="n"/>
      <c r="AA294" s="74" t="n"/>
      <c r="AB294" s="74" t="n"/>
      <c r="AC294" s="74" t="n"/>
      <c r="ID294" s="69" t="n"/>
      <c r="IE294" s="69" t="n"/>
      <c r="IF294" s="69" t="n"/>
      <c r="IG294" s="69" t="n"/>
      <c r="IH294" s="69" t="n"/>
      <c r="II294" s="69" t="n"/>
      <c r="IJ294" s="69" t="n"/>
      <c r="IK294" s="69" t="n"/>
      <c r="IL294" s="69" t="n"/>
      <c r="IM294" s="69" t="n"/>
      <c r="IN294" s="69" t="n"/>
      <c r="IO294" s="69" t="n"/>
      <c r="IP294" s="69" t="n"/>
      <c r="IQ294" s="69" t="n"/>
      <c r="IR294" s="69" t="n"/>
      <c r="IS294" s="69" t="n"/>
      <c r="IT294" s="69" t="n"/>
      <c r="IU294" s="69" t="n"/>
      <c r="IV294" s="69" t="n"/>
    </row>
    <row r="295" hidden="1" ht="20.25" customHeight="1" s="150">
      <c r="A295" s="69" t="n"/>
      <c r="B295" s="203" t="inlineStr">
        <is>
          <t>NOMBRE DEL AUDITADO</t>
        </is>
      </c>
      <c r="C295" s="286" t="n"/>
      <c r="D295" s="286" t="n"/>
      <c r="E295" s="286" t="n"/>
      <c r="F295" s="286" t="n"/>
      <c r="G295" s="286" t="n"/>
      <c r="H295" s="74" t="n"/>
      <c r="I295" s="203" t="inlineStr">
        <is>
          <t>NOMBRE DEL AUDITADO</t>
        </is>
      </c>
      <c r="J295" s="286" t="n"/>
      <c r="K295" s="286" t="n"/>
      <c r="L295" s="286" t="n"/>
      <c r="M295" s="286" t="n"/>
      <c r="N295" s="65" t="n"/>
      <c r="O295" s="203" t="inlineStr">
        <is>
          <t>NOMBRE DEL AUDITADO</t>
        </is>
      </c>
      <c r="P295" s="286" t="n"/>
      <c r="Q295" s="286" t="n"/>
      <c r="R295" s="286" t="n"/>
      <c r="S295" s="65" t="n"/>
    </row>
    <row r="296" hidden="1" ht="21" customFormat="1" customHeight="1" s="74">
      <c r="A296" s="69" t="n"/>
      <c r="B296" s="67" t="n"/>
      <c r="C296" s="67" t="n"/>
      <c r="D296" s="67" t="n"/>
      <c r="E296" s="67" t="n"/>
      <c r="F296" s="67" t="n"/>
      <c r="G296" s="68" t="n"/>
      <c r="H296" s="68" t="n"/>
      <c r="I296" s="69" t="n"/>
      <c r="J296" s="68" t="n"/>
      <c r="K296" s="68" t="n"/>
      <c r="L296" s="67" t="n"/>
      <c r="M296" s="67" t="n"/>
      <c r="N296" s="67" t="n"/>
      <c r="O296" s="67" t="n"/>
      <c r="P296" s="69" t="n"/>
      <c r="Q296" s="67" t="n"/>
      <c r="R296" s="67" t="n"/>
      <c r="S296" s="67" t="n"/>
      <c r="U296" s="72" t="n"/>
      <c r="V296" s="72" t="n"/>
      <c r="Z296" s="74" t="n"/>
      <c r="AA296" s="74" t="n"/>
      <c r="AB296" s="74" t="n"/>
      <c r="AC296" s="74" t="n"/>
      <c r="ID296" s="69" t="n"/>
      <c r="IE296" s="69" t="n"/>
      <c r="IF296" s="69" t="n"/>
      <c r="IG296" s="69" t="n"/>
      <c r="IH296" s="69" t="n"/>
      <c r="II296" s="69" t="n"/>
      <c r="IJ296" s="69" t="n"/>
      <c r="IK296" s="69" t="n"/>
      <c r="IL296" s="69" t="n"/>
      <c r="IM296" s="69" t="n"/>
      <c r="IN296" s="69" t="n"/>
      <c r="IO296" s="69" t="n"/>
      <c r="IP296" s="69" t="n"/>
      <c r="IQ296" s="69" t="n"/>
      <c r="IR296" s="69" t="n"/>
      <c r="IS296" s="69" t="n"/>
      <c r="IT296" s="69" t="n"/>
      <c r="IU296" s="69" t="n"/>
      <c r="IV296" s="69" t="n"/>
    </row>
    <row r="297" hidden="1" ht="20.25" customFormat="1" customHeight="1" s="74">
      <c r="A297" s="69" t="n"/>
      <c r="B297" s="204" t="n"/>
      <c r="C297" s="286" t="n"/>
      <c r="D297" s="286" t="n"/>
      <c r="E297" s="286" t="n"/>
      <c r="F297" s="286" t="n"/>
      <c r="G297" s="286" t="n"/>
      <c r="H297" s="69" t="n"/>
      <c r="I297" s="204" t="n"/>
      <c r="J297" s="286" t="n"/>
      <c r="K297" s="286" t="n"/>
      <c r="L297" s="286" t="n"/>
      <c r="M297" s="286" t="n"/>
      <c r="N297" s="52" t="n"/>
      <c r="O297" s="204" t="n"/>
      <c r="P297" s="286" t="n"/>
      <c r="Q297" s="286" t="n"/>
      <c r="R297" s="286" t="n"/>
      <c r="S297" s="53" t="n"/>
      <c r="T297" s="54" t="n"/>
      <c r="U297" s="73" t="n"/>
      <c r="V297" s="73" t="n"/>
      <c r="Z297" s="74" t="n"/>
      <c r="AA297" s="74" t="n"/>
      <c r="AB297" s="74" t="n"/>
      <c r="AC297" s="74" t="n"/>
      <c r="ID297" s="69" t="n"/>
      <c r="IE297" s="69" t="n"/>
      <c r="IF297" s="69" t="n"/>
      <c r="IG297" s="69" t="n"/>
      <c r="IH297" s="69" t="n"/>
      <c r="II297" s="69" t="n"/>
      <c r="IJ297" s="69" t="n"/>
      <c r="IK297" s="69" t="n"/>
      <c r="IL297" s="69" t="n"/>
      <c r="IM297" s="69" t="n"/>
      <c r="IN297" s="69" t="n"/>
      <c r="IO297" s="69" t="n"/>
      <c r="IP297" s="69" t="n"/>
      <c r="IQ297" s="69" t="n"/>
      <c r="IR297" s="69" t="n"/>
      <c r="IS297" s="69" t="n"/>
      <c r="IT297" s="69" t="n"/>
      <c r="IU297" s="69" t="n"/>
      <c r="IV297" s="69" t="n"/>
    </row>
    <row r="298" hidden="1" ht="20.15" customFormat="1" customHeight="1" s="74">
      <c r="A298" s="69" t="n"/>
      <c r="B298" s="55" t="n"/>
      <c r="C298" s="55" t="n"/>
      <c r="D298" s="55" t="n"/>
      <c r="E298" s="55" t="n"/>
      <c r="F298" s="55" t="n"/>
      <c r="G298" s="55" t="n"/>
      <c r="H298" s="70" t="n"/>
      <c r="I298" s="65" t="n"/>
      <c r="J298" s="55" t="n"/>
      <c r="K298" s="55" t="n"/>
      <c r="L298" s="55" t="n"/>
      <c r="M298" s="55" t="n"/>
      <c r="N298" s="58" t="n"/>
      <c r="O298" s="55" t="n"/>
      <c r="P298" s="65" t="n"/>
      <c r="Q298" s="55" t="n"/>
      <c r="R298" s="82" t="n"/>
      <c r="S298" s="77" t="n"/>
      <c r="T298" s="70" t="n"/>
      <c r="U298" s="72" t="n"/>
      <c r="V298" s="72" t="n"/>
      <c r="Z298" s="74" t="n"/>
      <c r="AA298" s="74" t="n"/>
      <c r="AB298" s="74" t="n"/>
      <c r="AC298" s="74" t="n"/>
      <c r="ID298" s="69" t="n"/>
      <c r="IE298" s="69" t="n"/>
      <c r="IF298" s="69" t="n"/>
      <c r="IG298" s="69" t="n"/>
      <c r="IH298" s="69" t="n"/>
      <c r="II298" s="69" t="n"/>
      <c r="IJ298" s="69" t="n"/>
      <c r="IK298" s="69" t="n"/>
      <c r="IL298" s="69" t="n"/>
      <c r="IM298" s="69" t="n"/>
      <c r="IN298" s="69" t="n"/>
      <c r="IO298" s="69" t="n"/>
      <c r="IP298" s="69" t="n"/>
      <c r="IQ298" s="69" t="n"/>
      <c r="IR298" s="69" t="n"/>
      <c r="IS298" s="69" t="n"/>
      <c r="IT298" s="69" t="n"/>
      <c r="IU298" s="69" t="n"/>
      <c r="IV298" s="69" t="n"/>
    </row>
    <row r="299" hidden="1" ht="20.15" customFormat="1" customHeight="1" s="74">
      <c r="A299" s="69" t="n"/>
      <c r="B299" s="55" t="n"/>
      <c r="C299" s="55" t="n"/>
      <c r="D299" s="55" t="n"/>
      <c r="E299" s="55" t="n"/>
      <c r="F299" s="55" t="n"/>
      <c r="G299" s="55" t="n"/>
      <c r="H299" s="69" t="n"/>
      <c r="I299" s="61" t="n"/>
      <c r="J299" s="61" t="n"/>
      <c r="K299" s="61" t="n"/>
      <c r="L299" s="55" t="n"/>
      <c r="M299" s="62" t="n"/>
      <c r="N299" s="58" t="n"/>
      <c r="O299" s="55" t="n"/>
      <c r="P299" s="55" t="n"/>
      <c r="Q299" s="55" t="n"/>
      <c r="R299" s="65" t="n"/>
      <c r="S299" s="63" t="n"/>
      <c r="T299" s="70" t="n"/>
      <c r="U299" s="72" t="n"/>
      <c r="V299" s="72" t="n"/>
      <c r="Z299" s="74" t="n"/>
      <c r="AA299" s="74" t="n"/>
      <c r="AB299" s="74" t="n"/>
      <c r="AC299" s="74" t="n"/>
      <c r="ID299" s="69" t="n"/>
      <c r="IE299" s="69" t="n"/>
      <c r="IF299" s="69" t="n"/>
      <c r="IG299" s="69" t="n"/>
      <c r="IH299" s="69" t="n"/>
      <c r="II299" s="69" t="n"/>
      <c r="IJ299" s="69" t="n"/>
      <c r="IK299" s="69" t="n"/>
      <c r="IL299" s="69" t="n"/>
      <c r="IM299" s="69" t="n"/>
      <c r="IN299" s="69" t="n"/>
      <c r="IO299" s="69" t="n"/>
      <c r="IP299" s="69" t="n"/>
      <c r="IQ299" s="69" t="n"/>
      <c r="IR299" s="69" t="n"/>
      <c r="IS299" s="69" t="n"/>
      <c r="IT299" s="69" t="n"/>
      <c r="IU299" s="69" t="n"/>
      <c r="IV299" s="69" t="n"/>
    </row>
    <row r="300" hidden="1" ht="20.25" customHeight="1" s="150">
      <c r="A300" s="69" t="n"/>
      <c r="B300" s="203" t="inlineStr">
        <is>
          <t>NOMBRE DEL AUDITADO</t>
        </is>
      </c>
      <c r="C300" s="286" t="n"/>
      <c r="D300" s="286" t="n"/>
      <c r="E300" s="286" t="n"/>
      <c r="F300" s="286" t="n"/>
      <c r="G300" s="286" t="n"/>
      <c r="H300" s="74" t="n"/>
      <c r="I300" s="203" t="inlineStr">
        <is>
          <t>NOMBRE DEL AUDITADO</t>
        </is>
      </c>
      <c r="J300" s="286" t="n"/>
      <c r="K300" s="286" t="n"/>
      <c r="L300" s="286" t="n"/>
      <c r="M300" s="286" t="n"/>
      <c r="N300" s="65" t="n"/>
      <c r="O300" s="203" t="inlineStr">
        <is>
          <t>NOMBRE DEL AUDITADO</t>
        </is>
      </c>
      <c r="P300" s="286" t="n"/>
      <c r="Q300" s="286" t="n"/>
      <c r="R300" s="286" t="n"/>
      <c r="S300" s="65" t="n"/>
    </row>
    <row r="301" hidden="1" ht="21" customFormat="1" customHeight="1" s="74">
      <c r="A301" s="69" t="n"/>
      <c r="B301" s="67" t="n"/>
      <c r="C301" s="67" t="n"/>
      <c r="D301" s="67" t="n"/>
      <c r="E301" s="67" t="n"/>
      <c r="F301" s="67" t="n"/>
      <c r="G301" s="68" t="n"/>
      <c r="H301" s="68" t="n"/>
      <c r="I301" s="69" t="n"/>
      <c r="J301" s="68" t="n"/>
      <c r="K301" s="68" t="n"/>
      <c r="L301" s="67" t="n"/>
      <c r="M301" s="67" t="n"/>
      <c r="N301" s="67" t="n"/>
      <c r="O301" s="67" t="n"/>
      <c r="P301" s="69" t="n"/>
      <c r="Q301" s="67" t="n"/>
      <c r="R301" s="67" t="n"/>
      <c r="S301" s="67" t="n"/>
      <c r="U301" s="72" t="n"/>
      <c r="V301" s="72" t="n"/>
      <c r="Z301" s="74" t="n"/>
      <c r="AA301" s="74" t="n"/>
      <c r="AB301" s="74" t="n"/>
      <c r="AC301" s="74" t="n"/>
      <c r="ID301" s="69" t="n"/>
      <c r="IE301" s="69" t="n"/>
      <c r="IF301" s="69" t="n"/>
      <c r="IG301" s="69" t="n"/>
      <c r="IH301" s="69" t="n"/>
      <c r="II301" s="69" t="n"/>
      <c r="IJ301" s="69" t="n"/>
      <c r="IK301" s="69" t="n"/>
      <c r="IL301" s="69" t="n"/>
      <c r="IM301" s="69" t="n"/>
      <c r="IN301" s="69" t="n"/>
      <c r="IO301" s="69" t="n"/>
      <c r="IP301" s="69" t="n"/>
      <c r="IQ301" s="69" t="n"/>
      <c r="IR301" s="69" t="n"/>
      <c r="IS301" s="69" t="n"/>
      <c r="IT301" s="69" t="n"/>
      <c r="IU301" s="69" t="n"/>
      <c r="IV301" s="69" t="n"/>
    </row>
    <row r="302" hidden="1" ht="20.25" customFormat="1" customHeight="1" s="74">
      <c r="A302" s="69" t="n"/>
      <c r="B302" s="204" t="n"/>
      <c r="C302" s="286" t="n"/>
      <c r="D302" s="286" t="n"/>
      <c r="E302" s="286" t="n"/>
      <c r="F302" s="286" t="n"/>
      <c r="G302" s="286" t="n"/>
      <c r="H302" s="69" t="n"/>
      <c r="I302" s="204" t="n"/>
      <c r="J302" s="286" t="n"/>
      <c r="K302" s="286" t="n"/>
      <c r="L302" s="286" t="n"/>
      <c r="M302" s="286" t="n"/>
      <c r="N302" s="52" t="n"/>
      <c r="O302" s="204" t="n"/>
      <c r="P302" s="286" t="n"/>
      <c r="Q302" s="286" t="n"/>
      <c r="R302" s="286" t="n"/>
      <c r="S302" s="53" t="n"/>
      <c r="T302" s="54" t="n"/>
      <c r="U302" s="73" t="n"/>
      <c r="V302" s="73" t="n"/>
      <c r="Z302" s="74" t="n"/>
      <c r="AA302" s="74" t="n"/>
      <c r="AB302" s="74" t="n"/>
      <c r="AC302" s="74" t="n"/>
      <c r="ID302" s="69" t="n"/>
      <c r="IE302" s="69" t="n"/>
      <c r="IF302" s="69" t="n"/>
      <c r="IG302" s="69" t="n"/>
      <c r="IH302" s="69" t="n"/>
      <c r="II302" s="69" t="n"/>
      <c r="IJ302" s="69" t="n"/>
      <c r="IK302" s="69" t="n"/>
      <c r="IL302" s="69" t="n"/>
      <c r="IM302" s="69" t="n"/>
      <c r="IN302" s="69" t="n"/>
      <c r="IO302" s="69" t="n"/>
      <c r="IP302" s="69" t="n"/>
      <c r="IQ302" s="69" t="n"/>
      <c r="IR302" s="69" t="n"/>
      <c r="IS302" s="69" t="n"/>
      <c r="IT302" s="69" t="n"/>
      <c r="IU302" s="69" t="n"/>
      <c r="IV302" s="69" t="n"/>
    </row>
    <row r="303" hidden="1" ht="20.15" customFormat="1" customHeight="1" s="74">
      <c r="A303" s="69" t="n"/>
      <c r="B303" s="55" t="n"/>
      <c r="C303" s="55" t="n"/>
      <c r="D303" s="55" t="n"/>
      <c r="E303" s="55" t="n"/>
      <c r="F303" s="55" t="n"/>
      <c r="G303" s="55" t="n"/>
      <c r="H303" s="70" t="n"/>
      <c r="I303" s="65" t="n"/>
      <c r="J303" s="55" t="n"/>
      <c r="K303" s="55" t="n"/>
      <c r="L303" s="55" t="n"/>
      <c r="M303" s="55" t="n"/>
      <c r="N303" s="58" t="n"/>
      <c r="O303" s="55" t="n"/>
      <c r="P303" s="65" t="n"/>
      <c r="Q303" s="55" t="n"/>
      <c r="R303" s="82" t="n"/>
      <c r="S303" s="77" t="n"/>
      <c r="T303" s="70" t="n"/>
      <c r="U303" s="72" t="n"/>
      <c r="V303" s="72" t="n"/>
      <c r="Z303" s="74" t="n"/>
      <c r="AA303" s="74" t="n"/>
      <c r="AB303" s="74" t="n"/>
      <c r="AC303" s="74" t="n"/>
      <c r="ID303" s="69" t="n"/>
      <c r="IE303" s="69" t="n"/>
      <c r="IF303" s="69" t="n"/>
      <c r="IG303" s="69" t="n"/>
      <c r="IH303" s="69" t="n"/>
      <c r="II303" s="69" t="n"/>
      <c r="IJ303" s="69" t="n"/>
      <c r="IK303" s="69" t="n"/>
      <c r="IL303" s="69" t="n"/>
      <c r="IM303" s="69" t="n"/>
      <c r="IN303" s="69" t="n"/>
      <c r="IO303" s="69" t="n"/>
      <c r="IP303" s="69" t="n"/>
      <c r="IQ303" s="69" t="n"/>
      <c r="IR303" s="69" t="n"/>
      <c r="IS303" s="69" t="n"/>
      <c r="IT303" s="69" t="n"/>
      <c r="IU303" s="69" t="n"/>
      <c r="IV303" s="69" t="n"/>
    </row>
    <row r="304" hidden="1" ht="20.15" customFormat="1" customHeight="1" s="74">
      <c r="A304" s="69" t="n"/>
      <c r="B304" s="55" t="n"/>
      <c r="C304" s="55" t="n"/>
      <c r="D304" s="55" t="n"/>
      <c r="E304" s="55" t="n"/>
      <c r="F304" s="55" t="n"/>
      <c r="G304" s="55" t="n"/>
      <c r="H304" s="69" t="n"/>
      <c r="I304" s="61" t="n"/>
      <c r="J304" s="61" t="n"/>
      <c r="K304" s="61" t="n"/>
      <c r="L304" s="55" t="n"/>
      <c r="M304" s="62" t="n"/>
      <c r="N304" s="58" t="n"/>
      <c r="O304" s="55" t="n"/>
      <c r="P304" s="55" t="n"/>
      <c r="Q304" s="55" t="n"/>
      <c r="R304" s="65" t="n"/>
      <c r="S304" s="63" t="n"/>
      <c r="T304" s="70" t="n"/>
      <c r="U304" s="72" t="n"/>
      <c r="V304" s="72" t="n"/>
      <c r="Z304" s="74" t="n"/>
      <c r="AA304" s="74" t="n"/>
      <c r="AB304" s="74" t="n"/>
      <c r="AC304" s="74" t="n"/>
      <c r="ID304" s="69" t="n"/>
      <c r="IE304" s="69" t="n"/>
      <c r="IF304" s="69" t="n"/>
      <c r="IG304" s="69" t="n"/>
      <c r="IH304" s="69" t="n"/>
      <c r="II304" s="69" t="n"/>
      <c r="IJ304" s="69" t="n"/>
      <c r="IK304" s="69" t="n"/>
      <c r="IL304" s="69" t="n"/>
      <c r="IM304" s="69" t="n"/>
      <c r="IN304" s="69" t="n"/>
      <c r="IO304" s="69" t="n"/>
      <c r="IP304" s="69" t="n"/>
      <c r="IQ304" s="69" t="n"/>
      <c r="IR304" s="69" t="n"/>
      <c r="IS304" s="69" t="n"/>
      <c r="IT304" s="69" t="n"/>
      <c r="IU304" s="69" t="n"/>
      <c r="IV304" s="69" t="n"/>
    </row>
    <row r="305" hidden="1" ht="20.25" customHeight="1" s="150">
      <c r="A305" s="69" t="n"/>
      <c r="B305" s="203" t="inlineStr">
        <is>
          <t>NOMBRE DEL AUDITADO</t>
        </is>
      </c>
      <c r="C305" s="286" t="n"/>
      <c r="D305" s="286" t="n"/>
      <c r="E305" s="286" t="n"/>
      <c r="F305" s="286" t="n"/>
      <c r="G305" s="286" t="n"/>
      <c r="H305" s="74" t="n"/>
      <c r="I305" s="203" t="inlineStr">
        <is>
          <t>NOMBRE DEL AUDITADO</t>
        </is>
      </c>
      <c r="J305" s="286" t="n"/>
      <c r="K305" s="286" t="n"/>
      <c r="L305" s="286" t="n"/>
      <c r="M305" s="286" t="n"/>
      <c r="N305" s="65" t="n"/>
      <c r="O305" s="203" t="inlineStr">
        <is>
          <t>NOMBRE DEL AUDITADO</t>
        </is>
      </c>
      <c r="P305" s="286" t="n"/>
      <c r="Q305" s="286" t="n"/>
      <c r="R305" s="286" t="n"/>
      <c r="S305" s="65" t="n"/>
    </row>
    <row r="306" hidden="1" ht="12.75" customFormat="1" customHeight="1" s="74" thickBot="1">
      <c r="A306" s="69" t="n"/>
      <c r="B306" s="67" t="n"/>
      <c r="C306" s="67" t="n"/>
      <c r="D306" s="67" t="n"/>
      <c r="E306" s="67" t="n"/>
      <c r="F306" s="67" t="n"/>
      <c r="G306" s="68" t="n"/>
      <c r="H306" s="68" t="n"/>
      <c r="I306" s="69" t="n"/>
      <c r="J306" s="68" t="n"/>
      <c r="K306" s="68" t="n"/>
      <c r="L306" s="67" t="n"/>
      <c r="M306" s="67" t="n"/>
      <c r="N306" s="67" t="n"/>
      <c r="O306" s="67" t="n"/>
      <c r="P306" s="69" t="n"/>
      <c r="Q306" s="67" t="n"/>
      <c r="R306" s="67" t="n"/>
      <c r="S306" s="67" t="n"/>
      <c r="Z306" s="74" t="n"/>
      <c r="AA306" s="74" t="n"/>
      <c r="AB306" s="74" t="n"/>
      <c r="AC306" s="74" t="n"/>
      <c r="ID306" s="69" t="n"/>
      <c r="IE306" s="69" t="n"/>
      <c r="IF306" s="69" t="n"/>
      <c r="IG306" s="69" t="n"/>
      <c r="IH306" s="69" t="n"/>
      <c r="II306" s="69" t="n"/>
      <c r="IJ306" s="69" t="n"/>
      <c r="IK306" s="69" t="n"/>
      <c r="IL306" s="69" t="n"/>
      <c r="IM306" s="69" t="n"/>
      <c r="IN306" s="69" t="n"/>
      <c r="IO306" s="69" t="n"/>
      <c r="IP306" s="69" t="n"/>
      <c r="IQ306" s="69" t="n"/>
      <c r="IR306" s="69" t="n"/>
      <c r="IS306" s="69" t="n"/>
      <c r="IT306" s="69" t="n"/>
      <c r="IU306" s="69" t="n"/>
      <c r="IV306" s="69" t="n"/>
    </row>
    <row r="307" hidden="1" ht="20.25" customFormat="1" customHeight="1" s="74">
      <c r="A307" s="69" t="n"/>
      <c r="B307" s="74" t="n"/>
      <c r="C307" s="74" t="n"/>
      <c r="D307" s="74" t="n"/>
      <c r="E307" s="74" t="n"/>
      <c r="F307" s="74" t="n"/>
      <c r="G307" s="69" t="n"/>
      <c r="H307" s="69" t="n"/>
      <c r="I307" s="69" t="n"/>
      <c r="J307" s="69" t="n"/>
      <c r="K307" s="69" t="n"/>
      <c r="L307" s="69" t="n"/>
      <c r="M307" s="69" t="n"/>
      <c r="N307" s="69" t="n"/>
      <c r="O307" s="69" t="n"/>
      <c r="P307" s="74" t="n"/>
      <c r="Q307" s="75" t="n"/>
      <c r="R307" s="75" t="n"/>
      <c r="S307" s="307" t="n"/>
      <c r="X307" s="76" t="n"/>
      <c r="Y307" s="76" t="n"/>
      <c r="Z307" s="74" t="n"/>
      <c r="AA307" s="74" t="n"/>
      <c r="AB307" s="74" t="n"/>
      <c r="AC307" s="74" t="n"/>
      <c r="ID307" s="69" t="n"/>
      <c r="IE307" s="69" t="n"/>
      <c r="IF307" s="69" t="n"/>
      <c r="IG307" s="69" t="n"/>
      <c r="IH307" s="69" t="n"/>
      <c r="II307" s="69" t="n"/>
      <c r="IJ307" s="69" t="n"/>
      <c r="IK307" s="69" t="n"/>
      <c r="IL307" s="69" t="n"/>
      <c r="IM307" s="69" t="n"/>
      <c r="IN307" s="69" t="n"/>
      <c r="IO307" s="69" t="n"/>
      <c r="IP307" s="69" t="n"/>
      <c r="IQ307" s="69" t="n"/>
      <c r="IR307" s="69" t="n"/>
      <c r="IS307" s="69" t="n"/>
      <c r="IT307" s="69" t="n"/>
      <c r="IU307" s="69" t="n"/>
      <c r="IV307" s="69" t="n"/>
    </row>
    <row r="308" ht="18.75" customHeight="1" s="150">
      <c r="A308" s="69" t="n"/>
      <c r="B308" s="74" t="n"/>
      <c r="C308" s="74" t="n"/>
      <c r="D308" s="74" t="n"/>
      <c r="E308" s="74" t="n"/>
      <c r="F308" s="74" t="n"/>
      <c r="G308" s="74" t="n"/>
      <c r="H308" s="74" t="n"/>
      <c r="I308" s="74" t="n"/>
      <c r="J308" s="74" t="n"/>
      <c r="K308" s="74" t="n"/>
      <c r="L308" s="74" t="n"/>
      <c r="M308" s="74" t="n"/>
      <c r="N308" s="74" t="n"/>
      <c r="O308" s="74" t="n"/>
      <c r="P308" s="74" t="n"/>
      <c r="Q308" s="77" t="n"/>
      <c r="R308" s="77" t="n"/>
      <c r="S308" s="77" t="n"/>
      <c r="X308" s="78" t="n"/>
      <c r="Y308" s="78" t="n"/>
    </row>
    <row r="309" ht="23" customHeight="1" s="150">
      <c r="X309" s="78" t="n"/>
      <c r="Y309" s="78" t="n"/>
    </row>
    <row r="313" ht="19" customHeight="1" s="150"/>
    <row r="314" ht="19" customHeight="1" s="150"/>
    <row r="315" ht="19" customHeight="1" s="150"/>
    <row r="316" ht="19" customHeight="1" s="150"/>
    <row r="317" ht="19" customHeight="1" s="150"/>
    <row r="318" ht="19" customHeight="1" s="150"/>
    <row r="319" ht="19" customHeight="1" s="150"/>
    <row r="320" ht="19" customHeight="1" s="150"/>
    <row r="321" ht="19" customHeight="1" s="150"/>
    <row r="322" ht="19" customHeight="1" s="150"/>
    <row r="323" ht="19" customHeight="1" s="150"/>
    <row r="324" ht="19" customHeight="1" s="150"/>
    <row r="325" ht="19" customHeight="1" s="150"/>
    <row r="326" ht="19" customHeight="1" s="150"/>
    <row r="327" ht="19" customHeight="1" s="150"/>
  </sheetData>
  <mergeCells count="560">
    <mergeCell ref="G59:G66"/>
    <mergeCell ref="B276:F276"/>
    <mergeCell ref="R178:R185"/>
    <mergeCell ref="B214:F214"/>
    <mergeCell ref="H76:K76"/>
    <mergeCell ref="H251:K252"/>
    <mergeCell ref="L160:L167"/>
    <mergeCell ref="L187:L194"/>
    <mergeCell ref="H188:K189"/>
    <mergeCell ref="H175:K175"/>
    <mergeCell ref="A178:A185"/>
    <mergeCell ref="H221:K221"/>
    <mergeCell ref="H196:K196"/>
    <mergeCell ref="Q14:Q21"/>
    <mergeCell ref="S14:S21"/>
    <mergeCell ref="H119:K120"/>
    <mergeCell ref="H223:K223"/>
    <mergeCell ref="G9:I9"/>
    <mergeCell ref="S205:S212"/>
    <mergeCell ref="B98:F104"/>
    <mergeCell ref="B133:F133"/>
    <mergeCell ref="G250:G257"/>
    <mergeCell ref="B160:F160"/>
    <mergeCell ref="L115:L122"/>
    <mergeCell ref="G41:G48"/>
    <mergeCell ref="B297:G297"/>
    <mergeCell ref="G277:G284"/>
    <mergeCell ref="B251:F257"/>
    <mergeCell ref="H137:K138"/>
    <mergeCell ref="H13:K13"/>
    <mergeCell ref="H249:K249"/>
    <mergeCell ref="H105:K105"/>
    <mergeCell ref="G214:G221"/>
    <mergeCell ref="Q196:Q203"/>
    <mergeCell ref="E5:F5"/>
    <mergeCell ref="B206:F212"/>
    <mergeCell ref="H71:K71"/>
    <mergeCell ref="I287:M287"/>
    <mergeCell ref="Q106:Q113"/>
    <mergeCell ref="L32:L39"/>
    <mergeCell ref="L97:L104"/>
    <mergeCell ref="Q223:Q230"/>
    <mergeCell ref="L268:L275"/>
    <mergeCell ref="S223:S230"/>
    <mergeCell ref="H172:K172"/>
    <mergeCell ref="R88:R95"/>
    <mergeCell ref="H184:K184"/>
    <mergeCell ref="H244:K244"/>
    <mergeCell ref="H51:K52"/>
    <mergeCell ref="B134:F140"/>
    <mergeCell ref="A187:A194"/>
    <mergeCell ref="A205:A212"/>
    <mergeCell ref="B88:F88"/>
    <mergeCell ref="M268:P275"/>
    <mergeCell ref="B5:D5"/>
    <mergeCell ref="H242:K243"/>
    <mergeCell ref="G196:G203"/>
    <mergeCell ref="H133:K133"/>
    <mergeCell ref="G133:G140"/>
    <mergeCell ref="L259:L266"/>
    <mergeCell ref="L50:L57"/>
    <mergeCell ref="H254:K255"/>
    <mergeCell ref="H247:K247"/>
    <mergeCell ref="H33:K34"/>
    <mergeCell ref="H269:K270"/>
    <mergeCell ref="M151:P158"/>
    <mergeCell ref="H125:K126"/>
    <mergeCell ref="A23:A30"/>
    <mergeCell ref="Q178:Q185"/>
    <mergeCell ref="H262:K262"/>
    <mergeCell ref="S142:S149"/>
    <mergeCell ref="S178:S185"/>
    <mergeCell ref="I300:M300"/>
    <mergeCell ref="S79:S86"/>
    <mergeCell ref="B141:F141"/>
    <mergeCell ref="H239:K239"/>
    <mergeCell ref="B159:F159"/>
    <mergeCell ref="H191:K192"/>
    <mergeCell ref="R14:R21"/>
    <mergeCell ref="B188:F194"/>
    <mergeCell ref="H97:K97"/>
    <mergeCell ref="B259:F259"/>
    <mergeCell ref="R205:R212"/>
    <mergeCell ref="L205:L212"/>
    <mergeCell ref="B13:F13"/>
    <mergeCell ref="R142:R149"/>
    <mergeCell ref="M241:P248"/>
    <mergeCell ref="B249:F249"/>
    <mergeCell ref="H121:K121"/>
    <mergeCell ref="B302:G302"/>
    <mergeCell ref="A151:A158"/>
    <mergeCell ref="I290:M290"/>
    <mergeCell ref="H123:K123"/>
    <mergeCell ref="H250:K250"/>
    <mergeCell ref="H206:K207"/>
    <mergeCell ref="H187:K187"/>
    <mergeCell ref="M12:P12"/>
    <mergeCell ref="S68:S77"/>
    <mergeCell ref="G7:I7"/>
    <mergeCell ref="O297:R297"/>
    <mergeCell ref="B22:F22"/>
    <mergeCell ref="B51:F57"/>
    <mergeCell ref="A79:A86"/>
    <mergeCell ref="G241:G248"/>
    <mergeCell ref="H30:K30"/>
    <mergeCell ref="B151:F151"/>
    <mergeCell ref="Q9:S9"/>
    <mergeCell ref="H78:K78"/>
    <mergeCell ref="H29:K29"/>
    <mergeCell ref="H36:K37"/>
    <mergeCell ref="H205:K205"/>
    <mergeCell ref="H265:K265"/>
    <mergeCell ref="H128:K129"/>
    <mergeCell ref="A268:A275"/>
    <mergeCell ref="A124:A131"/>
    <mergeCell ref="H240:K240"/>
    <mergeCell ref="H44:K44"/>
    <mergeCell ref="H31:K31"/>
    <mergeCell ref="S160:S167"/>
    <mergeCell ref="H263:K264"/>
    <mergeCell ref="B40:F40"/>
    <mergeCell ref="B177:F177"/>
    <mergeCell ref="U99:V102"/>
    <mergeCell ref="B79:F79"/>
    <mergeCell ref="H54:K55"/>
    <mergeCell ref="B41:F41"/>
    <mergeCell ref="H146:K147"/>
    <mergeCell ref="B106:F106"/>
    <mergeCell ref="B277:F277"/>
    <mergeCell ref="H131:K131"/>
    <mergeCell ref="H258:K258"/>
    <mergeCell ref="H227:K228"/>
    <mergeCell ref="H83:K84"/>
    <mergeCell ref="H124:K124"/>
    <mergeCell ref="H195:K195"/>
    <mergeCell ref="M115:P122"/>
    <mergeCell ref="Q115:Q122"/>
    <mergeCell ref="H164:K165"/>
    <mergeCell ref="S115:S122"/>
    <mergeCell ref="L277:L284"/>
    <mergeCell ref="R241:R248"/>
    <mergeCell ref="H278:K279"/>
    <mergeCell ref="A7:B7"/>
    <mergeCell ref="H26:K26"/>
    <mergeCell ref="H82:K82"/>
    <mergeCell ref="H53:K53"/>
    <mergeCell ref="L214:L221"/>
    <mergeCell ref="N5:O5"/>
    <mergeCell ref="B224:F230"/>
    <mergeCell ref="H113:K113"/>
    <mergeCell ref="S97:S104"/>
    <mergeCell ref="H80:K81"/>
    <mergeCell ref="H271:K271"/>
    <mergeCell ref="R223:R230"/>
    <mergeCell ref="B186:F186"/>
    <mergeCell ref="G142:G149"/>
    <mergeCell ref="H142:K142"/>
    <mergeCell ref="H79:K79"/>
    <mergeCell ref="H266:K266"/>
    <mergeCell ref="H200:K201"/>
    <mergeCell ref="L232:L239"/>
    <mergeCell ref="M32:P39"/>
    <mergeCell ref="Q32:Q39"/>
    <mergeCell ref="O302:R302"/>
    <mergeCell ref="H208:K208"/>
    <mergeCell ref="H215:K216"/>
    <mergeCell ref="S88:S95"/>
    <mergeCell ref="M23:P30"/>
    <mergeCell ref="A68:A77"/>
    <mergeCell ref="H268:K268"/>
    <mergeCell ref="Q268:Q275"/>
    <mergeCell ref="S268:S275"/>
    <mergeCell ref="S50:S57"/>
    <mergeCell ref="H47:K47"/>
    <mergeCell ref="H152:K153"/>
    <mergeCell ref="H139:K139"/>
    <mergeCell ref="O287:R287"/>
    <mergeCell ref="B105:F105"/>
    <mergeCell ref="G151:G158"/>
    <mergeCell ref="Q151:Q158"/>
    <mergeCell ref="H284:K284"/>
    <mergeCell ref="H259:K259"/>
    <mergeCell ref="M250:P257"/>
    <mergeCell ref="H50:K50"/>
    <mergeCell ref="H155:K156"/>
    <mergeCell ref="I297:M297"/>
    <mergeCell ref="M187:P194"/>
    <mergeCell ref="H170:K171"/>
    <mergeCell ref="A160:A167"/>
    <mergeCell ref="M124:P131"/>
    <mergeCell ref="A32:A39"/>
    <mergeCell ref="H101:K102"/>
    <mergeCell ref="H94:K94"/>
    <mergeCell ref="A97:A104"/>
    <mergeCell ref="B204:F204"/>
    <mergeCell ref="G79:G86"/>
    <mergeCell ref="R115:R122"/>
    <mergeCell ref="Q241:Q248"/>
    <mergeCell ref="G106:G113"/>
    <mergeCell ref="B33:F39"/>
    <mergeCell ref="B269:F275"/>
    <mergeCell ref="K5:L5"/>
    <mergeCell ref="B31:F31"/>
    <mergeCell ref="M205:P212"/>
    <mergeCell ref="L169:L176"/>
    <mergeCell ref="H145:K145"/>
    <mergeCell ref="M142:P149"/>
    <mergeCell ref="A250:A257"/>
    <mergeCell ref="G160:G167"/>
    <mergeCell ref="H38:K38"/>
    <mergeCell ref="A41:A48"/>
    <mergeCell ref="H274:K274"/>
    <mergeCell ref="A277:A284"/>
    <mergeCell ref="H122:K122"/>
    <mergeCell ref="H211:K211"/>
    <mergeCell ref="H40:K40"/>
    <mergeCell ref="B178:F178"/>
    <mergeCell ref="A214:A221"/>
    <mergeCell ref="H218:K219"/>
    <mergeCell ref="H148:K148"/>
    <mergeCell ref="R232:R239"/>
    <mergeCell ref="R32:R39"/>
    <mergeCell ref="O290:R290"/>
    <mergeCell ref="R268:R275"/>
    <mergeCell ref="L88:L95"/>
    <mergeCell ref="R50:R57"/>
    <mergeCell ref="H163:K163"/>
    <mergeCell ref="B292:G292"/>
    <mergeCell ref="G68:G77"/>
    <mergeCell ref="B222:F222"/>
    <mergeCell ref="B15:F21"/>
    <mergeCell ref="H107:K108"/>
    <mergeCell ref="B123:F123"/>
    <mergeCell ref="H100:K100"/>
    <mergeCell ref="S124:S131"/>
    <mergeCell ref="B50:F50"/>
    <mergeCell ref="H66:K66"/>
    <mergeCell ref="M259:P266"/>
    <mergeCell ref="H158:K158"/>
    <mergeCell ref="B287:G287"/>
    <mergeCell ref="H229:K229"/>
    <mergeCell ref="A232:A239"/>
    <mergeCell ref="H77:K77"/>
    <mergeCell ref="S59:S66"/>
    <mergeCell ref="H95:K95"/>
    <mergeCell ref="H173:K174"/>
    <mergeCell ref="H160:K160"/>
    <mergeCell ref="H141:K141"/>
    <mergeCell ref="B12:F12"/>
    <mergeCell ref="I302:M302"/>
    <mergeCell ref="J9:N9"/>
    <mergeCell ref="R187:R194"/>
    <mergeCell ref="Q142:Q149"/>
    <mergeCell ref="B14:F14"/>
    <mergeCell ref="R124:R131"/>
    <mergeCell ref="M79:P86"/>
    <mergeCell ref="Q79:Q86"/>
    <mergeCell ref="B170:F176"/>
    <mergeCell ref="H280:K280"/>
    <mergeCell ref="B78:F78"/>
    <mergeCell ref="B205:F205"/>
    <mergeCell ref="B305:G305"/>
    <mergeCell ref="H21:K21"/>
    <mergeCell ref="L14:L21"/>
    <mergeCell ref="H15:K16"/>
    <mergeCell ref="H88:K88"/>
    <mergeCell ref="H92:K93"/>
    <mergeCell ref="B169:F169"/>
    <mergeCell ref="H115:K115"/>
    <mergeCell ref="H283:K283"/>
    <mergeCell ref="H277:K277"/>
    <mergeCell ref="H214:K214"/>
    <mergeCell ref="G115:G122"/>
    <mergeCell ref="B58:F58"/>
    <mergeCell ref="M50:P57"/>
    <mergeCell ref="A142:A149"/>
    <mergeCell ref="B223:F223"/>
    <mergeCell ref="B195:F195"/>
    <mergeCell ref="H166:K166"/>
    <mergeCell ref="A169:A176"/>
    <mergeCell ref="B231:F231"/>
    <mergeCell ref="M68:P77"/>
    <mergeCell ref="Q68:Q77"/>
    <mergeCell ref="H67:K67"/>
    <mergeCell ref="L106:L113"/>
    <mergeCell ref="C7:E7"/>
    <mergeCell ref="H110:K111"/>
    <mergeCell ref="H103:K103"/>
    <mergeCell ref="G97:G104"/>
    <mergeCell ref="Q23:Q30"/>
    <mergeCell ref="H168:K168"/>
    <mergeCell ref="H230:K230"/>
    <mergeCell ref="S23:S30"/>
    <mergeCell ref="G268:G275"/>
    <mergeCell ref="H118:K118"/>
    <mergeCell ref="H167:K167"/>
    <mergeCell ref="H232:K232"/>
    <mergeCell ref="M133:P140"/>
    <mergeCell ref="H18:K19"/>
    <mergeCell ref="H169:K169"/>
    <mergeCell ref="R259:R266"/>
    <mergeCell ref="A106:A113"/>
    <mergeCell ref="B241:F241"/>
    <mergeCell ref="B278:F284"/>
    <mergeCell ref="B107:F113"/>
    <mergeCell ref="B142:F142"/>
    <mergeCell ref="B213:F213"/>
    <mergeCell ref="G259:G266"/>
    <mergeCell ref="L59:L66"/>
    <mergeCell ref="H194:K194"/>
    <mergeCell ref="A259:A266"/>
    <mergeCell ref="G50:G57"/>
    <mergeCell ref="I295:M295"/>
    <mergeCell ref="H96:K96"/>
    <mergeCell ref="Q187:Q194"/>
    <mergeCell ref="H87:K87"/>
    <mergeCell ref="R10:S10"/>
    <mergeCell ref="L178:L185"/>
    <mergeCell ref="G223:G230"/>
    <mergeCell ref="H62:K62"/>
    <mergeCell ref="R79:R86"/>
    <mergeCell ref="S232:S239"/>
    <mergeCell ref="B125:F131"/>
    <mergeCell ref="H91:K91"/>
    <mergeCell ref="H60:K61"/>
    <mergeCell ref="A196:A203"/>
    <mergeCell ref="S169:S176"/>
    <mergeCell ref="B233:F239"/>
    <mergeCell ref="H220:K220"/>
    <mergeCell ref="M277:P284"/>
    <mergeCell ref="J7:N7"/>
    <mergeCell ref="Q205:Q212"/>
    <mergeCell ref="H157:K157"/>
    <mergeCell ref="G205:G212"/>
    <mergeCell ref="M11:S11"/>
    <mergeCell ref="H222:K222"/>
    <mergeCell ref="L41:L48"/>
    <mergeCell ref="B68:F68"/>
    <mergeCell ref="H238:K238"/>
    <mergeCell ref="H17:K17"/>
    <mergeCell ref="H253:K253"/>
    <mergeCell ref="H109:K109"/>
    <mergeCell ref="H42:K43"/>
    <mergeCell ref="H5:I5"/>
    <mergeCell ref="O305:R305"/>
    <mergeCell ref="G8:I8"/>
    <mergeCell ref="M160:P167"/>
    <mergeCell ref="H134:K135"/>
    <mergeCell ref="O292:R292"/>
    <mergeCell ref="H190:K190"/>
    <mergeCell ref="S187:S194"/>
    <mergeCell ref="B197:F203"/>
    <mergeCell ref="M97:P104"/>
    <mergeCell ref="B232:F232"/>
    <mergeCell ref="Q124:Q131"/>
    <mergeCell ref="H12:K12"/>
    <mergeCell ref="B150:F150"/>
    <mergeCell ref="H248:K248"/>
    <mergeCell ref="H48:K48"/>
    <mergeCell ref="R68:R77"/>
    <mergeCell ref="H104:K104"/>
    <mergeCell ref="O300:R300"/>
    <mergeCell ref="H235:K235"/>
    <mergeCell ref="R23:R30"/>
    <mergeCell ref="H14:K14"/>
    <mergeCell ref="H185:K185"/>
    <mergeCell ref="R7:S7"/>
    <mergeCell ref="H106:K106"/>
    <mergeCell ref="B23:F23"/>
    <mergeCell ref="R133:R140"/>
    <mergeCell ref="M88:P95"/>
    <mergeCell ref="Q259:Q266"/>
    <mergeCell ref="S259:S266"/>
    <mergeCell ref="B87:F87"/>
    <mergeCell ref="G124:G131"/>
    <mergeCell ref="B258:F258"/>
    <mergeCell ref="H130:K130"/>
    <mergeCell ref="B116:F122"/>
    <mergeCell ref="H68:K68"/>
    <mergeCell ref="A133:A140"/>
    <mergeCell ref="H24:K25"/>
    <mergeCell ref="H260:K261"/>
    <mergeCell ref="H132:K132"/>
    <mergeCell ref="H272:K273"/>
    <mergeCell ref="M214:P221"/>
    <mergeCell ref="H197:K198"/>
    <mergeCell ref="O295:R295"/>
    <mergeCell ref="J8:N8"/>
    <mergeCell ref="B80:F86"/>
    <mergeCell ref="A59:A66"/>
    <mergeCell ref="B115:F115"/>
    <mergeCell ref="S32:S39"/>
    <mergeCell ref="U291:V293"/>
    <mergeCell ref="U7:W9"/>
    <mergeCell ref="A88:A95"/>
    <mergeCell ref="I305:M305"/>
    <mergeCell ref="B240:F240"/>
    <mergeCell ref="M232:P239"/>
    <mergeCell ref="H20:K20"/>
    <mergeCell ref="I292:M292"/>
    <mergeCell ref="H256:K256"/>
    <mergeCell ref="H112:K112"/>
    <mergeCell ref="H45:K46"/>
    <mergeCell ref="L151:L158"/>
    <mergeCell ref="M169:P176"/>
    <mergeCell ref="H281:K282"/>
    <mergeCell ref="H193:K193"/>
    <mergeCell ref="H127:K127"/>
    <mergeCell ref="H176:K176"/>
    <mergeCell ref="H114:K114"/>
    <mergeCell ref="L133:L140"/>
    <mergeCell ref="R160:R167"/>
    <mergeCell ref="Q50:Q57"/>
    <mergeCell ref="H178:K178"/>
    <mergeCell ref="B49:F49"/>
    <mergeCell ref="B60:F66"/>
    <mergeCell ref="R97:R104"/>
    <mergeCell ref="A11:L11"/>
    <mergeCell ref="B32:F32"/>
    <mergeCell ref="H203:K203"/>
    <mergeCell ref="B97:F97"/>
    <mergeCell ref="H63:K64"/>
    <mergeCell ref="B268:F268"/>
    <mergeCell ref="H140:K140"/>
    <mergeCell ref="L241:L248"/>
    <mergeCell ref="H267:K267"/>
    <mergeCell ref="G232:G239"/>
    <mergeCell ref="H236:K237"/>
    <mergeCell ref="Q133:Q140"/>
    <mergeCell ref="H204:K204"/>
    <mergeCell ref="G169:G176"/>
    <mergeCell ref="Q160:Q167"/>
    <mergeCell ref="R250:R257"/>
    <mergeCell ref="H231:K231"/>
    <mergeCell ref="H35:K35"/>
    <mergeCell ref="H69:K70"/>
    <mergeCell ref="B215:F221"/>
    <mergeCell ref="H181:K181"/>
    <mergeCell ref="B242:F248"/>
    <mergeCell ref="G23:G30"/>
    <mergeCell ref="B250:F250"/>
    <mergeCell ref="B152:F158"/>
    <mergeCell ref="R214:R221"/>
    <mergeCell ref="H39:K39"/>
    <mergeCell ref="B168:F168"/>
    <mergeCell ref="H59:K59"/>
    <mergeCell ref="Q59:Q66"/>
    <mergeCell ref="H257:K257"/>
    <mergeCell ref="B295:G295"/>
    <mergeCell ref="L223:L230"/>
    <mergeCell ref="H209:K210"/>
    <mergeCell ref="L124:L131"/>
    <mergeCell ref="H199:K199"/>
    <mergeCell ref="M14:P21"/>
    <mergeCell ref="M41:P48"/>
    <mergeCell ref="Q41:Q48"/>
    <mergeCell ref="H186:K186"/>
    <mergeCell ref="H217:K217"/>
    <mergeCell ref="M106:P113"/>
    <mergeCell ref="S41:S48"/>
    <mergeCell ref="H224:K225"/>
    <mergeCell ref="Q277:Q284"/>
    <mergeCell ref="H65:K65"/>
    <mergeCell ref="S277:S284"/>
    <mergeCell ref="S106:S113"/>
    <mergeCell ref="H89:K90"/>
    <mergeCell ref="H161:K162"/>
    <mergeCell ref="B96:F96"/>
    <mergeCell ref="R169:R176"/>
    <mergeCell ref="H23:K23"/>
    <mergeCell ref="H275:K275"/>
    <mergeCell ref="B300:G300"/>
    <mergeCell ref="H212:K212"/>
    <mergeCell ref="H41:K41"/>
    <mergeCell ref="B267:F267"/>
    <mergeCell ref="Q97:Q104"/>
    <mergeCell ref="A50:A57"/>
    <mergeCell ref="H56:K56"/>
    <mergeCell ref="H276:K276"/>
    <mergeCell ref="M196:P203"/>
    <mergeCell ref="H179:K180"/>
    <mergeCell ref="H49:K49"/>
    <mergeCell ref="B187:F187"/>
    <mergeCell ref="G14:G21"/>
    <mergeCell ref="H85:K85"/>
    <mergeCell ref="M223:P230"/>
    <mergeCell ref="B124:F124"/>
    <mergeCell ref="L196:L203"/>
    <mergeCell ref="H143:K144"/>
    <mergeCell ref="G32:G39"/>
    <mergeCell ref="G88:G95"/>
    <mergeCell ref="H159:K159"/>
    <mergeCell ref="Q250:Q257"/>
    <mergeCell ref="S250:S257"/>
    <mergeCell ref="B24:F30"/>
    <mergeCell ref="B89:F95"/>
    <mergeCell ref="B59:F59"/>
    <mergeCell ref="R151:R158"/>
    <mergeCell ref="B290:G290"/>
    <mergeCell ref="H136:K136"/>
    <mergeCell ref="A241:A248"/>
    <mergeCell ref="H154:K154"/>
    <mergeCell ref="Q214:Q221"/>
    <mergeCell ref="S214:S221"/>
    <mergeCell ref="H98:K99"/>
    <mergeCell ref="E3:Q3"/>
    <mergeCell ref="M178:P185"/>
    <mergeCell ref="H202:K202"/>
    <mergeCell ref="H58:K58"/>
    <mergeCell ref="F2:P2"/>
    <mergeCell ref="H27:K28"/>
    <mergeCell ref="B42:F48"/>
    <mergeCell ref="A223:A230"/>
    <mergeCell ref="L142:L149"/>
    <mergeCell ref="G187:G194"/>
    <mergeCell ref="S151:S158"/>
    <mergeCell ref="R41:R48"/>
    <mergeCell ref="L79:L86"/>
    <mergeCell ref="R277:R284"/>
    <mergeCell ref="R106:R113"/>
    <mergeCell ref="S196:S203"/>
    <mergeCell ref="H245:K246"/>
    <mergeCell ref="Q232:Q239"/>
    <mergeCell ref="B69:F77"/>
    <mergeCell ref="B114:F114"/>
    <mergeCell ref="A14:A21"/>
    <mergeCell ref="S133:S140"/>
    <mergeCell ref="H116:K117"/>
    <mergeCell ref="Q169:Q176"/>
    <mergeCell ref="B260:F266"/>
    <mergeCell ref="B143:F149"/>
    <mergeCell ref="H57:K57"/>
    <mergeCell ref="H22:K22"/>
    <mergeCell ref="H149:K149"/>
    <mergeCell ref="L250:L257"/>
    <mergeCell ref="H86:K86"/>
    <mergeCell ref="H213:K213"/>
    <mergeCell ref="H151:K151"/>
    <mergeCell ref="G178:G185"/>
    <mergeCell ref="H182:K183"/>
    <mergeCell ref="R59:R66"/>
    <mergeCell ref="H150:K150"/>
    <mergeCell ref="S241:S248"/>
    <mergeCell ref="B67:F67"/>
    <mergeCell ref="M59:P66"/>
    <mergeCell ref="R196:R203"/>
    <mergeCell ref="B132:F132"/>
    <mergeCell ref="B161:F167"/>
    <mergeCell ref="B196:F196"/>
    <mergeCell ref="Q88:Q95"/>
    <mergeCell ref="B179:F185"/>
    <mergeCell ref="L68:L77"/>
    <mergeCell ref="H72:K75"/>
    <mergeCell ref="H177:K177"/>
    <mergeCell ref="H226:K226"/>
    <mergeCell ref="L23:L30"/>
    <mergeCell ref="H233:K234"/>
    <mergeCell ref="H241:K241"/>
    <mergeCell ref="H32:K32"/>
    <mergeCell ref="A115:A122"/>
  </mergeCells>
  <conditionalFormatting sqref="B300:G300 B305:G305 I300:M300 I305:M305 O300:R300 O305:R305">
    <cfRule type="cellIs" priority="124" operator="greaterThan" dxfId="12" stopIfTrue="1">
      <formula>0</formula>
    </cfRule>
  </conditionalFormatting>
  <conditionalFormatting sqref="M14 Q14">
    <cfRule type="cellIs" priority="122" operator="greaterThan" dxfId="0">
      <formula>0</formula>
    </cfRule>
  </conditionalFormatting>
  <conditionalFormatting sqref="O297:R297">
    <cfRule type="notContainsBlanks" priority="104" dxfId="0">
      <formula>LEN(TRIM(O297))&gt;0</formula>
    </cfRule>
    <cfRule type="expression" priority="105" dxfId="0">
      <formula>$O$300=""</formula>
    </cfRule>
  </conditionalFormatting>
  <conditionalFormatting sqref="I297:M297">
    <cfRule type="notContainsBlanks" priority="102" dxfId="0">
      <formula>LEN(TRIM(I297))&gt;0</formula>
    </cfRule>
    <cfRule type="expression" priority="103" dxfId="0">
      <formula>$I$300=""</formula>
    </cfRule>
  </conditionalFormatting>
  <conditionalFormatting sqref="B297:G297">
    <cfRule type="notContainsBlanks" priority="100" dxfId="0">
      <formula>LEN(TRIM(B297))&gt;0</formula>
    </cfRule>
    <cfRule type="expression" priority="101" dxfId="0">
      <formula>$B$300=""</formula>
    </cfRule>
  </conditionalFormatting>
  <conditionalFormatting sqref="O302:R302">
    <cfRule type="notContainsBlanks" priority="98" dxfId="0">
      <formula>LEN(TRIM(O302))&gt;0</formula>
    </cfRule>
    <cfRule type="expression" priority="99" dxfId="0">
      <formula>$O$305=""</formula>
    </cfRule>
  </conditionalFormatting>
  <conditionalFormatting sqref="I302:M302">
    <cfRule type="notContainsBlanks" priority="96" dxfId="0">
      <formula>LEN(TRIM(I302))&gt;0</formula>
    </cfRule>
    <cfRule type="expression" priority="97" dxfId="0">
      <formula>$I$305=""</formula>
    </cfRule>
  </conditionalFormatting>
  <conditionalFormatting sqref="B302:G302">
    <cfRule type="notContainsBlanks" priority="94" dxfId="0">
      <formula>LEN(TRIM(B302))&gt;0</formula>
    </cfRule>
    <cfRule type="expression" priority="95" dxfId="0">
      <formula>$B$305=""</formula>
    </cfRule>
  </conditionalFormatting>
  <conditionalFormatting sqref="M23">
    <cfRule type="cellIs" priority="91" operator="greaterThan" dxfId="0">
      <formula>0</formula>
    </cfRule>
  </conditionalFormatting>
  <conditionalFormatting sqref="M32">
    <cfRule type="cellIs" priority="90" operator="greaterThan" dxfId="0">
      <formula>0</formula>
    </cfRule>
  </conditionalFormatting>
  <conditionalFormatting sqref="M41">
    <cfRule type="cellIs" priority="89" operator="greaterThan" dxfId="0">
      <formula>0</formula>
    </cfRule>
  </conditionalFormatting>
  <conditionalFormatting sqref="M50:P55">
    <cfRule type="cellIs" priority="88" operator="greaterThan" dxfId="0">
      <formula>0</formula>
    </cfRule>
  </conditionalFormatting>
  <conditionalFormatting sqref="M59:P64">
    <cfRule type="cellIs" priority="87" operator="greaterThan" dxfId="0">
      <formula>0</formula>
    </cfRule>
  </conditionalFormatting>
  <conditionalFormatting sqref="M68:P72">
    <cfRule type="cellIs" priority="86" operator="greaterThan" dxfId="0">
      <formula>0</formula>
    </cfRule>
  </conditionalFormatting>
  <conditionalFormatting sqref="M79:P84">
    <cfRule type="cellIs" priority="85" operator="greaterThan" dxfId="0">
      <formula>0</formula>
    </cfRule>
  </conditionalFormatting>
  <conditionalFormatting sqref="M88:P93">
    <cfRule type="cellIs" priority="84" operator="greaterThan" dxfId="0">
      <formula>0</formula>
    </cfRule>
  </conditionalFormatting>
  <conditionalFormatting sqref="M97:P102">
    <cfRule type="cellIs" priority="83" operator="greaterThan" dxfId="0">
      <formula>0</formula>
    </cfRule>
  </conditionalFormatting>
  <conditionalFormatting sqref="M106:P111">
    <cfRule type="cellIs" priority="82" operator="greaterThan" dxfId="0">
      <formula>0</formula>
    </cfRule>
  </conditionalFormatting>
  <conditionalFormatting sqref="M115:P120">
    <cfRule type="cellIs" priority="81" operator="greaterThan" dxfId="0">
      <formula>0</formula>
    </cfRule>
  </conditionalFormatting>
  <conditionalFormatting sqref="M124:P129">
    <cfRule type="cellIs" priority="80" operator="greaterThan" dxfId="0">
      <formula>0</formula>
    </cfRule>
  </conditionalFormatting>
  <conditionalFormatting sqref="M133:P138">
    <cfRule type="cellIs" priority="79" operator="greaterThan" dxfId="0">
      <formula>0</formula>
    </cfRule>
  </conditionalFormatting>
  <conditionalFormatting sqref="M142:P147">
    <cfRule type="cellIs" priority="78" operator="greaterThan" dxfId="0">
      <formula>0</formula>
    </cfRule>
  </conditionalFormatting>
  <conditionalFormatting sqref="M151:P156">
    <cfRule type="cellIs" priority="77" operator="greaterThan" dxfId="0">
      <formula>0</formula>
    </cfRule>
  </conditionalFormatting>
  <conditionalFormatting sqref="M160:P165">
    <cfRule type="cellIs" priority="76" operator="greaterThan" dxfId="0">
      <formula>0</formula>
    </cfRule>
  </conditionalFormatting>
  <conditionalFormatting sqref="M169:P174">
    <cfRule type="cellIs" priority="75" operator="greaterThan" dxfId="0">
      <formula>0</formula>
    </cfRule>
  </conditionalFormatting>
  <conditionalFormatting sqref="M178:P183">
    <cfRule type="cellIs" priority="74" operator="greaterThan" dxfId="0">
      <formula>0</formula>
    </cfRule>
  </conditionalFormatting>
  <conditionalFormatting sqref="M187:P192">
    <cfRule type="cellIs" priority="73" operator="greaterThan" dxfId="0">
      <formula>0</formula>
    </cfRule>
  </conditionalFormatting>
  <conditionalFormatting sqref="M196:P201">
    <cfRule type="cellIs" priority="72" operator="greaterThan" dxfId="0">
      <formula>0</formula>
    </cfRule>
  </conditionalFormatting>
  <conditionalFormatting sqref="M205:P210">
    <cfRule type="cellIs" priority="71" operator="greaterThan" dxfId="0">
      <formula>0</formula>
    </cfRule>
  </conditionalFormatting>
  <conditionalFormatting sqref="M214:P219">
    <cfRule type="cellIs" priority="70" operator="greaterThan" dxfId="0">
      <formula>0</formula>
    </cfRule>
  </conditionalFormatting>
  <conditionalFormatting sqref="M223:P228">
    <cfRule type="cellIs" priority="69" operator="greaterThan" dxfId="0">
      <formula>0</formula>
    </cfRule>
  </conditionalFormatting>
  <conditionalFormatting sqref="M232:P237">
    <cfRule type="cellIs" priority="68" operator="greaterThan" dxfId="0">
      <formula>0</formula>
    </cfRule>
  </conditionalFormatting>
  <conditionalFormatting sqref="M241:P246">
    <cfRule type="cellIs" priority="67" operator="greaterThan" dxfId="0">
      <formula>0</formula>
    </cfRule>
  </conditionalFormatting>
  <conditionalFormatting sqref="M250:P255">
    <cfRule type="cellIs" priority="66" operator="greaterThan" dxfId="0">
      <formula>0</formula>
    </cfRule>
  </conditionalFormatting>
  <conditionalFormatting sqref="M259:P264">
    <cfRule type="cellIs" priority="65" operator="greaterThan" dxfId="0">
      <formula>0</formula>
    </cfRule>
  </conditionalFormatting>
  <conditionalFormatting sqref="M268:P273">
    <cfRule type="cellIs" priority="64" operator="greaterThan" dxfId="0">
      <formula>0</formula>
    </cfRule>
  </conditionalFormatting>
  <conditionalFormatting sqref="M277:P282">
    <cfRule type="cellIs" priority="63" operator="greaterThan" dxfId="0">
      <formula>0</formula>
    </cfRule>
  </conditionalFormatting>
  <conditionalFormatting sqref="Q23">
    <cfRule type="cellIs" priority="61" operator="greaterThan" dxfId="0">
      <formula>0</formula>
    </cfRule>
  </conditionalFormatting>
  <conditionalFormatting sqref="Q32">
    <cfRule type="cellIs" priority="60" operator="greaterThan" dxfId="0">
      <formula>0</formula>
    </cfRule>
  </conditionalFormatting>
  <conditionalFormatting sqref="Q41">
    <cfRule type="cellIs" priority="59" operator="greaterThan" dxfId="0">
      <formula>0</formula>
    </cfRule>
  </conditionalFormatting>
  <conditionalFormatting sqref="Q50">
    <cfRule type="cellIs" priority="58" operator="greaterThan" dxfId="0">
      <formula>0</formula>
    </cfRule>
  </conditionalFormatting>
  <conditionalFormatting sqref="Q59">
    <cfRule type="cellIs" priority="57" operator="greaterThan" dxfId="0">
      <formula>0</formula>
    </cfRule>
  </conditionalFormatting>
  <conditionalFormatting sqref="Q68">
    <cfRule type="cellIs" priority="56" operator="greaterThan" dxfId="0">
      <formula>0</formula>
    </cfRule>
  </conditionalFormatting>
  <conditionalFormatting sqref="Q79">
    <cfRule type="cellIs" priority="55" operator="greaterThan" dxfId="0">
      <formula>0</formula>
    </cfRule>
  </conditionalFormatting>
  <conditionalFormatting sqref="Q88">
    <cfRule type="cellIs" priority="54" operator="greaterThan" dxfId="0">
      <formula>0</formula>
    </cfRule>
  </conditionalFormatting>
  <conditionalFormatting sqref="Q97">
    <cfRule type="cellIs" priority="53" operator="greaterThan" dxfId="0">
      <formula>0</formula>
    </cfRule>
  </conditionalFormatting>
  <conditionalFormatting sqref="Q106">
    <cfRule type="cellIs" priority="52" operator="greaterThan" dxfId="0">
      <formula>0</formula>
    </cfRule>
  </conditionalFormatting>
  <conditionalFormatting sqref="Q115">
    <cfRule type="cellIs" priority="51" operator="greaterThan" dxfId="0">
      <formula>0</formula>
    </cfRule>
  </conditionalFormatting>
  <conditionalFormatting sqref="Q124">
    <cfRule type="cellIs" priority="50" operator="greaterThan" dxfId="0">
      <formula>0</formula>
    </cfRule>
  </conditionalFormatting>
  <conditionalFormatting sqref="Q133">
    <cfRule type="cellIs" priority="49" operator="greaterThan" dxfId="0">
      <formula>0</formula>
    </cfRule>
  </conditionalFormatting>
  <conditionalFormatting sqref="Q142">
    <cfRule type="cellIs" priority="48" operator="greaterThan" dxfId="0">
      <formula>0</formula>
    </cfRule>
  </conditionalFormatting>
  <conditionalFormatting sqref="Q151">
    <cfRule type="cellIs" priority="47" operator="greaterThan" dxfId="0">
      <formula>0</formula>
    </cfRule>
  </conditionalFormatting>
  <conditionalFormatting sqref="Q160">
    <cfRule type="cellIs" priority="46" operator="greaterThan" dxfId="0">
      <formula>0</formula>
    </cfRule>
  </conditionalFormatting>
  <conditionalFormatting sqref="Q169">
    <cfRule type="cellIs" priority="45" operator="greaterThan" dxfId="0">
      <formula>0</formula>
    </cfRule>
  </conditionalFormatting>
  <conditionalFormatting sqref="Q178">
    <cfRule type="cellIs" priority="44" operator="greaterThan" dxfId="0">
      <formula>0</formula>
    </cfRule>
  </conditionalFormatting>
  <conditionalFormatting sqref="Q187">
    <cfRule type="cellIs" priority="43" operator="greaterThan" dxfId="0">
      <formula>0</formula>
    </cfRule>
  </conditionalFormatting>
  <conditionalFormatting sqref="Q196">
    <cfRule type="cellIs" priority="42" operator="greaterThan" dxfId="0">
      <formula>0</formula>
    </cfRule>
  </conditionalFormatting>
  <conditionalFormatting sqref="Q205">
    <cfRule type="cellIs" priority="41" operator="greaterThan" dxfId="0">
      <formula>0</formula>
    </cfRule>
  </conditionalFormatting>
  <conditionalFormatting sqref="Q214">
    <cfRule type="cellIs" priority="40" operator="greaterThan" dxfId="0">
      <formula>0</formula>
    </cfRule>
  </conditionalFormatting>
  <conditionalFormatting sqref="Q223">
    <cfRule type="cellIs" priority="39" operator="greaterThan" dxfId="0">
      <formula>0</formula>
    </cfRule>
  </conditionalFormatting>
  <conditionalFormatting sqref="Q232">
    <cfRule type="cellIs" priority="38" operator="greaterThan" dxfId="0">
      <formula>0</formula>
    </cfRule>
  </conditionalFormatting>
  <conditionalFormatting sqref="Q241">
    <cfRule type="cellIs" priority="37" operator="greaterThan" dxfId="0">
      <formula>0</formula>
    </cfRule>
  </conditionalFormatting>
  <conditionalFormatting sqref="Q250">
    <cfRule type="cellIs" priority="36" operator="greaterThan" dxfId="0">
      <formula>0</formula>
    </cfRule>
  </conditionalFormatting>
  <conditionalFormatting sqref="Q259">
    <cfRule type="cellIs" priority="35" operator="greaterThan" dxfId="0">
      <formula>0</formula>
    </cfRule>
  </conditionalFormatting>
  <conditionalFormatting sqref="Q268">
    <cfRule type="cellIs" priority="34" operator="greaterThan" dxfId="0">
      <formula>0</formula>
    </cfRule>
  </conditionalFormatting>
  <conditionalFormatting sqref="Q277">
    <cfRule type="cellIs" priority="33" operator="greaterThan" dxfId="0">
      <formula>0</formula>
    </cfRule>
  </conditionalFormatting>
  <conditionalFormatting sqref="B290:G290 I290:M290 O290:R290">
    <cfRule type="cellIs" priority="31" operator="greaterThan" dxfId="12" stopIfTrue="1">
      <formula>0</formula>
    </cfRule>
  </conditionalFormatting>
  <conditionalFormatting sqref="O287:R287">
    <cfRule type="notContainsBlanks" priority="29" dxfId="0">
      <formula>LEN(TRIM(O287))&gt;0</formula>
    </cfRule>
    <cfRule type="expression" priority="30" dxfId="0">
      <formula>$O$300=""</formula>
    </cfRule>
  </conditionalFormatting>
  <conditionalFormatting sqref="I287:M287">
    <cfRule type="notContainsBlanks" priority="27" dxfId="0">
      <formula>LEN(TRIM(I287))&gt;0</formula>
    </cfRule>
    <cfRule type="expression" priority="28" dxfId="0">
      <formula>$I$300=""</formula>
    </cfRule>
  </conditionalFormatting>
  <conditionalFormatting sqref="B287:G287">
    <cfRule type="notContainsBlanks" priority="25" dxfId="0">
      <formula>LEN(TRIM(B287))&gt;0</formula>
    </cfRule>
    <cfRule type="expression" priority="26" dxfId="0">
      <formula>$B$300=""</formula>
    </cfRule>
  </conditionalFormatting>
  <conditionalFormatting sqref="B295:G295 I295:M295 O295:R295">
    <cfRule type="cellIs" priority="24" operator="greaterThan" dxfId="12" stopIfTrue="1">
      <formula>0</formula>
    </cfRule>
  </conditionalFormatting>
  <conditionalFormatting sqref="O292:R292">
    <cfRule type="notContainsBlanks" priority="22" dxfId="0">
      <formula>LEN(TRIM(O292))&gt;0</formula>
    </cfRule>
    <cfRule type="expression" priority="23" dxfId="0">
      <formula>$O$300=""</formula>
    </cfRule>
  </conditionalFormatting>
  <conditionalFormatting sqref="I292:M292">
    <cfRule type="notContainsBlanks" priority="20" dxfId="0">
      <formula>LEN(TRIM(I292))&gt;0</formula>
    </cfRule>
    <cfRule type="expression" priority="21" dxfId="0">
      <formula>$I$300=""</formula>
    </cfRule>
  </conditionalFormatting>
  <conditionalFormatting sqref="B292:G292">
    <cfRule type="notContainsBlanks" priority="18" dxfId="0">
      <formula>LEN(TRIM(B292))&gt;0</formula>
    </cfRule>
    <cfRule type="expression" priority="19" dxfId="0">
      <formula>$B$300=""</formula>
    </cfRule>
  </conditionalFormatting>
  <conditionalFormatting sqref="E3:Q4">
    <cfRule type="cellIs" priority="6" operator="greaterThan" dxfId="4">
      <formula>0</formula>
    </cfRule>
  </conditionalFormatting>
  <conditionalFormatting sqref="Q5">
    <cfRule type="cellIs" priority="5" operator="greaterThan" dxfId="4">
      <formula>0</formula>
    </cfRule>
  </conditionalFormatting>
  <conditionalFormatting sqref="G5">
    <cfRule type="cellIs" priority="4" operator="greaterThan" dxfId="0">
      <formula>0</formula>
    </cfRule>
  </conditionalFormatting>
  <conditionalFormatting sqref="M5">
    <cfRule type="cellIs" priority="3" operator="greaterThan" dxfId="0">
      <formula>0</formula>
    </cfRule>
  </conditionalFormatting>
  <conditionalFormatting sqref="P5">
    <cfRule type="cellIs" priority="2" operator="greaterThan" dxfId="0">
      <formula>0</formula>
    </cfRule>
  </conditionalFormatting>
  <conditionalFormatting sqref="J5">
    <cfRule type="cellIs" priority="1" operator="greaterThan" dxfId="0">
      <formula>0</formula>
    </cfRule>
  </conditionalFormatting>
  <printOptions horizontalCentered="1"/>
  <pageMargins left="0" right="0" top="0.7480314960629921" bottom="0.7480314960629921" header="0.3149606299212598" footer="0.3149606299212598"/>
  <pageSetup orientation="landscape" scale="40"/>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cols>
    <col width="8.7265625" customWidth="1" style="108" min="1" max="16384"/>
  </cols>
  <sheetData/>
  <pageMargins left="0.7" right="0.7" top="0.75" bottom="0.75" header="0.3" footer="0.3"/>
</worksheet>
</file>

<file path=xl/worksheets/sheet4.xml><?xml version="1.0" encoding="utf-8"?>
<worksheet xmlns="http://schemas.openxmlformats.org/spreadsheetml/2006/main">
  <sheetPr>
    <tabColor theme="7" tint="-0.249977111117893"/>
    <outlinePr summaryBelow="1" summaryRight="1"/>
    <pageSetUpPr/>
  </sheetPr>
  <dimension ref="A1:Z173"/>
  <sheetViews>
    <sheetView showGridLines="0" topLeftCell="K1" zoomScale="70" zoomScaleNormal="70" workbookViewId="0">
      <selection activeCell="A5" sqref="A5"/>
    </sheetView>
  </sheetViews>
  <sheetFormatPr baseColWidth="8" defaultColWidth="11.36328125" defaultRowHeight="22.5" customHeight="1"/>
  <cols>
    <col width="5.453125" customWidth="1" style="142" min="1" max="1"/>
    <col width="23.26953125" customWidth="1" style="142" min="2" max="2"/>
    <col width="5.453125" customWidth="1" style="142" min="3" max="3"/>
    <col width="18.81640625" customWidth="1" style="142" min="4" max="4"/>
    <col width="5.453125" customWidth="1" style="142" min="5" max="5"/>
    <col width="5.81640625" customWidth="1" style="132" min="6" max="6"/>
    <col width="15.453125" customWidth="1" style="132" min="7" max="7"/>
    <col width="72.1796875" customWidth="1" style="132" min="8" max="8"/>
    <col width="5.1796875" customWidth="1" style="132" min="9" max="9"/>
    <col width="20.36328125" customWidth="1" style="142" min="10" max="10"/>
    <col width="3.36328125" bestFit="1" customWidth="1" style="142" min="11" max="11"/>
    <col width="52.54296875" customWidth="1" style="142" min="12" max="12"/>
    <col width="5.1796875" customWidth="1" style="142" min="13" max="13"/>
    <col width="23.81640625" bestFit="1" customWidth="1" style="142" min="14" max="14"/>
    <col width="5.1796875" customWidth="1" style="142" min="15" max="15"/>
    <col width="31.08984375" bestFit="1" customWidth="1" style="142" min="16" max="16"/>
    <col width="3.81640625" customWidth="1" style="142" min="17" max="17"/>
    <col width="27.1796875" bestFit="1" customWidth="1" style="142" min="18" max="18"/>
    <col width="3.81640625" customWidth="1" style="142" min="19" max="19"/>
    <col width="27.81640625" bestFit="1" customWidth="1" style="142" min="20" max="20"/>
    <col width="3.81640625" customWidth="1" style="142" min="21" max="21"/>
    <col width="34.1796875" customWidth="1" style="142" min="22" max="22"/>
    <col width="37.08984375" customWidth="1" style="142" min="23" max="23"/>
    <col width="22.81640625" customWidth="1" style="142" min="24" max="24"/>
    <col width="11.36328125" customWidth="1" style="142" min="25" max="25"/>
    <col width="11.36328125" customWidth="1" style="142" min="26" max="26"/>
    <col width="11.36328125" customWidth="1" style="142" min="27" max="16384"/>
  </cols>
  <sheetData>
    <row r="1" ht="22.5" customHeight="1" s="150">
      <c r="L1" s="111" t="inlineStr">
        <is>
          <t>PLAN ANUAL 2025</t>
        </is>
      </c>
    </row>
    <row r="2" ht="22.5" customHeight="1" s="150">
      <c r="B2" s="134" t="inlineStr">
        <is>
          <t>EMPRESA</t>
        </is>
      </c>
      <c r="D2" s="121" t="inlineStr">
        <is>
          <t>OBSERVACION / RECOMENDACIÓN</t>
        </is>
      </c>
      <c r="F2" s="133" t="inlineStr">
        <is>
          <t>No</t>
        </is>
      </c>
      <c r="G2" s="133" t="inlineStr">
        <is>
          <t>Riesgo</t>
        </is>
      </c>
      <c r="H2" s="133" t="inlineStr">
        <is>
          <t>Concepto</t>
        </is>
      </c>
      <c r="J2" s="134" t="inlineStr">
        <is>
          <t>CLASIFICACIÓN DE PROCESO AUDITADO</t>
        </is>
      </c>
      <c r="K2" s="144" t="n"/>
      <c r="L2" s="111" t="inlineStr">
        <is>
          <t>NOMBRE DE LA AUDITORIA</t>
        </is>
      </c>
      <c r="N2" s="135" t="inlineStr">
        <is>
          <t>NOMBRE DEL MONITOREO</t>
        </is>
      </c>
      <c r="P2" s="135" t="inlineStr">
        <is>
          <t>CONTROL INTERNO</t>
        </is>
      </c>
      <c r="R2" s="4" t="inlineStr">
        <is>
          <t>TIPO DE 
HALLAZGO</t>
        </is>
      </c>
      <c r="T2" s="135" t="inlineStr">
        <is>
          <t>DEPTO DE AUDITORÍA INTERNA</t>
        </is>
      </c>
      <c r="V2" s="135" t="inlineStr">
        <is>
          <t>DEPTO DE AUDITORÍA INTERNA</t>
        </is>
      </c>
      <c r="W2" s="135" t="inlineStr">
        <is>
          <t>AUDITOR RESPONSABLE</t>
        </is>
      </c>
      <c r="X2" s="135" t="inlineStr">
        <is>
          <t xml:space="preserve">Puesto </t>
        </is>
      </c>
      <c r="Y2" s="135" t="inlineStr">
        <is>
          <t>Area del Auditor</t>
        </is>
      </c>
      <c r="Z2" s="136" t="n"/>
    </row>
    <row r="3" ht="46.5" customHeight="1" s="150">
      <c r="B3" s="99" t="inlineStr">
        <is>
          <t>Banco BASE</t>
        </is>
      </c>
      <c r="D3" s="99" t="inlineStr">
        <is>
          <t>Observación</t>
        </is>
      </c>
      <c r="F3" s="137" t="n">
        <v>1</v>
      </c>
      <c r="G3" s="137" t="inlineStr">
        <is>
          <t>BAJO</t>
        </is>
      </c>
      <c r="H3" s="138" t="inlineStr">
        <is>
          <t>a) Observaciones sobre Actualizaciones e incumplimiento a la Normatividad Interna
b) Desviaciones menores por falta de capacitación
C) Inexistencia total de normatividad en procesos o actividades identificadas y realizadas por las áreas</t>
        </is>
      </c>
      <c r="I3" s="139" t="n"/>
      <c r="J3" s="99" t="inlineStr">
        <is>
          <t>Control</t>
        </is>
      </c>
      <c r="K3" s="142" t="n"/>
      <c r="L3" s="147" t="inlineStr">
        <is>
          <t>31 PUNTOS BANXICO OPERACIONES DERIVADAS, MARIZ</t>
        </is>
      </c>
      <c r="M3" s="140" t="n"/>
      <c r="N3" s="114" t="inlineStr">
        <is>
          <t>No Aplica</t>
        </is>
      </c>
      <c r="O3" s="140" t="n"/>
      <c r="P3" s="99" t="inlineStr">
        <is>
          <t>Ausencia de Control</t>
        </is>
      </c>
      <c r="Q3" s="140" t="n"/>
      <c r="R3" s="141" t="inlineStr">
        <is>
          <t>Actualización a la Normatividad</t>
        </is>
      </c>
      <c r="S3" s="140" t="n"/>
      <c r="T3" s="109" t="inlineStr">
        <is>
          <t>Auditoría de Tesorería y Mercados</t>
        </is>
      </c>
      <c r="U3" s="140" t="n"/>
      <c r="V3" s="99" t="inlineStr">
        <is>
          <t>Auditoría de Tesorería y Mercados</t>
        </is>
      </c>
      <c r="W3" s="141" t="inlineStr">
        <is>
          <t>Alejandro Guadalupe Solis Arteaga</t>
        </is>
      </c>
      <c r="X3" s="141" t="inlineStr">
        <is>
          <t>Auditor Jr</t>
        </is>
      </c>
      <c r="Y3" s="99" t="inlineStr">
        <is>
          <t>TYM</t>
        </is>
      </c>
      <c r="Z3" s="142" t="n"/>
    </row>
    <row r="4" ht="46.5" customHeight="1" s="150">
      <c r="B4" s="99" t="inlineStr">
        <is>
          <t>Casa de Bolsa BASE</t>
        </is>
      </c>
      <c r="D4" s="99" t="inlineStr">
        <is>
          <t>Recomendación</t>
        </is>
      </c>
      <c r="F4" s="137" t="n">
        <v>2</v>
      </c>
      <c r="G4" s="137" t="inlineStr">
        <is>
          <t>BAJO (Reincidente)</t>
        </is>
      </c>
      <c r="H4" s="138" t="inlineStr">
        <is>
          <t>a) Observaciones sobre Actualizaciones e incumplimiento a la Normatividad Interna
b) Desviaciones menores por falta de capacitación
C) Inexistencia total de normatividad en procesos o actividades identificadas y realizadas por las áreas</t>
        </is>
      </c>
      <c r="I4" s="139" t="n"/>
      <c r="J4" s="99" t="inlineStr">
        <is>
          <t>Soporte</t>
        </is>
      </c>
      <c r="K4" s="142" t="n"/>
      <c r="L4" s="147" t="inlineStr">
        <is>
          <t>31 PUNTOS DE DERIVADOS</t>
        </is>
      </c>
      <c r="M4" s="140" t="n"/>
      <c r="N4" s="114" t="inlineStr">
        <is>
          <t>Acuses de entrega de Tokens</t>
        </is>
      </c>
      <c r="O4" s="140" t="n"/>
      <c r="P4" s="99" t="inlineStr">
        <is>
          <t>Deficiencia del diseño del control</t>
        </is>
      </c>
      <c r="Q4" s="140" t="n"/>
      <c r="R4" s="141" t="inlineStr">
        <is>
          <t>Ausencia de Normatividad</t>
        </is>
      </c>
      <c r="S4" s="140" t="n"/>
      <c r="T4" s="109" t="inlineStr">
        <is>
          <t>Auditoría de Riesgos y Perfiles</t>
        </is>
      </c>
      <c r="U4" s="140" t="n"/>
      <c r="V4" s="99" t="inlineStr">
        <is>
          <t>Auditoría de Riesgos y Perfiles</t>
        </is>
      </c>
      <c r="W4" s="141" t="inlineStr">
        <is>
          <t>Angela Michelle López Muñiz</t>
        </is>
      </c>
      <c r="X4" s="141" t="inlineStr">
        <is>
          <t>Auditor Jr</t>
        </is>
      </c>
      <c r="Y4" s="99" t="inlineStr">
        <is>
          <t>RYP</t>
        </is>
      </c>
      <c r="Z4" s="142" t="n"/>
    </row>
    <row r="5" ht="46.5" customHeight="1" s="150">
      <c r="B5" s="99" t="inlineStr">
        <is>
          <t>Grupo Financiero BASE</t>
        </is>
      </c>
      <c r="F5" s="137" t="n">
        <v>3</v>
      </c>
      <c r="G5" s="137" t="inlineStr">
        <is>
          <t>MEDIO</t>
        </is>
      </c>
      <c r="H5" s="138" t="inlineStr">
        <is>
          <t>a) Observaciones relacionadas con fallas en la ejecución de Controles del proceso, sin afectaciones económicas
b) Observaciones sobre Normatividad no existente o desactualizada relacionada con temas Regulatorios
C) Observaciones reincidencia</t>
        </is>
      </c>
      <c r="I5" s="139" t="n"/>
      <c r="J5" s="99" t="inlineStr">
        <is>
          <t>Negocio</t>
        </is>
      </c>
      <c r="K5" s="142" t="n"/>
      <c r="L5" s="147" t="inlineStr">
        <is>
          <t>31 PUNTOS DERIVADOS, MODELOS DE VALUACIÓN</t>
        </is>
      </c>
      <c r="M5" s="140" t="n"/>
      <c r="N5" s="114" t="inlineStr">
        <is>
          <t>Actualización de atributos de garantías hipotecarias y prendarias</t>
        </is>
      </c>
      <c r="O5" s="140" t="n"/>
      <c r="P5" s="99" t="inlineStr">
        <is>
          <t>Falla en la ejecución del control</t>
        </is>
      </c>
      <c r="Q5" s="140" t="n"/>
      <c r="R5" s="141" t="inlineStr">
        <is>
          <t>Desarrollo Tecnológico</t>
        </is>
      </c>
      <c r="S5" s="140" t="n"/>
      <c r="T5" s="109" t="inlineStr">
        <is>
          <t>Auditoría de Operaciones Pasivas y Tecnología</t>
        </is>
      </c>
      <c r="U5" s="140" t="n"/>
      <c r="V5" s="99" t="inlineStr">
        <is>
          <t>Auditoría de Crédito Empresarial</t>
        </is>
      </c>
      <c r="W5" s="141" t="inlineStr">
        <is>
          <t>Blanca Nelly Gutiérrez Garza</t>
        </is>
      </c>
      <c r="X5" s="141" t="inlineStr">
        <is>
          <t>Auditor Sr</t>
        </is>
      </c>
      <c r="Y5" s="99" t="inlineStr">
        <is>
          <t>CRE</t>
        </is>
      </c>
      <c r="Z5" s="142" t="n"/>
    </row>
    <row r="6" ht="46.5" customHeight="1" s="150">
      <c r="F6" s="137" t="n">
        <v>4</v>
      </c>
      <c r="G6" s="137" t="inlineStr">
        <is>
          <t>MEDIO (Reincidente)</t>
        </is>
      </c>
      <c r="H6" s="138" t="inlineStr">
        <is>
          <t>a) Observaciones relacionadas con fallas en la ejecución de Controles del proceso, sin afectaciones económicas
b) Observaciones sobre Normatividad no existente o desactualizada relacionada con temas Regulatorios
C) Observaciones reincidencia</t>
        </is>
      </c>
      <c r="I6" s="139" t="n"/>
      <c r="J6" s="142" t="n"/>
      <c r="K6" s="142" t="n"/>
      <c r="L6" s="147" t="inlineStr">
        <is>
          <t>ACREEDORES SALDOS NUBA</t>
        </is>
      </c>
      <c r="M6" s="140" t="n"/>
      <c r="N6" s="114" t="inlineStr">
        <is>
          <t>Cartas de Autorización de Reporte de Buró de Crédito</t>
        </is>
      </c>
      <c r="O6" s="140" t="n"/>
      <c r="P6" s="140" t="n"/>
      <c r="Q6" s="140" t="n"/>
      <c r="R6" s="141" t="inlineStr">
        <is>
          <t>Diseño del Control Limitado</t>
        </is>
      </c>
      <c r="S6" s="140" t="n"/>
      <c r="T6" s="109" t="inlineStr">
        <is>
          <t>Auditoría de Crédito Empresarial</t>
        </is>
      </c>
      <c r="U6" s="140" t="n"/>
      <c r="V6" s="99" t="inlineStr">
        <is>
          <t>Auditoría de Operaciones Pasivas y Tecnología</t>
        </is>
      </c>
      <c r="W6" s="141" t="inlineStr">
        <is>
          <t>Brenda Nairobi Santiago Morales</t>
        </is>
      </c>
      <c r="X6" s="141" t="inlineStr">
        <is>
          <t>Auditor Jr</t>
        </is>
      </c>
      <c r="Y6" s="99" t="inlineStr">
        <is>
          <t>OPT</t>
        </is>
      </c>
      <c r="Z6" s="142" t="n"/>
    </row>
    <row r="7" ht="46.5" customHeight="1" s="150">
      <c r="F7" s="137" t="n">
        <v>5</v>
      </c>
      <c r="G7" s="137" t="inlineStr">
        <is>
          <t>ALTO</t>
        </is>
      </c>
      <c r="H7" s="138" t="inlineStr">
        <is>
          <t>a) Observaciones sobre el incumplimientos de Controles Operativos Clave y/o Controles Automáticos sin afectaciones económicas a la Institución o cliente (No se ha materializado el Fraudes, Desviaciones o Fallas Graves de Controles, Quebrantos, etc.)
b) Observaciones sobre incumplimientos regulatorios (Total o Parcial), sin antecedente de sanción aplicada a la Institución
c) Observaciones relacionadas con fallas en la ejecución de Controles del proceso, con impacto económico para la Institución.
d) Observaciones reincidentes</t>
        </is>
      </c>
      <c r="I7" s="139" t="n"/>
      <c r="J7" s="142" t="n"/>
      <c r="K7" s="142" t="n"/>
      <c r="L7" s="147" t="inlineStr">
        <is>
          <t>ADMINISTRACION INTEGRAL DE RIESGOS (MERCADO LIQUIDEZ, CRÉDITO, OPERACIONAL)</t>
        </is>
      </c>
      <c r="M7" s="140" t="n"/>
      <c r="N7" s="114" t="inlineStr">
        <is>
          <t>Concertación de Títulos de Terceros</t>
        </is>
      </c>
      <c r="O7" s="140" t="n"/>
      <c r="P7" s="140" t="n"/>
      <c r="Q7" s="140" t="n"/>
      <c r="R7" s="141" t="inlineStr">
        <is>
          <t>Falta de Capacitación</t>
        </is>
      </c>
      <c r="S7" s="140" t="n"/>
      <c r="T7" s="109" t="inlineStr">
        <is>
          <t>Auditoría de Administración, Contabilidad y Finanzas.</t>
        </is>
      </c>
      <c r="U7" s="140" t="n"/>
      <c r="V7" s="99" t="inlineStr">
        <is>
          <t>Auditoría de Operaciones Pasivas y Tecnología</t>
        </is>
      </c>
      <c r="W7" s="141" t="inlineStr">
        <is>
          <t>Cinthia Vianey Muro Casas</t>
        </is>
      </c>
      <c r="X7" s="141" t="inlineStr">
        <is>
          <t>Auditor Sr</t>
        </is>
      </c>
      <c r="Y7" s="99" t="inlineStr">
        <is>
          <t>OPT</t>
        </is>
      </c>
      <c r="Z7" s="142" t="n"/>
    </row>
    <row r="8" ht="46.5" customHeight="1" s="150">
      <c r="F8" s="137" t="n">
        <v>6</v>
      </c>
      <c r="G8" s="137" t="inlineStr">
        <is>
          <t>ALTO (Reincidente)</t>
        </is>
      </c>
      <c r="H8" s="138" t="inlineStr">
        <is>
          <t>a) Observaciones sobre el incumplimientos de Controles Operativos Clave y/o Controles Automáticos sin afectaciones económicas a la Institución o cliente (No se ha materializado el Fraudes, Desviaciones o Fallas Graves de Controles, Quebrantos, etc.)
b) Observaciones sobre incumplimientos regulatorios (Total o Parcial), sin antecedente de sanción aplicada a la Institución
c) Observaciones relacionadas con fallas en la ejecución de Controles del proceso, con impacto económico para la Institución.
d) Observaciones reincidentes</t>
        </is>
      </c>
      <c r="I8" s="139" t="n"/>
      <c r="J8" s="142" t="n"/>
      <c r="K8" s="142" t="n"/>
      <c r="L8" s="147" t="inlineStr">
        <is>
          <t>ADMINISTRACIÓN Y ASIGNACIÓN DE TOKEN</t>
        </is>
      </c>
      <c r="M8" s="140" t="n"/>
      <c r="N8" s="114" t="inlineStr">
        <is>
          <t>Confirmación de Operaciones de Productos Financieros Derivados</t>
        </is>
      </c>
      <c r="O8" s="140" t="n"/>
      <c r="P8" s="140" t="n"/>
      <c r="Q8" s="140" t="n"/>
      <c r="R8" s="141" t="inlineStr">
        <is>
          <t>Falta de Ejecución en el Control</t>
        </is>
      </c>
      <c r="S8" s="140" t="n"/>
      <c r="T8" s="140" t="n"/>
      <c r="U8" s="140" t="n"/>
      <c r="V8" s="99" t="inlineStr">
        <is>
          <t>Auditoría de Tesorería y Mercados</t>
        </is>
      </c>
      <c r="W8" s="141" t="inlineStr">
        <is>
          <t>Diana Patricia Mosqueda Peña</t>
        </is>
      </c>
      <c r="X8" s="141" t="inlineStr">
        <is>
          <t>Auditor Jr</t>
        </is>
      </c>
      <c r="Y8" s="99" t="inlineStr">
        <is>
          <t>TYM</t>
        </is>
      </c>
      <c r="Z8" s="142" t="n"/>
    </row>
    <row r="9" ht="46.5" customHeight="1" s="150">
      <c r="F9" s="137" t="n">
        <v>7</v>
      </c>
      <c r="G9" s="137" t="inlineStr">
        <is>
          <t>MUY ALTO</t>
        </is>
      </c>
      <c r="H9" s="138" t="inlineStr">
        <is>
          <t>a) Observaciones sobre los incumplimientos de Controles Operativos Clave y/o Controles Automáticos con afectaciones económicas a la Institución o al cliente (Fraudes, Desviaciones o Fallas Graves de Controles, Quebrantos, etc.).
b) Observaciones sobre incumplimientos regulatorios (Total o Parcial), con antecedente de sanción aplicada a la Institución. 
c) Observaciones originadas por malas practicas que se materializaron en un riesgo a la Institución y/o clientes.
d) Observaciones reincidentes cuya materialización haya tenido como consecuencia un impactado de Fraude y/o Quebranto.</t>
        </is>
      </c>
      <c r="I9" s="139" t="n"/>
      <c r="J9" s="142" t="n"/>
      <c r="K9" s="142" t="n"/>
      <c r="L9" s="147" t="inlineStr">
        <is>
          <t>ALTA DESTINATARIOS</t>
        </is>
      </c>
      <c r="M9" s="140" t="n"/>
      <c r="N9" s="114" t="inlineStr">
        <is>
          <t>Contratos Márgenes Únicos</t>
        </is>
      </c>
      <c r="O9" s="140" t="n"/>
      <c r="P9" s="140" t="n"/>
      <c r="Q9" s="140" t="n"/>
      <c r="R9" s="141" t="inlineStr">
        <is>
          <t>Inexistencia de Control</t>
        </is>
      </c>
      <c r="S9" s="140" t="n"/>
      <c r="T9" s="140" t="n"/>
      <c r="U9" s="140" t="n"/>
      <c r="V9" s="99" t="inlineStr">
        <is>
          <t>Auditoría de Tesorería y Mercados</t>
        </is>
      </c>
      <c r="W9" s="141" t="inlineStr">
        <is>
          <t>Domingo José Palermo Rodríguez</t>
        </is>
      </c>
      <c r="X9" s="141" t="inlineStr">
        <is>
          <t>Subdirector de Auditoría</t>
        </is>
      </c>
      <c r="Y9" s="99" t="inlineStr">
        <is>
          <t>TYM</t>
        </is>
      </c>
      <c r="Z9" s="142" t="n"/>
    </row>
    <row r="10" ht="46.5" customHeight="1" s="150">
      <c r="F10" s="137" t="n">
        <v>8</v>
      </c>
      <c r="G10" s="137" t="inlineStr">
        <is>
          <t>MUY ALTO (Reincidente)</t>
        </is>
      </c>
      <c r="H10" s="138" t="inlineStr">
        <is>
          <t>a) Observaciones sobre los incumplimientos de Controles Operativos Clave y/o Controles Automáticos con afectaciones económicas a la Institución o al cliente (Fraudes, Desviaciones o Fallas Graves de Controles, Quebrantos, etc.).
b) Observaciones sobre incumplimientos regulatorios (Total o Parcial), con antecedente de sanción aplicada a la Institución. 
c) Observaciones originadas por malas practicas que se materializaron en un riesgo a la Institución y/o clientes.
d) Observaciones reincidentes cuya materialización haya tenido como consecuencia un impactado de Fraude y/o Quebranto.</t>
        </is>
      </c>
      <c r="I10" s="139" t="n"/>
      <c r="J10" s="142" t="n"/>
      <c r="K10" s="142" t="n"/>
      <c r="L10" s="147" t="inlineStr">
        <is>
          <t>ALTAS, BAJAS Y CAMBIOS DE USUARIOS</t>
        </is>
      </c>
      <c r="M10" s="140" t="n"/>
      <c r="N10" s="114" t="inlineStr">
        <is>
          <t>Cuentas de Clientes con depósitos de Colaboradores</t>
        </is>
      </c>
      <c r="O10" s="140" t="n"/>
      <c r="P10" s="140" t="n"/>
      <c r="Q10" s="140" t="n"/>
      <c r="R10" s="141" t="inlineStr">
        <is>
          <t>Incumplimiento Regulatorio</t>
        </is>
      </c>
      <c r="S10" s="140" t="n"/>
      <c r="T10" s="140" t="n"/>
      <c r="U10" s="140" t="n"/>
      <c r="V10" s="99" t="inlineStr">
        <is>
          <t>Auditoría de Riesgos y Perfiles</t>
        </is>
      </c>
      <c r="W10" s="141" t="inlineStr">
        <is>
          <t>Elias Escobedo García</t>
        </is>
      </c>
      <c r="X10" s="141" t="inlineStr">
        <is>
          <t>Auditor Sr</t>
        </is>
      </c>
      <c r="Y10" s="99" t="inlineStr">
        <is>
          <t>RYP</t>
        </is>
      </c>
      <c r="Z10" s="142" t="n"/>
    </row>
    <row r="11" ht="46.5" customHeight="1" s="150">
      <c r="F11" s="143" t="n"/>
      <c r="G11" s="143" t="n"/>
      <c r="H11" s="143" t="n"/>
      <c r="I11" s="143" t="n"/>
      <c r="J11" s="142" t="n"/>
      <c r="K11" s="142" t="n"/>
      <c r="L11" s="147" t="inlineStr">
        <is>
          <t xml:space="preserve">APLICACIONES DE NEGOCIO </t>
        </is>
      </c>
      <c r="M11" s="140" t="n"/>
      <c r="N11" s="114" t="inlineStr">
        <is>
          <t>Cuestionario de Gobierno Corporativo</t>
        </is>
      </c>
      <c r="O11" s="140" t="n"/>
      <c r="P11" s="140" t="n"/>
      <c r="Q11" s="140" t="n"/>
      <c r="R11" s="140" t="n"/>
      <c r="S11" s="140" t="n"/>
      <c r="T11" s="140" t="n"/>
      <c r="U11" s="140" t="n"/>
      <c r="V11" s="99" t="inlineStr">
        <is>
          <t>Auditoría de Riesgos y Perfiles</t>
        </is>
      </c>
      <c r="W11" s="141" t="inlineStr">
        <is>
          <t>Erick Alberto Merinos García</t>
        </is>
      </c>
      <c r="X11" s="141" t="inlineStr">
        <is>
          <t>Auditor Sr</t>
        </is>
      </c>
      <c r="Y11" s="99" t="inlineStr">
        <is>
          <t>RYP</t>
        </is>
      </c>
      <c r="Z11" s="142" t="n"/>
    </row>
    <row r="12" ht="46.5" customHeight="1" s="150">
      <c r="J12" s="142" t="n"/>
      <c r="K12" s="142" t="n"/>
      <c r="L12" s="147" t="inlineStr">
        <is>
          <t>ARQUEOS DE CAJA</t>
        </is>
      </c>
      <c r="M12" s="140" t="n"/>
      <c r="N12" s="114" t="inlineStr">
        <is>
          <t>Custodia de Documentos Originales de Captación</t>
        </is>
      </c>
      <c r="O12" s="140" t="n"/>
      <c r="P12" s="140" t="n"/>
      <c r="Q12" s="140" t="n"/>
      <c r="R12" s="140" t="n"/>
      <c r="S12" s="140" t="n"/>
      <c r="T12" s="140" t="n"/>
      <c r="U12" s="140" t="n"/>
      <c r="V12" s="99" t="inlineStr">
        <is>
          <t>Auditoría de Crédito Empresarial</t>
        </is>
      </c>
      <c r="W12" s="141" t="inlineStr">
        <is>
          <t>Evelyn Natividad Gochar Calderón</t>
        </is>
      </c>
      <c r="X12" s="141" t="inlineStr">
        <is>
          <t>Auditor Jr</t>
        </is>
      </c>
      <c r="Y12" s="99" t="inlineStr">
        <is>
          <t>CRE</t>
        </is>
      </c>
      <c r="Z12" s="142" t="n"/>
    </row>
    <row r="13" ht="46.5" customHeight="1" s="150">
      <c r="J13" s="142" t="n"/>
      <c r="K13" s="142" t="n"/>
      <c r="L13" s="147" t="inlineStr">
        <is>
          <t>ARRENDAMIENTO MEXICO</t>
        </is>
      </c>
      <c r="M13" s="140" t="n"/>
      <c r="N13" s="114" t="inlineStr">
        <is>
          <t>Diario de Revelación del CCL</t>
        </is>
      </c>
      <c r="O13" s="140" t="n"/>
      <c r="P13" s="140" t="n"/>
      <c r="Q13" s="140" t="n"/>
      <c r="R13" s="140" t="n"/>
      <c r="S13" s="140" t="n"/>
      <c r="T13" s="140" t="n"/>
      <c r="U13" s="140" t="n"/>
      <c r="V13" s="99" t="inlineStr">
        <is>
          <t>Auditoría de Riesgos y Perfiles</t>
        </is>
      </c>
      <c r="W13" s="141" t="inlineStr">
        <is>
          <t>Evelyn Yamileth Martínez Galván</t>
        </is>
      </c>
      <c r="X13" s="141" t="inlineStr">
        <is>
          <t>Auditor Jr</t>
        </is>
      </c>
      <c r="Y13" s="99" t="inlineStr">
        <is>
          <t>RYP</t>
        </is>
      </c>
      <c r="Z13" s="142" t="n"/>
    </row>
    <row r="14" ht="46.5" customHeight="1" s="150">
      <c r="J14" s="142" t="n"/>
      <c r="K14" s="142" t="n"/>
      <c r="L14" s="147" t="inlineStr">
        <is>
          <t>ARRENDAMIENTO MONTERREY</t>
        </is>
      </c>
      <c r="M14" s="140" t="n"/>
      <c r="N14" s="114" t="inlineStr">
        <is>
          <t>Efectivo en cajas al final del día</t>
        </is>
      </c>
      <c r="O14" s="140" t="n"/>
      <c r="P14" s="140" t="n"/>
      <c r="Q14" s="140" t="n"/>
      <c r="R14" s="140" t="n"/>
      <c r="S14" s="140" t="n"/>
      <c r="T14" s="140" t="n"/>
      <c r="U14" s="140" t="n"/>
      <c r="V14" s="99" t="inlineStr">
        <is>
          <t>Auditoría de Operaciones Pasivas y Tecnología</t>
        </is>
      </c>
      <c r="W14" s="141" t="inlineStr">
        <is>
          <t>Fernando Huerta López</t>
        </is>
      </c>
      <c r="X14" s="141" t="inlineStr">
        <is>
          <t>Gerente de Auditoría</t>
        </is>
      </c>
      <c r="Y14" s="99" t="inlineStr">
        <is>
          <t>OPT</t>
        </is>
      </c>
      <c r="Z14" s="142" t="n"/>
    </row>
    <row r="15" ht="46.5" customHeight="1" s="150">
      <c r="A15" s="144" t="n"/>
      <c r="B15" s="144" t="n"/>
      <c r="C15" s="144" t="n"/>
      <c r="D15" s="144" t="n"/>
      <c r="E15" s="144" t="n"/>
      <c r="J15" s="142" t="n"/>
      <c r="K15" s="142" t="n"/>
      <c r="L15" s="147" t="inlineStr">
        <is>
          <t>AUDITORIA LEGAL</t>
        </is>
      </c>
      <c r="M15" s="140" t="n"/>
      <c r="N15" s="114" t="inlineStr">
        <is>
          <t>Eliminación de Cuentas de Usuarios en el Directorio Activo</t>
        </is>
      </c>
      <c r="O15" s="140" t="n"/>
      <c r="P15" s="140" t="n"/>
      <c r="Q15" s="140" t="n"/>
      <c r="R15" s="140" t="n"/>
      <c r="S15" s="140" t="n"/>
      <c r="T15" s="140" t="n"/>
      <c r="U15" s="140" t="n"/>
      <c r="V15" s="99" t="inlineStr">
        <is>
          <t>Auditoría de Operaciones Pasivas y Tecnología</t>
        </is>
      </c>
      <c r="W15" s="141" t="inlineStr">
        <is>
          <t>Griselda Torres Martínez</t>
        </is>
      </c>
      <c r="X15" s="141" t="inlineStr">
        <is>
          <t>Auditor Sr</t>
        </is>
      </c>
      <c r="Y15" s="99" t="inlineStr">
        <is>
          <t>OPT</t>
        </is>
      </c>
      <c r="Z15" s="142" t="n"/>
    </row>
    <row r="16" ht="46.5" customHeight="1" s="150">
      <c r="J16" s="142" t="n"/>
      <c r="K16" s="142" t="n"/>
      <c r="L16" s="147" t="inlineStr">
        <is>
          <t>BANCA ELECTRONICA</t>
        </is>
      </c>
      <c r="M16" s="140" t="n"/>
      <c r="N16" s="114" t="inlineStr">
        <is>
          <t>Empleados en periodos de inactividad vacaciones o incapacidades</t>
        </is>
      </c>
      <c r="O16" s="140" t="n"/>
      <c r="P16" s="140" t="n"/>
      <c r="Q16" s="140" t="n"/>
      <c r="R16" s="140" t="n"/>
      <c r="S16" s="140" t="n"/>
      <c r="T16" s="140" t="n"/>
      <c r="U16" s="140" t="n"/>
      <c r="V16" s="99" t="inlineStr">
        <is>
          <t>Auditoría de Tesorería y Mercados</t>
        </is>
      </c>
      <c r="W16" s="141" t="inlineStr">
        <is>
          <t>Jorge Alberto Maldonado Cantú</t>
        </is>
      </c>
      <c r="X16" s="141" t="inlineStr">
        <is>
          <t>Auditor Sr</t>
        </is>
      </c>
      <c r="Y16" s="99" t="inlineStr">
        <is>
          <t>TYM</t>
        </is>
      </c>
      <c r="Z16" s="142" t="n"/>
    </row>
    <row r="17" ht="46.5" customHeight="1" s="150">
      <c r="A17" s="102" t="n"/>
      <c r="B17" s="102" t="n"/>
      <c r="C17" s="102" t="n"/>
      <c r="D17" s="102" t="n"/>
      <c r="E17" s="102" t="n"/>
      <c r="J17" s="142" t="n"/>
      <c r="K17" s="142" t="n"/>
      <c r="L17" s="147" t="inlineStr">
        <is>
          <t>BIENES ADJUNDICADOS</t>
        </is>
      </c>
      <c r="M17" s="140" t="n"/>
      <c r="N17" s="114" t="inlineStr">
        <is>
          <t>Liquidación de Operaciones en cuentas autorizadas de contratos de Mercado de Dinero</t>
        </is>
      </c>
      <c r="O17" s="140" t="n"/>
      <c r="P17" s="140" t="n"/>
      <c r="Q17" s="140" t="n"/>
      <c r="R17" s="140" t="n"/>
      <c r="S17" s="140" t="n"/>
      <c r="T17" s="140" t="n"/>
      <c r="U17" s="140" t="n"/>
      <c r="V17" s="99" t="inlineStr">
        <is>
          <t>Auditoría de Operaciones Pasivas y Tecnología</t>
        </is>
      </c>
      <c r="W17" s="141" t="inlineStr">
        <is>
          <t>Jorge Ugarte Muro</t>
        </is>
      </c>
      <c r="X17" s="141" t="inlineStr">
        <is>
          <t>Auditor Sr</t>
        </is>
      </c>
      <c r="Y17" s="99" t="inlineStr">
        <is>
          <t>OPT</t>
        </is>
      </c>
      <c r="Z17" s="142" t="n"/>
    </row>
    <row r="18" ht="46.5" customHeight="1" s="150">
      <c r="A18" s="102" t="n"/>
      <c r="B18" s="102" t="n"/>
      <c r="C18" s="102" t="n"/>
      <c r="D18" s="102" t="n"/>
      <c r="E18" s="102" t="n"/>
      <c r="J18" s="142" t="n"/>
      <c r="K18" s="142" t="n"/>
      <c r="L18" s="147" t="inlineStr">
        <is>
          <t>BIOMETRICOS Y ROBO DE IDENTIDAD</t>
        </is>
      </c>
      <c r="M18" s="140" t="n"/>
      <c r="N18" s="114" t="inlineStr">
        <is>
          <t>Liquidación de Operaciones en cuentas autorizadas de contratos de Mercado de Dinero, Capitales y Fondos de Inversión</t>
        </is>
      </c>
      <c r="O18" s="140" t="n"/>
      <c r="P18" s="140" t="n"/>
      <c r="Q18" s="140" t="n"/>
      <c r="R18" s="140" t="n"/>
      <c r="S18" s="140" t="n"/>
      <c r="T18" s="140" t="n"/>
      <c r="U18" s="140" t="n"/>
      <c r="V18" s="99" t="inlineStr">
        <is>
          <t>Auditoría de Riesgos y Perfiles</t>
        </is>
      </c>
      <c r="W18" s="141" t="inlineStr">
        <is>
          <t>José Enrique Duque Leal</t>
        </is>
      </c>
      <c r="X18" s="141" t="inlineStr">
        <is>
          <t>Gerente de Auditoría</t>
        </is>
      </c>
      <c r="Y18" s="99" t="inlineStr">
        <is>
          <t>RYP</t>
        </is>
      </c>
      <c r="Z18" s="142" t="n"/>
    </row>
    <row r="19" ht="46.5" customHeight="1" s="150">
      <c r="A19" s="102" t="n"/>
      <c r="B19" s="102" t="n"/>
      <c r="C19" s="102" t="n"/>
      <c r="D19" s="102" t="n"/>
      <c r="E19" s="102" t="n"/>
      <c r="J19" s="142" t="n"/>
      <c r="K19" s="142" t="n"/>
      <c r="L19" s="147" t="inlineStr">
        <is>
          <t>BLOQUEO Y RESTRICCIÓN CLIENTES POR OFICIOS</t>
        </is>
      </c>
      <c r="M19" s="140" t="n"/>
      <c r="N19" s="114" t="inlineStr">
        <is>
          <t>Mensual Cuotas IPAB</t>
        </is>
      </c>
      <c r="O19" s="140" t="n"/>
      <c r="P19" s="140" t="n"/>
      <c r="Q19" s="140" t="n"/>
      <c r="R19" s="140" t="n"/>
      <c r="S19" s="140" t="n"/>
      <c r="T19" s="140" t="n"/>
      <c r="U19" s="140" t="n"/>
      <c r="V19" s="99" t="inlineStr">
        <is>
          <t>Auditoría de Operaciones Pasivas y Tecnología</t>
        </is>
      </c>
      <c r="W19" s="141" t="inlineStr">
        <is>
          <t xml:space="preserve">Julio Manuel Flores Treviño </t>
        </is>
      </c>
      <c r="X19" s="141" t="inlineStr">
        <is>
          <t>Auditor Sr</t>
        </is>
      </c>
      <c r="Y19" s="99" t="inlineStr">
        <is>
          <t>OPT</t>
        </is>
      </c>
      <c r="Z19" s="142" t="n"/>
    </row>
    <row r="20" ht="46.5" customHeight="1" s="150">
      <c r="A20" s="102" t="n"/>
      <c r="B20" s="102" t="n"/>
      <c r="C20" s="102" t="n"/>
      <c r="D20" s="102" t="n"/>
      <c r="E20" s="102" t="n"/>
      <c r="J20" s="142" t="n"/>
      <c r="K20" s="142" t="n"/>
      <c r="L20" s="147" t="inlineStr">
        <is>
          <t>BURO DE CREDITO - ADMINISTRACIÓN EXPEDIENTES</t>
        </is>
      </c>
      <c r="M20" s="140" t="n"/>
      <c r="N20" s="114" t="inlineStr">
        <is>
          <t>Págares (Banco y Arrendadora)</t>
        </is>
      </c>
      <c r="O20" s="140" t="n"/>
      <c r="P20" s="140" t="n"/>
      <c r="Q20" s="140" t="n"/>
      <c r="R20" s="140" t="n"/>
      <c r="S20" s="140" t="n"/>
      <c r="T20" s="140" t="n"/>
      <c r="U20" s="140" t="n"/>
      <c r="V20" s="99" t="inlineStr">
        <is>
          <t>Auditoría de Operaciones Pasivas y Tecnología</t>
        </is>
      </c>
      <c r="W20" s="141" t="inlineStr">
        <is>
          <t>Oscar Montelongo Vázquez</t>
        </is>
      </c>
      <c r="X20" s="141" t="inlineStr">
        <is>
          <t>Auditor Sr</t>
        </is>
      </c>
      <c r="Y20" s="99" t="inlineStr">
        <is>
          <t>OPT</t>
        </is>
      </c>
      <c r="Z20" s="140" t="n"/>
    </row>
    <row r="21" ht="46.5" customHeight="1" s="150">
      <c r="A21" s="103" t="n"/>
      <c r="B21" s="103" t="n"/>
      <c r="C21" s="103" t="n"/>
      <c r="D21" s="103" t="n"/>
      <c r="E21" s="103" t="n"/>
      <c r="K21" s="142" t="n"/>
      <c r="L21" s="147" t="inlineStr">
        <is>
          <t>BURÓ DE CRÉDITO - REPORTE A BURÓ DE CRÉDITO</t>
        </is>
      </c>
      <c r="M21" s="140" t="n"/>
      <c r="N21" s="114" t="inlineStr">
        <is>
          <t>Pólizas Manuales</t>
        </is>
      </c>
      <c r="O21" s="140" t="n"/>
      <c r="P21" s="140" t="n"/>
      <c r="Q21" s="140" t="n"/>
      <c r="R21" s="140" t="n"/>
      <c r="S21" s="140" t="n"/>
      <c r="T21" s="140" t="n"/>
      <c r="U21" s="140" t="n"/>
      <c r="V21" s="99" t="inlineStr">
        <is>
          <t>Auditoría de Crédito Empresarial</t>
        </is>
      </c>
      <c r="W21" s="141" t="inlineStr">
        <is>
          <t>Rafael Pacheco Torres</t>
        </is>
      </c>
      <c r="X21" s="141" t="inlineStr">
        <is>
          <t>Gerente de Auditoría</t>
        </is>
      </c>
      <c r="Y21" s="99" t="inlineStr">
        <is>
          <t>CRE</t>
        </is>
      </c>
      <c r="Z21" s="140" t="n"/>
    </row>
    <row r="22" ht="46.5" customHeight="1" s="150">
      <c r="A22" s="104" t="n"/>
      <c r="B22" s="104" t="n"/>
      <c r="C22" s="104" t="n"/>
      <c r="D22" s="104" t="n"/>
      <c r="E22" s="104" t="n"/>
      <c r="K22" s="142" t="n"/>
      <c r="L22" s="147" t="inlineStr">
        <is>
          <t>CAJAS OPERATIVAS Y OPERACIONES EN EFECTIVO</t>
        </is>
      </c>
      <c r="M22" s="140" t="n"/>
      <c r="N22" s="114" t="inlineStr">
        <is>
          <t xml:space="preserve">Recalificación de Líneas de Crédito </t>
        </is>
      </c>
      <c r="O22" s="140" t="n"/>
      <c r="P22" s="140" t="n"/>
      <c r="Q22" s="140" t="n"/>
      <c r="R22" s="140" t="n"/>
      <c r="S22" s="140" t="n"/>
      <c r="T22" s="140" t="n"/>
      <c r="U22" s="140" t="n"/>
      <c r="V22" s="99" t="inlineStr">
        <is>
          <t>Auditoría de Operaciones Pasivas y Tecnología</t>
        </is>
      </c>
      <c r="W22" s="141" t="inlineStr">
        <is>
          <t>Samantha Kahori Cobarrubias Ubaldo</t>
        </is>
      </c>
      <c r="X22" s="141" t="inlineStr">
        <is>
          <t>Analista Auditoría TI</t>
        </is>
      </c>
      <c r="Y22" s="99" t="inlineStr">
        <is>
          <t>OPT</t>
        </is>
      </c>
      <c r="Z22" s="140" t="n"/>
    </row>
    <row r="23" ht="46.5" customHeight="1" s="150">
      <c r="A23" s="103" t="n"/>
      <c r="B23" s="103" t="n"/>
      <c r="C23" s="103" t="n"/>
      <c r="D23" s="103" t="n"/>
      <c r="E23" s="103" t="n"/>
      <c r="K23" s="142" t="n"/>
      <c r="L23" s="147" t="inlineStr">
        <is>
          <t>CALIDAD DE INFORMACIÓN DE CLIENTES</t>
        </is>
      </c>
      <c r="M23" s="140" t="n"/>
      <c r="N23" s="114" t="inlineStr">
        <is>
          <t>Recalificación de Líneas de Derivados</t>
        </is>
      </c>
      <c r="O23" s="140" t="n"/>
      <c r="P23" s="140" t="n"/>
      <c r="Q23" s="140" t="n"/>
      <c r="R23" s="140" t="n"/>
      <c r="S23" s="140" t="n"/>
      <c r="T23" s="140" t="n"/>
      <c r="U23" s="140" t="n"/>
      <c r="V23" s="99" t="inlineStr">
        <is>
          <t>Auditoría de Riesgos y Perfiles</t>
        </is>
      </c>
      <c r="W23" s="141" t="inlineStr">
        <is>
          <t>Yarelli Michell Cruz Sánchez</t>
        </is>
      </c>
      <c r="X23" s="141" t="inlineStr">
        <is>
          <t>Auditor Jr</t>
        </is>
      </c>
      <c r="Y23" s="99" t="inlineStr">
        <is>
          <t>RYP</t>
        </is>
      </c>
      <c r="Z23" s="140" t="n"/>
    </row>
    <row r="24" ht="46.5" customHeight="1" s="150">
      <c r="A24" s="104" t="n"/>
      <c r="B24" s="104" t="n"/>
      <c r="C24" s="104" t="n"/>
      <c r="D24" s="104" t="n"/>
      <c r="E24" s="104" t="n"/>
      <c r="L24" s="147" t="inlineStr">
        <is>
          <t>CALIFICACION DE CARTERA</t>
        </is>
      </c>
      <c r="M24" s="140" t="n"/>
      <c r="N24" s="114" t="inlineStr">
        <is>
          <t>Retiro de Efectivo Empleados</t>
        </is>
      </c>
      <c r="O24" s="140" t="n"/>
      <c r="P24" s="140" t="n"/>
      <c r="Q24" s="140" t="n"/>
      <c r="R24" s="140" t="n"/>
      <c r="S24" s="140" t="n"/>
      <c r="T24" s="140" t="n"/>
      <c r="U24" s="140" t="n"/>
      <c r="V24" s="140" t="n"/>
      <c r="W24" s="140" t="n"/>
      <c r="X24" s="140" t="n"/>
      <c r="Y24" s="140" t="n"/>
    </row>
    <row r="25" ht="46.5" customHeight="1" s="150">
      <c r="A25" s="104" t="n"/>
      <c r="B25" s="104" t="n"/>
      <c r="C25" s="104" t="n"/>
      <c r="D25" s="104" t="n"/>
      <c r="E25" s="104" t="n"/>
      <c r="L25" s="147" t="inlineStr">
        <is>
          <t>CAMBIOS</t>
        </is>
      </c>
      <c r="M25" s="140" t="n"/>
      <c r="N25" s="114" t="inlineStr">
        <is>
          <t>Segregación de funciones</t>
        </is>
      </c>
      <c r="O25" s="140" t="n"/>
      <c r="P25" s="140" t="n"/>
      <c r="Q25" s="140" t="n"/>
      <c r="R25" s="140" t="n"/>
      <c r="S25" s="140" t="n"/>
      <c r="T25" s="140" t="n"/>
      <c r="U25" s="140" t="n"/>
      <c r="V25" s="140" t="n"/>
      <c r="W25" s="140" t="n"/>
      <c r="X25" s="140" t="n"/>
      <c r="Y25" s="140" t="n"/>
      <c r="Z25" s="144" t="n"/>
    </row>
    <row r="26" ht="46.5" customHeight="1" s="150">
      <c r="A26" s="104" t="n"/>
      <c r="B26" s="104" t="n"/>
      <c r="C26" s="104" t="n"/>
      <c r="D26" s="104" t="n"/>
      <c r="E26" s="104" t="n"/>
      <c r="L26" s="147" t="inlineStr">
        <is>
          <t>CARTAS DE CRÉDITO</t>
        </is>
      </c>
      <c r="M26" s="140" t="n"/>
      <c r="N26" s="114" t="inlineStr">
        <is>
          <t>Solicitudes de Financiamiento, Visitas Oculares, Avalúos y Pólizas de Seguro</t>
        </is>
      </c>
      <c r="O26" s="140" t="n"/>
      <c r="P26" s="140" t="n"/>
      <c r="Q26" s="140" t="n"/>
      <c r="R26" s="140" t="n"/>
      <c r="S26" s="140" t="n"/>
      <c r="T26" s="140" t="n"/>
      <c r="U26" s="140" t="n"/>
      <c r="V26" s="140" t="n"/>
      <c r="W26" s="140" t="n"/>
      <c r="X26" s="140" t="n"/>
      <c r="Y26" s="140" t="n"/>
      <c r="Z26" s="144" t="n"/>
    </row>
    <row r="27" ht="46.5" customHeight="1" s="150">
      <c r="A27" s="104" t="n"/>
      <c r="B27" s="104" t="n"/>
      <c r="C27" s="104" t="n"/>
      <c r="D27" s="104" t="n"/>
      <c r="E27" s="104" t="n"/>
      <c r="L27" s="147" t="inlineStr">
        <is>
          <t>CCL - CFEN</t>
        </is>
      </c>
      <c r="M27" s="140" t="n"/>
      <c r="N27" s="114" t="inlineStr">
        <is>
          <t>Validación de datos de proveedores de la Institución (Minería de Datos)</t>
        </is>
      </c>
      <c r="O27" s="140" t="n"/>
      <c r="P27" s="140" t="n"/>
      <c r="Q27" s="140" t="n"/>
      <c r="R27" s="140" t="n"/>
      <c r="S27" s="140" t="n"/>
      <c r="T27" s="140" t="n"/>
      <c r="U27" s="140" t="n"/>
      <c r="V27" s="140" t="n"/>
      <c r="W27" s="140" t="n"/>
      <c r="X27" s="140" t="n"/>
      <c r="Y27" s="140" t="n"/>
      <c r="Z27" s="144" t="n"/>
    </row>
    <row r="28" ht="46.5" customHeight="1" s="150">
      <c r="A28" s="103" t="n"/>
      <c r="B28" s="103" t="n"/>
      <c r="C28" s="103" t="n"/>
      <c r="D28" s="103" t="n"/>
      <c r="E28" s="103" t="n"/>
      <c r="L28" s="147" t="inlineStr">
        <is>
          <t>CENTRO DE ACLARACION Y SERVICIO CAS</t>
        </is>
      </c>
      <c r="M28" s="140" t="n"/>
      <c r="N28" s="114" t="inlineStr">
        <is>
          <t>Validación de listado de proveedores críticos con base en los Anexos 69 y 69B del CFF</t>
        </is>
      </c>
      <c r="O28" s="140" t="n"/>
      <c r="P28" s="140" t="n"/>
      <c r="Q28" s="140" t="n"/>
      <c r="R28" s="140" t="n"/>
      <c r="S28" s="140" t="n"/>
      <c r="T28" s="140" t="n"/>
      <c r="U28" s="140" t="n"/>
      <c r="V28" s="140" t="n"/>
      <c r="W28" s="140" t="n"/>
      <c r="X28" s="140" t="n"/>
      <c r="Y28" s="140" t="n"/>
    </row>
    <row r="29" ht="56.5" customHeight="1" s="150">
      <c r="A29" s="103" t="n"/>
      <c r="B29" s="103" t="n"/>
      <c r="C29" s="103" t="n"/>
      <c r="D29" s="103" t="n"/>
      <c r="E29" s="103" t="n"/>
      <c r="L29" s="147" t="inlineStr">
        <is>
          <t>CERTIFICA CIONES CNBV USO HERRAMIENTAS INFORMÁTICAS PREV DE FRAUDES</t>
        </is>
      </c>
      <c r="M29" s="140" t="n"/>
      <c r="N29" s="114" t="inlineStr">
        <is>
          <t>Verificación de Reportes de Aclaraciones, Consultas y Reclamaciones en UNE</t>
        </is>
      </c>
      <c r="O29" s="140" t="n"/>
      <c r="P29" s="140" t="n"/>
      <c r="Q29" s="140" t="n"/>
      <c r="R29" s="140" t="n"/>
      <c r="S29" s="140" t="n"/>
      <c r="T29" s="140" t="n"/>
      <c r="U29" s="140" t="n"/>
      <c r="V29" s="140" t="n"/>
      <c r="W29" s="140" t="n"/>
      <c r="X29" s="140" t="n"/>
      <c r="Y29" s="140" t="n"/>
    </row>
    <row r="30" ht="46.5" customHeight="1" s="150">
      <c r="L30" s="147" t="inlineStr">
        <is>
          <t>CERTIFICACIÓN ANUAL CUOTAS IPAB</t>
        </is>
      </c>
      <c r="M30" s="140" t="n"/>
      <c r="N30" s="140" t="n"/>
      <c r="O30" s="140" t="n"/>
      <c r="P30" s="140" t="n"/>
      <c r="Q30" s="140" t="n"/>
      <c r="R30" s="140" t="n"/>
      <c r="S30" s="140" t="n"/>
      <c r="T30" s="140" t="n"/>
      <c r="U30" s="140" t="n"/>
      <c r="V30" s="140" t="n"/>
      <c r="W30" s="140" t="n"/>
      <c r="X30" s="140" t="n"/>
      <c r="Y30" s="140" t="n"/>
    </row>
    <row r="31" ht="46.5" customHeight="1" s="150">
      <c r="A31" s="103" t="n"/>
      <c r="B31" s="103" t="n"/>
      <c r="C31" s="103" t="n"/>
      <c r="D31" s="103" t="n"/>
      <c r="E31" s="103" t="n"/>
      <c r="L31" s="147" t="inlineStr">
        <is>
          <t>CERTIFICACION PARTES RELACIONADAS</t>
        </is>
      </c>
      <c r="M31" s="140" t="n"/>
      <c r="N31" s="140" t="n"/>
      <c r="O31" s="140" t="n"/>
      <c r="P31" s="140" t="n"/>
      <c r="Q31" s="140" t="n"/>
      <c r="R31" s="140" t="n"/>
      <c r="S31" s="140" t="n"/>
      <c r="T31" s="140" t="n"/>
      <c r="U31" s="140" t="n"/>
      <c r="V31" s="140" t="n"/>
      <c r="W31" s="140" t="n"/>
      <c r="X31" s="140" t="n"/>
      <c r="Y31" s="140" t="n"/>
    </row>
    <row r="32" ht="46.5" customHeight="1" s="150">
      <c r="A32" s="104" t="n"/>
      <c r="B32" s="104" t="n"/>
      <c r="C32" s="104" t="n"/>
      <c r="D32" s="104" t="n"/>
      <c r="E32" s="104" t="n"/>
      <c r="L32" s="147" t="inlineStr">
        <is>
          <t>CERTIFICACION REPORTES REGULATORIOS</t>
        </is>
      </c>
      <c r="M32" s="140" t="n"/>
      <c r="N32" s="140" t="n"/>
      <c r="O32" s="140" t="n"/>
      <c r="P32" s="140" t="n"/>
      <c r="Q32" s="140" t="n"/>
      <c r="R32" s="140" t="n"/>
      <c r="S32" s="140" t="n"/>
      <c r="T32" s="140" t="n"/>
      <c r="U32" s="140" t="n"/>
      <c r="V32" s="140" t="n"/>
      <c r="W32" s="140" t="n"/>
      <c r="X32" s="140" t="n"/>
      <c r="Y32" s="140" t="n"/>
    </row>
    <row r="33" ht="46.5" customHeight="1" s="150">
      <c r="A33" s="104" t="n"/>
      <c r="B33" s="104" t="n"/>
      <c r="C33" s="104" t="n"/>
      <c r="D33" s="104" t="n"/>
      <c r="E33" s="104" t="n"/>
      <c r="L33" s="147" t="inlineStr">
        <is>
          <t>CERTIFICACIÓN SPEI Externo</t>
        </is>
      </c>
      <c r="M33" s="140" t="n"/>
      <c r="N33" s="140" t="n"/>
      <c r="O33" s="140" t="n"/>
      <c r="P33" s="140" t="n"/>
      <c r="Q33" s="140" t="n"/>
      <c r="R33" s="140" t="n"/>
      <c r="S33" s="140" t="n"/>
      <c r="T33" s="140" t="n"/>
      <c r="U33" s="140" t="n"/>
      <c r="V33" s="140" t="n"/>
      <c r="W33" s="140" t="n"/>
      <c r="X33" s="140" t="n"/>
      <c r="Y33" s="140" t="n"/>
    </row>
    <row r="34" ht="46.5" customHeight="1" s="150">
      <c r="A34" s="104" t="n"/>
      <c r="B34" s="104" t="n"/>
      <c r="C34" s="104" t="n"/>
      <c r="D34" s="104" t="n"/>
      <c r="E34" s="104" t="n"/>
      <c r="L34" s="147" t="inlineStr">
        <is>
          <t>CERTIFICACIÓN SWIFT</t>
        </is>
      </c>
      <c r="M34" s="140" t="n"/>
      <c r="N34" s="140" t="n"/>
      <c r="O34" s="140" t="n"/>
      <c r="P34" s="140" t="n"/>
      <c r="Q34" s="140" t="n"/>
      <c r="R34" s="140" t="n"/>
      <c r="S34" s="140" t="n"/>
      <c r="T34" s="140" t="n"/>
      <c r="U34" s="140" t="n"/>
      <c r="V34" s="140" t="n"/>
      <c r="W34" s="140" t="n"/>
      <c r="X34" s="140" t="n"/>
      <c r="Y34" s="140" t="n"/>
    </row>
    <row r="35" ht="46.5" customHeight="1" s="150">
      <c r="A35" s="144" t="n"/>
      <c r="B35" s="144" t="n"/>
      <c r="C35" s="144" t="n"/>
      <c r="D35" s="144" t="n"/>
      <c r="E35" s="144" t="n"/>
      <c r="L35" s="147" t="inlineStr">
        <is>
          <t>CERTIFICACIONES CNBV CONTRASEÑAS Bca x Int Web y Movil</t>
        </is>
      </c>
      <c r="M35" s="140" t="n"/>
      <c r="N35" s="140" t="n"/>
      <c r="O35" s="140" t="n"/>
      <c r="P35" s="140" t="n"/>
      <c r="Q35" s="140" t="n"/>
      <c r="R35" s="140" t="n"/>
      <c r="S35" s="140" t="n"/>
      <c r="T35" s="140" t="n"/>
      <c r="U35" s="140" t="n"/>
      <c r="V35" s="140" t="n"/>
      <c r="W35" s="140" t="n"/>
      <c r="X35" s="140" t="n"/>
      <c r="Y35" s="140" t="n"/>
    </row>
    <row r="36" ht="46.5" customHeight="1" s="150">
      <c r="A36" s="104" t="n"/>
      <c r="B36" s="104" t="n"/>
      <c r="C36" s="104" t="n"/>
      <c r="D36" s="104" t="n"/>
      <c r="E36" s="104" t="n"/>
      <c r="L36" s="147" t="inlineStr">
        <is>
          <t>CERTIFICACIONES CNBV NOTIFICACIONES Art 51</t>
        </is>
      </c>
      <c r="M36" s="140" t="n"/>
      <c r="N36" s="140" t="n"/>
      <c r="O36" s="140" t="n"/>
      <c r="P36" s="140" t="n"/>
      <c r="Q36" s="140" t="n"/>
      <c r="R36" s="140" t="n"/>
      <c r="S36" s="140" t="n"/>
      <c r="T36" s="140" t="n"/>
      <c r="U36" s="140" t="n"/>
      <c r="V36" s="140" t="n"/>
      <c r="W36" s="140" t="n"/>
      <c r="X36" s="140" t="n"/>
      <c r="Y36" s="140" t="n"/>
    </row>
    <row r="37" ht="18.5" customHeight="1" s="150">
      <c r="A37" s="104" t="n"/>
      <c r="B37" s="104" t="n"/>
      <c r="C37" s="104" t="n"/>
      <c r="D37" s="104" t="n"/>
      <c r="E37" s="104" t="n"/>
      <c r="L37" s="147" t="inlineStr">
        <is>
          <t xml:space="preserve">CERTIFICACIONES CNBV SOFT TOKEN </t>
        </is>
      </c>
      <c r="M37" s="140" t="n"/>
      <c r="N37" s="140" t="n"/>
      <c r="O37" s="140" t="n"/>
      <c r="P37" s="140" t="n"/>
      <c r="Q37" s="140" t="n"/>
      <c r="R37" s="140" t="n"/>
      <c r="S37" s="140" t="n"/>
      <c r="T37" s="140" t="n"/>
      <c r="U37" s="140" t="n"/>
      <c r="V37" s="140" t="n"/>
      <c r="W37" s="140" t="n"/>
      <c r="X37" s="140" t="n"/>
      <c r="Y37" s="140" t="n"/>
    </row>
    <row r="38" ht="18.5" customHeight="1" s="150">
      <c r="A38" s="103" t="n"/>
      <c r="B38" s="103" t="n"/>
      <c r="C38" s="103" t="n"/>
      <c r="D38" s="103" t="n"/>
      <c r="E38" s="103" t="n"/>
      <c r="L38" s="147" t="inlineStr">
        <is>
          <t>CERTIFICACIONES CNBV TIEMPOS ESPERA TRANSF. TERCEROS BASEINET</t>
        </is>
      </c>
      <c r="M38" s="140" t="n"/>
      <c r="N38" s="140" t="n"/>
      <c r="O38" s="140" t="n"/>
      <c r="P38" s="140" t="n"/>
      <c r="Q38" s="140" t="n"/>
      <c r="R38" s="140" t="n"/>
      <c r="S38" s="140" t="n"/>
      <c r="T38" s="140" t="n"/>
      <c r="U38" s="140" t="n"/>
      <c r="V38" s="140" t="n"/>
      <c r="W38" s="140" t="n"/>
      <c r="X38" s="140" t="n"/>
      <c r="Y38" s="140" t="n"/>
    </row>
    <row r="39" ht="18.5" customHeight="1" s="150">
      <c r="A39" s="104" t="n"/>
      <c r="B39" s="104" t="n"/>
      <c r="C39" s="104" t="n"/>
      <c r="D39" s="104" t="n"/>
      <c r="E39" s="104" t="n"/>
      <c r="L39" s="147" t="inlineStr">
        <is>
          <t>CFEN</t>
        </is>
      </c>
      <c r="M39" s="140" t="n"/>
      <c r="N39" s="140" t="n"/>
      <c r="O39" s="140" t="n"/>
      <c r="P39" s="140" t="n"/>
      <c r="Q39" s="140" t="n"/>
      <c r="R39" s="140" t="n"/>
      <c r="S39" s="140" t="n"/>
      <c r="T39" s="140" t="n"/>
      <c r="U39" s="140" t="n"/>
      <c r="V39" s="140" t="n"/>
      <c r="W39" s="140" t="n"/>
      <c r="X39" s="140" t="n"/>
      <c r="Y39" s="140" t="n"/>
    </row>
    <row r="40" ht="18.5" customHeight="1" s="150">
      <c r="A40" s="104" t="n"/>
      <c r="B40" s="104" t="n"/>
      <c r="C40" s="104" t="n"/>
      <c r="D40" s="104" t="n"/>
      <c r="E40" s="104" t="n"/>
      <c r="L40" s="147" t="inlineStr">
        <is>
          <t>CHEQUERA DIGITAL - CAPTACIÓN A LA VISTA</t>
        </is>
      </c>
      <c r="M40" s="140" t="n"/>
      <c r="N40" s="140" t="n"/>
      <c r="O40" s="140" t="n"/>
      <c r="P40" s="140" t="n"/>
      <c r="Q40" s="140" t="n"/>
      <c r="R40" s="140" t="n"/>
      <c r="S40" s="140" t="n"/>
      <c r="T40" s="140" t="n"/>
      <c r="U40" s="140" t="n"/>
      <c r="V40" s="140" t="n"/>
      <c r="W40" s="140" t="n"/>
      <c r="X40" s="140" t="n"/>
      <c r="Y40" s="140" t="n"/>
    </row>
    <row r="41" ht="18.5" customHeight="1" s="150">
      <c r="A41" s="104" t="n"/>
      <c r="B41" s="104" t="n"/>
      <c r="C41" s="104" t="n"/>
      <c r="D41" s="104" t="n"/>
      <c r="E41" s="104" t="n"/>
      <c r="L41" s="147" t="inlineStr">
        <is>
          <t>COEFICIENTE DE COBERTURA DE LIQUIDEZ CCL</t>
        </is>
      </c>
      <c r="M41" s="140" t="n"/>
      <c r="N41" s="140" t="n"/>
      <c r="O41" s="140" t="n"/>
      <c r="P41" s="140" t="n"/>
      <c r="Q41" s="140" t="n"/>
      <c r="R41" s="140" t="n"/>
      <c r="S41" s="140" t="n"/>
      <c r="T41" s="140" t="n"/>
      <c r="U41" s="140" t="n"/>
      <c r="V41" s="140" t="n"/>
      <c r="W41" s="140" t="n"/>
      <c r="X41" s="140" t="n"/>
      <c r="Y41" s="140" t="n"/>
    </row>
    <row r="42" ht="46.5" customHeight="1" s="150">
      <c r="A42" s="103" t="n"/>
      <c r="B42" s="103" t="n"/>
      <c r="C42" s="103" t="n"/>
      <c r="D42" s="103" t="n"/>
      <c r="E42" s="103" t="n"/>
      <c r="L42" s="147" t="inlineStr">
        <is>
          <t>COEFICIENTE DE FONDEO ESTABLE NETO CFEN</t>
        </is>
      </c>
      <c r="M42" s="140" t="n"/>
      <c r="N42" s="140" t="n"/>
      <c r="O42" s="140" t="n"/>
      <c r="P42" s="140" t="n"/>
      <c r="Q42" s="140" t="n"/>
      <c r="R42" s="140" t="n"/>
      <c r="S42" s="140" t="n"/>
      <c r="T42" s="140" t="n"/>
      <c r="U42" s="140" t="n"/>
      <c r="V42" s="140" t="n"/>
      <c r="W42" s="140" t="n"/>
      <c r="X42" s="140" t="n"/>
      <c r="Y42" s="140" t="n"/>
    </row>
    <row r="43" ht="46.5" customHeight="1" s="150">
      <c r="A43" s="104" t="n"/>
      <c r="B43" s="104" t="n"/>
      <c r="C43" s="104" t="n"/>
      <c r="D43" s="104" t="n"/>
      <c r="E43" s="104" t="n"/>
      <c r="L43" s="147" t="inlineStr">
        <is>
          <t>COMPENSACIONES</t>
        </is>
      </c>
      <c r="M43" s="140" t="n"/>
      <c r="N43" s="140" t="n"/>
      <c r="O43" s="140" t="n"/>
      <c r="P43" s="140" t="n"/>
      <c r="Q43" s="140" t="n"/>
      <c r="R43" s="140" t="n"/>
      <c r="S43" s="140" t="n"/>
      <c r="T43" s="140" t="n"/>
      <c r="U43" s="140" t="n"/>
      <c r="V43" s="140" t="n"/>
      <c r="W43" s="140" t="n"/>
      <c r="X43" s="140" t="n"/>
      <c r="Y43" s="140" t="n"/>
    </row>
    <row r="44" ht="46.5" customHeight="1" s="150">
      <c r="A44" s="104" t="n"/>
      <c r="B44" s="104" t="n"/>
      <c r="C44" s="104" t="n"/>
      <c r="D44" s="104" t="n"/>
      <c r="E44" s="104" t="n"/>
      <c r="L44" s="147" t="inlineStr">
        <is>
          <t>COMPENSACIONES CECOBAN</t>
        </is>
      </c>
      <c r="M44" s="140" t="n"/>
      <c r="N44" s="140" t="n"/>
      <c r="O44" s="140" t="n"/>
      <c r="P44" s="140" t="n"/>
      <c r="Q44" s="140" t="n"/>
      <c r="R44" s="140" t="n"/>
      <c r="S44" s="140" t="n"/>
      <c r="T44" s="140" t="n"/>
      <c r="U44" s="140" t="n"/>
      <c r="V44" s="140" t="n"/>
      <c r="W44" s="140" t="n"/>
      <c r="X44" s="140" t="n"/>
      <c r="Y44" s="140" t="n"/>
    </row>
    <row r="45" ht="46.5" customHeight="1" s="150">
      <c r="A45" s="102" t="n"/>
      <c r="B45" s="102" t="n"/>
      <c r="C45" s="102" t="n"/>
      <c r="D45" s="102" t="n"/>
      <c r="E45" s="102" t="n"/>
      <c r="L45" s="147" t="inlineStr">
        <is>
          <t>COMPRAS Y ABASTECIMIENTOS</t>
        </is>
      </c>
      <c r="M45" s="140" t="n"/>
      <c r="N45" s="140" t="n"/>
      <c r="O45" s="140" t="n"/>
      <c r="P45" s="140" t="n"/>
      <c r="Q45" s="140" t="n"/>
      <c r="R45" s="140" t="n"/>
      <c r="S45" s="140" t="n"/>
      <c r="T45" s="140" t="n"/>
      <c r="U45" s="140" t="n"/>
      <c r="V45" s="140" t="n"/>
      <c r="W45" s="140" t="n"/>
      <c r="X45" s="140" t="n"/>
      <c r="Y45" s="140" t="n"/>
    </row>
    <row r="46" ht="46.5" customHeight="1" s="150">
      <c r="A46" s="103" t="n"/>
      <c r="B46" s="103" t="n"/>
      <c r="C46" s="103" t="n"/>
      <c r="D46" s="103" t="n"/>
      <c r="E46" s="103" t="n"/>
      <c r="L46" s="147" t="inlineStr">
        <is>
          <t>CONCILIACIONES DE BANCOS NACIONALES Y EXTRANJEROS</t>
        </is>
      </c>
      <c r="M46" s="140" t="n"/>
      <c r="N46" s="140" t="n"/>
      <c r="O46" s="140" t="n"/>
      <c r="P46" s="140" t="n"/>
      <c r="Q46" s="140" t="n"/>
      <c r="R46" s="140" t="n"/>
      <c r="S46" s="140" t="n"/>
      <c r="T46" s="140" t="n"/>
      <c r="U46" s="140" t="n"/>
      <c r="V46" s="140" t="n"/>
      <c r="W46" s="140" t="n"/>
      <c r="X46" s="140" t="n"/>
      <c r="Y46" s="140" t="n"/>
    </row>
    <row r="47" ht="46.5" customHeight="1" s="150">
      <c r="A47" s="104" t="n"/>
      <c r="B47" s="104" t="n"/>
      <c r="C47" s="104" t="n"/>
      <c r="D47" s="104" t="n"/>
      <c r="E47" s="104" t="n"/>
      <c r="L47" s="147" t="inlineStr">
        <is>
          <t>CONCILIACIONES OPERATIVAS</t>
        </is>
      </c>
      <c r="M47" s="140" t="n"/>
      <c r="N47" s="140" t="n"/>
      <c r="O47" s="140" t="n"/>
      <c r="P47" s="140" t="n"/>
      <c r="Q47" s="140" t="n"/>
      <c r="R47" s="140" t="n"/>
      <c r="S47" s="140" t="n"/>
      <c r="T47" s="140" t="n"/>
      <c r="U47" s="140" t="n"/>
      <c r="V47" s="140" t="n"/>
      <c r="W47" s="140" t="n"/>
      <c r="X47" s="140" t="n"/>
      <c r="Y47" s="140" t="n"/>
    </row>
    <row r="48" ht="46.5" customHeight="1" s="150">
      <c r="L48" s="147" t="inlineStr">
        <is>
          <t>CONFIRMACION DE DEPOSITOS</t>
        </is>
      </c>
      <c r="M48" s="140" t="n"/>
      <c r="N48" s="140" t="n"/>
      <c r="O48" s="140" t="n"/>
      <c r="P48" s="140" t="n"/>
      <c r="Q48" s="140" t="n"/>
      <c r="R48" s="140" t="n"/>
      <c r="S48" s="140" t="n"/>
      <c r="T48" s="140" t="n"/>
      <c r="U48" s="140" t="n"/>
      <c r="V48" s="140" t="n"/>
      <c r="W48" s="140" t="n"/>
      <c r="X48" s="140" t="n"/>
      <c r="Y48" s="140" t="n"/>
    </row>
    <row r="49" ht="46.5" customHeight="1" s="150">
      <c r="A49" s="103" t="n"/>
      <c r="B49" s="103" t="n"/>
      <c r="C49" s="103" t="n"/>
      <c r="D49" s="103" t="n"/>
      <c r="E49" s="103" t="n"/>
      <c r="L49" s="147" t="inlineStr">
        <is>
          <t>CONSOLIDACIÓN 1er</t>
        </is>
      </c>
      <c r="M49" s="140" t="n"/>
      <c r="N49" s="140" t="n"/>
      <c r="O49" s="140" t="n"/>
      <c r="P49" s="140" t="n"/>
      <c r="Q49" s="140" t="n"/>
      <c r="R49" s="140" t="n"/>
      <c r="S49" s="140" t="n"/>
      <c r="T49" s="140" t="n"/>
      <c r="U49" s="140" t="n"/>
      <c r="V49" s="140" t="n"/>
      <c r="W49" s="140" t="n"/>
      <c r="X49" s="140" t="n"/>
      <c r="Y49" s="140" t="n"/>
    </row>
    <row r="50" ht="46.5" customHeight="1" s="150">
      <c r="A50" s="103" t="n"/>
      <c r="B50" s="103" t="n"/>
      <c r="C50" s="103" t="n"/>
      <c r="D50" s="103" t="n"/>
      <c r="E50" s="103" t="n"/>
      <c r="L50" s="147" t="inlineStr">
        <is>
          <t>CONSOLIDACIÓN 2do</t>
        </is>
      </c>
      <c r="M50" s="140" t="n"/>
      <c r="N50" s="140" t="n"/>
      <c r="O50" s="140" t="n"/>
      <c r="P50" s="140" t="n"/>
      <c r="Q50" s="140" t="n"/>
      <c r="R50" s="140" t="n"/>
      <c r="S50" s="140" t="n"/>
      <c r="T50" s="140" t="n"/>
      <c r="U50" s="140" t="n"/>
      <c r="V50" s="140" t="n"/>
      <c r="W50" s="140" t="n"/>
      <c r="X50" s="140" t="n"/>
      <c r="Y50" s="140" t="n"/>
    </row>
    <row r="51" ht="46.5" customHeight="1" s="150">
      <c r="A51" s="104" t="n"/>
      <c r="B51" s="104" t="n"/>
      <c r="C51" s="104" t="n"/>
      <c r="D51" s="104" t="n"/>
      <c r="E51" s="104" t="n"/>
      <c r="L51" s="147" t="inlineStr">
        <is>
          <t>CONSOLIDACIÓN 3er</t>
        </is>
      </c>
      <c r="M51" s="140" t="n"/>
      <c r="N51" s="140" t="n"/>
      <c r="O51" s="140" t="n"/>
      <c r="P51" s="140" t="n"/>
      <c r="Q51" s="140" t="n"/>
      <c r="R51" s="140" t="n"/>
      <c r="S51" s="140" t="n"/>
      <c r="T51" s="140" t="n"/>
      <c r="U51" s="140" t="n"/>
      <c r="V51" s="140" t="n"/>
      <c r="W51" s="140" t="n"/>
      <c r="X51" s="140" t="n"/>
      <c r="Y51" s="140" t="n"/>
    </row>
    <row r="52" ht="46.5" customHeight="1" s="150">
      <c r="L52" s="147" t="inlineStr">
        <is>
          <t>CONSOLIDACIÓN 4to</t>
        </is>
      </c>
      <c r="M52" s="140" t="n"/>
      <c r="N52" s="140" t="n"/>
      <c r="O52" s="140" t="n"/>
      <c r="P52" s="140" t="n"/>
      <c r="Q52" s="140" t="n"/>
      <c r="R52" s="140" t="n"/>
      <c r="S52" s="140" t="n"/>
      <c r="T52" s="140" t="n"/>
      <c r="U52" s="140" t="n"/>
      <c r="V52" s="140" t="n"/>
      <c r="W52" s="140" t="n"/>
      <c r="X52" s="140" t="n"/>
      <c r="Y52" s="140" t="n"/>
    </row>
    <row r="53" ht="46.5" customHeight="1" s="150">
      <c r="A53" s="104" t="n"/>
      <c r="B53" s="104" t="n"/>
      <c r="C53" s="104" t="n"/>
      <c r="D53" s="104" t="n"/>
      <c r="E53" s="104" t="n"/>
      <c r="L53" s="147" t="inlineStr">
        <is>
          <t>CONTROL DE ADEUDOS</t>
        </is>
      </c>
      <c r="M53" s="140" t="n"/>
      <c r="N53" s="140" t="n"/>
      <c r="O53" s="140" t="n"/>
      <c r="P53" s="140" t="n"/>
      <c r="Q53" s="140" t="n"/>
      <c r="R53" s="140" t="n"/>
      <c r="S53" s="140" t="n"/>
      <c r="T53" s="140" t="n"/>
      <c r="U53" s="140" t="n"/>
      <c r="V53" s="140" t="n"/>
      <c r="W53" s="140" t="n"/>
      <c r="X53" s="140" t="n"/>
      <c r="Y53" s="140" t="n"/>
    </row>
    <row r="54" ht="46.5" customHeight="1" s="150">
      <c r="A54" s="104" t="n"/>
      <c r="B54" s="104" t="n"/>
      <c r="C54" s="104" t="n"/>
      <c r="D54" s="104" t="n"/>
      <c r="E54" s="104" t="n"/>
      <c r="L54" s="147" t="inlineStr">
        <is>
          <t>CONTROL DE SESIONES DEL SERVICIO DE BANCA POR INTERNET (WEB Y MOVIL)</t>
        </is>
      </c>
      <c r="M54" s="140" t="n"/>
      <c r="N54" s="140" t="n"/>
      <c r="O54" s="140" t="n"/>
      <c r="P54" s="140" t="n"/>
      <c r="Q54" s="140" t="n"/>
      <c r="R54" s="140" t="n"/>
      <c r="S54" s="140" t="n"/>
      <c r="T54" s="140" t="n"/>
      <c r="U54" s="140" t="n"/>
      <c r="V54" s="140" t="n"/>
      <c r="W54" s="140" t="n"/>
      <c r="X54" s="140" t="n"/>
      <c r="Y54" s="140" t="n"/>
    </row>
    <row r="55" ht="46.5" customHeight="1" s="150">
      <c r="A55" s="104" t="n"/>
      <c r="B55" s="104" t="n"/>
      <c r="C55" s="104" t="n"/>
      <c r="D55" s="104" t="n"/>
      <c r="E55" s="104" t="n"/>
      <c r="L55" s="147" t="inlineStr">
        <is>
          <t>CONTROL INTERNO</t>
        </is>
      </c>
      <c r="M55" s="140" t="n"/>
      <c r="N55" s="140" t="n"/>
      <c r="O55" s="140" t="n"/>
      <c r="P55" s="140" t="n"/>
      <c r="Q55" s="140" t="n"/>
      <c r="R55" s="140" t="n"/>
      <c r="S55" s="140" t="n"/>
      <c r="T55" s="140" t="n"/>
      <c r="U55" s="140" t="n"/>
      <c r="V55" s="140" t="n"/>
      <c r="W55" s="140" t="n"/>
      <c r="X55" s="140" t="n"/>
      <c r="Y55" s="140" t="n"/>
    </row>
    <row r="56" ht="46.5" customHeight="1" s="150">
      <c r="A56" s="104" t="n"/>
      <c r="B56" s="104" t="n"/>
      <c r="C56" s="104" t="n"/>
      <c r="D56" s="104" t="n"/>
      <c r="E56" s="104" t="n"/>
      <c r="L56" s="147" t="inlineStr">
        <is>
          <t>CONTROLES DE SEGURIDAD SOBRE LA GESTION DE FACTORES BIOMETRICOS</t>
        </is>
      </c>
      <c r="M56" s="140" t="n"/>
      <c r="N56" s="140" t="n"/>
      <c r="O56" s="140" t="n"/>
      <c r="P56" s="140" t="n"/>
      <c r="Q56" s="140" t="n"/>
      <c r="R56" s="140" t="n"/>
      <c r="S56" s="140" t="n"/>
      <c r="T56" s="140" t="n"/>
      <c r="U56" s="140" t="n"/>
      <c r="V56" s="140" t="n"/>
      <c r="W56" s="140" t="n"/>
      <c r="X56" s="140" t="n"/>
      <c r="Y56" s="140" t="n"/>
    </row>
    <row r="57" ht="46.5" customHeight="1" s="150">
      <c r="A57" s="104" t="n"/>
      <c r="B57" s="104" t="n"/>
      <c r="C57" s="104" t="n"/>
      <c r="D57" s="104" t="n"/>
      <c r="E57" s="104" t="n"/>
      <c r="L57" s="147" t="inlineStr">
        <is>
          <t>CONTROLES GENERALES DE TI Y CIBERSEGURIDAD</t>
        </is>
      </c>
      <c r="M57" s="140" t="n"/>
      <c r="N57" s="140" t="n"/>
      <c r="O57" s="140" t="n"/>
      <c r="P57" s="140" t="n"/>
      <c r="Q57" s="140" t="n"/>
      <c r="R57" s="140" t="n"/>
      <c r="S57" s="140" t="n"/>
      <c r="T57" s="140" t="n"/>
      <c r="U57" s="140" t="n"/>
      <c r="V57" s="140" t="n"/>
      <c r="W57" s="140" t="n"/>
      <c r="X57" s="140" t="n"/>
      <c r="Y57" s="140" t="n"/>
    </row>
    <row r="58" ht="46.5" customHeight="1" s="150">
      <c r="A58" s="103" t="n"/>
      <c r="B58" s="103" t="n"/>
      <c r="C58" s="103" t="n"/>
      <c r="D58" s="103" t="n"/>
      <c r="E58" s="103" t="n"/>
      <c r="L58" s="147" t="inlineStr">
        <is>
          <t>CUENTA AMARILLA</t>
        </is>
      </c>
      <c r="M58" s="140" t="n"/>
      <c r="N58" s="140" t="n"/>
      <c r="O58" s="140" t="n"/>
      <c r="P58" s="140" t="n"/>
      <c r="Q58" s="140" t="n"/>
      <c r="R58" s="140" t="n"/>
      <c r="S58" s="140" t="n"/>
      <c r="T58" s="140" t="n"/>
      <c r="U58" s="140" t="n"/>
      <c r="V58" s="140" t="n"/>
      <c r="W58" s="140" t="n"/>
      <c r="X58" s="140" t="n"/>
      <c r="Y58" s="140" t="n"/>
    </row>
    <row r="59" ht="46.5" customHeight="1" s="150">
      <c r="A59" s="104" t="n"/>
      <c r="B59" s="104" t="n"/>
      <c r="C59" s="104" t="n"/>
      <c r="D59" s="104" t="n"/>
      <c r="E59" s="104" t="n"/>
      <c r="L59" s="147" t="inlineStr">
        <is>
          <t>CUENTA DIGITAL</t>
        </is>
      </c>
      <c r="M59" s="140" t="n"/>
      <c r="N59" s="140" t="n"/>
      <c r="O59" s="140" t="n"/>
      <c r="P59" s="140" t="n"/>
      <c r="Q59" s="140" t="n"/>
      <c r="R59" s="140" t="n"/>
      <c r="S59" s="140" t="n"/>
      <c r="T59" s="140" t="n"/>
      <c r="U59" s="140" t="n"/>
      <c r="V59" s="140" t="n"/>
      <c r="W59" s="140" t="n"/>
      <c r="X59" s="140" t="n"/>
      <c r="Y59" s="140" t="n"/>
    </row>
    <row r="60" ht="46.5" customHeight="1" s="150">
      <c r="A60" s="104" t="n"/>
      <c r="B60" s="104" t="n"/>
      <c r="C60" s="104" t="n"/>
      <c r="D60" s="104" t="n"/>
      <c r="E60" s="104" t="n"/>
      <c r="L60" s="147" t="inlineStr">
        <is>
          <t>CUENTA GLOBAL</t>
        </is>
      </c>
      <c r="M60" s="140" t="n"/>
      <c r="N60" s="140" t="n"/>
      <c r="O60" s="140" t="n"/>
      <c r="P60" s="140" t="n"/>
      <c r="Q60" s="140" t="n"/>
      <c r="R60" s="140" t="n"/>
      <c r="S60" s="140" t="n"/>
      <c r="T60" s="140" t="n"/>
      <c r="U60" s="140" t="n"/>
      <c r="V60" s="140" t="n"/>
      <c r="W60" s="140" t="n"/>
      <c r="X60" s="140" t="n"/>
      <c r="Y60" s="140" t="n"/>
    </row>
    <row r="61" ht="46.5" customHeight="1" s="150">
      <c r="A61" s="104" t="n"/>
      <c r="B61" s="104" t="n"/>
      <c r="C61" s="104" t="n"/>
      <c r="D61" s="104" t="n"/>
      <c r="E61" s="104" t="n"/>
      <c r="L61" s="147" t="inlineStr">
        <is>
          <t>CUMPLIMIENTO - PLD</t>
        </is>
      </c>
      <c r="M61" s="140" t="n"/>
      <c r="N61" s="140" t="n"/>
      <c r="O61" s="140" t="n"/>
      <c r="P61" s="140" t="n"/>
      <c r="Q61" s="140" t="n"/>
      <c r="R61" s="140" t="n"/>
      <c r="S61" s="140" t="n"/>
      <c r="T61" s="140" t="n"/>
      <c r="U61" s="140" t="n"/>
      <c r="V61" s="140" t="n"/>
      <c r="W61" s="140" t="n"/>
      <c r="X61" s="140" t="n"/>
      <c r="Y61" s="140" t="n"/>
    </row>
    <row r="62" ht="46.5" customHeight="1" s="150">
      <c r="L62" s="147" t="inlineStr">
        <is>
          <t>CUMPLIMIENTO NORMATIVO</t>
        </is>
      </c>
      <c r="M62" s="140" t="n"/>
      <c r="N62" s="140" t="n"/>
      <c r="O62" s="140" t="n"/>
      <c r="P62" s="140" t="n"/>
      <c r="Q62" s="140" t="n"/>
      <c r="R62" s="140" t="n"/>
      <c r="S62" s="140" t="n"/>
      <c r="T62" s="140" t="n"/>
      <c r="U62" s="140" t="n"/>
      <c r="V62" s="140" t="n"/>
      <c r="W62" s="140" t="n"/>
      <c r="X62" s="140" t="n"/>
      <c r="Y62" s="140" t="n"/>
    </row>
    <row r="63" ht="46.5" customHeight="1" s="150">
      <c r="L63" s="147" t="inlineStr">
        <is>
          <t>CUSTODIA DE DOCUMENTOS (MIDDLE OFFICE)</t>
        </is>
      </c>
      <c r="M63" s="140" t="n"/>
      <c r="N63" s="140" t="n"/>
      <c r="O63" s="140" t="n"/>
      <c r="P63" s="140" t="n"/>
      <c r="Q63" s="140" t="n"/>
      <c r="R63" s="140" t="n"/>
      <c r="S63" s="140" t="n"/>
      <c r="T63" s="140" t="n"/>
      <c r="U63" s="140" t="n"/>
      <c r="V63" s="140" t="n"/>
      <c r="W63" s="140" t="n"/>
      <c r="X63" s="140" t="n"/>
      <c r="Y63" s="140" t="n"/>
    </row>
    <row r="64" ht="46.5" customHeight="1" s="150">
      <c r="L64" s="147" t="inlineStr">
        <is>
          <t>DERIVADOS</t>
        </is>
      </c>
      <c r="M64" s="140" t="n"/>
      <c r="N64" s="140" t="n"/>
      <c r="O64" s="140" t="n"/>
      <c r="P64" s="140" t="n"/>
      <c r="Q64" s="140" t="n"/>
      <c r="R64" s="140" t="n"/>
      <c r="S64" s="140" t="n"/>
      <c r="T64" s="140" t="n"/>
      <c r="U64" s="140" t="n"/>
      <c r="V64" s="140" t="n"/>
      <c r="W64" s="140" t="n"/>
      <c r="X64" s="140" t="n"/>
      <c r="Y64" s="140" t="n"/>
    </row>
    <row r="65" ht="46.5" customHeight="1" s="150">
      <c r="L65" s="147" t="inlineStr">
        <is>
          <t>DIC TAMEN DE CUMPLIMIENTO SEMESTRAL DEL PLAN DEL TRABAJO PARA LA HOMOLOGACIÓN EL CATÁLOGO DE CATEGORÍAS DE COMISIONES</t>
        </is>
      </c>
      <c r="M65" s="140" t="n"/>
      <c r="N65" s="140" t="n"/>
      <c r="O65" s="140" t="n"/>
      <c r="P65" s="140" t="n"/>
      <c r="Q65" s="140" t="n"/>
      <c r="R65" s="140" t="n"/>
      <c r="S65" s="140" t="n"/>
      <c r="T65" s="140" t="n"/>
      <c r="U65" s="140" t="n"/>
      <c r="V65" s="140" t="n"/>
      <c r="W65" s="140" t="n"/>
      <c r="X65" s="140" t="n"/>
      <c r="Y65" s="140" t="n"/>
    </row>
    <row r="66" ht="46.5" customHeight="1" s="150">
      <c r="A66" s="104" t="n"/>
      <c r="B66" s="104" t="n"/>
      <c r="C66" s="104" t="n"/>
      <c r="D66" s="104" t="n"/>
      <c r="E66" s="104" t="n"/>
      <c r="L66" s="147" t="inlineStr">
        <is>
          <t>DICTAMEN SPEI AI</t>
        </is>
      </c>
      <c r="M66" s="140" t="n"/>
      <c r="N66" s="140" t="n"/>
      <c r="O66" s="140" t="n"/>
      <c r="P66" s="140" t="n"/>
      <c r="Q66" s="140" t="n"/>
      <c r="R66" s="140" t="n"/>
      <c r="S66" s="140" t="n"/>
      <c r="T66" s="140" t="n"/>
      <c r="U66" s="140" t="n"/>
      <c r="V66" s="140" t="n"/>
      <c r="W66" s="140" t="n"/>
      <c r="X66" s="140" t="n"/>
      <c r="Y66" s="140" t="n"/>
    </row>
    <row r="67" ht="46.5" customHeight="1" s="150">
      <c r="L67" s="147" t="inlineStr">
        <is>
          <t>DICTAMEN SPEI APOYO AI</t>
        </is>
      </c>
      <c r="M67" s="140" t="n"/>
      <c r="N67" s="140" t="n"/>
      <c r="O67" s="140" t="n"/>
      <c r="P67" s="140" t="n"/>
      <c r="Q67" s="140" t="n"/>
      <c r="R67" s="140" t="n"/>
      <c r="S67" s="140" t="n"/>
      <c r="T67" s="140" t="n"/>
      <c r="U67" s="140" t="n"/>
      <c r="V67" s="140" t="n"/>
      <c r="W67" s="140" t="n"/>
      <c r="X67" s="140" t="n"/>
      <c r="Y67" s="140" t="n"/>
    </row>
    <row r="68" ht="46.5" customHeight="1" s="150">
      <c r="L68" s="147" t="inlineStr">
        <is>
          <t>DICTAMEN SPID EXTERNO</t>
        </is>
      </c>
      <c r="M68" s="140" t="n"/>
      <c r="N68" s="140" t="n"/>
      <c r="O68" s="140" t="n"/>
      <c r="P68" s="140" t="n"/>
      <c r="Q68" s="140" t="n"/>
      <c r="R68" s="140" t="n"/>
      <c r="S68" s="140" t="n"/>
      <c r="T68" s="140" t="n"/>
      <c r="U68" s="140" t="n"/>
      <c r="V68" s="140" t="n"/>
      <c r="W68" s="140" t="n"/>
      <c r="X68" s="140" t="n"/>
      <c r="Y68" s="140" t="n"/>
    </row>
    <row r="69" ht="46.5" customHeight="1" s="150">
      <c r="L69" s="147" t="inlineStr">
        <is>
          <t>DICTAMEN SPID INTERNO</t>
        </is>
      </c>
      <c r="M69" s="140" t="n"/>
      <c r="N69" s="140" t="n"/>
      <c r="O69" s="140" t="n"/>
      <c r="P69" s="140" t="n"/>
      <c r="Q69" s="140" t="n"/>
      <c r="R69" s="140" t="n"/>
      <c r="S69" s="140" t="n"/>
      <c r="T69" s="140" t="n"/>
      <c r="U69" s="140" t="n"/>
      <c r="V69" s="140" t="n"/>
      <c r="W69" s="140" t="n"/>
      <c r="X69" s="140" t="n"/>
      <c r="Y69" s="140" t="n"/>
    </row>
    <row r="70" ht="46.5" customHeight="1" s="150">
      <c r="L70" s="147" t="inlineStr">
        <is>
          <t>DRP DISASTER RECOVERY PLAN</t>
        </is>
      </c>
      <c r="M70" s="140" t="n"/>
      <c r="N70" s="140" t="n"/>
      <c r="O70" s="140" t="n"/>
      <c r="P70" s="140" t="n"/>
      <c r="Q70" s="140" t="n"/>
      <c r="R70" s="140" t="n"/>
      <c r="S70" s="140" t="n"/>
      <c r="T70" s="140" t="n"/>
      <c r="U70" s="140" t="n"/>
      <c r="V70" s="140" t="n"/>
      <c r="W70" s="140" t="n"/>
      <c r="X70" s="140" t="n"/>
      <c r="Y70" s="140" t="n"/>
    </row>
    <row r="71" ht="46.5" customHeight="1" s="150">
      <c r="L71" s="147" t="inlineStr">
        <is>
          <t>EJECUCIÓN DE ORDENES EN EL MERCADO DE CAPITALES GIRADAS POR INTERMEDIARIOS EXTRANJEROS POR SU CUENTA O POR CUENTA DE SU CLIENTELA</t>
        </is>
      </c>
      <c r="M71" s="140" t="n"/>
      <c r="N71" s="140" t="n"/>
      <c r="O71" s="140" t="n"/>
      <c r="P71" s="140" t="n"/>
      <c r="Q71" s="140" t="n"/>
      <c r="R71" s="140" t="n"/>
      <c r="S71" s="140" t="n"/>
      <c r="T71" s="140" t="n"/>
      <c r="U71" s="140" t="n"/>
      <c r="V71" s="140" t="n"/>
      <c r="W71" s="140" t="n"/>
      <c r="X71" s="140" t="n"/>
      <c r="Y71" s="140" t="n"/>
    </row>
    <row r="72" ht="46.5" customHeight="1" s="150">
      <c r="L72" s="147" t="inlineStr">
        <is>
          <t>EMISION DE PASIVOS</t>
        </is>
      </c>
      <c r="M72" s="140" t="n"/>
      <c r="N72" s="140" t="n"/>
      <c r="O72" s="140" t="n"/>
      <c r="P72" s="140" t="n"/>
      <c r="Q72" s="140" t="n"/>
      <c r="R72" s="140" t="n"/>
      <c r="S72" s="140" t="n"/>
      <c r="T72" s="140" t="n"/>
      <c r="U72" s="140" t="n"/>
      <c r="V72" s="140" t="n"/>
      <c r="W72" s="140" t="n"/>
      <c r="X72" s="140" t="n"/>
      <c r="Y72" s="140" t="n"/>
    </row>
    <row r="73" ht="46.5" customHeight="1" s="150">
      <c r="L73" s="147" t="inlineStr">
        <is>
          <t>ESG</t>
        </is>
      </c>
      <c r="M73" s="140" t="n"/>
      <c r="N73" s="140" t="n"/>
      <c r="O73" s="140" t="n"/>
      <c r="P73" s="140" t="n"/>
      <c r="Q73" s="140" t="n"/>
      <c r="R73" s="140" t="n"/>
      <c r="S73" s="140" t="n"/>
      <c r="T73" s="140" t="n"/>
      <c r="U73" s="140" t="n"/>
      <c r="V73" s="140" t="n"/>
      <c r="W73" s="140" t="n"/>
      <c r="X73" s="140" t="n"/>
      <c r="Y73" s="140" t="n"/>
    </row>
    <row r="74" ht="46.5" customHeight="1" s="150">
      <c r="L74" s="147" t="inlineStr">
        <is>
          <t>ESTADOS FINANCIEORS CONSOLIDADOS GFBASE 1T2024</t>
        </is>
      </c>
      <c r="M74" s="140" t="n"/>
      <c r="N74" s="140" t="n"/>
      <c r="O74" s="140" t="n"/>
      <c r="P74" s="140" t="n"/>
      <c r="Q74" s="140" t="n"/>
      <c r="R74" s="140" t="n"/>
      <c r="S74" s="140" t="n"/>
      <c r="T74" s="140" t="n"/>
      <c r="U74" s="140" t="n"/>
      <c r="V74" s="140" t="n"/>
      <c r="W74" s="140" t="n"/>
      <c r="X74" s="140" t="n"/>
      <c r="Y74" s="140" t="n"/>
    </row>
    <row r="75" ht="46.5" customHeight="1" s="150">
      <c r="L75" s="147" t="inlineStr">
        <is>
          <t>ESTADOS FINANCIEORS CONSOLIDADOS GFBASE 2T2024</t>
        </is>
      </c>
      <c r="M75" s="140" t="n"/>
      <c r="N75" s="140" t="n"/>
      <c r="O75" s="140" t="n"/>
      <c r="P75" s="140" t="n"/>
      <c r="Q75" s="140" t="n"/>
      <c r="R75" s="140" t="n"/>
      <c r="S75" s="140" t="n"/>
      <c r="T75" s="140" t="n"/>
      <c r="U75" s="140" t="n"/>
      <c r="V75" s="140" t="n"/>
      <c r="W75" s="140" t="n"/>
      <c r="X75" s="140" t="n"/>
      <c r="Y75" s="140" t="n"/>
    </row>
    <row r="76" ht="46.5" customHeight="1" s="150">
      <c r="L76" s="147" t="inlineStr">
        <is>
          <t>ESTADOS FINANCIEORS CONSOLIDADOS GFBASE 3T2024</t>
        </is>
      </c>
      <c r="M76" s="140" t="n"/>
      <c r="N76" s="140" t="n"/>
      <c r="O76" s="140" t="n"/>
      <c r="P76" s="140" t="n"/>
      <c r="Q76" s="140" t="n"/>
      <c r="R76" s="140" t="n"/>
      <c r="S76" s="140" t="n"/>
      <c r="T76" s="140" t="n"/>
      <c r="U76" s="140" t="n"/>
      <c r="V76" s="140" t="n"/>
      <c r="W76" s="140" t="n"/>
      <c r="X76" s="140" t="n"/>
      <c r="Y76" s="140" t="n"/>
    </row>
    <row r="77" ht="46.5" customHeight="1" s="150">
      <c r="J77" s="142" t="n"/>
      <c r="L77" s="147" t="inlineStr">
        <is>
          <t>ESTADOS FINANCIEORS CONSOLIDADOS GFBASE 4T2024</t>
        </is>
      </c>
      <c r="M77" s="140" t="n"/>
      <c r="N77" s="140" t="n"/>
      <c r="O77" s="140" t="n"/>
      <c r="P77" s="140" t="n"/>
      <c r="Q77" s="140" t="n"/>
      <c r="R77" s="140" t="n"/>
      <c r="S77" s="140" t="n"/>
      <c r="T77" s="140" t="n"/>
      <c r="U77" s="140" t="n"/>
      <c r="V77" s="140" t="n"/>
      <c r="W77" s="140" t="n"/>
      <c r="X77" s="140" t="n"/>
      <c r="Y77" s="140" t="n"/>
    </row>
    <row r="78" ht="46.5" customHeight="1" s="150">
      <c r="J78" s="142" t="n"/>
      <c r="L78" s="147" t="inlineStr">
        <is>
          <t>ESTADOS FINANCIEROS</t>
        </is>
      </c>
      <c r="M78" s="140" t="n"/>
      <c r="N78" s="140" t="n"/>
      <c r="O78" s="140" t="n"/>
      <c r="P78" s="140" t="n"/>
      <c r="Q78" s="140" t="n"/>
      <c r="R78" s="140" t="n"/>
      <c r="S78" s="140" t="n"/>
      <c r="T78" s="140" t="n"/>
      <c r="U78" s="140" t="n"/>
      <c r="V78" s="140" t="n"/>
      <c r="W78" s="140" t="n"/>
      <c r="X78" s="140" t="n"/>
      <c r="Y78" s="140" t="n"/>
      <c r="Z78" s="142" t="n"/>
    </row>
    <row r="79" ht="46.5" customHeight="1" s="150">
      <c r="J79" s="142" t="n"/>
      <c r="L79" s="147" t="inlineStr">
        <is>
          <t xml:space="preserve">EVALUACIÓN CUMPLIMIENTO LFDPPPP </t>
        </is>
      </c>
      <c r="M79" s="140" t="n"/>
      <c r="N79" s="140" t="n"/>
      <c r="O79" s="140" t="n"/>
      <c r="P79" s="140" t="n"/>
      <c r="Q79" s="140" t="n"/>
      <c r="R79" s="140" t="n"/>
      <c r="S79" s="140" t="n"/>
      <c r="T79" s="140" t="n"/>
      <c r="U79" s="140" t="n"/>
      <c r="V79" s="140" t="n"/>
      <c r="W79" s="140" t="n"/>
      <c r="X79" s="140" t="n"/>
      <c r="Y79" s="140" t="n"/>
      <c r="Z79" s="142" t="n"/>
    </row>
    <row r="80" ht="46.5" customHeight="1" s="150">
      <c r="J80" s="142" t="n"/>
      <c r="K80" s="142" t="n"/>
      <c r="L80" s="147" t="inlineStr">
        <is>
          <t>EVALUACION CUMPLIMIENTO PLD COMERCIAL ONBOARDING FORANEAS</t>
        </is>
      </c>
      <c r="M80" s="140" t="n"/>
      <c r="N80" s="140" t="n"/>
      <c r="O80" s="140" t="n"/>
      <c r="P80" s="140" t="n"/>
      <c r="Q80" s="140" t="n"/>
      <c r="R80" s="140" t="n"/>
      <c r="S80" s="140" t="n"/>
      <c r="T80" s="140" t="n"/>
      <c r="U80" s="140" t="n"/>
      <c r="V80" s="140" t="n"/>
      <c r="W80" s="140" t="n"/>
      <c r="X80" s="140" t="n"/>
      <c r="Y80" s="140" t="n"/>
      <c r="Z80" s="142" t="n"/>
    </row>
    <row r="81" ht="22.5" customHeight="1" s="150">
      <c r="L81" s="147" t="inlineStr">
        <is>
          <t>EVALUACION CUMPLIMIENTO PLD COMERCIAL ONBOARDING MÉXICO</t>
        </is>
      </c>
      <c r="M81" s="140" t="n"/>
      <c r="N81" s="140" t="n"/>
      <c r="O81" s="140" t="n"/>
      <c r="P81" s="140" t="n"/>
      <c r="V81" s="140" t="n"/>
      <c r="W81" s="140" t="n"/>
      <c r="X81" s="140" t="n"/>
      <c r="Y81" s="140" t="n"/>
    </row>
    <row r="82" ht="22.5" customHeight="1" s="150">
      <c r="L82" s="147" t="inlineStr">
        <is>
          <t>EVALUACION CUMPLIMIENTO PLD COMERCIAL ONBOARDING MONTERREY</t>
        </is>
      </c>
      <c r="M82" s="140" t="n"/>
      <c r="N82" s="140" t="n"/>
      <c r="O82" s="140" t="n"/>
      <c r="P82" s="140" t="n"/>
      <c r="V82" s="140" t="n"/>
      <c r="W82" s="140" t="n"/>
      <c r="X82" s="140" t="n"/>
      <c r="Y82" s="140" t="n"/>
    </row>
    <row r="83" ht="22.5" customHeight="1" s="150">
      <c r="L83" s="147" t="inlineStr">
        <is>
          <t>EVALUACION CUMPLIMIENTO PLD COMERCIAL ONBOARDING OCCIDENTE</t>
        </is>
      </c>
      <c r="M83" s="140" t="n"/>
      <c r="N83" s="140" t="n"/>
      <c r="O83" s="140" t="n"/>
      <c r="P83" s="140" t="n"/>
      <c r="V83" s="140" t="n"/>
      <c r="W83" s="140" t="n"/>
      <c r="X83" s="140" t="n"/>
      <c r="Y83" s="140" t="n"/>
    </row>
    <row r="84" ht="22.5" customHeight="1" s="150">
      <c r="L84" s="147" t="inlineStr">
        <is>
          <t>EXPEDICIÓN DE CHEQUES DE CAJA</t>
        </is>
      </c>
      <c r="M84" s="140" t="n"/>
      <c r="N84" s="140" t="n"/>
      <c r="O84" s="140" t="n"/>
      <c r="P84" s="140" t="n"/>
      <c r="V84" s="140" t="n"/>
      <c r="W84" s="140" t="n"/>
      <c r="X84" s="140" t="n"/>
      <c r="Y84" s="140" t="n"/>
    </row>
    <row r="85" ht="22.5" customHeight="1" s="150">
      <c r="L85" s="147" t="inlineStr">
        <is>
          <t>EXPEDIENTES SPID</t>
        </is>
      </c>
      <c r="M85" s="140" t="n"/>
      <c r="N85" s="140" t="n"/>
      <c r="O85" s="140" t="n"/>
      <c r="P85" s="140" t="n"/>
    </row>
    <row r="86" ht="22.5" customHeight="1" s="150">
      <c r="L86" s="147" t="inlineStr">
        <is>
          <t>FACTORAJE</t>
        </is>
      </c>
      <c r="M86" s="140" t="n"/>
      <c r="N86" s="140" t="n"/>
      <c r="O86" s="140" t="n"/>
      <c r="P86" s="140" t="n"/>
    </row>
    <row r="87" ht="22.5" customHeight="1" s="150">
      <c r="L87" s="147" t="inlineStr">
        <is>
          <t>FIDUCIARIO</t>
        </is>
      </c>
      <c r="M87" s="140" t="n"/>
      <c r="N87" s="140" t="n"/>
      <c r="O87" s="140" t="n"/>
      <c r="P87" s="140" t="n"/>
    </row>
    <row r="88" ht="22.5" customHeight="1" s="150">
      <c r="L88" s="147" t="inlineStr">
        <is>
          <t>FINANCIAMIENTO CORPORATIVO</t>
        </is>
      </c>
      <c r="M88" s="140" t="n"/>
      <c r="N88" s="140" t="n"/>
      <c r="O88" s="140" t="n"/>
      <c r="P88" s="140" t="n"/>
    </row>
    <row r="89" ht="22.5" customHeight="1" s="150">
      <c r="L89" s="147" t="inlineStr">
        <is>
          <t>GARANTIAS BANCA DE DESARROLLO</t>
        </is>
      </c>
      <c r="M89" s="140" t="n"/>
      <c r="N89" s="140" t="n"/>
      <c r="O89" s="140" t="n"/>
      <c r="P89" s="140" t="n"/>
    </row>
    <row r="90" ht="22.5" customHeight="1" s="150">
      <c r="L90" s="147" t="inlineStr">
        <is>
          <t>GARANTÍAS REALES (Hipotecarias, Prendarias, Liquidas. Etc)</t>
        </is>
      </c>
      <c r="M90" s="140" t="n"/>
      <c r="N90" s="140" t="n"/>
      <c r="O90" s="140" t="n"/>
      <c r="P90" s="140" t="n"/>
    </row>
    <row r="91" ht="22.5" customHeight="1" s="150">
      <c r="L91" s="147" t="inlineStr">
        <is>
          <t>GESTION DE ACTIVOS DE INFORMACION</t>
        </is>
      </c>
      <c r="M91" s="140" t="n"/>
      <c r="N91" s="140" t="n"/>
      <c r="O91" s="140" t="n"/>
      <c r="P91" s="140" t="n"/>
    </row>
    <row r="92" ht="22.5" customHeight="1" s="150">
      <c r="L92" s="147" t="inlineStr">
        <is>
          <t xml:space="preserve">GRANDES EXPOSICIONES DE CRÉDITO </t>
        </is>
      </c>
      <c r="M92" s="140" t="n"/>
      <c r="N92" s="140" t="n"/>
      <c r="O92" s="140" t="n"/>
      <c r="P92" s="140" t="n"/>
    </row>
    <row r="93" ht="22.5" customHeight="1" s="150">
      <c r="L93" s="147" t="inlineStr">
        <is>
          <t>GUARDAVALORES</t>
        </is>
      </c>
      <c r="M93" s="140" t="n"/>
      <c r="N93" s="140" t="n"/>
      <c r="O93" s="140" t="n"/>
      <c r="P93" s="140" t="n"/>
    </row>
    <row r="94" ht="22.5" customHeight="1" s="150">
      <c r="L94" s="147" t="inlineStr">
        <is>
          <t>ICAP</t>
        </is>
      </c>
      <c r="M94" s="140" t="n"/>
      <c r="N94" s="140" t="n"/>
      <c r="O94" s="140" t="n"/>
      <c r="P94" s="140" t="n"/>
    </row>
    <row r="95" ht="22.5" customHeight="1" s="150">
      <c r="L95" s="147" t="inlineStr">
        <is>
          <t>INCIDENTES DE SEGURIDAD</t>
        </is>
      </c>
      <c r="M95" s="140" t="n"/>
      <c r="N95" s="140" t="n"/>
      <c r="O95" s="140" t="n"/>
      <c r="P95" s="140" t="n"/>
    </row>
    <row r="96" ht="22.5" customHeight="1" s="150">
      <c r="L96" s="147" t="inlineStr">
        <is>
          <t>INCIDENTES TECNOLÓGICOS</t>
        </is>
      </c>
      <c r="M96" s="140" t="n"/>
      <c r="N96" s="140" t="n"/>
      <c r="O96" s="140" t="n"/>
      <c r="P96" s="140" t="n"/>
    </row>
    <row r="97" ht="22.5" customHeight="1" s="150">
      <c r="L97" s="147" t="inlineStr">
        <is>
          <t>INFOMRE AUTORREGULATORIO AMIB</t>
        </is>
      </c>
      <c r="M97" s="140" t="n"/>
      <c r="N97" s="140" t="n"/>
      <c r="O97" s="140" t="n"/>
      <c r="P97" s="140" t="n"/>
    </row>
    <row r="98" ht="22.5" customHeight="1" s="150">
      <c r="L98" s="147" t="inlineStr">
        <is>
          <t>INFORMACION PERSONALIZADA DE CLIENTES EN APLICATIVO BASEINET</t>
        </is>
      </c>
      <c r="M98" s="140" t="n"/>
      <c r="N98" s="140" t="n"/>
      <c r="O98" s="140" t="n"/>
      <c r="P98" s="140" t="n"/>
    </row>
    <row r="99" ht="22.5" customHeight="1" s="150">
      <c r="L99" s="147" t="inlineStr">
        <is>
          <t>INVERSIONES EN VALORES</t>
        </is>
      </c>
      <c r="M99" s="140" t="n"/>
      <c r="N99" s="140" t="n"/>
      <c r="O99" s="140" t="n"/>
      <c r="P99" s="140" t="n"/>
    </row>
    <row r="100" ht="22.5" customHeight="1" s="150">
      <c r="L100" s="147" t="inlineStr">
        <is>
          <t>LIMITE DE DIVISAS</t>
        </is>
      </c>
      <c r="M100" s="140" t="n"/>
      <c r="N100" s="140" t="n"/>
      <c r="O100" s="140" t="n"/>
      <c r="P100" s="140" t="n"/>
    </row>
    <row r="101" ht="22.5" customHeight="1" s="150">
      <c r="L101" s="147" t="inlineStr">
        <is>
          <t>LINEAS DE CRÉDITO Recalificación Anual /Facultades Mancomunadas</t>
        </is>
      </c>
      <c r="M101" s="140" t="n"/>
      <c r="N101" s="140" t="n"/>
      <c r="O101" s="140" t="n"/>
      <c r="P101" s="140" t="n"/>
    </row>
    <row r="102" ht="22.5" customHeight="1" s="150">
      <c r="L102" s="147" t="inlineStr">
        <is>
          <t>LINEAS DE DERIVADOS Y LDD,  Facultades Mancomunadas</t>
        </is>
      </c>
      <c r="M102" s="140" t="n"/>
      <c r="N102" s="140" t="n"/>
      <c r="O102" s="140" t="n"/>
      <c r="P102" s="140" t="n"/>
    </row>
    <row r="103" ht="22.5" customHeight="1" s="150">
      <c r="L103" s="147" t="inlineStr">
        <is>
          <t>LINEAS DE LIQUIDEZ RSP BANXICO</t>
        </is>
      </c>
      <c r="M103" s="140" t="n"/>
      <c r="N103" s="140" t="n"/>
      <c r="O103" s="140" t="n"/>
      <c r="P103" s="140" t="n"/>
    </row>
    <row r="104" ht="22.5" customHeight="1" s="150">
      <c r="L104" s="147" t="inlineStr">
        <is>
          <t>LINEAS DE RIESGO DE CONTRAPARTE</t>
        </is>
      </c>
      <c r="M104" s="140" t="n"/>
      <c r="N104" s="140" t="n"/>
      <c r="O104" s="140" t="n"/>
      <c r="P104" s="140" t="n"/>
    </row>
    <row r="105" ht="22.5" customHeight="1" s="150">
      <c r="L105" s="147" t="inlineStr">
        <is>
          <t>LIQUIDACION DE OPERACIONES</t>
        </is>
      </c>
      <c r="M105" s="140" t="n"/>
      <c r="N105" s="140" t="n"/>
      <c r="O105" s="140" t="n"/>
      <c r="P105" s="140" t="n"/>
    </row>
    <row r="106" ht="22.5" customHeight="1" s="150">
      <c r="L106" s="147" t="inlineStr">
        <is>
          <t>MERCADO DE CAPITALES</t>
        </is>
      </c>
      <c r="M106" s="140" t="n"/>
      <c r="N106" s="140" t="n"/>
      <c r="O106" s="140" t="n"/>
      <c r="P106" s="140" t="n"/>
    </row>
    <row r="107" ht="22.5" customHeight="1" s="150">
      <c r="L107" s="147" t="inlineStr">
        <is>
          <t>MERCADO DE DINERO</t>
        </is>
      </c>
      <c r="M107" s="140" t="n"/>
      <c r="N107" s="140" t="n"/>
      <c r="O107" s="140" t="n"/>
      <c r="P107" s="140" t="n"/>
    </row>
    <row r="108" ht="22.5" customHeight="1" s="150">
      <c r="L108" s="147" t="inlineStr">
        <is>
          <t>MESA DE CONTROL</t>
        </is>
      </c>
      <c r="M108" s="140" t="n"/>
      <c r="N108" s="140" t="n"/>
      <c r="O108" s="140" t="n"/>
      <c r="P108" s="140" t="n"/>
    </row>
    <row r="109" ht="22.5" customHeight="1" s="150">
      <c r="L109" s="147" t="inlineStr">
        <is>
          <t>MÉTODO DE INDICADOR DE NEGOCIO PARA RIESGO OPERACIONAL</t>
        </is>
      </c>
      <c r="M109" s="140" t="n"/>
      <c r="N109" s="140" t="n"/>
      <c r="O109" s="140" t="n"/>
      <c r="P109" s="140" t="n"/>
    </row>
    <row r="110" ht="22.5" customHeight="1" s="150">
      <c r="L110" s="147" t="inlineStr">
        <is>
          <t>METODOLOGIA DE PREVENCIÓN DE FRAUDES</t>
        </is>
      </c>
      <c r="M110" s="140" t="n"/>
      <c r="N110" s="140" t="n"/>
      <c r="O110" s="140" t="n"/>
      <c r="P110" s="140" t="n"/>
    </row>
    <row r="111" ht="22.5" customHeight="1" s="150">
      <c r="L111" s="147" t="inlineStr">
        <is>
          <t>MIDDLE OFFICE (CDMX)</t>
        </is>
      </c>
      <c r="M111" s="140" t="n"/>
      <c r="N111" s="140" t="n"/>
      <c r="O111" s="140" t="n"/>
      <c r="P111" s="140" t="n"/>
    </row>
    <row r="112" ht="22.5" customHeight="1" s="150">
      <c r="L112" s="147" t="inlineStr">
        <is>
          <t>MIDDLE OFFICE (MTY / FOR)</t>
        </is>
      </c>
      <c r="M112" s="140" t="n"/>
      <c r="N112" s="140" t="n"/>
      <c r="O112" s="140" t="n"/>
      <c r="P112" s="140" t="n"/>
    </row>
    <row r="113" ht="22.5" customHeight="1" s="150">
      <c r="L113" s="147" t="inlineStr">
        <is>
          <t>MIDDLE OFFICE (OCC)</t>
        </is>
      </c>
      <c r="M113" s="140" t="n"/>
      <c r="N113" s="140" t="n"/>
      <c r="O113" s="140" t="n"/>
      <c r="P113" s="140" t="n"/>
    </row>
    <row r="114" ht="22.5" customHeight="1" s="150">
      <c r="L114" s="147" t="inlineStr">
        <is>
          <t>MONITOREO</t>
        </is>
      </c>
      <c r="M114" s="140" t="n"/>
      <c r="N114" s="140" t="n"/>
      <c r="O114" s="140" t="n"/>
      <c r="P114" s="140" t="n"/>
    </row>
    <row r="115" ht="22.5" customHeight="1" s="150">
      <c r="L115" s="147" t="inlineStr">
        <is>
          <t>NÓMINAS</t>
        </is>
      </c>
      <c r="M115" s="140" t="n"/>
      <c r="N115" s="140" t="n"/>
      <c r="O115" s="140" t="n"/>
      <c r="P115" s="140" t="n"/>
    </row>
    <row r="116" ht="22.5" customHeight="1" s="150">
      <c r="L116" s="147" t="inlineStr">
        <is>
          <t>NOTIFICACIONES ARTICULO 51 BIS 11 CUB</t>
        </is>
      </c>
      <c r="N116" s="140" t="n"/>
    </row>
    <row r="117" ht="22.5" customHeight="1" s="150">
      <c r="L117" s="147" t="inlineStr">
        <is>
          <t>NUBA</t>
        </is>
      </c>
      <c r="N117" s="140" t="n"/>
    </row>
    <row r="118" ht="22.5" customHeight="1" s="150">
      <c r="L118" s="147" t="inlineStr">
        <is>
          <t>OFICINA DE REP. CANADÁ</t>
        </is>
      </c>
      <c r="N118" s="140" t="n"/>
    </row>
    <row r="119" ht="22.5" customHeight="1" s="150">
      <c r="L119" s="147" t="inlineStr">
        <is>
          <t>OPERACIONES CON PARTES RELACIONADAS</t>
        </is>
      </c>
      <c r="N119" s="140" t="n"/>
    </row>
    <row r="120" ht="22.5" customHeight="1" s="150">
      <c r="L120" s="147" t="inlineStr">
        <is>
          <t>OPERACIONES CON VALORES QUE REALICEN DIRECTIVOS Y EMPLEADOS</t>
        </is>
      </c>
      <c r="N120" s="140" t="n"/>
    </row>
    <row r="121" ht="22.5" customHeight="1" s="150">
      <c r="L121" s="147" t="inlineStr">
        <is>
          <t>OTORGAMIENTO Y REVOCACION DE PODERES</t>
        </is>
      </c>
    </row>
    <row r="122" ht="22.5" customHeight="1" s="150">
      <c r="L122" s="147" t="inlineStr">
        <is>
          <t>OTROS CRÉDITOS BANXICO 195 BIS.</t>
        </is>
      </c>
    </row>
    <row r="123" ht="22.5" customHeight="1" s="150">
      <c r="L123" s="147" t="inlineStr">
        <is>
          <t>PAGARÉ INVERBASE</t>
        </is>
      </c>
    </row>
    <row r="124" ht="22.5" customHeight="1" s="150">
      <c r="L124" s="147" t="inlineStr">
        <is>
          <t>PAGARÉ VENTANILLA</t>
        </is>
      </c>
    </row>
    <row r="125" ht="22.5" customHeight="1" s="150">
      <c r="L125" s="147" t="inlineStr">
        <is>
          <t>PERFILES DE ACCESO</t>
        </is>
      </c>
    </row>
    <row r="126" ht="22.5" customHeight="1" s="150">
      <c r="L126" s="147" t="inlineStr">
        <is>
          <t>PLAN DE CONTINUIDAD DEL NEGOCIO (BCP)</t>
        </is>
      </c>
    </row>
    <row r="127" ht="22.5" customHeight="1" s="150">
      <c r="L127" s="147" t="inlineStr">
        <is>
          <t>PRACTICAS DE VENTA</t>
        </is>
      </c>
    </row>
    <row r="128" ht="22.5" customHeight="1" s="150">
      <c r="L128" s="147" t="inlineStr">
        <is>
          <t>PRESTAMOS AL PERSONAL (PAGARES, FACTURAS, ENDOSOS, CONTRATOS)</t>
        </is>
      </c>
    </row>
    <row r="129" ht="22.5" customHeight="1" s="150">
      <c r="L129" s="147" t="inlineStr">
        <is>
          <t>PREVENCIÓN DE LAVADO DE DINERO Y FT</t>
        </is>
      </c>
    </row>
    <row r="130" ht="22.5" customHeight="1" s="150">
      <c r="L130" s="147" t="inlineStr">
        <is>
          <t>PREVENSIÓN SOCIAL</t>
        </is>
      </c>
    </row>
    <row r="131" ht="22.5" customHeight="1" s="150">
      <c r="L131" s="147" t="inlineStr">
        <is>
          <t>PROCEDIMIENTOS PARA QUE LAS INSTITUCIONES DE BANCA MÚLTIPLE SOLICITEN Y ADMINISTREN OTROS CRÉDITOS DEL BANCO DE MÉXICO</t>
        </is>
      </c>
    </row>
    <row r="132" ht="22.5" customHeight="1" s="150">
      <c r="L132" s="147" t="inlineStr">
        <is>
          <t>PROCESO CAJAS OPERATIVAS, DIVISAS, OPERACIONES, EFECTIVO</t>
        </is>
      </c>
    </row>
    <row r="133" ht="22.5" customHeight="1" s="150">
      <c r="L133" s="147" t="inlineStr">
        <is>
          <t xml:space="preserve">PROCESO DE CRÉDITO </t>
        </is>
      </c>
    </row>
    <row r="134" ht="22.5" customHeight="1" s="150">
      <c r="L134" s="147" t="inlineStr">
        <is>
          <t>PROCESO DE EMISION DE NORMATIVIDAD</t>
        </is>
      </c>
    </row>
    <row r="135" ht="22.5" customHeight="1" s="150">
      <c r="L135" s="147" t="inlineStr">
        <is>
          <t>PROCESOS DE CIFRADO DE CONTRASEÑAS DE ACCESO UTILIZADAS EN EL SERVICIO DE BANCA POR INTERNET (WEB Y MOVIL)</t>
        </is>
      </c>
    </row>
    <row r="136" ht="22.5" customHeight="1" s="150">
      <c r="L136" s="147" t="inlineStr">
        <is>
          <t>PROVEEDORES CRITICOS</t>
        </is>
      </c>
    </row>
    <row r="137" ht="22.5" customHeight="1" s="150">
      <c r="L137" s="147" t="inlineStr">
        <is>
          <t>PROVEEDORES CRITICOS CNBV</t>
        </is>
      </c>
    </row>
    <row r="138" ht="22.5" customHeight="1" s="150">
      <c r="L138" s="147" t="inlineStr">
        <is>
          <t>PROYECTOS DE INVERSIÓN TI</t>
        </is>
      </c>
    </row>
    <row r="139" ht="22.5" customHeight="1" s="150">
      <c r="L139" s="147" t="inlineStr">
        <is>
          <t>REGISTRO DE COMISIONES A PRODUCTOS Y SERVICIOS</t>
        </is>
      </c>
    </row>
    <row r="140" ht="22.5" customHeight="1" s="150">
      <c r="L140" s="147" t="inlineStr">
        <is>
          <t>REGISTRO DE CONTRATOS (CONDUSEF)</t>
        </is>
      </c>
    </row>
    <row r="141" ht="22.5" customHeight="1" s="150">
      <c r="L141" s="147" t="inlineStr">
        <is>
          <t>REPORTE REGULATORIO R35 A-3511 "OP DE GRANDES EXPOSICIONES"</t>
        </is>
      </c>
    </row>
    <row r="142" ht="22.5" customHeight="1" s="150">
      <c r="L142" s="147" t="inlineStr">
        <is>
          <t>REPORTES REGULATORIOS BANXICO</t>
        </is>
      </c>
    </row>
    <row r="143" ht="22.5" customHeight="1" s="150">
      <c r="L143" s="147" t="inlineStr">
        <is>
          <t>REPORTES REGULATORIOS CNBV</t>
        </is>
      </c>
    </row>
    <row r="144" ht="22.5" customHeight="1" s="150">
      <c r="L144" s="147" t="inlineStr">
        <is>
          <t>RESTABLECIMIENTO DE CONTRASEÑAS</t>
        </is>
      </c>
    </row>
    <row r="145" ht="22.5" customHeight="1" s="150">
      <c r="L145" s="147" t="inlineStr">
        <is>
          <t>REVISIÓN DE PROVEEDORES CRITICOS</t>
        </is>
      </c>
    </row>
    <row r="146" ht="22.5" customHeight="1" s="150">
      <c r="L146" s="147" t="inlineStr">
        <is>
          <t>REVISIÓN OFICINA CANADA (ACTIVIDAD DE LA SUCURSAL)</t>
        </is>
      </c>
    </row>
    <row r="147" ht="22.5" customHeight="1" s="150">
      <c r="L147" s="147" t="inlineStr">
        <is>
          <t>REVISIÓN TÉCNICA DE LA UAIR</t>
        </is>
      </c>
    </row>
    <row r="148" ht="22.5" customHeight="1" s="150">
      <c r="L148" s="147" t="inlineStr">
        <is>
          <t>ROBO DE IDENTIDAD, BIOMETRIA, GEOLOCALIZACIÓN</t>
        </is>
      </c>
    </row>
    <row r="149" ht="22.5" customHeight="1" s="150">
      <c r="L149" s="147" t="inlineStr">
        <is>
          <t>SEGURIDAD FÍSICA Y PERIMETRAL</t>
        </is>
      </c>
    </row>
    <row r="150" ht="22.5" customHeight="1" s="150">
      <c r="L150" s="147" t="inlineStr">
        <is>
          <t xml:space="preserve">SISTEMA DE REMUNERACIONES (Informe sobre la Consistencia en la aplicación)
</t>
        </is>
      </c>
    </row>
    <row r="151" ht="22.5" customHeight="1" s="150">
      <c r="L151" s="147" t="inlineStr">
        <is>
          <t>SISTEMA DE REMUNERACIONES (Reporte Anual sobre el desempeño)</t>
        </is>
      </c>
    </row>
    <row r="152" ht="22.5" customHeight="1" s="150">
      <c r="L152" s="147" t="inlineStr">
        <is>
          <t>SOFT TOKEN BASEINET</t>
        </is>
      </c>
    </row>
    <row r="153" ht="22.5" customHeight="1" s="150">
      <c r="L153" s="147" t="inlineStr">
        <is>
          <t>SUCURSALES</t>
        </is>
      </c>
    </row>
    <row r="154" ht="22.5" customHeight="1" s="150">
      <c r="L154" s="147" t="inlineStr">
        <is>
          <t>SUCURSALES CUSTODIA DOCUMENTOS COMERCIAL OCCIDENTE SUCURSAL AGUASCALIENTES</t>
        </is>
      </c>
    </row>
    <row r="155" ht="22.5" customHeight="1" s="150">
      <c r="L155" s="147" t="inlineStr">
        <is>
          <t>SUCURSALES CUSTODIA DOCUMENTOS COMERCIAL OCCIDENTE SUCURSAL GUADALAJARA</t>
        </is>
      </c>
    </row>
    <row r="156" ht="22.5" customHeight="1" s="150">
      <c r="L156" s="147" t="inlineStr">
        <is>
          <t>SUCURSALES CUSTODIA DOCUMENTOS COMERCIAL OCCIDENTE SUCURSAL LEON</t>
        </is>
      </c>
    </row>
    <row r="157" ht="22.5" customHeight="1" s="150">
      <c r="L157" s="147" t="inlineStr">
        <is>
          <t>SUCURSALES CUSTODIA DOCUMENTOS COMERCIAL OCCIDENTE SUCURSAL QUERÉTARO</t>
        </is>
      </c>
    </row>
    <row r="158" ht="22.5" customHeight="1" s="150">
      <c r="L158" s="147" t="inlineStr">
        <is>
          <t>SUCURSALES CUSTODIA DOCUMENTOS COMERCIAL OCCIDENTE SUCURSAL SLP</t>
        </is>
      </c>
    </row>
    <row r="159" ht="22.5" customHeight="1" s="150">
      <c r="L159" s="147" t="inlineStr">
        <is>
          <t>SUCURSALES CUSTODIA DOCUMENTOS, COMERCIAL FORANEAS SUCURSAL CANCÚN</t>
        </is>
      </c>
    </row>
    <row r="160" ht="22.5" customHeight="1" s="150">
      <c r="L160" s="147" t="inlineStr">
        <is>
          <t>SUCURSALES CUSTODIA DOCUMENTOS, COMERCIAL FORANEAS SUCURSAL CHIHUAHUA</t>
        </is>
      </c>
    </row>
    <row r="161" ht="22.5" customHeight="1" s="150">
      <c r="L161" s="147" t="inlineStr">
        <is>
          <t>SUCURSALES CUSTODIA DOCUMENTOS, COMERCIAL FORANEAS SUCURSAL TIJUANA</t>
        </is>
      </c>
    </row>
    <row r="162" ht="22.5" customHeight="1" s="150">
      <c r="L162" s="147" t="inlineStr">
        <is>
          <t>SUCURSALES CUSTODIA DOCUMENTOS, COMERCIAL FORANEAS SUCURSAL TORREON</t>
        </is>
      </c>
    </row>
    <row r="163" ht="22.5" customHeight="1" s="150">
      <c r="L163" s="147" t="inlineStr">
        <is>
          <t>SUCURSALES CUSTODIA DOCUMENTOS, COMERCIAL MEXICO</t>
        </is>
      </c>
    </row>
    <row r="164" ht="22.5" customHeight="1" s="150">
      <c r="L164" s="147" t="inlineStr">
        <is>
          <t>SUCURSALES CUSTODIA DOCUMENTOS, COMERCIAL MONTERREY</t>
        </is>
      </c>
    </row>
    <row r="165" ht="22.5" customHeight="1" s="150">
      <c r="L165" s="147" t="inlineStr">
        <is>
          <t>SUCURSALES CUSTODIA DOCUMENTOS, DIRECC. CAMBIARIA NORTE REYNOSA</t>
        </is>
      </c>
    </row>
    <row r="166" ht="22.5" customHeight="1" s="150">
      <c r="L166" s="147" t="inlineStr">
        <is>
          <t>SUCURSALES CUSTODIA DOCUMENTOS, DIRECC. CAMBIARIA NORTE TAMPICO</t>
        </is>
      </c>
    </row>
    <row r="167" ht="22.5" customHeight="1" s="150">
      <c r="L167" s="147" t="inlineStr">
        <is>
          <t>TECNOLOGÍA, INFRAESTRUCTURA, SEGURIDAD DE LA INFORMACIÓN</t>
        </is>
      </c>
    </row>
    <row r="168" ht="22.5" customHeight="1" s="150">
      <c r="L168" s="147" t="inlineStr">
        <is>
          <t>TESORERÍA (ADMINISTRACION DE FONDOS, PESOS, DOLARES)</t>
        </is>
      </c>
    </row>
    <row r="169" ht="22.5" customHeight="1" s="150">
      <c r="L169" s="147" t="inlineStr">
        <is>
          <t>TIEMPO DE ESPERA PREVIO A TRANSFERENCIAS DE TERCEROS POR BASEINET</t>
        </is>
      </c>
    </row>
    <row r="170" ht="22.5" customHeight="1" s="150">
      <c r="L170" s="147" t="inlineStr">
        <is>
          <t>TRATAMIENTO INFORMACION LFPDPPP</t>
        </is>
      </c>
    </row>
    <row r="171" ht="22.5" customHeight="1" s="150">
      <c r="L171" s="147" t="inlineStr">
        <is>
          <t>UNIDAD ESPECIALIZADA DE ATENCIÓN A CLIENTES (UNE)</t>
        </is>
      </c>
    </row>
    <row r="172" ht="22.5" customHeight="1" s="150">
      <c r="L172" s="147" t="inlineStr">
        <is>
          <t>USO DE HERRAMIENTAS INFORMATICAS PARA DETECCION Y PREVENCION DE FRAUDES</t>
        </is>
      </c>
    </row>
    <row r="173" ht="22.5" customHeight="1" s="150">
      <c r="L173" s="147" t="inlineStr">
        <is>
          <t>VARIACIONES FINANCIERAS Y REPORTE A AUTORIDADES</t>
        </is>
      </c>
    </row>
  </sheetData>
  <autoFilter ref="X2:AF113"/>
  <pageMargins left="0.7086614173228347" right="0.7086614173228347" top="0.7480314960629921" bottom="0.7480314960629921" header="0.3149606299212598" footer="0.3149606299212598"/>
  <pageSetup orientation="portrait" scale="80"/>
  <legacyDrawing xmlns:r="http://schemas.openxmlformats.org/officeDocument/2006/relationships" r:id="anysvml"/>
</worksheet>
</file>

<file path=xl/worksheets/sheet5.xml><?xml version="1.0" encoding="utf-8"?>
<worksheet xmlns="http://schemas.openxmlformats.org/spreadsheetml/2006/main">
  <sheetPr filterMode="1">
    <tabColor theme="7" tint="-0.249977111117893"/>
    <outlinePr summaryBelow="1" summaryRight="1"/>
    <pageSetUpPr/>
  </sheetPr>
  <dimension ref="A2:AL1656"/>
  <sheetViews>
    <sheetView zoomScale="85" zoomScaleNormal="85" workbookViewId="0">
      <pane ySplit="4" topLeftCell="A5" activePane="bottomLeft" state="frozen"/>
      <selection activeCell="A5" sqref="A5"/>
      <selection pane="bottomLeft" activeCell="A5" sqref="A5"/>
    </sheetView>
  </sheetViews>
  <sheetFormatPr baseColWidth="8" defaultRowHeight="14.5"/>
  <cols>
    <col width="14.7265625" customWidth="1" style="150" min="1" max="1"/>
    <col width="13.7265625" customWidth="1" style="150" min="2" max="2"/>
    <col width="35.26953125" customWidth="1" style="150" min="3" max="3"/>
    <col width="7.6328125" bestFit="1" customWidth="1" style="150" min="4" max="4"/>
    <col width="25.36328125" bestFit="1" customWidth="1" style="150" min="5" max="5"/>
    <col width="20.26953125" bestFit="1" customWidth="1" style="113" min="6" max="6"/>
    <col width="14.1796875" bestFit="1" customWidth="1" style="150" min="7" max="7"/>
    <col width="31.36328125" customWidth="1" style="150" min="8" max="8"/>
    <col width="16.90625" bestFit="1" customWidth="1" style="150" min="9" max="9"/>
    <col width="14" bestFit="1" customWidth="1" style="150" min="10" max="10"/>
    <col width="22.08984375" bestFit="1" customWidth="1" style="150" min="11" max="11"/>
    <col width="27.1796875" bestFit="1" customWidth="1" style="150" min="12" max="12"/>
    <col width="23" bestFit="1" customWidth="1" style="150" min="13" max="15"/>
    <col width="53.453125" bestFit="1" customWidth="1" style="150" min="16" max="16"/>
    <col width="18.1796875" bestFit="1" customWidth="1" style="150" min="17" max="18"/>
    <col width="37.6328125" customWidth="1" style="150" min="19" max="19"/>
    <col width="18.1796875" bestFit="1" customWidth="1" style="150" min="20" max="30"/>
    <col width="11.7265625" customWidth="1" style="150" min="36" max="36"/>
    <col width="11" bestFit="1" customWidth="1" style="150" min="37" max="37"/>
  </cols>
  <sheetData>
    <row r="2" ht="25" customHeight="1" s="150">
      <c r="A2" s="148" t="inlineStr">
        <is>
          <t>INFORMACION AGOSTO 2026</t>
        </is>
      </c>
      <c r="B2" s="149" t="n"/>
    </row>
    <row r="3" ht="19.5" customHeight="1" s="150">
      <c r="A3" s="127" t="n"/>
      <c r="B3" s="128" t="n">
        <v>1</v>
      </c>
      <c r="C3" s="129" t="n">
        <v>2</v>
      </c>
      <c r="D3" s="128" t="n">
        <v>3</v>
      </c>
      <c r="E3" s="129" t="n">
        <v>4</v>
      </c>
      <c r="F3" s="128" t="n">
        <v>5</v>
      </c>
      <c r="G3" s="129" t="n">
        <v>6</v>
      </c>
      <c r="H3" s="128" t="n">
        <v>7</v>
      </c>
      <c r="I3" s="129" t="n">
        <v>8</v>
      </c>
      <c r="J3" s="128" t="n">
        <v>9</v>
      </c>
      <c r="K3" s="129" t="n">
        <v>10</v>
      </c>
      <c r="L3" s="128" t="n">
        <v>11</v>
      </c>
      <c r="M3" s="129" t="n">
        <v>12</v>
      </c>
      <c r="N3" s="128" t="n">
        <v>13</v>
      </c>
      <c r="O3" s="129" t="n">
        <v>14</v>
      </c>
      <c r="P3" s="128" t="n">
        <v>15</v>
      </c>
      <c r="Q3" s="129" t="n">
        <v>16</v>
      </c>
      <c r="R3" s="128" t="n">
        <v>17</v>
      </c>
      <c r="S3" s="129" t="n">
        <v>18</v>
      </c>
      <c r="T3" s="128" t="n">
        <v>19</v>
      </c>
      <c r="U3" s="129" t="n">
        <v>20</v>
      </c>
      <c r="V3" s="128" t="n">
        <v>21</v>
      </c>
      <c r="W3" s="129" t="n">
        <v>22</v>
      </c>
      <c r="X3" s="128" t="n">
        <v>23</v>
      </c>
      <c r="Y3" s="129" t="n">
        <v>24</v>
      </c>
      <c r="Z3" s="128" t="n">
        <v>25</v>
      </c>
      <c r="AA3" s="129" t="n">
        <v>26</v>
      </c>
      <c r="AB3" s="128" t="n">
        <v>27</v>
      </c>
      <c r="AC3" s="129" t="n">
        <v>28</v>
      </c>
      <c r="AD3" s="128" t="n">
        <v>29</v>
      </c>
      <c r="AE3" s="129" t="n">
        <v>30</v>
      </c>
      <c r="AF3" s="128" t="n">
        <v>31</v>
      </c>
      <c r="AG3" s="129" t="n">
        <v>32</v>
      </c>
      <c r="AH3" s="128" t="n">
        <v>33</v>
      </c>
      <c r="AI3" s="129" t="n">
        <v>34</v>
      </c>
      <c r="AJ3" s="128" t="n">
        <v>35</v>
      </c>
      <c r="AK3" s="127" t="n"/>
    </row>
    <row r="4" ht="48" customHeight="1" s="150">
      <c r="A4" s="130" t="inlineStr">
        <is>
          <t>USUARIO</t>
        </is>
      </c>
      <c r="B4" s="130" t="inlineStr">
        <is>
          <t>NIP</t>
        </is>
      </c>
      <c r="C4" s="130" t="inlineStr">
        <is>
          <t>NOMBRE</t>
        </is>
      </c>
      <c r="D4" s="130" t="inlineStr">
        <is>
          <t>CODIGO POSICION</t>
        </is>
      </c>
      <c r="E4" s="130" t="inlineStr">
        <is>
          <t>POSICION</t>
        </is>
      </c>
      <c r="F4" s="130" t="inlineStr">
        <is>
          <t>ATRIBUTO SUCURSAL</t>
        </is>
      </c>
      <c r="G4" s="130" t="inlineStr">
        <is>
          <t>NIP DEL JEFE</t>
        </is>
      </c>
      <c r="H4" s="130" t="inlineStr">
        <is>
          <t>NOMBRE DEL JEFE</t>
        </is>
      </c>
      <c r="I4" s="130" t="inlineStr">
        <is>
          <t>CODIGO POSICION DEL JEFE</t>
        </is>
      </c>
      <c r="J4" s="130" t="inlineStr">
        <is>
          <t>POSICION DEL JEFE</t>
        </is>
      </c>
      <c r="K4" s="130" t="inlineStr">
        <is>
          <t>ID ELEMENTO EMPRESA</t>
        </is>
      </c>
      <c r="L4" s="130" t="inlineStr">
        <is>
          <t>DESCRIPCION EMPRESA</t>
        </is>
      </c>
      <c r="M4" s="130" t="inlineStr">
        <is>
          <t>ID ELEMENTO DIRECCION GENERAL</t>
        </is>
      </c>
      <c r="N4" s="130" t="inlineStr">
        <is>
          <t>DESCRIPCION DIRECCION GENERAL</t>
        </is>
      </c>
      <c r="O4" s="130" t="inlineStr">
        <is>
          <t>ID ELEMENTO DIRECCION</t>
        </is>
      </c>
      <c r="P4" s="130" t="inlineStr">
        <is>
          <t>DESCRIPCION DIRECCION</t>
        </is>
      </c>
      <c r="Q4" s="130" t="inlineStr">
        <is>
          <t>ID ELEMENTO AREA</t>
        </is>
      </c>
      <c r="R4" s="130" t="inlineStr">
        <is>
          <t>DESCRIPCION AREA</t>
        </is>
      </c>
      <c r="S4" s="130" t="inlineStr">
        <is>
          <t>ID ELEMENTO GERENCIA</t>
        </is>
      </c>
      <c r="T4" s="130" t="inlineStr">
        <is>
          <t>DESCRIPCION GERENCIA</t>
        </is>
      </c>
      <c r="U4" s="130" t="inlineStr">
        <is>
          <t>ID ELEMENTO DEPARTAMENTO CC</t>
        </is>
      </c>
      <c r="V4" s="130" t="inlineStr">
        <is>
          <t>DESCRIPCION DEPARTAMENTO CC</t>
        </is>
      </c>
      <c r="W4" s="130" t="inlineStr">
        <is>
          <t>ID ELEMENTO CENTRO DE RESP</t>
        </is>
      </c>
      <c r="X4" s="130" t="inlineStr">
        <is>
          <t>DESCRIPCION CENTRO DE RESP</t>
        </is>
      </c>
      <c r="Y4" s="130" t="inlineStr">
        <is>
          <t>CLAVE ETIQUETA 1</t>
        </is>
      </c>
      <c r="Z4" s="130" t="inlineStr">
        <is>
          <t>DESCRIPCION ETIQUETA 1</t>
        </is>
      </c>
      <c r="AA4" s="130" t="inlineStr">
        <is>
          <t>CLAVE ETIQUETA 2</t>
        </is>
      </c>
      <c r="AB4" s="130" t="inlineStr">
        <is>
          <t>DESCRIPCION ETIQUETA 2</t>
        </is>
      </c>
      <c r="AC4" s="130" t="inlineStr">
        <is>
          <t>CLAVE ETIQUETA 3</t>
        </is>
      </c>
      <c r="AD4" s="130" t="inlineStr">
        <is>
          <t>DESCRIPCION ETIQUETA 3</t>
        </is>
      </c>
      <c r="AE4" s="130" t="inlineStr">
        <is>
          <t>CLAVE ETIQUETA 4</t>
        </is>
      </c>
      <c r="AF4" s="130" t="inlineStr">
        <is>
          <t>DESCRIPCION ETIQUETA 4</t>
        </is>
      </c>
      <c r="AG4" s="130" t="inlineStr">
        <is>
          <t>ID ELEMENTO PLAZA</t>
        </is>
      </c>
      <c r="AH4" s="130" t="inlineStr">
        <is>
          <t>DESCRIPCION PLAZA</t>
        </is>
      </c>
      <c r="AI4" s="130" t="inlineStr">
        <is>
          <t>Correo Electrónico</t>
        </is>
      </c>
      <c r="AJ4" s="130" t="inlineStr">
        <is>
          <t>Fecha Ingreso</t>
        </is>
      </c>
    </row>
    <row r="5" hidden="1" s="150">
      <c r="A5" t="inlineStr">
        <is>
          <t>LBARRERA</t>
        </is>
      </c>
      <c r="B5" t="n">
        <v>1</v>
      </c>
      <c r="C5" t="inlineStr">
        <is>
          <t>LORENZO BARRERA SEGOVIA</t>
        </is>
      </c>
      <c r="D5" t="n">
        <v>1</v>
      </c>
      <c r="E5" t="inlineStr">
        <is>
          <t>PRESIDENTE EJECUTIVO</t>
        </is>
      </c>
      <c r="F5" t="inlineStr">
        <is>
          <t>MONTERREY</t>
        </is>
      </c>
      <c r="K5" t="n">
        <v>1</v>
      </c>
      <c r="L5" t="inlineStr">
        <is>
          <t>PRESIDENCIA EJECUTIVA DEL CONSEJO</t>
        </is>
      </c>
      <c r="M5" t="n">
        <v>10</v>
      </c>
      <c r="N5" t="inlineStr">
        <is>
          <t>PRESIDENCIA EJECUTIVA DEL CONSEJO</t>
        </is>
      </c>
      <c r="O5" t="n">
        <v>100</v>
      </c>
      <c r="P5" t="inlineStr">
        <is>
          <t>PRESIDENCIA DEL CONSEJO DE ADMINISTRACION</t>
        </is>
      </c>
      <c r="Q5" t="n">
        <v>1000</v>
      </c>
      <c r="R5" t="inlineStr">
        <is>
          <t>PRESIDENCIA DEL CONSEJO DE ADMINISTRACION</t>
        </is>
      </c>
      <c r="S5" t="n">
        <v>10000</v>
      </c>
      <c r="T5" t="inlineStr">
        <is>
          <t>PRESIDENCIA DEL CONSEJO DE ADMINISTRACION</t>
        </is>
      </c>
      <c r="U5" t="n">
        <v>100000</v>
      </c>
      <c r="V5" t="inlineStr">
        <is>
          <t>PRESIDENCIA DEL CONSEJO DE ADMINISTRACION</t>
        </is>
      </c>
      <c r="W5" t="n">
        <v>100101</v>
      </c>
      <c r="X5" t="inlineStr">
        <is>
          <t>CORPORATIVO</t>
        </is>
      </c>
      <c r="Y5" t="n">
        <v>4</v>
      </c>
      <c r="Z5" t="inlineStr">
        <is>
          <t>CORPORATIVO</t>
        </is>
      </c>
      <c r="AA5" t="n">
        <v>1</v>
      </c>
      <c r="AB5" t="inlineStr">
        <is>
          <t>NEGOCIO EN MARCHA</t>
        </is>
      </c>
      <c r="AC5" t="n">
        <v>1</v>
      </c>
      <c r="AD5" t="inlineStr">
        <is>
          <t>BANCO</t>
        </is>
      </c>
      <c r="AE5" t="n">
        <v>1</v>
      </c>
      <c r="AF5" t="inlineStr">
        <is>
          <t>BACK</t>
        </is>
      </c>
      <c r="AG5" t="n">
        <v>100101</v>
      </c>
      <c r="AH5" t="inlineStr">
        <is>
          <t>CORPORATIVO</t>
        </is>
      </c>
      <c r="AI5" t="inlineStr">
        <is>
          <t>LBARRERA@BANCOBASE.COM</t>
        </is>
      </c>
      <c r="AJ5" s="151" t="n">
        <v>31444</v>
      </c>
      <c r="AK5" s="151" t="n"/>
      <c r="AL5" s="151" t="n"/>
    </row>
    <row r="6" hidden="1" s="150">
      <c r="A6" t="inlineStr">
        <is>
          <t>DLOZA</t>
        </is>
      </c>
      <c r="B6" t="n">
        <v>604</v>
      </c>
      <c r="C6" t="inlineStr">
        <is>
          <t>DIANA LOZA ALVAREZ</t>
        </is>
      </c>
      <c r="D6" t="n">
        <v>191</v>
      </c>
      <c r="E6" t="inlineStr">
        <is>
          <t>ASISTENTE DE PRESIDENCIA</t>
        </is>
      </c>
      <c r="F6" t="inlineStr">
        <is>
          <t>MONTERREY</t>
        </is>
      </c>
      <c r="G6" t="n">
        <v>1</v>
      </c>
      <c r="H6" t="inlineStr">
        <is>
          <t>LORENZO BARRERA SEGOVIA</t>
        </is>
      </c>
      <c r="I6" t="n">
        <v>1</v>
      </c>
      <c r="J6" t="inlineStr">
        <is>
          <t>PRESIDENTE EJECUTIVO</t>
        </is>
      </c>
      <c r="K6" t="n">
        <v>1</v>
      </c>
      <c r="L6" t="inlineStr">
        <is>
          <t>PRESIDENCIA EJECUTIVA DEL CONSEJO</t>
        </is>
      </c>
      <c r="M6" t="n">
        <v>10</v>
      </c>
      <c r="N6" t="inlineStr">
        <is>
          <t>PRESIDENCIA EJECUTIVA DEL CONSEJO</t>
        </is>
      </c>
      <c r="O6" t="n">
        <v>100</v>
      </c>
      <c r="P6" t="inlineStr">
        <is>
          <t>PRESIDENCIA DEL CONSEJO DE ADMINISTRACION</t>
        </is>
      </c>
      <c r="Q6" t="n">
        <v>1000</v>
      </c>
      <c r="R6" t="inlineStr">
        <is>
          <t>PRESIDENCIA DEL CONSEJO DE ADMINISTRACION</t>
        </is>
      </c>
      <c r="S6" t="n">
        <v>10000</v>
      </c>
      <c r="T6" t="inlineStr">
        <is>
          <t>PRESIDENCIA DEL CONSEJO DE ADMINISTRACION</t>
        </is>
      </c>
      <c r="U6" t="n">
        <v>100000</v>
      </c>
      <c r="V6" t="inlineStr">
        <is>
          <t>PRESIDENCIA DEL CONSEJO DE ADMINISTRACION</t>
        </is>
      </c>
      <c r="W6" t="n">
        <v>100101</v>
      </c>
      <c r="X6" t="inlineStr">
        <is>
          <t>CORPORATIVO</t>
        </is>
      </c>
      <c r="Y6" t="n">
        <v>4</v>
      </c>
      <c r="Z6" t="inlineStr">
        <is>
          <t>CORPORATIVO</t>
        </is>
      </c>
      <c r="AA6" t="n">
        <v>1</v>
      </c>
      <c r="AB6" t="inlineStr">
        <is>
          <t>NEGOCIO EN MARCHA</t>
        </is>
      </c>
      <c r="AC6" t="n">
        <v>1</v>
      </c>
      <c r="AD6" t="inlineStr">
        <is>
          <t>BANCO</t>
        </is>
      </c>
      <c r="AE6" t="n">
        <v>1</v>
      </c>
      <c r="AF6" t="inlineStr">
        <is>
          <t>BACK</t>
        </is>
      </c>
      <c r="AG6" t="n">
        <v>100101</v>
      </c>
      <c r="AH6" t="inlineStr">
        <is>
          <t>CORPORATIVO</t>
        </is>
      </c>
      <c r="AI6" t="inlineStr">
        <is>
          <t>DLOZA@BANCOBASE.COM</t>
        </is>
      </c>
      <c r="AJ6" s="151" t="n">
        <v>40273</v>
      </c>
      <c r="AK6" s="151" t="n"/>
      <c r="AL6" s="151" t="n"/>
    </row>
    <row r="7" hidden="1" s="150">
      <c r="A7" t="inlineStr">
        <is>
          <t>LARRAMBIDE</t>
        </is>
      </c>
      <c r="B7" t="n">
        <v>856</v>
      </c>
      <c r="C7" t="inlineStr">
        <is>
          <t>LIZETH ARRAMBIDE ORTIZ</t>
        </is>
      </c>
      <c r="D7" t="n">
        <v>9130</v>
      </c>
      <c r="E7" t="inlineStr">
        <is>
          <t>ASISTENTE DE PRESIDENCIA</t>
        </is>
      </c>
      <c r="F7" t="inlineStr">
        <is>
          <t>MONTERREY</t>
        </is>
      </c>
      <c r="G7" t="n">
        <v>1</v>
      </c>
      <c r="H7" t="inlineStr">
        <is>
          <t>LORENZO BARRERA SEGOVIA</t>
        </is>
      </c>
      <c r="I7" t="n">
        <v>1</v>
      </c>
      <c r="J7" t="inlineStr">
        <is>
          <t>PRESIDENTE EJECUTIVO</t>
        </is>
      </c>
      <c r="K7" t="n">
        <v>1</v>
      </c>
      <c r="L7" t="inlineStr">
        <is>
          <t>PRESIDENCIA EJECUTIVA DEL CONSEJO</t>
        </is>
      </c>
      <c r="M7" t="n">
        <v>10</v>
      </c>
      <c r="N7" t="inlineStr">
        <is>
          <t>PRESIDENCIA EJECUTIVA DEL CONSEJO</t>
        </is>
      </c>
      <c r="O7" t="n">
        <v>100</v>
      </c>
      <c r="P7" t="inlineStr">
        <is>
          <t>PRESIDENCIA DEL CONSEJO DE ADMINISTRACION</t>
        </is>
      </c>
      <c r="Q7" t="n">
        <v>1000</v>
      </c>
      <c r="R7" t="inlineStr">
        <is>
          <t>PRESIDENCIA DEL CONSEJO DE ADMINISTRACION</t>
        </is>
      </c>
      <c r="S7" t="n">
        <v>10000</v>
      </c>
      <c r="T7" t="inlineStr">
        <is>
          <t>PRESIDENCIA DEL CONSEJO DE ADMINISTRACION</t>
        </is>
      </c>
      <c r="U7" t="n">
        <v>100000</v>
      </c>
      <c r="V7" t="inlineStr">
        <is>
          <t>PRESIDENCIA DEL CONSEJO DE ADMINISTRACION</t>
        </is>
      </c>
      <c r="W7" t="n">
        <v>100101</v>
      </c>
      <c r="X7" t="inlineStr">
        <is>
          <t>CORPORATIVO</t>
        </is>
      </c>
      <c r="Y7" t="n">
        <v>4</v>
      </c>
      <c r="Z7" t="inlineStr">
        <is>
          <t>CORPORATIVO</t>
        </is>
      </c>
      <c r="AA7" t="n">
        <v>1</v>
      </c>
      <c r="AB7" t="inlineStr">
        <is>
          <t>NEGOCIO EN MARCHA</t>
        </is>
      </c>
      <c r="AC7" t="n">
        <v>1</v>
      </c>
      <c r="AD7" t="inlineStr">
        <is>
          <t>BANCO</t>
        </is>
      </c>
      <c r="AE7" t="n">
        <v>1</v>
      </c>
      <c r="AF7" t="inlineStr">
        <is>
          <t>BACK</t>
        </is>
      </c>
      <c r="AG7" t="n">
        <v>100101</v>
      </c>
      <c r="AH7" t="inlineStr">
        <is>
          <t>CORPORATIVO</t>
        </is>
      </c>
      <c r="AI7" t="inlineStr">
        <is>
          <t>LARRAMBIDE@BANCOBASE.COM</t>
        </is>
      </c>
      <c r="AJ7" s="151" t="n">
        <v>44186</v>
      </c>
      <c r="AK7" s="151" t="n"/>
      <c r="AL7" s="151" t="n"/>
    </row>
    <row r="8" hidden="1" s="150">
      <c r="A8" t="inlineStr">
        <is>
          <t>VCASTILLO</t>
        </is>
      </c>
      <c r="B8" t="n">
        <v>237</v>
      </c>
      <c r="C8" t="inlineStr">
        <is>
          <t>VICTOR MANUEL CASTILLO TAMEZ</t>
        </is>
      </c>
      <c r="D8" t="n">
        <v>9449</v>
      </c>
      <c r="E8" t="inlineStr">
        <is>
          <t>CHOFER</t>
        </is>
      </c>
      <c r="F8" t="inlineStr">
        <is>
          <t>MONTERREY</t>
        </is>
      </c>
      <c r="G8" t="n">
        <v>1</v>
      </c>
      <c r="H8" t="inlineStr">
        <is>
          <t>LORENZO BARRERA SEGOVIA</t>
        </is>
      </c>
      <c r="I8" t="n">
        <v>1</v>
      </c>
      <c r="J8" t="inlineStr">
        <is>
          <t>PRESIDENTE EJECUTIVO</t>
        </is>
      </c>
      <c r="K8" t="n">
        <v>1</v>
      </c>
      <c r="L8" t="inlineStr">
        <is>
          <t>PRESIDENCIA EJECUTIVA DEL CONSEJO</t>
        </is>
      </c>
      <c r="M8" t="n">
        <v>10</v>
      </c>
      <c r="N8" t="inlineStr">
        <is>
          <t>PRESIDENCIA EJECUTIVA DEL CONSEJO</t>
        </is>
      </c>
      <c r="O8" t="n">
        <v>100</v>
      </c>
      <c r="P8" t="inlineStr">
        <is>
          <t>PRESIDENCIA DEL CONSEJO DE ADMINISTRACION</t>
        </is>
      </c>
      <c r="Q8" t="n">
        <v>1000</v>
      </c>
      <c r="R8" t="inlineStr">
        <is>
          <t>PRESIDENCIA DEL CONSEJO DE ADMINISTRACION</t>
        </is>
      </c>
      <c r="S8" t="n">
        <v>10000</v>
      </c>
      <c r="T8" t="inlineStr">
        <is>
          <t>PRESIDENCIA DEL CONSEJO DE ADMINISTRACION</t>
        </is>
      </c>
      <c r="U8" t="n">
        <v>100000</v>
      </c>
      <c r="V8" t="inlineStr">
        <is>
          <t>PRESIDENCIA DEL CONSEJO DE ADMINISTRACION</t>
        </is>
      </c>
      <c r="W8" t="n">
        <v>100101</v>
      </c>
      <c r="X8" t="inlineStr">
        <is>
          <t>CORPORATIVO</t>
        </is>
      </c>
      <c r="Y8" t="n">
        <v>4</v>
      </c>
      <c r="Z8" t="inlineStr">
        <is>
          <t>CORPORATIVO</t>
        </is>
      </c>
      <c r="AA8" t="n">
        <v>1</v>
      </c>
      <c r="AB8" t="inlineStr">
        <is>
          <t>NEGOCIO EN MARCHA</t>
        </is>
      </c>
      <c r="AC8" t="n">
        <v>1</v>
      </c>
      <c r="AD8" t="inlineStr">
        <is>
          <t>BANCO</t>
        </is>
      </c>
      <c r="AE8" t="n">
        <v>1</v>
      </c>
      <c r="AF8" t="inlineStr">
        <is>
          <t>BACK</t>
        </is>
      </c>
      <c r="AG8" t="n">
        <v>100101</v>
      </c>
      <c r="AH8" t="inlineStr">
        <is>
          <t>CORPORATIVO</t>
        </is>
      </c>
      <c r="AI8" t="inlineStr">
        <is>
          <t>VCASTILLO@BANCOBASE.COM</t>
        </is>
      </c>
      <c r="AJ8" s="151" t="n">
        <v>37849</v>
      </c>
      <c r="AK8" s="151" t="n"/>
      <c r="AL8" s="151" t="n"/>
    </row>
    <row r="9" hidden="1" s="150">
      <c r="A9" t="inlineStr">
        <is>
          <t>ABARRERA</t>
        </is>
      </c>
      <c r="B9" t="n">
        <v>2</v>
      </c>
      <c r="C9" t="inlineStr">
        <is>
          <t>ALVARO BARRERA SEGOVIA</t>
        </is>
      </c>
      <c r="D9" t="n">
        <v>3</v>
      </c>
      <c r="E9" t="inlineStr">
        <is>
          <t>VICEPRESIDENTE DEL CONSEJO DE ADMINISTRACION</t>
        </is>
      </c>
      <c r="F9" t="inlineStr">
        <is>
          <t>MONTERREY</t>
        </is>
      </c>
      <c r="G9" t="n">
        <v>1</v>
      </c>
      <c r="H9" t="inlineStr">
        <is>
          <t>LORENZO BARRERA SEGOVIA</t>
        </is>
      </c>
      <c r="I9" t="n">
        <v>1</v>
      </c>
      <c r="J9" t="inlineStr">
        <is>
          <t>PRESIDENTE EJECUTIVO</t>
        </is>
      </c>
      <c r="K9" t="n">
        <v>1</v>
      </c>
      <c r="L9" t="inlineStr">
        <is>
          <t>PRESIDENCIA EJECUTIVA DEL CONSEJO</t>
        </is>
      </c>
      <c r="M9" t="n">
        <v>20</v>
      </c>
      <c r="N9" t="inlineStr">
        <is>
          <t>VICEPRESIDENCIA DEL CONSEJO DE ADMINISTRACION</t>
        </is>
      </c>
      <c r="O9" t="n">
        <v>200</v>
      </c>
      <c r="P9" t="inlineStr">
        <is>
          <t>VICEPRESIDENCIA DEL CONSEJO DE ADMINISTRACION</t>
        </is>
      </c>
      <c r="Q9" t="n">
        <v>2000</v>
      </c>
      <c r="R9" t="inlineStr">
        <is>
          <t>VICEPRESIDENCIA DEL CONSEJO DE ADMINISTRACION</t>
        </is>
      </c>
      <c r="S9" t="n">
        <v>20000</v>
      </c>
      <c r="T9" t="inlineStr">
        <is>
          <t>VICEPRESIDENCIA DEL CONSEJO DE ADMINISTRACION</t>
        </is>
      </c>
      <c r="U9" t="n">
        <v>200000</v>
      </c>
      <c r="V9" t="inlineStr">
        <is>
          <t>VICEPRESIDENCIA DEL CONSEJO DE ADMINISTRACION</t>
        </is>
      </c>
      <c r="W9" t="n">
        <v>100101</v>
      </c>
      <c r="X9" t="inlineStr">
        <is>
          <t>CORPORATIVO</t>
        </is>
      </c>
      <c r="Y9" t="n">
        <v>4</v>
      </c>
      <c r="Z9" t="inlineStr">
        <is>
          <t>CORPORATIVO</t>
        </is>
      </c>
      <c r="AA9" t="n">
        <v>1</v>
      </c>
      <c r="AB9" t="inlineStr">
        <is>
          <t>NEGOCIO EN MARCHA</t>
        </is>
      </c>
      <c r="AC9" t="n">
        <v>1</v>
      </c>
      <c r="AD9" t="inlineStr">
        <is>
          <t>BANCO</t>
        </is>
      </c>
      <c r="AE9" t="n">
        <v>1</v>
      </c>
      <c r="AF9" t="inlineStr">
        <is>
          <t>BACK</t>
        </is>
      </c>
      <c r="AG9" t="n">
        <v>100101</v>
      </c>
      <c r="AH9" t="inlineStr">
        <is>
          <t>CORPORATIVO</t>
        </is>
      </c>
      <c r="AI9" t="inlineStr">
        <is>
          <t>ABARRERA@BANCOBASE.COM</t>
        </is>
      </c>
      <c r="AJ9" s="151" t="n">
        <v>31625</v>
      </c>
      <c r="AK9" s="151" t="n"/>
      <c r="AL9" s="151" t="n"/>
    </row>
    <row r="10" hidden="1" s="150">
      <c r="A10" t="inlineStr">
        <is>
          <t>AVILLARREA</t>
        </is>
      </c>
      <c r="B10" t="n">
        <v>509</v>
      </c>
      <c r="C10" t="inlineStr">
        <is>
          <t>ALEJANDRA VILLARREAL MORALES</t>
        </is>
      </c>
      <c r="D10" t="n">
        <v>5393</v>
      </c>
      <c r="E10" t="inlineStr">
        <is>
          <t>ASISTENTE DE VICEPRESIDENCIA</t>
        </is>
      </c>
      <c r="F10" t="inlineStr">
        <is>
          <t>MONTERREY</t>
        </is>
      </c>
      <c r="G10" t="n">
        <v>2</v>
      </c>
      <c r="H10" t="inlineStr">
        <is>
          <t>ALVARO BARRERA SEGOVIA</t>
        </is>
      </c>
      <c r="I10" t="n">
        <v>3</v>
      </c>
      <c r="J10" t="inlineStr">
        <is>
          <t>VICEPRESIDENTE DEL CONSEJO DE ADMINISTRACION</t>
        </is>
      </c>
      <c r="K10" t="n">
        <v>1</v>
      </c>
      <c r="L10" t="inlineStr">
        <is>
          <t>PRESIDENCIA EJECUTIVA DEL CONSEJO</t>
        </is>
      </c>
      <c r="M10" t="n">
        <v>20</v>
      </c>
      <c r="N10" t="inlineStr">
        <is>
          <t>VICEPRESIDENCIA DEL CONSEJO DE ADMINISTRACION</t>
        </is>
      </c>
      <c r="O10" t="n">
        <v>200</v>
      </c>
      <c r="P10" t="inlineStr">
        <is>
          <t>VICEPRESIDENCIA DEL CONSEJO DE ADMINISTRACION</t>
        </is>
      </c>
      <c r="Q10" t="n">
        <v>2000</v>
      </c>
      <c r="R10" t="inlineStr">
        <is>
          <t>VICEPRESIDENCIA DEL CONSEJO DE ADMINISTRACION</t>
        </is>
      </c>
      <c r="S10" t="n">
        <v>20000</v>
      </c>
      <c r="T10" t="inlineStr">
        <is>
          <t>VICEPRESIDENCIA DEL CONSEJO DE ADMINISTRACION</t>
        </is>
      </c>
      <c r="U10" t="n">
        <v>200000</v>
      </c>
      <c r="V10" t="inlineStr">
        <is>
          <t>VICEPRESIDENCIA DEL CONSEJO DE ADMINISTRACION</t>
        </is>
      </c>
      <c r="W10" t="n">
        <v>100101</v>
      </c>
      <c r="X10" t="inlineStr">
        <is>
          <t>CORPORATIVO</t>
        </is>
      </c>
      <c r="Y10" t="n">
        <v>4</v>
      </c>
      <c r="Z10" t="inlineStr">
        <is>
          <t>CORPORATIVO</t>
        </is>
      </c>
      <c r="AA10" t="n">
        <v>1</v>
      </c>
      <c r="AB10" t="inlineStr">
        <is>
          <t>NEGOCIO EN MARCHA</t>
        </is>
      </c>
      <c r="AC10" t="n">
        <v>1</v>
      </c>
      <c r="AD10" t="inlineStr">
        <is>
          <t>BANCO</t>
        </is>
      </c>
      <c r="AE10" t="n">
        <v>1</v>
      </c>
      <c r="AF10" t="inlineStr">
        <is>
          <t>BACK</t>
        </is>
      </c>
      <c r="AG10" t="n">
        <v>100101</v>
      </c>
      <c r="AH10" t="inlineStr">
        <is>
          <t>CORPORATIVO</t>
        </is>
      </c>
      <c r="AI10" t="inlineStr">
        <is>
          <t>AVILLARREA@BANCOBASE.COM</t>
        </is>
      </c>
      <c r="AJ10" s="151" t="n">
        <v>39696</v>
      </c>
      <c r="AK10" s="151" t="n"/>
      <c r="AL10" s="151" t="n"/>
    </row>
    <row r="11" hidden="1" s="150">
      <c r="A11" t="inlineStr">
        <is>
          <t>OPEREZC</t>
        </is>
      </c>
      <c r="B11" t="n">
        <v>99526</v>
      </c>
      <c r="C11" t="inlineStr">
        <is>
          <t>ORLANDO PATRICIO PEREZ CARDENAS</t>
        </is>
      </c>
      <c r="D11" t="n">
        <v>7009</v>
      </c>
      <c r="E11" t="inlineStr">
        <is>
          <t>PRACTICANTE</t>
        </is>
      </c>
      <c r="F11" t="inlineStr">
        <is>
          <t>MONTERREY</t>
        </is>
      </c>
      <c r="G11" t="n">
        <v>509</v>
      </c>
      <c r="H11" t="inlineStr">
        <is>
          <t>ALEJANDRA VILLARREAL MORALES</t>
        </is>
      </c>
      <c r="I11" t="n">
        <v>5393</v>
      </c>
      <c r="J11" t="inlineStr">
        <is>
          <t>ASISTENTE DE VICEPRESIDENCIA</t>
        </is>
      </c>
      <c r="K11" t="n">
        <v>1</v>
      </c>
      <c r="L11" t="inlineStr">
        <is>
          <t>PRESIDENCIA EJECUTIVA DEL CONSEJO</t>
        </is>
      </c>
      <c r="M11" t="n">
        <v>20</v>
      </c>
      <c r="N11" t="inlineStr">
        <is>
          <t>VICEPRESIDENCIA DEL CONSEJO DE ADMINISTRACION</t>
        </is>
      </c>
      <c r="O11" t="n">
        <v>200</v>
      </c>
      <c r="P11" t="inlineStr">
        <is>
          <t>VICEPRESIDENCIA DEL CONSEJO DE ADMINISTRACION</t>
        </is>
      </c>
      <c r="Q11" t="n">
        <v>2000</v>
      </c>
      <c r="R11" t="inlineStr">
        <is>
          <t>VICEPRESIDENCIA DEL CONSEJO DE ADMINISTRACION</t>
        </is>
      </c>
      <c r="S11" t="n">
        <v>20000</v>
      </c>
      <c r="T11" t="inlineStr">
        <is>
          <t>VICEPRESIDENCIA DEL CONSEJO DE ADMINISTRACION</t>
        </is>
      </c>
      <c r="U11" t="n">
        <v>200000</v>
      </c>
      <c r="V11" t="inlineStr">
        <is>
          <t>VICEPRESIDENCIA DEL CONSEJO DE ADMINISTRACION</t>
        </is>
      </c>
      <c r="W11" t="n">
        <v>100101</v>
      </c>
      <c r="X11" t="inlineStr">
        <is>
          <t>CORPORATIVO</t>
        </is>
      </c>
      <c r="Y11" t="n">
        <v>4</v>
      </c>
      <c r="Z11" t="inlineStr">
        <is>
          <t>CORPORATIVO</t>
        </is>
      </c>
      <c r="AA11" t="n">
        <v>1</v>
      </c>
      <c r="AB11" t="inlineStr">
        <is>
          <t>NEGOCIO EN MARCHA</t>
        </is>
      </c>
      <c r="AC11" t="n">
        <v>1</v>
      </c>
      <c r="AD11" t="inlineStr">
        <is>
          <t>BANCO</t>
        </is>
      </c>
      <c r="AE11" t="n">
        <v>1</v>
      </c>
      <c r="AF11" t="inlineStr">
        <is>
          <t>BACK</t>
        </is>
      </c>
      <c r="AG11" t="n">
        <v>100101</v>
      </c>
      <c r="AH11" t="inlineStr">
        <is>
          <t>CORPORATIVO</t>
        </is>
      </c>
      <c r="AI11" t="inlineStr">
        <is>
          <t>OPEREZC@BANCOBASE.COM</t>
        </is>
      </c>
      <c r="AJ11" s="151" t="n">
        <v>46041</v>
      </c>
      <c r="AK11" s="151" t="n"/>
      <c r="AL11" s="151" t="n"/>
    </row>
    <row r="12" hidden="1" s="150">
      <c r="A12" t="inlineStr">
        <is>
          <t>RTOBIAS</t>
        </is>
      </c>
      <c r="B12" t="n">
        <v>750</v>
      </c>
      <c r="C12" t="inlineStr">
        <is>
          <t>RODRIGO TOBIAS CASTILLEJA</t>
        </is>
      </c>
      <c r="D12" t="n">
        <v>10296</v>
      </c>
      <c r="E12" t="inlineStr">
        <is>
          <t>CHOFER</t>
        </is>
      </c>
      <c r="F12" t="inlineStr">
        <is>
          <t>MONTERREY</t>
        </is>
      </c>
      <c r="G12" t="n">
        <v>2</v>
      </c>
      <c r="H12" t="inlineStr">
        <is>
          <t>ALVARO BARRERA SEGOVIA</t>
        </is>
      </c>
      <c r="I12" t="n">
        <v>3</v>
      </c>
      <c r="J12" t="inlineStr">
        <is>
          <t>VICEPRESIDENTE DEL CONSEJO DE ADMINISTRACION</t>
        </is>
      </c>
      <c r="K12" t="n">
        <v>1</v>
      </c>
      <c r="L12" t="inlineStr">
        <is>
          <t>PRESIDENCIA EJECUTIVA DEL CONSEJO</t>
        </is>
      </c>
      <c r="M12" t="n">
        <v>20</v>
      </c>
      <c r="N12" t="inlineStr">
        <is>
          <t>VICEPRESIDENCIA DEL CONSEJO DE ADMINISTRACION</t>
        </is>
      </c>
      <c r="O12" t="n">
        <v>200</v>
      </c>
      <c r="P12" t="inlineStr">
        <is>
          <t>VICEPRESIDENCIA DEL CONSEJO DE ADMINISTRACION</t>
        </is>
      </c>
      <c r="Q12" t="n">
        <v>2000</v>
      </c>
      <c r="R12" t="inlineStr">
        <is>
          <t>VICEPRESIDENCIA DEL CONSEJO DE ADMINISTRACION</t>
        </is>
      </c>
      <c r="S12" t="n">
        <v>20000</v>
      </c>
      <c r="T12" t="inlineStr">
        <is>
          <t>VICEPRESIDENCIA DEL CONSEJO DE ADMINISTRACION</t>
        </is>
      </c>
      <c r="U12" t="n">
        <v>200000</v>
      </c>
      <c r="V12" t="inlineStr">
        <is>
          <t>VICEPRESIDENCIA DEL CONSEJO DE ADMINISTRACION</t>
        </is>
      </c>
      <c r="W12" t="n">
        <v>100101</v>
      </c>
      <c r="X12" t="inlineStr">
        <is>
          <t>CORPORATIVO</t>
        </is>
      </c>
      <c r="Y12" t="n">
        <v>4</v>
      </c>
      <c r="Z12" t="inlineStr">
        <is>
          <t>CORPORATIVO</t>
        </is>
      </c>
      <c r="AA12" t="n">
        <v>1</v>
      </c>
      <c r="AB12" t="inlineStr">
        <is>
          <t>NEGOCIO EN MARCHA</t>
        </is>
      </c>
      <c r="AC12" t="n">
        <v>1</v>
      </c>
      <c r="AD12" t="inlineStr">
        <is>
          <t>BANCO</t>
        </is>
      </c>
      <c r="AE12" t="n">
        <v>1</v>
      </c>
      <c r="AF12" t="inlineStr">
        <is>
          <t>BACK</t>
        </is>
      </c>
      <c r="AG12" t="n">
        <v>100101</v>
      </c>
      <c r="AH12" t="inlineStr">
        <is>
          <t>CORPORATIVO</t>
        </is>
      </c>
      <c r="AI12" t="inlineStr">
        <is>
          <t>RTOBIAS@BANCOBASE.COM</t>
        </is>
      </c>
      <c r="AJ12" s="151" t="n">
        <v>40710</v>
      </c>
      <c r="AK12" s="151" t="n"/>
      <c r="AL12" s="151" t="n"/>
    </row>
    <row r="13" hidden="1" s="150">
      <c r="A13" t="inlineStr">
        <is>
          <t>OFELIX</t>
        </is>
      </c>
      <c r="B13" t="n">
        <v>172</v>
      </c>
      <c r="C13" t="inlineStr">
        <is>
          <t>OMAR PAUL FELIX BOJORQUEZ</t>
        </is>
      </c>
      <c r="D13" t="n">
        <v>9518</v>
      </c>
      <c r="E13" t="inlineStr">
        <is>
          <t>ESPECIALISTA DE GESTION</t>
        </is>
      </c>
      <c r="F13" t="inlineStr">
        <is>
          <t>MONTERREY</t>
        </is>
      </c>
      <c r="G13" t="n">
        <v>2</v>
      </c>
      <c r="H13" t="inlineStr">
        <is>
          <t>ALVARO BARRERA SEGOVIA</t>
        </is>
      </c>
      <c r="I13" t="n">
        <v>3</v>
      </c>
      <c r="J13" t="inlineStr">
        <is>
          <t>VICEPRESIDENTE DEL CONSEJO DE ADMINISTRACION</t>
        </is>
      </c>
      <c r="K13" t="n">
        <v>1</v>
      </c>
      <c r="L13" t="inlineStr">
        <is>
          <t>PRESIDENCIA EJECUTIVA DEL CONSEJO</t>
        </is>
      </c>
      <c r="M13" t="n">
        <v>20</v>
      </c>
      <c r="N13" t="inlineStr">
        <is>
          <t>VICEPRESIDENCIA DEL CONSEJO DE ADMINISTRACION</t>
        </is>
      </c>
      <c r="O13" t="n">
        <v>200</v>
      </c>
      <c r="P13" t="inlineStr">
        <is>
          <t>VICEPRESIDENCIA DEL CONSEJO DE ADMINISTRACION</t>
        </is>
      </c>
      <c r="Q13" t="n">
        <v>2000</v>
      </c>
      <c r="R13" t="inlineStr">
        <is>
          <t>VICEPRESIDENCIA DEL CONSEJO DE ADMINISTRACION</t>
        </is>
      </c>
      <c r="S13" t="n">
        <v>20000</v>
      </c>
      <c r="T13" t="inlineStr">
        <is>
          <t>VICEPRESIDENCIA DEL CONSEJO DE ADMINISTRACION</t>
        </is>
      </c>
      <c r="U13" t="n">
        <v>200000</v>
      </c>
      <c r="V13" t="inlineStr">
        <is>
          <t>VICEPRESIDENCIA DEL CONSEJO DE ADMINISTRACION</t>
        </is>
      </c>
      <c r="W13" t="n">
        <v>100101</v>
      </c>
      <c r="X13" t="inlineStr">
        <is>
          <t>CORPORATIVO</t>
        </is>
      </c>
      <c r="Y13" t="n">
        <v>4</v>
      </c>
      <c r="Z13" t="inlineStr">
        <is>
          <t>CORPORATIVO</t>
        </is>
      </c>
      <c r="AA13" t="n">
        <v>1</v>
      </c>
      <c r="AB13" t="inlineStr">
        <is>
          <t>NEGOCIO EN MARCHA</t>
        </is>
      </c>
      <c r="AC13" t="n">
        <v>1</v>
      </c>
      <c r="AD13" t="inlineStr">
        <is>
          <t>BANCO</t>
        </is>
      </c>
      <c r="AE13" t="n">
        <v>1</v>
      </c>
      <c r="AF13" t="inlineStr">
        <is>
          <t>BACK</t>
        </is>
      </c>
      <c r="AG13" t="n">
        <v>100101</v>
      </c>
      <c r="AH13" t="inlineStr">
        <is>
          <t>CORPORATIVO</t>
        </is>
      </c>
      <c r="AI13" t="inlineStr">
        <is>
          <t>OFELIX@BANCOBASE.COM</t>
        </is>
      </c>
      <c r="AJ13" s="151" t="n">
        <v>36846</v>
      </c>
      <c r="AK13" s="151" t="n"/>
      <c r="AL13" s="151" t="n"/>
    </row>
    <row r="14" hidden="1" s="150">
      <c r="A14" t="inlineStr">
        <is>
          <t>JESCANDON</t>
        </is>
      </c>
      <c r="B14" t="n">
        <v>386</v>
      </c>
      <c r="C14" t="inlineStr">
        <is>
          <t>JULIO RICARDO ESCANDON JIMENEZ</t>
        </is>
      </c>
      <c r="D14" t="n">
        <v>10324</v>
      </c>
      <c r="E14" t="inlineStr">
        <is>
          <t>DIRECTOR GENERAL</t>
        </is>
      </c>
      <c r="F14" t="inlineStr">
        <is>
          <t>MONTERREY</t>
        </is>
      </c>
      <c r="G14" t="n">
        <v>1</v>
      </c>
      <c r="H14" t="inlineStr">
        <is>
          <t>LORENZO BARRERA SEGOVIA</t>
        </is>
      </c>
      <c r="I14" t="n">
        <v>1</v>
      </c>
      <c r="J14" t="inlineStr">
        <is>
          <t>PRESIDENTE EJECUTIVO</t>
        </is>
      </c>
      <c r="K14" t="n">
        <v>1</v>
      </c>
      <c r="L14" t="inlineStr">
        <is>
          <t>PRESIDENCIA EJECUTIVA DEL CONSEJO</t>
        </is>
      </c>
      <c r="M14" t="n">
        <v>40</v>
      </c>
      <c r="N14" t="inlineStr">
        <is>
          <t>DIRECCION GENERAL BANCO BASE</t>
        </is>
      </c>
      <c r="O14" t="n">
        <v>400</v>
      </c>
      <c r="P14" t="inlineStr">
        <is>
          <t>DIRECCION GENERAL</t>
        </is>
      </c>
      <c r="Q14" t="n">
        <v>4000</v>
      </c>
      <c r="R14" t="inlineStr">
        <is>
          <t>DIRECCION GENERAL</t>
        </is>
      </c>
      <c r="S14" t="n">
        <v>40000</v>
      </c>
      <c r="T14" t="inlineStr">
        <is>
          <t>DIRECCION GENERAL</t>
        </is>
      </c>
      <c r="U14" t="n">
        <v>400000</v>
      </c>
      <c r="V14" t="inlineStr">
        <is>
          <t>DIRECCION GENERAL</t>
        </is>
      </c>
      <c r="W14" t="n">
        <v>100101</v>
      </c>
      <c r="X14" t="inlineStr">
        <is>
          <t>CORPORATIVO</t>
        </is>
      </c>
      <c r="Y14" t="n">
        <v>4</v>
      </c>
      <c r="Z14" t="inlineStr">
        <is>
          <t>CORPORATIVO</t>
        </is>
      </c>
      <c r="AA14" t="n">
        <v>1</v>
      </c>
      <c r="AB14" t="inlineStr">
        <is>
          <t>NEGOCIO EN MARCHA</t>
        </is>
      </c>
      <c r="AC14" t="n">
        <v>1</v>
      </c>
      <c r="AD14" t="inlineStr">
        <is>
          <t>BANCO</t>
        </is>
      </c>
      <c r="AE14" t="n">
        <v>1</v>
      </c>
      <c r="AF14" t="inlineStr">
        <is>
          <t>BACK</t>
        </is>
      </c>
      <c r="AG14" t="n">
        <v>100101</v>
      </c>
      <c r="AH14" t="inlineStr">
        <is>
          <t>CORPORATIVO</t>
        </is>
      </c>
      <c r="AI14" t="inlineStr">
        <is>
          <t>JESCANDON@BANCOBASE.COM</t>
        </is>
      </c>
      <c r="AJ14" s="151" t="n">
        <v>39114</v>
      </c>
      <c r="AK14" s="151" t="n"/>
      <c r="AL14" s="151" t="n"/>
    </row>
    <row r="15" hidden="1" s="150">
      <c r="A15" t="inlineStr">
        <is>
          <t>NYANEZ</t>
        </is>
      </c>
      <c r="B15" t="n">
        <v>3737</v>
      </c>
      <c r="C15" t="inlineStr">
        <is>
          <t>NANCY YANEZ ANAYA</t>
        </is>
      </c>
      <c r="D15" t="n">
        <v>194</v>
      </c>
      <c r="E15" t="inlineStr">
        <is>
          <t>ASISTENTE DE DIRECCION GENERAL</t>
        </is>
      </c>
      <c r="F15" t="inlineStr">
        <is>
          <t>MONTERREY</t>
        </is>
      </c>
      <c r="G15" t="n">
        <v>386</v>
      </c>
      <c r="H15" t="inlineStr">
        <is>
          <t>JULIO RICARDO ESCANDON JIMENEZ</t>
        </is>
      </c>
      <c r="I15" t="n">
        <v>10324</v>
      </c>
      <c r="J15" t="inlineStr">
        <is>
          <t>DIRECTOR GENERAL</t>
        </is>
      </c>
      <c r="K15" t="n">
        <v>1</v>
      </c>
      <c r="L15" t="inlineStr">
        <is>
          <t>PRESIDENCIA EJECUTIVA DEL CONSEJO</t>
        </is>
      </c>
      <c r="M15" t="n">
        <v>40</v>
      </c>
      <c r="N15" t="inlineStr">
        <is>
          <t>DIRECCION GENERAL BANCO BASE</t>
        </is>
      </c>
      <c r="O15" t="n">
        <v>400</v>
      </c>
      <c r="P15" t="inlineStr">
        <is>
          <t>DIRECCION GENERAL</t>
        </is>
      </c>
      <c r="Q15" t="n">
        <v>4000</v>
      </c>
      <c r="R15" t="inlineStr">
        <is>
          <t>DIRECCION GENERAL</t>
        </is>
      </c>
      <c r="S15" t="n">
        <v>40000</v>
      </c>
      <c r="T15" t="inlineStr">
        <is>
          <t>DIRECCION GENERAL</t>
        </is>
      </c>
      <c r="U15" t="n">
        <v>400000</v>
      </c>
      <c r="V15" t="inlineStr">
        <is>
          <t>DIRECCION GENERAL</t>
        </is>
      </c>
      <c r="W15" t="n">
        <v>100101</v>
      </c>
      <c r="X15" t="inlineStr">
        <is>
          <t>CORPORATIVO</t>
        </is>
      </c>
      <c r="Y15" t="n">
        <v>4</v>
      </c>
      <c r="Z15" t="inlineStr">
        <is>
          <t>CORPORATIVO</t>
        </is>
      </c>
      <c r="AA15" t="n">
        <v>1</v>
      </c>
      <c r="AB15" t="inlineStr">
        <is>
          <t>NEGOCIO EN MARCHA</t>
        </is>
      </c>
      <c r="AC15" t="n">
        <v>1</v>
      </c>
      <c r="AD15" t="inlineStr">
        <is>
          <t>BANCO</t>
        </is>
      </c>
      <c r="AE15" t="n">
        <v>1</v>
      </c>
      <c r="AF15" t="inlineStr">
        <is>
          <t>BACK</t>
        </is>
      </c>
      <c r="AG15" t="n">
        <v>100101</v>
      </c>
      <c r="AH15" t="inlineStr">
        <is>
          <t>CORPORATIVO</t>
        </is>
      </c>
      <c r="AI15" t="inlineStr">
        <is>
          <t>NYANEZ@BANCOBASE.COM</t>
        </is>
      </c>
      <c r="AJ15" s="151" t="n">
        <v>46031</v>
      </c>
      <c r="AK15" s="151" t="n"/>
      <c r="AL15" s="151" t="n"/>
    </row>
    <row r="16" hidden="1" s="150">
      <c r="A16" t="inlineStr">
        <is>
          <t>LBARRERAJ</t>
        </is>
      </c>
      <c r="B16" t="n">
        <v>1694</v>
      </c>
      <c r="C16" t="inlineStr">
        <is>
          <t>LORENZO BARRERA JAIME</t>
        </is>
      </c>
      <c r="D16" t="n">
        <v>9953</v>
      </c>
      <c r="E16" t="inlineStr">
        <is>
          <t>DIRECTOR GENERAL ADJUNTO DE PRODUCTO Y TRANSFORMACION</t>
        </is>
      </c>
      <c r="F16" t="inlineStr">
        <is>
          <t>MONTERREY</t>
        </is>
      </c>
      <c r="G16" t="n">
        <v>386</v>
      </c>
      <c r="H16" t="inlineStr">
        <is>
          <t>JULIO RICARDO ESCANDON JIMENEZ</t>
        </is>
      </c>
      <c r="I16" t="n">
        <v>10324</v>
      </c>
      <c r="J16" t="inlineStr">
        <is>
          <t>DIRECTOR GENERAL</t>
        </is>
      </c>
      <c r="K16" t="n">
        <v>1</v>
      </c>
      <c r="L16" t="inlineStr">
        <is>
          <t>PRESIDENCIA EJECUTIVA DEL CONSEJO</t>
        </is>
      </c>
      <c r="M16" t="n">
        <v>30</v>
      </c>
      <c r="N16" t="inlineStr">
        <is>
          <t>DIRECCION GENERAL ADJUNTA PRODUCTO Y TRANSFORMACIO</t>
        </is>
      </c>
      <c r="O16" t="n">
        <v>300</v>
      </c>
      <c r="P16" t="inlineStr">
        <is>
          <t>DIRECCION GENERAL ADJUNTA PRODUCTO Y TRANSFORMACIO</t>
        </is>
      </c>
      <c r="Q16" t="n">
        <v>3000</v>
      </c>
      <c r="R16" t="inlineStr">
        <is>
          <t>DIRECCION GENERAL ADJUNTA PRODUCTO Y TRANSFORMACIO</t>
        </is>
      </c>
      <c r="S16" t="n">
        <v>30000</v>
      </c>
      <c r="T16" t="inlineStr">
        <is>
          <t>DIRECCION GENERAL ADJUNTA PRODUCTO Y TRANSFORMACIO</t>
        </is>
      </c>
      <c r="U16" t="n">
        <v>300000</v>
      </c>
      <c r="V16" t="inlineStr">
        <is>
          <t>DIRECCION GENERAL ADJUNTA PRODUCTO Y TRANSFORMACIO</t>
        </is>
      </c>
      <c r="W16" t="n">
        <v>100101</v>
      </c>
      <c r="X16" t="inlineStr">
        <is>
          <t>CORPORATIVO</t>
        </is>
      </c>
      <c r="Y16" t="n">
        <v>4</v>
      </c>
      <c r="Z16" t="inlineStr">
        <is>
          <t>CORPORATIVO</t>
        </is>
      </c>
      <c r="AA16" t="n">
        <v>1</v>
      </c>
      <c r="AB16" t="inlineStr">
        <is>
          <t>NEGOCIO EN MARCHA</t>
        </is>
      </c>
      <c r="AC16" t="n">
        <v>1</v>
      </c>
      <c r="AD16" t="inlineStr">
        <is>
          <t>BANCO</t>
        </is>
      </c>
      <c r="AE16" t="n">
        <v>1</v>
      </c>
      <c r="AF16" t="inlineStr">
        <is>
          <t>BACK</t>
        </is>
      </c>
      <c r="AG16" t="n">
        <v>100101</v>
      </c>
      <c r="AH16" t="inlineStr">
        <is>
          <t>CORPORATIVO</t>
        </is>
      </c>
      <c r="AI16" t="inlineStr">
        <is>
          <t>LBARRERAJ@BANCOBASE.COM</t>
        </is>
      </c>
      <c r="AJ16" s="151" t="n">
        <v>42755</v>
      </c>
      <c r="AK16" s="151" t="n"/>
      <c r="AL16" s="151" t="n"/>
    </row>
    <row r="17" hidden="1" s="150">
      <c r="A17" t="inlineStr">
        <is>
          <t>GMARTINEZS</t>
        </is>
      </c>
      <c r="B17" t="n">
        <v>3165</v>
      </c>
      <c r="C17" t="inlineStr">
        <is>
          <t>GLORIA MARIBEL MARTINEZ SEPULVEDA</t>
        </is>
      </c>
      <c r="D17" t="n">
        <v>10397</v>
      </c>
      <c r="E17" t="inlineStr">
        <is>
          <t>ASISTENTE DE DIRECCION</t>
        </is>
      </c>
      <c r="F17" t="inlineStr">
        <is>
          <t>MONTERREY</t>
        </is>
      </c>
      <c r="G17" t="n">
        <v>1694</v>
      </c>
      <c r="H17" t="inlineStr">
        <is>
          <t>LORENZO BARRERA JAIME</t>
        </is>
      </c>
      <c r="I17" t="n">
        <v>9953</v>
      </c>
      <c r="J17" t="inlineStr">
        <is>
          <t>DIRECTOR GENERAL ADJUNTO DE PRODUCTO Y TRANSFORMACION</t>
        </is>
      </c>
      <c r="K17" t="n">
        <v>1</v>
      </c>
      <c r="L17" t="inlineStr">
        <is>
          <t>PRESIDENCIA EJECUTIVA DEL CONSEJO</t>
        </is>
      </c>
      <c r="M17" t="n">
        <v>30</v>
      </c>
      <c r="N17" t="inlineStr">
        <is>
          <t>DIRECCION GENERAL ADJUNTA PRODUCTO Y TRANSFORMACIO</t>
        </is>
      </c>
      <c r="O17" t="n">
        <v>300</v>
      </c>
      <c r="P17" t="inlineStr">
        <is>
          <t>DIRECCION GENERAL ADJUNTA PRODUCTO Y TRANSFORMACIO</t>
        </is>
      </c>
      <c r="Q17" t="n">
        <v>3000</v>
      </c>
      <c r="R17" t="inlineStr">
        <is>
          <t>DIRECCION GENERAL ADJUNTA PRODUCTO Y TRANSFORMACIO</t>
        </is>
      </c>
      <c r="S17" t="n">
        <v>30000</v>
      </c>
      <c r="T17" t="inlineStr">
        <is>
          <t>DIRECCION GENERAL ADJUNTA PRODUCTO Y TRANSFORMACIO</t>
        </is>
      </c>
      <c r="U17" t="n">
        <v>300000</v>
      </c>
      <c r="V17" t="inlineStr">
        <is>
          <t>DIRECCION GENERAL ADJUNTA PRODUCTO Y TRANSFORMACIO</t>
        </is>
      </c>
      <c r="W17" t="n">
        <v>100101</v>
      </c>
      <c r="X17" t="inlineStr">
        <is>
          <t>CORPORATIVO</t>
        </is>
      </c>
      <c r="Y17" t="n">
        <v>4</v>
      </c>
      <c r="Z17" t="inlineStr">
        <is>
          <t>CORPORATIVO</t>
        </is>
      </c>
      <c r="AA17" t="n">
        <v>1</v>
      </c>
      <c r="AB17" t="inlineStr">
        <is>
          <t>NEGOCIO EN MARCHA</t>
        </is>
      </c>
      <c r="AC17" t="n">
        <v>1</v>
      </c>
      <c r="AD17" t="inlineStr">
        <is>
          <t>BANCO</t>
        </is>
      </c>
      <c r="AE17" t="n">
        <v>1</v>
      </c>
      <c r="AF17" t="inlineStr">
        <is>
          <t>BACK</t>
        </is>
      </c>
      <c r="AG17" t="n">
        <v>100101</v>
      </c>
      <c r="AH17" t="inlineStr">
        <is>
          <t>CORPORATIVO</t>
        </is>
      </c>
      <c r="AI17" t="inlineStr">
        <is>
          <t>GMARTINEZS@BANCOBASE.COM</t>
        </is>
      </c>
      <c r="AJ17" s="151" t="n">
        <v>45489</v>
      </c>
      <c r="AK17" s="151" t="n"/>
      <c r="AL17" s="151" t="n"/>
    </row>
    <row r="18" hidden="1" s="150">
      <c r="A18" t="inlineStr">
        <is>
          <t>FAGUIRRER</t>
        </is>
      </c>
      <c r="B18" t="n">
        <v>3015</v>
      </c>
      <c r="C18" t="inlineStr">
        <is>
          <t>FERNANDO AGUIRRE ROJAS</t>
        </is>
      </c>
      <c r="D18" t="n">
        <v>8294</v>
      </c>
      <c r="E18" t="inlineStr">
        <is>
          <t>DIRECTOR PORTAFOLIO DE PROYECTOS</t>
        </is>
      </c>
      <c r="F18" t="inlineStr">
        <is>
          <t>MONTERREY</t>
        </is>
      </c>
      <c r="G18" t="n">
        <v>1694</v>
      </c>
      <c r="H18" t="inlineStr">
        <is>
          <t>LORENZO BARRERA JAIME</t>
        </is>
      </c>
      <c r="I18" t="n">
        <v>9953</v>
      </c>
      <c r="J18" t="inlineStr">
        <is>
          <t>DIRECTOR GENERAL ADJUNTO DE PRODUCTO Y TRANSFORMACION</t>
        </is>
      </c>
      <c r="K18" t="n">
        <v>1</v>
      </c>
      <c r="L18" t="inlineStr">
        <is>
          <t>PRESIDENCIA EJECUTIVA DEL CONSEJO</t>
        </is>
      </c>
      <c r="M18" t="n">
        <v>30</v>
      </c>
      <c r="N18" t="inlineStr">
        <is>
          <t>DIRECCION GENERAL ADJUNTA PRODUCTO Y TRANSFORMACIO</t>
        </is>
      </c>
      <c r="O18" t="n">
        <v>350</v>
      </c>
      <c r="P18" t="inlineStr">
        <is>
          <t>DIRECCION DE PORTAFOLIO</t>
        </is>
      </c>
      <c r="Q18" t="n">
        <v>3500</v>
      </c>
      <c r="R18" t="inlineStr">
        <is>
          <t>DIRECCION DE PORTAFOLIO</t>
        </is>
      </c>
      <c r="S18" t="n">
        <v>35000</v>
      </c>
      <c r="T18" t="inlineStr">
        <is>
          <t>DIRECCION DE PORTAFOLIO</t>
        </is>
      </c>
      <c r="U18" t="n">
        <v>350000</v>
      </c>
      <c r="V18" t="inlineStr">
        <is>
          <t>DIRECCION DE PORTAFOLIO</t>
        </is>
      </c>
      <c r="W18" t="n">
        <v>100101</v>
      </c>
      <c r="X18" t="inlineStr">
        <is>
          <t>CORPORATIVO</t>
        </is>
      </c>
      <c r="Y18" t="n">
        <v>4</v>
      </c>
      <c r="Z18" t="inlineStr">
        <is>
          <t>CORPORATIVO</t>
        </is>
      </c>
      <c r="AA18" t="n">
        <v>1</v>
      </c>
      <c r="AB18" t="inlineStr">
        <is>
          <t>NEGOCIO EN MARCHA</t>
        </is>
      </c>
      <c r="AC18" t="n">
        <v>1</v>
      </c>
      <c r="AD18" t="inlineStr">
        <is>
          <t>BANCO</t>
        </is>
      </c>
      <c r="AE18" t="n">
        <v>1</v>
      </c>
      <c r="AF18" t="inlineStr">
        <is>
          <t>BACK</t>
        </is>
      </c>
      <c r="AG18" t="n">
        <v>100101</v>
      </c>
      <c r="AH18" t="inlineStr">
        <is>
          <t>CORPORATIVO</t>
        </is>
      </c>
      <c r="AI18" t="inlineStr">
        <is>
          <t>FAGUIRRER@BANCOBASE.COM</t>
        </is>
      </c>
      <c r="AJ18" s="151" t="n">
        <v>45323</v>
      </c>
      <c r="AK18" s="151" t="n"/>
      <c r="AL18" s="151" t="n"/>
    </row>
    <row r="19" hidden="1" s="150">
      <c r="A19" t="inlineStr">
        <is>
          <t>JFLORESGO</t>
        </is>
      </c>
      <c r="B19" t="n">
        <v>3700</v>
      </c>
      <c r="C19" t="inlineStr">
        <is>
          <t>JUAN JOSE FLORES GONZALEZ</t>
        </is>
      </c>
      <c r="D19" t="n">
        <v>8930</v>
      </c>
      <c r="E19" t="inlineStr">
        <is>
          <t>DIRECTOR DE PROGRAMAS</t>
        </is>
      </c>
      <c r="F19" t="inlineStr">
        <is>
          <t>MEXICO</t>
        </is>
      </c>
      <c r="G19" t="n">
        <v>3015</v>
      </c>
      <c r="H19" t="inlineStr">
        <is>
          <t>FERNANDO AGUIRRE ROJAS</t>
        </is>
      </c>
      <c r="I19" t="n">
        <v>8294</v>
      </c>
      <c r="J19" t="inlineStr">
        <is>
          <t>DIRECTOR PORTAFOLIO DE PROYECTOS</t>
        </is>
      </c>
      <c r="K19" t="n">
        <v>1</v>
      </c>
      <c r="L19" t="inlineStr">
        <is>
          <t>PRESIDENCIA EJECUTIVA DEL CONSEJO</t>
        </is>
      </c>
      <c r="M19" t="n">
        <v>30</v>
      </c>
      <c r="N19" t="inlineStr">
        <is>
          <t>DIRECCION GENERAL ADJUNTA PRODUCTO Y TRANSFORMACIO</t>
        </is>
      </c>
      <c r="O19" t="n">
        <v>350</v>
      </c>
      <c r="P19" t="inlineStr">
        <is>
          <t>DIRECCION DE PORTAFOLIO</t>
        </is>
      </c>
      <c r="Q19" t="n">
        <v>3500</v>
      </c>
      <c r="R19" t="inlineStr">
        <is>
          <t>DIRECCION DE PORTAFOLIO</t>
        </is>
      </c>
      <c r="S19" t="n">
        <v>35000</v>
      </c>
      <c r="T19" t="inlineStr">
        <is>
          <t>DIRECCION DE PORTAFOLIO</t>
        </is>
      </c>
      <c r="U19" t="n">
        <v>350000</v>
      </c>
      <c r="V19" t="inlineStr">
        <is>
          <t>DIRECCION DE PORTAFOLIO</t>
        </is>
      </c>
      <c r="W19" t="n">
        <v>134111</v>
      </c>
      <c r="X19" t="inlineStr">
        <is>
          <t>LOMAS</t>
        </is>
      </c>
      <c r="Y19" t="n">
        <v>4</v>
      </c>
      <c r="Z19" t="inlineStr">
        <is>
          <t>CORPORATIVO</t>
        </is>
      </c>
      <c r="AA19" t="n">
        <v>1</v>
      </c>
      <c r="AB19" t="inlineStr">
        <is>
          <t>NEGOCIO EN MARCHA</t>
        </is>
      </c>
      <c r="AC19" t="n">
        <v>1</v>
      </c>
      <c r="AD19" t="inlineStr">
        <is>
          <t>BANCO</t>
        </is>
      </c>
      <c r="AE19" t="n">
        <v>1</v>
      </c>
      <c r="AF19" t="inlineStr">
        <is>
          <t>BACK</t>
        </is>
      </c>
      <c r="AG19" t="n">
        <v>134111</v>
      </c>
      <c r="AH19" t="inlineStr">
        <is>
          <t>LOMAS</t>
        </is>
      </c>
      <c r="AI19" t="inlineStr">
        <is>
          <t>JFLORESGO@BANCOBASE.COM</t>
        </is>
      </c>
      <c r="AJ19" s="151" t="n">
        <v>45992</v>
      </c>
      <c r="AK19" s="151" t="n"/>
      <c r="AL19" s="151" t="n"/>
    </row>
    <row r="20" hidden="1" s="150">
      <c r="A20" t="inlineStr">
        <is>
          <t>LAGUILARG</t>
        </is>
      </c>
      <c r="B20" t="n">
        <v>3615</v>
      </c>
      <c r="C20" t="inlineStr">
        <is>
          <t>LUIS EDUARDO AGUILAR GALINDO</t>
        </is>
      </c>
      <c r="D20" t="n">
        <v>8436</v>
      </c>
      <c r="E20" t="inlineStr">
        <is>
          <t>GERENTE DE PROYECTOS</t>
        </is>
      </c>
      <c r="F20" t="inlineStr">
        <is>
          <t>MEXICO</t>
        </is>
      </c>
      <c r="G20" t="n">
        <v>3700</v>
      </c>
      <c r="H20" t="inlineStr">
        <is>
          <t>JUAN JOSE FLORES GONZALEZ</t>
        </is>
      </c>
      <c r="I20" t="n">
        <v>8930</v>
      </c>
      <c r="J20" t="inlineStr">
        <is>
          <t>DIRECTOR DE PROGRAMAS</t>
        </is>
      </c>
      <c r="K20" t="n">
        <v>1</v>
      </c>
      <c r="L20" t="inlineStr">
        <is>
          <t>PRESIDENCIA EJECUTIVA DEL CONSEJO</t>
        </is>
      </c>
      <c r="M20" t="n">
        <v>30</v>
      </c>
      <c r="N20" t="inlineStr">
        <is>
          <t>DIRECCION GENERAL ADJUNTA PRODUCTO Y TRANSFORMACIO</t>
        </is>
      </c>
      <c r="O20" t="n">
        <v>350</v>
      </c>
      <c r="P20" t="inlineStr">
        <is>
          <t>DIRECCION DE PORTAFOLIO</t>
        </is>
      </c>
      <c r="Q20" t="n">
        <v>3500</v>
      </c>
      <c r="R20" t="inlineStr">
        <is>
          <t>DIRECCION DE PORTAFOLIO</t>
        </is>
      </c>
      <c r="S20" t="n">
        <v>35000</v>
      </c>
      <c r="T20" t="inlineStr">
        <is>
          <t>DIRECCION DE PORTAFOLIO</t>
        </is>
      </c>
      <c r="U20" t="n">
        <v>350000</v>
      </c>
      <c r="V20" t="inlineStr">
        <is>
          <t>DIRECCION DE PORTAFOLIO</t>
        </is>
      </c>
      <c r="W20" t="n">
        <v>134111</v>
      </c>
      <c r="X20" t="inlineStr">
        <is>
          <t>LOMAS</t>
        </is>
      </c>
      <c r="Y20" t="n">
        <v>4</v>
      </c>
      <c r="Z20" t="inlineStr">
        <is>
          <t>CORPORATIVO</t>
        </is>
      </c>
      <c r="AA20" t="n">
        <v>1</v>
      </c>
      <c r="AB20" t="inlineStr">
        <is>
          <t>NEGOCIO EN MARCHA</t>
        </is>
      </c>
      <c r="AC20" t="n">
        <v>1</v>
      </c>
      <c r="AD20" t="inlineStr">
        <is>
          <t>BANCO</t>
        </is>
      </c>
      <c r="AE20" t="n">
        <v>1</v>
      </c>
      <c r="AF20" t="inlineStr">
        <is>
          <t>BACK</t>
        </is>
      </c>
      <c r="AG20" t="n">
        <v>134111</v>
      </c>
      <c r="AH20" t="inlineStr">
        <is>
          <t>LOMAS</t>
        </is>
      </c>
      <c r="AI20" t="inlineStr">
        <is>
          <t>LAGUILARG@BANCOBASE.COM</t>
        </is>
      </c>
      <c r="AJ20" s="151" t="n">
        <v>45946</v>
      </c>
      <c r="AK20" s="151" t="n"/>
      <c r="AL20" s="151" t="n"/>
    </row>
    <row r="21" hidden="1" s="150">
      <c r="A21" t="inlineStr">
        <is>
          <t>IDELATORRE</t>
        </is>
      </c>
      <c r="B21" t="n">
        <v>2981</v>
      </c>
      <c r="C21" t="inlineStr">
        <is>
          <t>IVAN DE LA TORRE PADILLA</t>
        </is>
      </c>
      <c r="D21" t="n">
        <v>8252</v>
      </c>
      <c r="E21" t="inlineStr">
        <is>
          <t>DIRECTOR DE PROGRAMAS</t>
        </is>
      </c>
      <c r="F21" t="inlineStr">
        <is>
          <t>MONTERREY</t>
        </is>
      </c>
      <c r="G21" t="n">
        <v>3015</v>
      </c>
      <c r="H21" t="inlineStr">
        <is>
          <t>FERNANDO AGUIRRE ROJAS</t>
        </is>
      </c>
      <c r="I21" t="n">
        <v>8294</v>
      </c>
      <c r="J21" t="inlineStr">
        <is>
          <t>DIRECTOR PORTAFOLIO DE PROYECTOS</t>
        </is>
      </c>
      <c r="K21" t="n">
        <v>1</v>
      </c>
      <c r="L21" t="inlineStr">
        <is>
          <t>PRESIDENCIA EJECUTIVA DEL CONSEJO</t>
        </is>
      </c>
      <c r="M21" t="n">
        <v>40</v>
      </c>
      <c r="N21" t="inlineStr">
        <is>
          <t>DIRECCION GENERAL BANCO BASE</t>
        </is>
      </c>
      <c r="O21" t="n">
        <v>350</v>
      </c>
      <c r="P21" t="inlineStr">
        <is>
          <t>DIRECCION DE PORTAFOLIO</t>
        </is>
      </c>
      <c r="Q21" t="n">
        <v>3500</v>
      </c>
      <c r="R21" t="inlineStr">
        <is>
          <t>DIRECCION DE PORTAFOLIO</t>
        </is>
      </c>
      <c r="S21" t="n">
        <v>35000</v>
      </c>
      <c r="T21" t="inlineStr">
        <is>
          <t>DIRECCION DE PORTAFOLIO</t>
        </is>
      </c>
      <c r="U21" t="n">
        <v>350000</v>
      </c>
      <c r="V21" t="inlineStr">
        <is>
          <t>DIRECCION DE PORTAFOLIO</t>
        </is>
      </c>
      <c r="W21" t="n">
        <v>100101</v>
      </c>
      <c r="X21" t="inlineStr">
        <is>
          <t>CORPORATIVO</t>
        </is>
      </c>
      <c r="Y21" t="n">
        <v>4</v>
      </c>
      <c r="Z21" t="inlineStr">
        <is>
          <t>CORPORATIVO</t>
        </is>
      </c>
      <c r="AA21" t="n">
        <v>1</v>
      </c>
      <c r="AB21" t="inlineStr">
        <is>
          <t>NEGOCIO EN MARCHA</t>
        </is>
      </c>
      <c r="AC21" t="n">
        <v>1</v>
      </c>
      <c r="AD21" t="inlineStr">
        <is>
          <t>BANCO</t>
        </is>
      </c>
      <c r="AE21" t="n">
        <v>1</v>
      </c>
      <c r="AF21" t="inlineStr">
        <is>
          <t>BACK</t>
        </is>
      </c>
      <c r="AG21" t="n">
        <v>100101</v>
      </c>
      <c r="AH21" t="inlineStr">
        <is>
          <t>CORPORATIVO</t>
        </is>
      </c>
      <c r="AI21" t="inlineStr">
        <is>
          <t>IDELATORRE@BANCOBASE.COM</t>
        </is>
      </c>
      <c r="AJ21" s="151" t="n">
        <v>45231</v>
      </c>
      <c r="AK21" s="151" t="n"/>
      <c r="AL21" s="151" t="n"/>
    </row>
    <row r="22" hidden="1" s="150">
      <c r="A22" t="inlineStr">
        <is>
          <t>JRAMIREZD</t>
        </is>
      </c>
      <c r="B22" t="n">
        <v>3794</v>
      </c>
      <c r="C22" t="inlineStr">
        <is>
          <t>JOSE HUMBERTO RAMIREZ DE LA ROSA</t>
        </is>
      </c>
      <c r="D22" t="n">
        <v>8140</v>
      </c>
      <c r="E22" t="inlineStr">
        <is>
          <t>ESPECIALISTA DE PROYECTOS</t>
        </is>
      </c>
      <c r="F22" t="inlineStr">
        <is>
          <t>MEXICO</t>
        </is>
      </c>
      <c r="G22" t="n">
        <v>2981</v>
      </c>
      <c r="H22" t="inlineStr">
        <is>
          <t>IVAN DE LA TORRE PADILLA</t>
        </is>
      </c>
      <c r="I22" t="n">
        <v>8252</v>
      </c>
      <c r="J22" t="inlineStr">
        <is>
          <t>DIRECTOR DE PROGRAMAS</t>
        </is>
      </c>
      <c r="K22" t="n">
        <v>1</v>
      </c>
      <c r="L22" t="inlineStr">
        <is>
          <t>PRESIDENCIA EJECUTIVA DEL CONSEJO</t>
        </is>
      </c>
      <c r="M22" t="n">
        <v>30</v>
      </c>
      <c r="N22" t="inlineStr">
        <is>
          <t>DIRECCION GENERAL ADJUNTA PRODUCTO Y TRANSFORMACIO</t>
        </is>
      </c>
      <c r="O22" t="n">
        <v>350</v>
      </c>
      <c r="P22" t="inlineStr">
        <is>
          <t>DIRECCION DE PORTAFOLIO</t>
        </is>
      </c>
      <c r="Q22" t="n">
        <v>3500</v>
      </c>
      <c r="R22" t="inlineStr">
        <is>
          <t>DIRECCION DE PORTAFOLIO</t>
        </is>
      </c>
      <c r="S22" t="n">
        <v>35000</v>
      </c>
      <c r="T22" t="inlineStr">
        <is>
          <t>DIRECCION DE PORTAFOLIO</t>
        </is>
      </c>
      <c r="U22" t="n">
        <v>350000</v>
      </c>
      <c r="V22" t="inlineStr">
        <is>
          <t>DIRECCION DE PORTAFOLIO</t>
        </is>
      </c>
      <c r="W22" t="n">
        <v>134111</v>
      </c>
      <c r="X22" t="inlineStr">
        <is>
          <t>LOMAS</t>
        </is>
      </c>
      <c r="Y22" t="n">
        <v>4</v>
      </c>
      <c r="Z22" t="inlineStr">
        <is>
          <t>CORPORATIVO</t>
        </is>
      </c>
      <c r="AA22" t="n">
        <v>1</v>
      </c>
      <c r="AB22" t="inlineStr">
        <is>
          <t>NEGOCIO EN MARCHA</t>
        </is>
      </c>
      <c r="AC22" t="n">
        <v>1</v>
      </c>
      <c r="AD22" t="inlineStr">
        <is>
          <t>BANCO</t>
        </is>
      </c>
      <c r="AE22" t="n">
        <v>1</v>
      </c>
      <c r="AF22" t="inlineStr">
        <is>
          <t>BACK</t>
        </is>
      </c>
      <c r="AG22" t="n">
        <v>134111</v>
      </c>
      <c r="AH22" t="inlineStr">
        <is>
          <t>LOMAS</t>
        </is>
      </c>
      <c r="AI22" t="inlineStr">
        <is>
          <t>JRAMIREZD@BANCOBASE.COM</t>
        </is>
      </c>
      <c r="AJ22" s="151" t="n">
        <v>46098</v>
      </c>
      <c r="AK22" s="151" t="n"/>
      <c r="AL22" s="151" t="n"/>
    </row>
    <row r="23" hidden="1" s="150">
      <c r="A23" t="inlineStr">
        <is>
          <t>JAGUILARS</t>
        </is>
      </c>
      <c r="B23" t="n">
        <v>3132</v>
      </c>
      <c r="C23" t="inlineStr">
        <is>
          <t>JUAN CARLOS AGUILAR SOSA</t>
        </is>
      </c>
      <c r="D23" t="n">
        <v>8355</v>
      </c>
      <c r="E23" t="inlineStr">
        <is>
          <t xml:space="preserve">DIRECTOR DE TRANSFORMACION AGIL </t>
        </is>
      </c>
      <c r="F23" t="inlineStr">
        <is>
          <t>MONTERREY</t>
        </is>
      </c>
      <c r="G23" t="n">
        <v>3015</v>
      </c>
      <c r="H23" t="inlineStr">
        <is>
          <t>FERNANDO AGUIRRE ROJAS</t>
        </is>
      </c>
      <c r="I23" t="n">
        <v>8294</v>
      </c>
      <c r="J23" t="inlineStr">
        <is>
          <t>DIRECTOR PORTAFOLIO DE PROYECTOS</t>
        </is>
      </c>
      <c r="K23" t="n">
        <v>1</v>
      </c>
      <c r="L23" t="inlineStr">
        <is>
          <t>PRESIDENCIA EJECUTIVA DEL CONSEJO</t>
        </is>
      </c>
      <c r="M23" t="n">
        <v>30</v>
      </c>
      <c r="N23" t="inlineStr">
        <is>
          <t>DIRECCION GENERAL ADJUNTA PRODUCTO Y TRANSFORMACIO</t>
        </is>
      </c>
      <c r="O23" t="n">
        <v>350</v>
      </c>
      <c r="P23" t="inlineStr">
        <is>
          <t>DIRECCION DE PORTAFOLIO</t>
        </is>
      </c>
      <c r="Q23" t="n">
        <v>3500</v>
      </c>
      <c r="R23" t="inlineStr">
        <is>
          <t>DIRECCION DE PORTAFOLIO</t>
        </is>
      </c>
      <c r="S23" t="n">
        <v>35000</v>
      </c>
      <c r="T23" t="inlineStr">
        <is>
          <t>DIRECCION DE PORTAFOLIO</t>
        </is>
      </c>
      <c r="U23" t="n">
        <v>350000</v>
      </c>
      <c r="V23" t="inlineStr">
        <is>
          <t>DIRECCION DE PORTAFOLIO</t>
        </is>
      </c>
      <c r="W23" t="n">
        <v>100101</v>
      </c>
      <c r="X23" t="inlineStr">
        <is>
          <t>CORPORATIVO</t>
        </is>
      </c>
      <c r="Y23" t="n">
        <v>4</v>
      </c>
      <c r="Z23" t="inlineStr">
        <is>
          <t>CORPORATIVO</t>
        </is>
      </c>
      <c r="AA23" t="n">
        <v>1</v>
      </c>
      <c r="AB23" t="inlineStr">
        <is>
          <t>NEGOCIO EN MARCHA</t>
        </is>
      </c>
      <c r="AC23" t="n">
        <v>1</v>
      </c>
      <c r="AD23" t="inlineStr">
        <is>
          <t>BANCO</t>
        </is>
      </c>
      <c r="AE23" t="n">
        <v>1</v>
      </c>
      <c r="AF23" t="inlineStr">
        <is>
          <t>BACK</t>
        </is>
      </c>
      <c r="AG23" t="n">
        <v>100101</v>
      </c>
      <c r="AH23" t="inlineStr">
        <is>
          <t>CORPORATIVO</t>
        </is>
      </c>
      <c r="AI23" t="inlineStr">
        <is>
          <t>JAGUILARS@BANCOBASE.COM</t>
        </is>
      </c>
      <c r="AJ23" s="151" t="n">
        <v>45446</v>
      </c>
      <c r="AK23" s="151" t="n"/>
      <c r="AL23" s="151" t="n"/>
    </row>
    <row r="24" hidden="1" s="150">
      <c r="A24" t="inlineStr">
        <is>
          <t>BSANCHEZL</t>
        </is>
      </c>
      <c r="B24" t="n">
        <v>3197</v>
      </c>
      <c r="C24" t="inlineStr">
        <is>
          <t>BRENDA PAOLA SANCHEZ LOSA</t>
        </is>
      </c>
      <c r="D24" t="n">
        <v>8426</v>
      </c>
      <c r="E24" t="inlineStr">
        <is>
          <t>SCRUM MASTER</t>
        </is>
      </c>
      <c r="F24" t="inlineStr">
        <is>
          <t>MEXICO</t>
        </is>
      </c>
      <c r="G24" t="n">
        <v>3132</v>
      </c>
      <c r="H24" t="inlineStr">
        <is>
          <t>JUAN CARLOS AGUILAR SOSA</t>
        </is>
      </c>
      <c r="I24" t="n">
        <v>8355</v>
      </c>
      <c r="J24" t="inlineStr">
        <is>
          <t xml:space="preserve">DIRECTOR DE TRANSFORMACION AGIL </t>
        </is>
      </c>
      <c r="K24" t="n">
        <v>1</v>
      </c>
      <c r="L24" t="inlineStr">
        <is>
          <t>PRESIDENCIA EJECUTIVA DEL CONSEJO</t>
        </is>
      </c>
      <c r="M24" t="n">
        <v>30</v>
      </c>
      <c r="N24" t="inlineStr">
        <is>
          <t>DIRECCION GENERAL ADJUNTA PRODUCTO Y TRANSFORMACIO</t>
        </is>
      </c>
      <c r="O24" t="n">
        <v>350</v>
      </c>
      <c r="P24" t="inlineStr">
        <is>
          <t>DIRECCION DE PORTAFOLIO</t>
        </is>
      </c>
      <c r="Q24" t="n">
        <v>3500</v>
      </c>
      <c r="R24" t="inlineStr">
        <is>
          <t>DIRECCION DE PORTAFOLIO</t>
        </is>
      </c>
      <c r="S24" t="n">
        <v>35000</v>
      </c>
      <c r="T24" t="inlineStr">
        <is>
          <t>DIRECCION DE PORTAFOLIO</t>
        </is>
      </c>
      <c r="U24" t="n">
        <v>350000</v>
      </c>
      <c r="V24" t="inlineStr">
        <is>
          <t>DIRECCION DE PORTAFOLIO</t>
        </is>
      </c>
      <c r="W24" t="n">
        <v>134111</v>
      </c>
      <c r="X24" t="inlineStr">
        <is>
          <t>LOMAS</t>
        </is>
      </c>
      <c r="Y24" t="n">
        <v>4</v>
      </c>
      <c r="Z24" t="inlineStr">
        <is>
          <t>CORPORATIVO</t>
        </is>
      </c>
      <c r="AA24" t="n">
        <v>1</v>
      </c>
      <c r="AB24" t="inlineStr">
        <is>
          <t>NEGOCIO EN MARCHA</t>
        </is>
      </c>
      <c r="AC24" t="n">
        <v>1</v>
      </c>
      <c r="AD24" t="inlineStr">
        <is>
          <t>BANCO</t>
        </is>
      </c>
      <c r="AE24" t="n">
        <v>1</v>
      </c>
      <c r="AF24" t="inlineStr">
        <is>
          <t>BACK</t>
        </is>
      </c>
      <c r="AG24" t="n">
        <v>134111</v>
      </c>
      <c r="AH24" t="inlineStr">
        <is>
          <t>LOMAS</t>
        </is>
      </c>
      <c r="AI24" t="inlineStr">
        <is>
          <t>BSANCHEZL@BANCOBASE.COM</t>
        </is>
      </c>
      <c r="AJ24" s="151" t="n">
        <v>45537</v>
      </c>
      <c r="AK24" s="151" t="n"/>
      <c r="AL24" s="151" t="n"/>
    </row>
    <row r="25" hidden="1" s="150">
      <c r="A25" t="inlineStr">
        <is>
          <t>MBUENO</t>
        </is>
      </c>
      <c r="B25" t="n">
        <v>3275</v>
      </c>
      <c r="C25" t="inlineStr">
        <is>
          <t>MONICA ISELA BUENO DE LA VEGA</t>
        </is>
      </c>
      <c r="D25" t="n">
        <v>8407</v>
      </c>
      <c r="E25" t="inlineStr">
        <is>
          <t>SCRUM MASTER</t>
        </is>
      </c>
      <c r="F25" t="inlineStr">
        <is>
          <t>MONTERREY</t>
        </is>
      </c>
      <c r="G25" t="n">
        <v>3132</v>
      </c>
      <c r="H25" t="inlineStr">
        <is>
          <t>JUAN CARLOS AGUILAR SOSA</t>
        </is>
      </c>
      <c r="I25" t="n">
        <v>8355</v>
      </c>
      <c r="J25" t="inlineStr">
        <is>
          <t xml:space="preserve">DIRECTOR DE TRANSFORMACION AGIL </t>
        </is>
      </c>
      <c r="K25" t="n">
        <v>1</v>
      </c>
      <c r="L25" t="inlineStr">
        <is>
          <t>PRESIDENCIA EJECUTIVA DEL CONSEJO</t>
        </is>
      </c>
      <c r="M25" t="n">
        <v>30</v>
      </c>
      <c r="N25" t="inlineStr">
        <is>
          <t>DIRECCION GENERAL ADJUNTA PRODUCTO Y TRANSFORMACIO</t>
        </is>
      </c>
      <c r="O25" t="n">
        <v>350</v>
      </c>
      <c r="P25" t="inlineStr">
        <is>
          <t>DIRECCION DE PORTAFOLIO</t>
        </is>
      </c>
      <c r="Q25" t="n">
        <v>3500</v>
      </c>
      <c r="R25" t="inlineStr">
        <is>
          <t>DIRECCION DE PORTAFOLIO</t>
        </is>
      </c>
      <c r="S25" t="n">
        <v>35000</v>
      </c>
      <c r="T25" t="inlineStr">
        <is>
          <t>DIRECCION DE PORTAFOLIO</t>
        </is>
      </c>
      <c r="U25" t="n">
        <v>350000</v>
      </c>
      <c r="V25" t="inlineStr">
        <is>
          <t>DIRECCION DE PORTAFOLIO</t>
        </is>
      </c>
      <c r="W25" t="n">
        <v>100101</v>
      </c>
      <c r="X25" t="inlineStr">
        <is>
          <t>CORPORATIVO</t>
        </is>
      </c>
      <c r="Y25" t="n">
        <v>4</v>
      </c>
      <c r="Z25" t="inlineStr">
        <is>
          <t>CORPORATIVO</t>
        </is>
      </c>
      <c r="AA25" t="n">
        <v>1</v>
      </c>
      <c r="AB25" t="inlineStr">
        <is>
          <t>NEGOCIO EN MARCHA</t>
        </is>
      </c>
      <c r="AC25" t="n">
        <v>1</v>
      </c>
      <c r="AD25" t="inlineStr">
        <is>
          <t>BANCO</t>
        </is>
      </c>
      <c r="AE25" t="n">
        <v>1</v>
      </c>
      <c r="AF25" t="inlineStr">
        <is>
          <t>BACK</t>
        </is>
      </c>
      <c r="AG25" t="n">
        <v>100101</v>
      </c>
      <c r="AH25" t="inlineStr">
        <is>
          <t>CORPORATIVO</t>
        </is>
      </c>
      <c r="AI25" t="inlineStr">
        <is>
          <t>MBUENO@BANCOBASE.COM</t>
        </is>
      </c>
      <c r="AJ25" s="151" t="n">
        <v>45615</v>
      </c>
      <c r="AK25" s="151" t="n"/>
      <c r="AL25" s="151" t="n"/>
    </row>
    <row r="26" hidden="1" s="150">
      <c r="A26" t="inlineStr">
        <is>
          <t>CAGUILARL</t>
        </is>
      </c>
      <c r="B26" t="n">
        <v>3198</v>
      </c>
      <c r="C26" t="inlineStr">
        <is>
          <t>CITLALI AGUILAR LEMUS</t>
        </is>
      </c>
      <c r="D26" t="n">
        <v>8425</v>
      </c>
      <c r="E26" t="inlineStr">
        <is>
          <t>SCRUM MASTER</t>
        </is>
      </c>
      <c r="F26" t="inlineStr">
        <is>
          <t>GUADALAJARA</t>
        </is>
      </c>
      <c r="G26" t="n">
        <v>3132</v>
      </c>
      <c r="H26" t="inlineStr">
        <is>
          <t>JUAN CARLOS AGUILAR SOSA</t>
        </is>
      </c>
      <c r="I26" t="n">
        <v>8355</v>
      </c>
      <c r="J26" t="inlineStr">
        <is>
          <t xml:space="preserve">DIRECTOR DE TRANSFORMACION AGIL </t>
        </is>
      </c>
      <c r="K26" t="n">
        <v>1</v>
      </c>
      <c r="L26" t="inlineStr">
        <is>
          <t>PRESIDENCIA EJECUTIVA DEL CONSEJO</t>
        </is>
      </c>
      <c r="M26" t="n">
        <v>30</v>
      </c>
      <c r="N26" t="inlineStr">
        <is>
          <t>DIRECCION GENERAL ADJUNTA PRODUCTO Y TRANSFORMACIO</t>
        </is>
      </c>
      <c r="O26" t="n">
        <v>301</v>
      </c>
      <c r="P26" t="inlineStr">
        <is>
          <t>DOMINIO</t>
        </is>
      </c>
      <c r="Q26" t="n">
        <v>3500</v>
      </c>
      <c r="R26" t="inlineStr">
        <is>
          <t>DIRECCION DE PORTAFOLIO</t>
        </is>
      </c>
      <c r="S26" t="n">
        <v>35000</v>
      </c>
      <c r="T26" t="inlineStr">
        <is>
          <t>DIRECCION DE PORTAFOLIO</t>
        </is>
      </c>
      <c r="U26" t="n">
        <v>301200</v>
      </c>
      <c r="V26" t="inlineStr">
        <is>
          <t>DOMINIO HA</t>
        </is>
      </c>
      <c r="W26" t="n">
        <v>126107</v>
      </c>
      <c r="X26" t="inlineStr">
        <is>
          <t>GUADALAJARA</t>
        </is>
      </c>
      <c r="Y26" t="n">
        <v>4</v>
      </c>
      <c r="Z26" t="inlineStr">
        <is>
          <t>CORPORATIVO</t>
        </is>
      </c>
      <c r="AA26" t="n">
        <v>11</v>
      </c>
      <c r="AB26" t="inlineStr">
        <is>
          <t>DOMINIO HA</t>
        </is>
      </c>
      <c r="AC26" t="n">
        <v>1</v>
      </c>
      <c r="AD26" t="inlineStr">
        <is>
          <t>BANCO</t>
        </is>
      </c>
      <c r="AE26" t="n">
        <v>1</v>
      </c>
      <c r="AF26" t="inlineStr">
        <is>
          <t>BACK</t>
        </is>
      </c>
      <c r="AG26" t="n">
        <v>126107</v>
      </c>
      <c r="AH26" t="inlineStr">
        <is>
          <t>GUADALAJARA</t>
        </is>
      </c>
      <c r="AI26" t="inlineStr">
        <is>
          <t>CAGUILARL@BANCOBASE.COM</t>
        </is>
      </c>
      <c r="AJ26" s="151" t="n">
        <v>45537</v>
      </c>
      <c r="AK26" s="151" t="n"/>
      <c r="AL26" s="151" t="n"/>
    </row>
    <row r="27" hidden="1" s="150">
      <c r="A27" t="inlineStr">
        <is>
          <t>DMORA</t>
        </is>
      </c>
      <c r="B27" t="n">
        <v>3729</v>
      </c>
      <c r="C27" t="inlineStr">
        <is>
          <t>DEI CAROLINA MORA TZINTZUN</t>
        </is>
      </c>
      <c r="D27" t="n">
        <v>8419</v>
      </c>
      <c r="E27" t="inlineStr">
        <is>
          <t>SCRUM MASTER</t>
        </is>
      </c>
      <c r="F27" t="inlineStr">
        <is>
          <t>MEXICO</t>
        </is>
      </c>
      <c r="G27" t="n">
        <v>3132</v>
      </c>
      <c r="H27" t="inlineStr">
        <is>
          <t>JUAN CARLOS AGUILAR SOSA</t>
        </is>
      </c>
      <c r="I27" t="n">
        <v>8355</v>
      </c>
      <c r="J27" t="inlineStr">
        <is>
          <t xml:space="preserve">DIRECTOR DE TRANSFORMACION AGIL </t>
        </is>
      </c>
      <c r="K27" t="n">
        <v>1</v>
      </c>
      <c r="L27" t="inlineStr">
        <is>
          <t>PRESIDENCIA EJECUTIVA DEL CONSEJO</t>
        </is>
      </c>
      <c r="M27" t="n">
        <v>30</v>
      </c>
      <c r="N27" t="inlineStr">
        <is>
          <t>DIRECCION GENERAL ADJUNTA PRODUCTO Y TRANSFORMACIO</t>
        </is>
      </c>
      <c r="O27" t="n">
        <v>350</v>
      </c>
      <c r="P27" t="inlineStr">
        <is>
          <t>DIRECCION DE PORTAFOLIO</t>
        </is>
      </c>
      <c r="Q27" t="n">
        <v>3500</v>
      </c>
      <c r="R27" t="inlineStr">
        <is>
          <t>DIRECCION DE PORTAFOLIO</t>
        </is>
      </c>
      <c r="S27" t="n">
        <v>35000</v>
      </c>
      <c r="T27" t="inlineStr">
        <is>
          <t>DIRECCION DE PORTAFOLIO</t>
        </is>
      </c>
      <c r="U27" t="n">
        <v>350000</v>
      </c>
      <c r="V27" t="inlineStr">
        <is>
          <t>DIRECCION DE PORTAFOLIO</t>
        </is>
      </c>
      <c r="W27" t="n">
        <v>134111</v>
      </c>
      <c r="X27" t="inlineStr">
        <is>
          <t>LOMAS</t>
        </is>
      </c>
      <c r="Y27" t="n">
        <v>4</v>
      </c>
      <c r="Z27" t="inlineStr">
        <is>
          <t>CORPORATIVO</t>
        </is>
      </c>
      <c r="AA27" t="n">
        <v>1</v>
      </c>
      <c r="AB27" t="inlineStr">
        <is>
          <t>NEGOCIO EN MARCHA</t>
        </is>
      </c>
      <c r="AC27" t="n">
        <v>1</v>
      </c>
      <c r="AD27" t="inlineStr">
        <is>
          <t>BANCO</t>
        </is>
      </c>
      <c r="AE27" t="n">
        <v>1</v>
      </c>
      <c r="AF27" t="inlineStr">
        <is>
          <t>BACK</t>
        </is>
      </c>
      <c r="AG27" t="n">
        <v>134111</v>
      </c>
      <c r="AH27" t="inlineStr">
        <is>
          <t>LOMAS</t>
        </is>
      </c>
      <c r="AI27" t="inlineStr">
        <is>
          <t>DMORA@BANCOBASE.COM</t>
        </is>
      </c>
      <c r="AJ27" s="151" t="n">
        <v>46027</v>
      </c>
      <c r="AK27" s="151" t="n"/>
      <c r="AL27" s="151" t="n"/>
    </row>
    <row r="28" hidden="1" s="150">
      <c r="A28" t="inlineStr">
        <is>
          <t>DFACIO</t>
        </is>
      </c>
      <c r="B28" t="n">
        <v>3881</v>
      </c>
      <c r="C28" t="inlineStr">
        <is>
          <t>DALIA VIVIANA FACIO VARGUEZ</t>
        </is>
      </c>
      <c r="D28" t="n">
        <v>5075</v>
      </c>
      <c r="E28" t="inlineStr">
        <is>
          <t>SCRUM MASTER JR</t>
        </is>
      </c>
      <c r="F28" t="inlineStr">
        <is>
          <t>MEXICO</t>
        </is>
      </c>
      <c r="G28" t="n">
        <v>3132</v>
      </c>
      <c r="H28" t="inlineStr">
        <is>
          <t>JUAN CARLOS AGUILAR SOSA</t>
        </is>
      </c>
      <c r="I28" t="n">
        <v>8355</v>
      </c>
      <c r="J28" t="inlineStr">
        <is>
          <t xml:space="preserve">DIRECTOR DE TRANSFORMACION AGIL </t>
        </is>
      </c>
      <c r="K28" t="n">
        <v>1</v>
      </c>
      <c r="L28" t="inlineStr">
        <is>
          <t>PRESIDENCIA EJECUTIVA DEL CONSEJO</t>
        </is>
      </c>
      <c r="M28" t="n">
        <v>30</v>
      </c>
      <c r="N28" t="inlineStr">
        <is>
          <t>DIRECCION GENERAL ADJUNTA PRODUCTO Y TRANSFORMACIO</t>
        </is>
      </c>
      <c r="O28" t="n">
        <v>350</v>
      </c>
      <c r="P28" t="inlineStr">
        <is>
          <t>DIRECCION DE PORTAFOLIO</t>
        </is>
      </c>
      <c r="Q28" t="n">
        <v>3500</v>
      </c>
      <c r="R28" t="inlineStr">
        <is>
          <t>DIRECCION DE PORTAFOLIO</t>
        </is>
      </c>
      <c r="S28" t="n">
        <v>35000</v>
      </c>
      <c r="T28" t="inlineStr">
        <is>
          <t>DIRECCION DE PORTAFOLIO</t>
        </is>
      </c>
      <c r="U28" t="n">
        <v>350000</v>
      </c>
      <c r="V28" t="inlineStr">
        <is>
          <t>DIRECCION DE PORTAFOLIO</t>
        </is>
      </c>
      <c r="W28" t="n">
        <v>134111</v>
      </c>
      <c r="X28" t="inlineStr">
        <is>
          <t>LOMAS</t>
        </is>
      </c>
      <c r="Y28" t="n">
        <v>4</v>
      </c>
      <c r="Z28" t="inlineStr">
        <is>
          <t>CORPORATIVO</t>
        </is>
      </c>
      <c r="AA28" t="n">
        <v>1</v>
      </c>
      <c r="AB28" t="inlineStr">
        <is>
          <t>NEGOCIO EN MARCHA</t>
        </is>
      </c>
      <c r="AC28" t="n">
        <v>1</v>
      </c>
      <c r="AD28" t="inlineStr">
        <is>
          <t>BANCO</t>
        </is>
      </c>
      <c r="AE28" t="n">
        <v>1</v>
      </c>
      <c r="AF28" t="inlineStr">
        <is>
          <t>BACK</t>
        </is>
      </c>
      <c r="AG28" t="n">
        <v>134111</v>
      </c>
      <c r="AH28" t="inlineStr">
        <is>
          <t>LOMAS</t>
        </is>
      </c>
      <c r="AI28" t="inlineStr">
        <is>
          <t>DFACIO@BANCOBASE.COM</t>
        </is>
      </c>
      <c r="AJ28" s="151" t="n">
        <v>46160</v>
      </c>
      <c r="AK28" s="151" t="n"/>
      <c r="AL28" s="151" t="n"/>
    </row>
    <row r="29" hidden="1" s="150">
      <c r="A29" t="inlineStr">
        <is>
          <t>JGUERRA</t>
        </is>
      </c>
      <c r="B29" t="n">
        <v>3969</v>
      </c>
      <c r="C29" t="inlineStr">
        <is>
          <t>JOSE RAMON GUERRA GUTIERREZ</t>
        </is>
      </c>
      <c r="D29" t="n">
        <v>8067</v>
      </c>
      <c r="E29" t="inlineStr">
        <is>
          <t>AGILE COACH</t>
        </is>
      </c>
      <c r="F29" t="inlineStr">
        <is>
          <t>TELETRABAJO</t>
        </is>
      </c>
      <c r="G29" t="n">
        <v>3132</v>
      </c>
      <c r="H29" t="inlineStr">
        <is>
          <t>JUAN CARLOS AGUILAR SOSA</t>
        </is>
      </c>
      <c r="I29" t="n">
        <v>8355</v>
      </c>
      <c r="J29" t="inlineStr">
        <is>
          <t xml:space="preserve">DIRECTOR DE TRANSFORMACION AGIL </t>
        </is>
      </c>
      <c r="K29" t="n">
        <v>1</v>
      </c>
      <c r="L29" t="inlineStr">
        <is>
          <t>PRESIDENCIA EJECUTIVA DEL CONSEJO</t>
        </is>
      </c>
      <c r="M29" t="n">
        <v>30</v>
      </c>
      <c r="N29" t="inlineStr">
        <is>
          <t>DIRECCION GENERAL ADJUNTA PRODUCTO Y TRANSFORMACIO</t>
        </is>
      </c>
      <c r="O29" t="n">
        <v>301</v>
      </c>
      <c r="P29" t="inlineStr">
        <is>
          <t>DOMINIO</t>
        </is>
      </c>
      <c r="Q29" t="n">
        <v>3500</v>
      </c>
      <c r="R29" t="inlineStr">
        <is>
          <t>DIRECCION DE PORTAFOLIO</t>
        </is>
      </c>
      <c r="S29" t="n">
        <v>35000</v>
      </c>
      <c r="T29" t="inlineStr">
        <is>
          <t>DIRECCION DE PORTAFOLIO</t>
        </is>
      </c>
      <c r="U29" t="n">
        <v>301200</v>
      </c>
      <c r="V29" t="inlineStr">
        <is>
          <t>DOMINIO HA</t>
        </is>
      </c>
      <c r="W29" t="n">
        <v>100101</v>
      </c>
      <c r="X29" t="inlineStr">
        <is>
          <t>CORPORATIVO</t>
        </is>
      </c>
      <c r="Y29" t="n">
        <v>4</v>
      </c>
      <c r="Z29" t="inlineStr">
        <is>
          <t>CORPORATIVO</t>
        </is>
      </c>
      <c r="AA29" t="n">
        <v>11</v>
      </c>
      <c r="AB29" t="inlineStr">
        <is>
          <t>DOMINIO HA</t>
        </is>
      </c>
      <c r="AC29" t="n">
        <v>1</v>
      </c>
      <c r="AD29" t="inlineStr">
        <is>
          <t>BANCO</t>
        </is>
      </c>
      <c r="AE29" t="n">
        <v>1</v>
      </c>
      <c r="AF29" t="inlineStr">
        <is>
          <t>BACK</t>
        </is>
      </c>
      <c r="AG29" t="n">
        <v>100101</v>
      </c>
      <c r="AH29" t="inlineStr">
        <is>
          <t>CORPORATIVO</t>
        </is>
      </c>
      <c r="AI29" t="inlineStr">
        <is>
          <t>JGUERRA@BANCOBASE.COM</t>
        </is>
      </c>
      <c r="AJ29" s="151" t="n">
        <v>46239</v>
      </c>
      <c r="AK29" s="151" t="n"/>
      <c r="AL29" s="151" t="n"/>
    </row>
    <row r="30" hidden="1" s="150">
      <c r="A30" t="inlineStr">
        <is>
          <t>ECASTELLAN</t>
        </is>
      </c>
      <c r="B30" t="n">
        <v>3934</v>
      </c>
      <c r="C30" t="inlineStr">
        <is>
          <t>EDGAR CASTELLANOS GOMEZ</t>
        </is>
      </c>
      <c r="D30" t="n">
        <v>8228</v>
      </c>
      <c r="E30" t="inlineStr">
        <is>
          <t>SCRUM MASTER</t>
        </is>
      </c>
      <c r="F30" t="inlineStr">
        <is>
          <t>MEXICO</t>
        </is>
      </c>
      <c r="G30" t="n">
        <v>3132</v>
      </c>
      <c r="H30" t="inlineStr">
        <is>
          <t>JUAN CARLOS AGUILAR SOSA</t>
        </is>
      </c>
      <c r="I30" t="n">
        <v>8355</v>
      </c>
      <c r="J30" t="inlineStr">
        <is>
          <t xml:space="preserve">DIRECTOR DE TRANSFORMACION AGIL </t>
        </is>
      </c>
      <c r="K30" t="n">
        <v>1</v>
      </c>
      <c r="L30" t="inlineStr">
        <is>
          <t>PRESIDENCIA EJECUTIVA DEL CONSEJO</t>
        </is>
      </c>
      <c r="M30" t="n">
        <v>30</v>
      </c>
      <c r="N30" t="inlineStr">
        <is>
          <t>DIRECCION GENERAL ADJUNTA PRODUCTO Y TRANSFORMACIO</t>
        </is>
      </c>
      <c r="O30" t="n">
        <v>301</v>
      </c>
      <c r="P30" t="inlineStr">
        <is>
          <t>DOMINIO</t>
        </is>
      </c>
      <c r="Q30" t="n">
        <v>3500</v>
      </c>
      <c r="R30" t="inlineStr">
        <is>
          <t>DIRECCION DE PORTAFOLIO</t>
        </is>
      </c>
      <c r="S30" t="n">
        <v>35000</v>
      </c>
      <c r="T30" t="inlineStr">
        <is>
          <t>DIRECCION DE PORTAFOLIO</t>
        </is>
      </c>
      <c r="U30" t="n">
        <v>301240</v>
      </c>
      <c r="V30" t="inlineStr">
        <is>
          <t>ADQUISICION</t>
        </is>
      </c>
      <c r="W30" t="n">
        <v>134111</v>
      </c>
      <c r="X30" t="inlineStr">
        <is>
          <t>LOMAS</t>
        </is>
      </c>
      <c r="Y30" t="n">
        <v>4</v>
      </c>
      <c r="Z30" t="inlineStr">
        <is>
          <t>CORPORATIVO</t>
        </is>
      </c>
      <c r="AA30" t="n">
        <v>11</v>
      </c>
      <c r="AB30" t="inlineStr">
        <is>
          <t>DOMINIO HA</t>
        </is>
      </c>
      <c r="AC30" t="n">
        <v>1</v>
      </c>
      <c r="AD30" t="inlineStr">
        <is>
          <t>BANCO</t>
        </is>
      </c>
      <c r="AE30" t="n">
        <v>1</v>
      </c>
      <c r="AF30" t="inlineStr">
        <is>
          <t>BACK</t>
        </is>
      </c>
      <c r="AG30" t="n">
        <v>134111</v>
      </c>
      <c r="AH30" t="inlineStr">
        <is>
          <t>LOMAS</t>
        </is>
      </c>
      <c r="AI30" t="inlineStr">
        <is>
          <t>ECASTELLAN@BANCOBASE.COM</t>
        </is>
      </c>
      <c r="AJ30" s="151" t="n">
        <v>46216</v>
      </c>
      <c r="AK30" s="151" t="n"/>
      <c r="AL30" s="151" t="n"/>
    </row>
    <row r="31" hidden="1" s="150">
      <c r="A31" t="inlineStr">
        <is>
          <t>RRAJADEL</t>
        </is>
      </c>
      <c r="B31" t="n">
        <v>3933</v>
      </c>
      <c r="C31" t="inlineStr">
        <is>
          <t>ROSSIO RAJADEL REDONDAS</t>
        </is>
      </c>
      <c r="D31" t="n">
        <v>5131</v>
      </c>
      <c r="E31" t="inlineStr">
        <is>
          <t>SCRUM MASTER</t>
        </is>
      </c>
      <c r="F31" t="inlineStr">
        <is>
          <t>MEXICO</t>
        </is>
      </c>
      <c r="G31" t="n">
        <v>3132</v>
      </c>
      <c r="H31" t="inlineStr">
        <is>
          <t>JUAN CARLOS AGUILAR SOSA</t>
        </is>
      </c>
      <c r="I31" t="n">
        <v>8355</v>
      </c>
      <c r="J31" t="inlineStr">
        <is>
          <t xml:space="preserve">DIRECTOR DE TRANSFORMACION AGIL </t>
        </is>
      </c>
      <c r="K31" t="n">
        <v>1</v>
      </c>
      <c r="L31" t="inlineStr">
        <is>
          <t>PRESIDENCIA EJECUTIVA DEL CONSEJO</t>
        </is>
      </c>
      <c r="M31" t="n">
        <v>30</v>
      </c>
      <c r="N31" t="inlineStr">
        <is>
          <t>DIRECCION GENERAL ADJUNTA PRODUCTO Y TRANSFORMACIO</t>
        </is>
      </c>
      <c r="O31" t="n">
        <v>301</v>
      </c>
      <c r="P31" t="inlineStr">
        <is>
          <t>DOMINIO</t>
        </is>
      </c>
      <c r="Q31" t="n">
        <v>3500</v>
      </c>
      <c r="R31" t="inlineStr">
        <is>
          <t>DIRECCION DE PORTAFOLIO</t>
        </is>
      </c>
      <c r="S31" t="n">
        <v>35000</v>
      </c>
      <c r="T31" t="inlineStr">
        <is>
          <t>DIRECCION DE PORTAFOLIO</t>
        </is>
      </c>
      <c r="U31" t="n">
        <v>301250</v>
      </c>
      <c r="V31" t="inlineStr">
        <is>
          <t>SERVICING</t>
        </is>
      </c>
      <c r="W31" t="n">
        <v>134111</v>
      </c>
      <c r="X31" t="inlineStr">
        <is>
          <t>LOMAS</t>
        </is>
      </c>
      <c r="Y31" t="n">
        <v>4</v>
      </c>
      <c r="Z31" t="inlineStr">
        <is>
          <t>CORPORATIVO</t>
        </is>
      </c>
      <c r="AA31" t="n">
        <v>11</v>
      </c>
      <c r="AB31" t="inlineStr">
        <is>
          <t>DOMINIO HA</t>
        </is>
      </c>
      <c r="AC31" t="n">
        <v>1</v>
      </c>
      <c r="AD31" t="inlineStr">
        <is>
          <t>BANCO</t>
        </is>
      </c>
      <c r="AE31" t="n">
        <v>1</v>
      </c>
      <c r="AF31" t="inlineStr">
        <is>
          <t>BACK</t>
        </is>
      </c>
      <c r="AG31" t="n">
        <v>134111</v>
      </c>
      <c r="AH31" t="inlineStr">
        <is>
          <t>LOMAS</t>
        </is>
      </c>
      <c r="AI31" t="inlineStr">
        <is>
          <t>RRAJADEL@BANCOBASE.COM</t>
        </is>
      </c>
      <c r="AJ31" s="151" t="n">
        <v>46216</v>
      </c>
      <c r="AK31" s="151" t="n"/>
      <c r="AL31" s="151" t="n"/>
    </row>
    <row r="32" hidden="1" s="150">
      <c r="A32" t="inlineStr">
        <is>
          <t>MTORRESAR</t>
        </is>
      </c>
      <c r="B32" t="n">
        <v>3950</v>
      </c>
      <c r="C32" t="inlineStr">
        <is>
          <t>MARIA ELIZABETH TORRES ARCOS</t>
        </is>
      </c>
      <c r="D32" t="n">
        <v>5116</v>
      </c>
      <c r="E32" t="inlineStr">
        <is>
          <t>SCRUM MASTER JR</t>
        </is>
      </c>
      <c r="F32" t="inlineStr">
        <is>
          <t>MONTERREY</t>
        </is>
      </c>
      <c r="G32" t="n">
        <v>3132</v>
      </c>
      <c r="H32" t="inlineStr">
        <is>
          <t>JUAN CARLOS AGUILAR SOSA</t>
        </is>
      </c>
      <c r="I32" t="n">
        <v>8355</v>
      </c>
      <c r="J32" t="inlineStr">
        <is>
          <t xml:space="preserve">DIRECTOR DE TRANSFORMACION AGIL </t>
        </is>
      </c>
      <c r="K32" t="n">
        <v>1</v>
      </c>
      <c r="L32" t="inlineStr">
        <is>
          <t>PRESIDENCIA EJECUTIVA DEL CONSEJO</t>
        </is>
      </c>
      <c r="M32" t="n">
        <v>30</v>
      </c>
      <c r="N32" t="inlineStr">
        <is>
          <t>DIRECCION GENERAL ADJUNTA PRODUCTO Y TRANSFORMACIO</t>
        </is>
      </c>
      <c r="O32" t="n">
        <v>350</v>
      </c>
      <c r="P32" t="inlineStr">
        <is>
          <t>DIRECCION DE PORTAFOLIO</t>
        </is>
      </c>
      <c r="Q32" t="n">
        <v>3500</v>
      </c>
      <c r="R32" t="inlineStr">
        <is>
          <t>DIRECCION DE PORTAFOLIO</t>
        </is>
      </c>
      <c r="S32" t="n">
        <v>35000</v>
      </c>
      <c r="T32" t="inlineStr">
        <is>
          <t>DIRECCION DE PORTAFOLIO</t>
        </is>
      </c>
      <c r="U32" t="n">
        <v>350000</v>
      </c>
      <c r="V32" t="inlineStr">
        <is>
          <t>DIRECCION DE PORTAFOLIO</t>
        </is>
      </c>
      <c r="W32" t="n">
        <v>100101</v>
      </c>
      <c r="X32" t="inlineStr">
        <is>
          <t>CORPORATIVO</t>
        </is>
      </c>
      <c r="Y32" t="n">
        <v>4</v>
      </c>
      <c r="Z32" t="inlineStr">
        <is>
          <t>CORPORATIVO</t>
        </is>
      </c>
      <c r="AA32" t="n">
        <v>1</v>
      </c>
      <c r="AB32" t="inlineStr">
        <is>
          <t>NEGOCIO EN MARCHA</t>
        </is>
      </c>
      <c r="AC32" t="n">
        <v>1</v>
      </c>
      <c r="AD32" t="inlineStr">
        <is>
          <t>BANCO</t>
        </is>
      </c>
      <c r="AE32" t="n">
        <v>1</v>
      </c>
      <c r="AF32" t="inlineStr">
        <is>
          <t>BACK</t>
        </is>
      </c>
      <c r="AG32" t="n">
        <v>126102</v>
      </c>
      <c r="AH32" t="inlineStr">
        <is>
          <t>MONTERREY</t>
        </is>
      </c>
      <c r="AI32" t="inlineStr">
        <is>
          <t>MTORRESAR@BANCOBASE.COM</t>
        </is>
      </c>
      <c r="AJ32" s="151" t="n">
        <v>46219</v>
      </c>
      <c r="AK32" s="151" t="n"/>
      <c r="AL32" s="151" t="n"/>
    </row>
    <row r="33" hidden="1" s="150">
      <c r="A33" t="inlineStr">
        <is>
          <t>AQUINTANIL</t>
        </is>
      </c>
      <c r="B33" t="n">
        <v>1747</v>
      </c>
      <c r="C33" t="inlineStr">
        <is>
          <t>ARACELY QUINTANILLA LOZANO</t>
        </is>
      </c>
      <c r="D33" t="n">
        <v>9064</v>
      </c>
      <c r="E33" t="inlineStr">
        <is>
          <t>SUBDIRECTOR DE PROGRAMAS</t>
        </is>
      </c>
      <c r="F33" t="inlineStr">
        <is>
          <t>MONTERREY</t>
        </is>
      </c>
      <c r="G33" t="n">
        <v>3015</v>
      </c>
      <c r="H33" t="inlineStr">
        <is>
          <t>FERNANDO AGUIRRE ROJAS</t>
        </is>
      </c>
      <c r="I33" t="n">
        <v>8294</v>
      </c>
      <c r="J33" t="inlineStr">
        <is>
          <t>DIRECTOR PORTAFOLIO DE PROYECTOS</t>
        </is>
      </c>
      <c r="K33" t="n">
        <v>1</v>
      </c>
      <c r="L33" t="inlineStr">
        <is>
          <t>PRESIDENCIA EJECUTIVA DEL CONSEJO</t>
        </is>
      </c>
      <c r="M33" t="n">
        <v>30</v>
      </c>
      <c r="N33" t="inlineStr">
        <is>
          <t>DIRECCION GENERAL ADJUNTA PRODUCTO Y TRANSFORMACIO</t>
        </is>
      </c>
      <c r="O33" t="n">
        <v>350</v>
      </c>
      <c r="P33" t="inlineStr">
        <is>
          <t>DIRECCION DE PORTAFOLIO</t>
        </is>
      </c>
      <c r="Q33" t="n">
        <v>3500</v>
      </c>
      <c r="R33" t="inlineStr">
        <is>
          <t>DIRECCION DE PORTAFOLIO</t>
        </is>
      </c>
      <c r="S33" t="n">
        <v>35000</v>
      </c>
      <c r="T33" t="inlineStr">
        <is>
          <t>DIRECCION DE PORTAFOLIO</t>
        </is>
      </c>
      <c r="U33" t="n">
        <v>350000</v>
      </c>
      <c r="V33" t="inlineStr">
        <is>
          <t>DIRECCION DE PORTAFOLIO</t>
        </is>
      </c>
      <c r="W33" t="n">
        <v>100101</v>
      </c>
      <c r="X33" t="inlineStr">
        <is>
          <t>CORPORATIVO</t>
        </is>
      </c>
      <c r="Y33" t="n">
        <v>4</v>
      </c>
      <c r="Z33" t="inlineStr">
        <is>
          <t>CORPORATIVO</t>
        </is>
      </c>
      <c r="AA33" t="n">
        <v>1</v>
      </c>
      <c r="AB33" t="inlineStr">
        <is>
          <t>NEGOCIO EN MARCHA</t>
        </is>
      </c>
      <c r="AC33" t="n">
        <v>1</v>
      </c>
      <c r="AD33" t="inlineStr">
        <is>
          <t>BANCO</t>
        </is>
      </c>
      <c r="AE33" t="n">
        <v>1</v>
      </c>
      <c r="AF33" t="inlineStr">
        <is>
          <t>BACK</t>
        </is>
      </c>
      <c r="AG33" t="n">
        <v>100101</v>
      </c>
      <c r="AH33" t="inlineStr">
        <is>
          <t>CORPORATIVO</t>
        </is>
      </c>
      <c r="AI33" t="inlineStr">
        <is>
          <t>AQUINTANIL@BANCOBASE.COM</t>
        </is>
      </c>
      <c r="AJ33" s="151" t="n">
        <v>42842</v>
      </c>
      <c r="AK33" s="151" t="n"/>
      <c r="AL33" s="151" t="n"/>
    </row>
    <row r="34" hidden="1" s="150">
      <c r="A34" t="inlineStr">
        <is>
          <t>RMELENDEZ</t>
        </is>
      </c>
      <c r="B34" t="n">
        <v>3691</v>
      </c>
      <c r="C34" t="inlineStr">
        <is>
          <t>ROMAN MELENDEZ DUQUE</t>
        </is>
      </c>
      <c r="D34" t="n">
        <v>10233</v>
      </c>
      <c r="E34" t="inlineStr">
        <is>
          <t>ESPECIALISTA DE PROYECTOS</t>
        </is>
      </c>
      <c r="F34" t="inlineStr">
        <is>
          <t>MONTERREY</t>
        </is>
      </c>
      <c r="G34" t="n">
        <v>1747</v>
      </c>
      <c r="H34" t="inlineStr">
        <is>
          <t>ARACELY QUINTANILLA LOZANO</t>
        </is>
      </c>
      <c r="I34" t="n">
        <v>9064</v>
      </c>
      <c r="J34" t="inlineStr">
        <is>
          <t>SUBDIRECTOR DE PROGRAMAS</t>
        </is>
      </c>
      <c r="K34" t="n">
        <v>1</v>
      </c>
      <c r="L34" t="inlineStr">
        <is>
          <t>PRESIDENCIA EJECUTIVA DEL CONSEJO</t>
        </is>
      </c>
      <c r="M34" t="n">
        <v>30</v>
      </c>
      <c r="N34" t="inlineStr">
        <is>
          <t>DIRECCION GENERAL ADJUNTA PRODUCTO Y TRANSFORMACIO</t>
        </is>
      </c>
      <c r="O34" t="n">
        <v>350</v>
      </c>
      <c r="P34" t="inlineStr">
        <is>
          <t>DIRECCION DE PORTAFOLIO</t>
        </is>
      </c>
      <c r="Q34" t="n">
        <v>3500</v>
      </c>
      <c r="R34" t="inlineStr">
        <is>
          <t>DIRECCION DE PORTAFOLIO</t>
        </is>
      </c>
      <c r="S34" t="n">
        <v>35000</v>
      </c>
      <c r="T34" t="inlineStr">
        <is>
          <t>DIRECCION DE PORTAFOLIO</t>
        </is>
      </c>
      <c r="U34" t="n">
        <v>350000</v>
      </c>
      <c r="V34" t="inlineStr">
        <is>
          <t>DIRECCION DE PORTAFOLIO</t>
        </is>
      </c>
      <c r="W34" t="n">
        <v>100101</v>
      </c>
      <c r="X34" t="inlineStr">
        <is>
          <t>CORPORATIVO</t>
        </is>
      </c>
      <c r="Y34" t="n">
        <v>4</v>
      </c>
      <c r="Z34" t="inlineStr">
        <is>
          <t>CORPORATIVO</t>
        </is>
      </c>
      <c r="AA34" t="n">
        <v>1</v>
      </c>
      <c r="AB34" t="inlineStr">
        <is>
          <t>NEGOCIO EN MARCHA</t>
        </is>
      </c>
      <c r="AC34" t="n">
        <v>1</v>
      </c>
      <c r="AD34" t="inlineStr">
        <is>
          <t>BANCO</t>
        </is>
      </c>
      <c r="AE34" t="n">
        <v>1</v>
      </c>
      <c r="AF34" t="inlineStr">
        <is>
          <t>BACK</t>
        </is>
      </c>
      <c r="AG34" t="n">
        <v>100101</v>
      </c>
      <c r="AH34" t="inlineStr">
        <is>
          <t>CORPORATIVO</t>
        </is>
      </c>
      <c r="AI34" t="inlineStr">
        <is>
          <t>RMELENDEZ@BANCOBASE.COM</t>
        </is>
      </c>
      <c r="AJ34" s="151" t="n">
        <v>45979</v>
      </c>
      <c r="AK34" s="151" t="n"/>
      <c r="AL34" s="151" t="n"/>
    </row>
    <row r="35" hidden="1" s="150">
      <c r="A35" t="inlineStr">
        <is>
          <t>MGARIBAYG</t>
        </is>
      </c>
      <c r="B35" t="n">
        <v>3544</v>
      </c>
      <c r="C35" t="inlineStr">
        <is>
          <t>MARIA DE LOS ANGELES GARIBAY GONZALEZ</t>
        </is>
      </c>
      <c r="D35" t="n">
        <v>8757</v>
      </c>
      <c r="E35" t="inlineStr">
        <is>
          <t>ESPECIALISTA DE PROYECTOS</t>
        </is>
      </c>
      <c r="F35" t="inlineStr">
        <is>
          <t>MONTERREY</t>
        </is>
      </c>
      <c r="G35" t="n">
        <v>3015</v>
      </c>
      <c r="H35" t="inlineStr">
        <is>
          <t>FERNANDO AGUIRRE ROJAS</t>
        </is>
      </c>
      <c r="I35" t="n">
        <v>8294</v>
      </c>
      <c r="J35" t="inlineStr">
        <is>
          <t>DIRECTOR PORTAFOLIO DE PROYECTOS</t>
        </is>
      </c>
      <c r="K35" t="n">
        <v>1</v>
      </c>
      <c r="L35" t="inlineStr">
        <is>
          <t>PRESIDENCIA EJECUTIVA DEL CONSEJO</t>
        </is>
      </c>
      <c r="M35" t="n">
        <v>30</v>
      </c>
      <c r="N35" t="inlineStr">
        <is>
          <t>DIRECCION GENERAL ADJUNTA PRODUCTO Y TRANSFORMACIO</t>
        </is>
      </c>
      <c r="O35" t="n">
        <v>350</v>
      </c>
      <c r="P35" t="inlineStr">
        <is>
          <t>DIRECCION DE PORTAFOLIO</t>
        </is>
      </c>
      <c r="Q35" t="n">
        <v>3500</v>
      </c>
      <c r="R35" t="inlineStr">
        <is>
          <t>DIRECCION DE PORTAFOLIO</t>
        </is>
      </c>
      <c r="S35" t="n">
        <v>35000</v>
      </c>
      <c r="T35" t="inlineStr">
        <is>
          <t>DIRECCION DE PORTAFOLIO</t>
        </is>
      </c>
      <c r="U35" t="n">
        <v>350000</v>
      </c>
      <c r="V35" t="inlineStr">
        <is>
          <t>DIRECCION DE PORTAFOLIO</t>
        </is>
      </c>
      <c r="W35" t="n">
        <v>100101</v>
      </c>
      <c r="X35" t="inlineStr">
        <is>
          <t>CORPORATIVO</t>
        </is>
      </c>
      <c r="Y35" t="n">
        <v>4</v>
      </c>
      <c r="Z35" t="inlineStr">
        <is>
          <t>CORPORATIVO</t>
        </is>
      </c>
      <c r="AA35" t="n">
        <v>1</v>
      </c>
      <c r="AB35" t="inlineStr">
        <is>
          <t>NEGOCIO EN MARCHA</t>
        </is>
      </c>
      <c r="AC35" t="n">
        <v>1</v>
      </c>
      <c r="AD35" t="inlineStr">
        <is>
          <t>BANCO</t>
        </is>
      </c>
      <c r="AE35" t="n">
        <v>1</v>
      </c>
      <c r="AF35" t="inlineStr">
        <is>
          <t>BACK</t>
        </is>
      </c>
      <c r="AG35" t="n">
        <v>100101</v>
      </c>
      <c r="AH35" t="inlineStr">
        <is>
          <t>CORPORATIVO</t>
        </is>
      </c>
      <c r="AI35" t="inlineStr">
        <is>
          <t>MGARIBAYG@BANCOBASE.COM</t>
        </is>
      </c>
      <c r="AJ35" s="151" t="n">
        <v>45901</v>
      </c>
      <c r="AK35" s="151" t="n"/>
      <c r="AL35" s="151" t="n"/>
    </row>
    <row r="36" hidden="1" s="150">
      <c r="A36" t="inlineStr">
        <is>
          <t>BBARRERA</t>
        </is>
      </c>
      <c r="B36" t="n">
        <v>3983</v>
      </c>
      <c r="C36" t="inlineStr">
        <is>
          <t>BEATRIZ BARRERA LOZANO</t>
        </is>
      </c>
      <c r="D36" t="n">
        <v>6041</v>
      </c>
      <c r="E36" t="inlineStr">
        <is>
          <t>ESPECIALISTA DE PROYECTOS</t>
        </is>
      </c>
      <c r="F36" t="inlineStr">
        <is>
          <t>MONTERREY</t>
        </is>
      </c>
      <c r="G36" t="n">
        <v>3015</v>
      </c>
      <c r="H36" t="inlineStr">
        <is>
          <t>FERNANDO AGUIRRE ROJAS</t>
        </is>
      </c>
      <c r="I36" t="n">
        <v>8294</v>
      </c>
      <c r="J36" t="inlineStr">
        <is>
          <t>DIRECTOR PORTAFOLIO DE PROYECTOS</t>
        </is>
      </c>
      <c r="K36" t="n">
        <v>1</v>
      </c>
      <c r="L36" t="inlineStr">
        <is>
          <t>PRESIDENCIA EJECUTIVA DEL CONSEJO</t>
        </is>
      </c>
      <c r="M36" t="n">
        <v>30</v>
      </c>
      <c r="N36" t="inlineStr">
        <is>
          <t>DIRECCION GENERAL ADJUNTA PRODUCTO Y TRANSFORMACIO</t>
        </is>
      </c>
      <c r="O36" t="n">
        <v>350</v>
      </c>
      <c r="P36" t="inlineStr">
        <is>
          <t>DIRECCION DE PORTAFOLIO</t>
        </is>
      </c>
      <c r="Q36" t="n">
        <v>3500</v>
      </c>
      <c r="R36" t="inlineStr">
        <is>
          <t>DIRECCION DE PORTAFOLIO</t>
        </is>
      </c>
      <c r="S36" t="n">
        <v>35000</v>
      </c>
      <c r="T36" t="inlineStr">
        <is>
          <t>DIRECCION DE PORTAFOLIO</t>
        </is>
      </c>
      <c r="U36" t="n">
        <v>350000</v>
      </c>
      <c r="V36" t="inlineStr">
        <is>
          <t>DIRECCION DE PORTAFOLIO</t>
        </is>
      </c>
      <c r="W36" t="n">
        <v>100101</v>
      </c>
      <c r="X36" t="inlineStr">
        <is>
          <t>CORPORATIVO</t>
        </is>
      </c>
      <c r="Y36" t="n">
        <v>4</v>
      </c>
      <c r="Z36" t="inlineStr">
        <is>
          <t>CORPORATIVO</t>
        </is>
      </c>
      <c r="AA36" t="n">
        <v>1</v>
      </c>
      <c r="AB36" t="inlineStr">
        <is>
          <t>NEGOCIO EN MARCHA</t>
        </is>
      </c>
      <c r="AC36" t="n">
        <v>1</v>
      </c>
      <c r="AD36" t="inlineStr">
        <is>
          <t>BANCO</t>
        </is>
      </c>
      <c r="AE36" t="n">
        <v>1</v>
      </c>
      <c r="AF36" t="inlineStr">
        <is>
          <t>BACK</t>
        </is>
      </c>
      <c r="AG36" t="n">
        <v>100101</v>
      </c>
      <c r="AH36" t="inlineStr">
        <is>
          <t>CORPORATIVO</t>
        </is>
      </c>
      <c r="AI36" t="inlineStr">
        <is>
          <t>BBARRERA@BANCOBASE.COM</t>
        </is>
      </c>
      <c r="AJ36" s="151" t="n">
        <v>46244</v>
      </c>
      <c r="AK36" s="151" t="n"/>
      <c r="AL36" s="151" t="n"/>
    </row>
    <row r="37" hidden="1" s="150">
      <c r="A37" t="inlineStr">
        <is>
          <t>OSANCHEZ</t>
        </is>
      </c>
      <c r="B37" t="n">
        <v>2590</v>
      </c>
      <c r="C37" t="inlineStr">
        <is>
          <t>OSCAR ADRIAN SANCHEZ LEAL</t>
        </is>
      </c>
      <c r="D37" t="n">
        <v>10289</v>
      </c>
      <c r="E37" t="inlineStr">
        <is>
          <t>LIDER DE NUEVOS NEGOCIOS DIGITALES</t>
        </is>
      </c>
      <c r="F37" t="inlineStr">
        <is>
          <t>MONTERREY</t>
        </is>
      </c>
      <c r="G37" t="n">
        <v>1694</v>
      </c>
      <c r="H37" t="inlineStr">
        <is>
          <t>LORENZO BARRERA JAIME</t>
        </is>
      </c>
      <c r="I37" t="n">
        <v>9953</v>
      </c>
      <c r="J37" t="inlineStr">
        <is>
          <t>DIRECTOR GENERAL ADJUNTO DE PRODUCTO Y TRANSFORMACION</t>
        </is>
      </c>
      <c r="K37" t="n">
        <v>1</v>
      </c>
      <c r="L37" t="inlineStr">
        <is>
          <t>PRESIDENCIA EJECUTIVA DEL CONSEJO</t>
        </is>
      </c>
      <c r="M37" t="n">
        <v>30</v>
      </c>
      <c r="N37" t="inlineStr">
        <is>
          <t>DIRECCION GENERAL ADJUNTA PRODUCTO Y TRANSFORMACIO</t>
        </is>
      </c>
      <c r="O37" t="n">
        <v>300</v>
      </c>
      <c r="P37" t="inlineStr">
        <is>
          <t>DIRECCION GENERAL ADJUNTA PRODUCTO Y TRANSFORMACIO</t>
        </is>
      </c>
      <c r="Q37" t="n">
        <v>3000</v>
      </c>
      <c r="R37" t="inlineStr">
        <is>
          <t>DIRECCION GENERAL ADJUNTA PRODUCTO Y TRANSFORMACIO</t>
        </is>
      </c>
      <c r="S37" t="n">
        <v>30010</v>
      </c>
      <c r="T37" t="inlineStr">
        <is>
          <t>SUBDIRECCION DE NUEVOS NEGOCIOS DIGITALES</t>
        </is>
      </c>
      <c r="U37" t="n">
        <v>300100</v>
      </c>
      <c r="V37" t="inlineStr">
        <is>
          <t>SUBDIRECCION DE NUEVOS NEGOCIOS DIGITALES</t>
        </is>
      </c>
      <c r="W37" t="n">
        <v>100101</v>
      </c>
      <c r="X37" t="inlineStr">
        <is>
          <t>CORPORATIVO</t>
        </is>
      </c>
      <c r="Y37" t="n">
        <v>4</v>
      </c>
      <c r="Z37" t="inlineStr">
        <is>
          <t>CORPORATIVO</t>
        </is>
      </c>
      <c r="AA37" t="n">
        <v>1</v>
      </c>
      <c r="AB37" t="inlineStr">
        <is>
          <t>NEGOCIO EN MARCHA</t>
        </is>
      </c>
      <c r="AC37" t="n">
        <v>1</v>
      </c>
      <c r="AD37" t="inlineStr">
        <is>
          <t>BANCO</t>
        </is>
      </c>
      <c r="AE37" t="n">
        <v>1</v>
      </c>
      <c r="AF37" t="inlineStr">
        <is>
          <t>BACK</t>
        </is>
      </c>
      <c r="AG37" t="n">
        <v>100101</v>
      </c>
      <c r="AH37" t="inlineStr">
        <is>
          <t>CORPORATIVO</t>
        </is>
      </c>
      <c r="AI37" t="inlineStr">
        <is>
          <t>OSANCHEZ@BANCOBASE.COM</t>
        </is>
      </c>
      <c r="AJ37" s="151" t="n">
        <v>44543</v>
      </c>
      <c r="AK37" s="151" t="n"/>
      <c r="AL37" s="151" t="n"/>
    </row>
    <row r="38" hidden="1" s="150">
      <c r="A38" t="inlineStr">
        <is>
          <t>HBRAMBILA</t>
        </is>
      </c>
      <c r="B38" t="n">
        <v>980</v>
      </c>
      <c r="C38" t="inlineStr">
        <is>
          <t>HUMBERTO BRAMBILA DIAZ BARRIGA</t>
        </is>
      </c>
      <c r="D38" t="n">
        <v>8985</v>
      </c>
      <c r="E38" t="inlineStr">
        <is>
          <t>LIDER DE DOMINIO</t>
        </is>
      </c>
      <c r="F38" t="inlineStr">
        <is>
          <t>MONTERREY</t>
        </is>
      </c>
      <c r="G38" t="n">
        <v>1694</v>
      </c>
      <c r="H38" t="inlineStr">
        <is>
          <t>LORENZO BARRERA JAIME</t>
        </is>
      </c>
      <c r="I38" t="n">
        <v>9953</v>
      </c>
      <c r="J38" t="inlineStr">
        <is>
          <t>DIRECTOR GENERAL ADJUNTO DE PRODUCTO Y TRANSFORMACION</t>
        </is>
      </c>
      <c r="K38" t="n">
        <v>1</v>
      </c>
      <c r="L38" t="inlineStr">
        <is>
          <t>PRESIDENCIA EJECUTIVA DEL CONSEJO</t>
        </is>
      </c>
      <c r="M38" t="n">
        <v>30</v>
      </c>
      <c r="N38" t="inlineStr">
        <is>
          <t>DIRECCION GENERAL ADJUNTA PRODUCTO Y TRANSFORMACIO</t>
        </is>
      </c>
      <c r="O38" t="n">
        <v>301</v>
      </c>
      <c r="P38" t="inlineStr">
        <is>
          <t>DOMINIO</t>
        </is>
      </c>
      <c r="Q38" t="n">
        <v>3000</v>
      </c>
      <c r="R38" t="inlineStr">
        <is>
          <t>DIRECCION GENERAL ADJUNTA PRODUCTO Y TRANSFORMACIO</t>
        </is>
      </c>
      <c r="S38" t="n">
        <v>30120</v>
      </c>
      <c r="T38" t="inlineStr">
        <is>
          <t>DOMINIO HA</t>
        </is>
      </c>
      <c r="U38" t="n">
        <v>301200</v>
      </c>
      <c r="V38" t="inlineStr">
        <is>
          <t>DOMINIO HA</t>
        </is>
      </c>
      <c r="W38" t="n">
        <v>100101</v>
      </c>
      <c r="X38" t="inlineStr">
        <is>
          <t>CORPORATIVO</t>
        </is>
      </c>
      <c r="Y38" t="n">
        <v>4</v>
      </c>
      <c r="Z38" t="inlineStr">
        <is>
          <t>CORPORATIVO</t>
        </is>
      </c>
      <c r="AA38" t="n">
        <v>11</v>
      </c>
      <c r="AB38" t="inlineStr">
        <is>
          <t>DOMINIO HA</t>
        </is>
      </c>
      <c r="AC38" t="n">
        <v>1</v>
      </c>
      <c r="AD38" t="inlineStr">
        <is>
          <t>BANCO</t>
        </is>
      </c>
      <c r="AE38" t="n">
        <v>1</v>
      </c>
      <c r="AF38" t="inlineStr">
        <is>
          <t>BACK</t>
        </is>
      </c>
      <c r="AG38" t="n">
        <v>100101</v>
      </c>
      <c r="AH38" t="inlineStr">
        <is>
          <t>CORPORATIVO</t>
        </is>
      </c>
      <c r="AI38" t="inlineStr">
        <is>
          <t>HBRAMBILA@BANCOBASE.COM</t>
        </is>
      </c>
      <c r="AJ38" s="151" t="n">
        <v>41260</v>
      </c>
      <c r="AK38" s="151" t="n"/>
      <c r="AL38" s="151" t="n"/>
    </row>
    <row r="39" hidden="1" s="150">
      <c r="A39" t="inlineStr">
        <is>
          <t>CLORY</t>
        </is>
      </c>
      <c r="B39" t="n">
        <v>746</v>
      </c>
      <c r="C39" t="inlineStr">
        <is>
          <t>CHRISTOPHER LORY MORALES</t>
        </is>
      </c>
      <c r="D39" t="n">
        <v>8986</v>
      </c>
      <c r="E39" t="inlineStr">
        <is>
          <t>PRODUCT OWNER ONBOARDING</t>
        </is>
      </c>
      <c r="F39" t="inlineStr">
        <is>
          <t>MONTERREY</t>
        </is>
      </c>
      <c r="G39" t="n">
        <v>980</v>
      </c>
      <c r="H39" t="inlineStr">
        <is>
          <t>HUMBERTO BRAMBILA DIAZ BARRIGA</t>
        </is>
      </c>
      <c r="I39" t="n">
        <v>8985</v>
      </c>
      <c r="J39" t="inlineStr">
        <is>
          <t>LIDER DE DOMINIO</t>
        </is>
      </c>
      <c r="K39" t="n">
        <v>1</v>
      </c>
      <c r="L39" t="inlineStr">
        <is>
          <t>PRESIDENCIA EJECUTIVA DEL CONSEJO</t>
        </is>
      </c>
      <c r="M39" t="n">
        <v>30</v>
      </c>
      <c r="N39" t="inlineStr">
        <is>
          <t>DIRECCION GENERAL ADJUNTA PRODUCTO Y TRANSFORMACIO</t>
        </is>
      </c>
      <c r="O39" t="n">
        <v>301</v>
      </c>
      <c r="P39" t="inlineStr">
        <is>
          <t>DOMINIO</t>
        </is>
      </c>
      <c r="Q39" t="n">
        <v>3000</v>
      </c>
      <c r="R39" t="inlineStr">
        <is>
          <t>DIRECCION GENERAL ADJUNTA PRODUCTO Y TRANSFORMACIO</t>
        </is>
      </c>
      <c r="S39" t="n">
        <v>30120</v>
      </c>
      <c r="T39" t="inlineStr">
        <is>
          <t>DOMINIO HA</t>
        </is>
      </c>
      <c r="U39" t="n">
        <v>301220</v>
      </c>
      <c r="V39" t="inlineStr">
        <is>
          <t>ONBOARDING</t>
        </is>
      </c>
      <c r="W39" t="n">
        <v>100101</v>
      </c>
      <c r="X39" t="inlineStr">
        <is>
          <t>CORPORATIVO</t>
        </is>
      </c>
      <c r="Y39" t="n">
        <v>4</v>
      </c>
      <c r="Z39" t="inlineStr">
        <is>
          <t>CORPORATIVO</t>
        </is>
      </c>
      <c r="AA39" t="n">
        <v>11</v>
      </c>
      <c r="AB39" t="inlineStr">
        <is>
          <t>DOMINIO HA</t>
        </is>
      </c>
      <c r="AC39" t="n">
        <v>1</v>
      </c>
      <c r="AD39" t="inlineStr">
        <is>
          <t>BANCO</t>
        </is>
      </c>
      <c r="AE39" t="n">
        <v>1</v>
      </c>
      <c r="AF39" t="inlineStr">
        <is>
          <t>BACK</t>
        </is>
      </c>
      <c r="AG39" t="n">
        <v>100101</v>
      </c>
      <c r="AH39" t="inlineStr">
        <is>
          <t>CORPORATIVO</t>
        </is>
      </c>
      <c r="AI39" t="inlineStr">
        <is>
          <t>CLORY@BANCOBASE.COM</t>
        </is>
      </c>
      <c r="AJ39" s="151" t="n">
        <v>40695</v>
      </c>
      <c r="AK39" s="151" t="n"/>
      <c r="AL39" s="151" t="n"/>
    </row>
    <row r="40" hidden="1" s="150">
      <c r="A40" t="inlineStr">
        <is>
          <t>MMARCANO</t>
        </is>
      </c>
      <c r="B40" t="n">
        <v>2485</v>
      </c>
      <c r="C40" t="inlineStr">
        <is>
          <t>MARIANDREINA MARCANO THODE</t>
        </is>
      </c>
      <c r="D40" t="n">
        <v>8987</v>
      </c>
      <c r="E40" t="inlineStr">
        <is>
          <t>PRODUCT OWNER ACTIVACION</t>
        </is>
      </c>
      <c r="F40" t="inlineStr">
        <is>
          <t>MONTERREY</t>
        </is>
      </c>
      <c r="G40" t="n">
        <v>980</v>
      </c>
      <c r="H40" t="inlineStr">
        <is>
          <t>HUMBERTO BRAMBILA DIAZ BARRIGA</t>
        </is>
      </c>
      <c r="I40" t="n">
        <v>8985</v>
      </c>
      <c r="J40" t="inlineStr">
        <is>
          <t>LIDER DE DOMINIO</t>
        </is>
      </c>
      <c r="K40" t="n">
        <v>1</v>
      </c>
      <c r="L40" t="inlineStr">
        <is>
          <t>PRESIDENCIA EJECUTIVA DEL CONSEJO</t>
        </is>
      </c>
      <c r="M40" t="n">
        <v>30</v>
      </c>
      <c r="N40" t="inlineStr">
        <is>
          <t>DIRECCION GENERAL ADJUNTA PRODUCTO Y TRANSFORMACIO</t>
        </is>
      </c>
      <c r="O40" t="n">
        <v>301</v>
      </c>
      <c r="P40" t="inlineStr">
        <is>
          <t>DOMINIO</t>
        </is>
      </c>
      <c r="Q40" t="n">
        <v>3000</v>
      </c>
      <c r="R40" t="inlineStr">
        <is>
          <t>DIRECCION GENERAL ADJUNTA PRODUCTO Y TRANSFORMACIO</t>
        </is>
      </c>
      <c r="S40" t="n">
        <v>30120</v>
      </c>
      <c r="T40" t="inlineStr">
        <is>
          <t>DOMINIO HA</t>
        </is>
      </c>
      <c r="U40" t="n">
        <v>301230</v>
      </c>
      <c r="V40" t="inlineStr">
        <is>
          <t>ACTIVACION</t>
        </is>
      </c>
      <c r="W40" t="n">
        <v>100101</v>
      </c>
      <c r="X40" t="inlineStr">
        <is>
          <t>CORPORATIVO</t>
        </is>
      </c>
      <c r="Y40" t="n">
        <v>4</v>
      </c>
      <c r="Z40" t="inlineStr">
        <is>
          <t>CORPORATIVO</t>
        </is>
      </c>
      <c r="AA40" t="n">
        <v>11</v>
      </c>
      <c r="AB40" t="inlineStr">
        <is>
          <t>DOMINIO HA</t>
        </is>
      </c>
      <c r="AC40" t="n">
        <v>1</v>
      </c>
      <c r="AD40" t="inlineStr">
        <is>
          <t>BANCO</t>
        </is>
      </c>
      <c r="AE40" t="n">
        <v>1</v>
      </c>
      <c r="AF40" t="inlineStr">
        <is>
          <t>BACK</t>
        </is>
      </c>
      <c r="AG40" t="n">
        <v>100101</v>
      </c>
      <c r="AH40" t="inlineStr">
        <is>
          <t>CORPORATIVO</t>
        </is>
      </c>
      <c r="AI40" t="inlineStr">
        <is>
          <t>MMARCANO@BANCOBASE.COM</t>
        </is>
      </c>
      <c r="AJ40" s="151" t="n">
        <v>44075</v>
      </c>
      <c r="AK40" s="151" t="n"/>
      <c r="AL40" s="151" t="n"/>
    </row>
    <row r="41" hidden="1" s="150">
      <c r="A41" t="inlineStr">
        <is>
          <t>ERIOJASF</t>
        </is>
      </c>
      <c r="B41" t="n">
        <v>3783</v>
      </c>
      <c r="C41" t="inlineStr">
        <is>
          <t>ENRIQUE JAVIER RIOJAS FLORES</t>
        </is>
      </c>
      <c r="D41" t="n">
        <v>5003</v>
      </c>
      <c r="E41" t="inlineStr">
        <is>
          <t>DISEÑADOR UX/UI</t>
        </is>
      </c>
      <c r="F41" t="inlineStr">
        <is>
          <t>MONTERREY</t>
        </is>
      </c>
      <c r="G41" t="n">
        <v>980</v>
      </c>
      <c r="H41" t="inlineStr">
        <is>
          <t>HUMBERTO BRAMBILA DIAZ BARRIGA</t>
        </is>
      </c>
      <c r="I41" t="n">
        <v>8985</v>
      </c>
      <c r="J41" t="inlineStr">
        <is>
          <t>LIDER DE DOMINIO</t>
        </is>
      </c>
      <c r="K41" t="n">
        <v>1</v>
      </c>
      <c r="L41" t="inlineStr">
        <is>
          <t>PRESIDENCIA EJECUTIVA DEL CONSEJO</t>
        </is>
      </c>
      <c r="M41" t="n">
        <v>30</v>
      </c>
      <c r="N41" t="inlineStr">
        <is>
          <t>DIRECCION GENERAL ADJUNTA PRODUCTO Y TRANSFORMACIO</t>
        </is>
      </c>
      <c r="O41" t="n">
        <v>301</v>
      </c>
      <c r="P41" t="inlineStr">
        <is>
          <t>DOMINIO</t>
        </is>
      </c>
      <c r="Q41" t="n">
        <v>3000</v>
      </c>
      <c r="R41" t="inlineStr">
        <is>
          <t>DIRECCION GENERAL ADJUNTA PRODUCTO Y TRANSFORMACIO</t>
        </is>
      </c>
      <c r="S41" t="n">
        <v>30120</v>
      </c>
      <c r="T41" t="inlineStr">
        <is>
          <t>DOMINIO HA</t>
        </is>
      </c>
      <c r="U41" t="n">
        <v>301220</v>
      </c>
      <c r="V41" t="inlineStr">
        <is>
          <t>ONBOARDING</t>
        </is>
      </c>
      <c r="W41" t="n">
        <v>100101</v>
      </c>
      <c r="X41" t="inlineStr">
        <is>
          <t>CORPORATIVO</t>
        </is>
      </c>
      <c r="Y41" t="n">
        <v>4</v>
      </c>
      <c r="Z41" t="inlineStr">
        <is>
          <t>CORPORATIVO</t>
        </is>
      </c>
      <c r="AA41" t="n">
        <v>11</v>
      </c>
      <c r="AB41" t="inlineStr">
        <is>
          <t>DOMINIO HA</t>
        </is>
      </c>
      <c r="AC41" t="n">
        <v>1</v>
      </c>
      <c r="AD41" t="inlineStr">
        <is>
          <t>BANCO</t>
        </is>
      </c>
      <c r="AE41" t="n">
        <v>1</v>
      </c>
      <c r="AF41" t="inlineStr">
        <is>
          <t>BACK</t>
        </is>
      </c>
      <c r="AG41" t="n">
        <v>100101</v>
      </c>
      <c r="AH41" t="inlineStr">
        <is>
          <t>CORPORATIVO</t>
        </is>
      </c>
      <c r="AI41" t="inlineStr">
        <is>
          <t>ERIOJASF@BANCOBASE.COM</t>
        </is>
      </c>
      <c r="AJ41" s="151" t="n">
        <v>46098</v>
      </c>
      <c r="AK41" s="151" t="n"/>
      <c r="AL41" s="151" t="n"/>
    </row>
    <row r="42" hidden="1" s="150">
      <c r="A42" t="inlineStr">
        <is>
          <t>LMARTINEZR</t>
        </is>
      </c>
      <c r="B42" t="n">
        <v>2870</v>
      </c>
      <c r="C42" t="inlineStr">
        <is>
          <t>LIZBETH NALLELY MARTINEZ RAMIREZ</t>
        </is>
      </c>
      <c r="D42" t="n">
        <v>5078</v>
      </c>
      <c r="E42" t="inlineStr">
        <is>
          <t>ANALISTA DE NEGOCIO ACTIVACION</t>
        </is>
      </c>
      <c r="F42" t="inlineStr">
        <is>
          <t>MONTERREY</t>
        </is>
      </c>
      <c r="G42" t="n">
        <v>980</v>
      </c>
      <c r="H42" t="inlineStr">
        <is>
          <t>HUMBERTO BRAMBILA DIAZ BARRIGA</t>
        </is>
      </c>
      <c r="I42" t="n">
        <v>8985</v>
      </c>
      <c r="J42" t="inlineStr">
        <is>
          <t>LIDER DE DOMINIO</t>
        </is>
      </c>
      <c r="K42" t="n">
        <v>1</v>
      </c>
      <c r="L42" t="inlineStr">
        <is>
          <t>PRESIDENCIA EJECUTIVA DEL CONSEJO</t>
        </is>
      </c>
      <c r="M42" t="n">
        <v>30</v>
      </c>
      <c r="N42" t="inlineStr">
        <is>
          <t>DIRECCION GENERAL ADJUNTA PRODUCTO Y TRANSFORMACIO</t>
        </is>
      </c>
      <c r="O42" t="n">
        <v>301</v>
      </c>
      <c r="P42" t="inlineStr">
        <is>
          <t>DOMINIO</t>
        </is>
      </c>
      <c r="Q42" t="n">
        <v>3000</v>
      </c>
      <c r="R42" t="inlineStr">
        <is>
          <t>DIRECCION GENERAL ADJUNTA PRODUCTO Y TRANSFORMACIO</t>
        </is>
      </c>
      <c r="S42" t="n">
        <v>30120</v>
      </c>
      <c r="T42" t="inlineStr">
        <is>
          <t>DOMINIO HA</t>
        </is>
      </c>
      <c r="U42" t="n">
        <v>301230</v>
      </c>
      <c r="V42" t="inlineStr">
        <is>
          <t>ACTIVACION</t>
        </is>
      </c>
      <c r="W42" t="n">
        <v>100101</v>
      </c>
      <c r="X42" t="inlineStr">
        <is>
          <t>CORPORATIVO</t>
        </is>
      </c>
      <c r="Y42" t="n">
        <v>4</v>
      </c>
      <c r="Z42" t="inlineStr">
        <is>
          <t>CORPORATIVO</t>
        </is>
      </c>
      <c r="AA42" t="n">
        <v>11</v>
      </c>
      <c r="AB42" t="inlineStr">
        <is>
          <t>DOMINIO HA</t>
        </is>
      </c>
      <c r="AC42" t="n">
        <v>1</v>
      </c>
      <c r="AD42" t="inlineStr">
        <is>
          <t>BANCO</t>
        </is>
      </c>
      <c r="AE42" t="n">
        <v>1</v>
      </c>
      <c r="AF42" t="inlineStr">
        <is>
          <t>BACK</t>
        </is>
      </c>
      <c r="AG42" t="n">
        <v>100101</v>
      </c>
      <c r="AH42" t="inlineStr">
        <is>
          <t>CORPORATIVO</t>
        </is>
      </c>
      <c r="AI42" t="inlineStr">
        <is>
          <t>LMARTINEZR@BANCOBASE.COM</t>
        </is>
      </c>
      <c r="AJ42" s="151" t="n">
        <v>45019</v>
      </c>
      <c r="AK42" s="151" t="n"/>
      <c r="AL42" s="151" t="n"/>
    </row>
    <row r="43" hidden="1" s="150">
      <c r="A43" t="inlineStr">
        <is>
          <t>MMARTELL</t>
        </is>
      </c>
      <c r="B43" t="n">
        <v>3861</v>
      </c>
      <c r="C43" t="inlineStr">
        <is>
          <t>MARITZA NEFERTARI MARTELL CHAVEZ</t>
        </is>
      </c>
      <c r="D43" t="n">
        <v>5061</v>
      </c>
      <c r="E43" t="inlineStr">
        <is>
          <t>DISEÑADOR UX/UI</t>
        </is>
      </c>
      <c r="F43" t="inlineStr">
        <is>
          <t>TELETRABAJO</t>
        </is>
      </c>
      <c r="G43" t="n">
        <v>980</v>
      </c>
      <c r="H43" t="inlineStr">
        <is>
          <t>HUMBERTO BRAMBILA DIAZ BARRIGA</t>
        </is>
      </c>
      <c r="I43" t="n">
        <v>8985</v>
      </c>
      <c r="J43" t="inlineStr">
        <is>
          <t>LIDER DE DOMINIO</t>
        </is>
      </c>
      <c r="K43" t="n">
        <v>1</v>
      </c>
      <c r="L43" t="inlineStr">
        <is>
          <t>PRESIDENCIA EJECUTIVA DEL CONSEJO</t>
        </is>
      </c>
      <c r="M43" t="n">
        <v>30</v>
      </c>
      <c r="N43" t="inlineStr">
        <is>
          <t>DIRECCION GENERAL ADJUNTA PRODUCTO Y TRANSFORMACIO</t>
        </is>
      </c>
      <c r="O43" t="n">
        <v>301</v>
      </c>
      <c r="P43" t="inlineStr">
        <is>
          <t>DOMINIO</t>
        </is>
      </c>
      <c r="Q43" t="n">
        <v>3000</v>
      </c>
      <c r="R43" t="inlineStr">
        <is>
          <t>DIRECCION GENERAL ADJUNTA PRODUCTO Y TRANSFORMACIO</t>
        </is>
      </c>
      <c r="S43" t="n">
        <v>30120</v>
      </c>
      <c r="T43" t="inlineStr">
        <is>
          <t>DOMINIO HA</t>
        </is>
      </c>
      <c r="U43" t="n">
        <v>301230</v>
      </c>
      <c r="V43" t="inlineStr">
        <is>
          <t>ACTIVACION</t>
        </is>
      </c>
      <c r="W43" t="n">
        <v>126107</v>
      </c>
      <c r="X43" t="inlineStr">
        <is>
          <t>GUADALAJARA</t>
        </is>
      </c>
      <c r="Y43" t="n">
        <v>4</v>
      </c>
      <c r="Z43" t="inlineStr">
        <is>
          <t>CORPORATIVO</t>
        </is>
      </c>
      <c r="AA43" t="n">
        <v>11</v>
      </c>
      <c r="AB43" t="inlineStr">
        <is>
          <t>DOMINIO HA</t>
        </is>
      </c>
      <c r="AC43" t="n">
        <v>1</v>
      </c>
      <c r="AD43" t="inlineStr">
        <is>
          <t>BANCO</t>
        </is>
      </c>
      <c r="AE43" t="n">
        <v>1</v>
      </c>
      <c r="AF43" t="inlineStr">
        <is>
          <t>BACK</t>
        </is>
      </c>
      <c r="AG43" t="n">
        <v>126107</v>
      </c>
      <c r="AH43" t="inlineStr">
        <is>
          <t>GUADALAJARA</t>
        </is>
      </c>
      <c r="AI43" t="inlineStr">
        <is>
          <t>MMARTELL@BANCOBASE.COM</t>
        </is>
      </c>
      <c r="AJ43" s="151" t="n">
        <v>46149</v>
      </c>
      <c r="AK43" s="151" t="n"/>
      <c r="AL43" s="151" t="n"/>
    </row>
    <row r="44" hidden="1" s="150">
      <c r="A44" t="inlineStr">
        <is>
          <t>VCASTROI</t>
        </is>
      </c>
      <c r="B44" t="n">
        <v>3932</v>
      </c>
      <c r="C44" t="inlineStr">
        <is>
          <t>VALERIA SOFIA CASTRO IGLESIAS</t>
        </is>
      </c>
      <c r="D44" t="n">
        <v>5136</v>
      </c>
      <c r="E44" t="inlineStr">
        <is>
          <t>ANALISTA DE NEGOCIO ONBOARDING</t>
        </is>
      </c>
      <c r="F44" t="inlineStr">
        <is>
          <t>MONTERREY</t>
        </is>
      </c>
      <c r="G44" t="n">
        <v>980</v>
      </c>
      <c r="H44" t="inlineStr">
        <is>
          <t>HUMBERTO BRAMBILA DIAZ BARRIGA</t>
        </is>
      </c>
      <c r="I44" t="n">
        <v>8985</v>
      </c>
      <c r="J44" t="inlineStr">
        <is>
          <t>LIDER DE DOMINIO</t>
        </is>
      </c>
      <c r="K44" t="n">
        <v>1</v>
      </c>
      <c r="L44" t="inlineStr">
        <is>
          <t>PRESIDENCIA EJECUTIVA DEL CONSEJO</t>
        </is>
      </c>
      <c r="M44" t="n">
        <v>30</v>
      </c>
      <c r="N44" t="inlineStr">
        <is>
          <t>DIRECCION GENERAL ADJUNTA PRODUCTO Y TRANSFORMACIO</t>
        </is>
      </c>
      <c r="O44" t="n">
        <v>301</v>
      </c>
      <c r="P44" t="inlineStr">
        <is>
          <t>DOMINIO</t>
        </is>
      </c>
      <c r="Q44" t="n">
        <v>3000</v>
      </c>
      <c r="R44" t="inlineStr">
        <is>
          <t>DIRECCION GENERAL ADJUNTA PRODUCTO Y TRANSFORMACIO</t>
        </is>
      </c>
      <c r="S44" t="n">
        <v>30120</v>
      </c>
      <c r="T44" t="inlineStr">
        <is>
          <t>DOMINIO HA</t>
        </is>
      </c>
      <c r="U44" t="n">
        <v>301220</v>
      </c>
      <c r="V44" t="inlineStr">
        <is>
          <t>ONBOARDING</t>
        </is>
      </c>
      <c r="W44" t="n">
        <v>100101</v>
      </c>
      <c r="X44" t="inlineStr">
        <is>
          <t>CORPORATIVO</t>
        </is>
      </c>
      <c r="Y44" t="n">
        <v>4</v>
      </c>
      <c r="Z44" t="inlineStr">
        <is>
          <t>CORPORATIVO</t>
        </is>
      </c>
      <c r="AA44" t="n">
        <v>11</v>
      </c>
      <c r="AB44" t="inlineStr">
        <is>
          <t>DOMINIO HA</t>
        </is>
      </c>
      <c r="AC44" t="n">
        <v>1</v>
      </c>
      <c r="AD44" t="inlineStr">
        <is>
          <t>BANCO</t>
        </is>
      </c>
      <c r="AE44" t="n">
        <v>1</v>
      </c>
      <c r="AF44" t="inlineStr">
        <is>
          <t>BACK</t>
        </is>
      </c>
      <c r="AG44" t="n">
        <v>100101</v>
      </c>
      <c r="AH44" t="inlineStr">
        <is>
          <t>CORPORATIVO</t>
        </is>
      </c>
      <c r="AI44" t="inlineStr">
        <is>
          <t>VCASTROI@BANCOBASE.COM</t>
        </is>
      </c>
      <c r="AJ44" s="151" t="n">
        <v>46216</v>
      </c>
      <c r="AK44" s="151" t="n"/>
      <c r="AL44" s="151" t="n"/>
    </row>
    <row r="45" hidden="1" s="150">
      <c r="A45" t="inlineStr">
        <is>
          <t>HHERNANDE</t>
        </is>
      </c>
      <c r="B45" t="n">
        <v>2495</v>
      </c>
      <c r="C45" t="inlineStr">
        <is>
          <t>HELIOS JONATAN HERNANDEZ RAMIREZ</t>
        </is>
      </c>
      <c r="D45" t="n">
        <v>5129</v>
      </c>
      <c r="E45" t="inlineStr">
        <is>
          <t>PRODUCT OWNER ADQUISICION</t>
        </is>
      </c>
      <c r="F45" t="inlineStr">
        <is>
          <t>MONTERREY</t>
        </is>
      </c>
      <c r="G45" t="n">
        <v>980</v>
      </c>
      <c r="H45" t="inlineStr">
        <is>
          <t>HUMBERTO BRAMBILA DIAZ BARRIGA</t>
        </is>
      </c>
      <c r="I45" t="n">
        <v>8985</v>
      </c>
      <c r="J45" t="inlineStr">
        <is>
          <t>LIDER DE DOMINIO</t>
        </is>
      </c>
      <c r="K45" t="n">
        <v>1</v>
      </c>
      <c r="L45" t="inlineStr">
        <is>
          <t>PRESIDENCIA EJECUTIVA DEL CONSEJO</t>
        </is>
      </c>
      <c r="M45" t="n">
        <v>30</v>
      </c>
      <c r="N45" t="inlineStr">
        <is>
          <t>DIRECCION GENERAL ADJUNTA PRODUCTO Y TRANSFORMACIO</t>
        </is>
      </c>
      <c r="O45" t="n">
        <v>301</v>
      </c>
      <c r="P45" t="inlineStr">
        <is>
          <t>DOMINIO</t>
        </is>
      </c>
      <c r="Q45" t="n">
        <v>3000</v>
      </c>
      <c r="R45" t="inlineStr">
        <is>
          <t>DIRECCION GENERAL ADJUNTA PRODUCTO Y TRANSFORMACIO</t>
        </is>
      </c>
      <c r="S45" t="n">
        <v>30120</v>
      </c>
      <c r="T45" t="inlineStr">
        <is>
          <t>DOMINIO HA</t>
        </is>
      </c>
      <c r="U45" t="n">
        <v>301240</v>
      </c>
      <c r="V45" t="inlineStr">
        <is>
          <t>ADQUISICION</t>
        </is>
      </c>
      <c r="W45" t="n">
        <v>100101</v>
      </c>
      <c r="X45" t="inlineStr">
        <is>
          <t>CORPORATIVO</t>
        </is>
      </c>
      <c r="Y45" t="n">
        <v>4</v>
      </c>
      <c r="Z45" t="inlineStr">
        <is>
          <t>CORPORATIVO</t>
        </is>
      </c>
      <c r="AA45" t="n">
        <v>11</v>
      </c>
      <c r="AB45" t="inlineStr">
        <is>
          <t>DOMINIO HA</t>
        </is>
      </c>
      <c r="AC45" t="n">
        <v>1</v>
      </c>
      <c r="AD45" t="inlineStr">
        <is>
          <t>BANCO</t>
        </is>
      </c>
      <c r="AE45" t="n">
        <v>1</v>
      </c>
      <c r="AF45" t="inlineStr">
        <is>
          <t>BACK</t>
        </is>
      </c>
      <c r="AG45" t="n">
        <v>100101</v>
      </c>
      <c r="AH45" t="inlineStr">
        <is>
          <t>CORPORATIVO</t>
        </is>
      </c>
      <c r="AI45" t="inlineStr">
        <is>
          <t>HHERNANDE@BANCOBASE.COM</t>
        </is>
      </c>
      <c r="AJ45" s="151" t="n">
        <v>44326</v>
      </c>
      <c r="AK45" s="151" t="n"/>
      <c r="AL45" s="151" t="n"/>
    </row>
    <row r="46" hidden="1" s="150">
      <c r="A46" t="inlineStr">
        <is>
          <t>MTHAN</t>
        </is>
      </c>
      <c r="B46" t="n">
        <v>3435</v>
      </c>
      <c r="C46" t="inlineStr">
        <is>
          <t>MARCOS THAN ACOSTA</t>
        </is>
      </c>
      <c r="D46" t="n">
        <v>5135</v>
      </c>
      <c r="E46" t="inlineStr">
        <is>
          <t>ANALISTA DE NEGOCIO ADQUISICION</t>
        </is>
      </c>
      <c r="F46" t="inlineStr">
        <is>
          <t>MONTERREY</t>
        </is>
      </c>
      <c r="G46" t="n">
        <v>980</v>
      </c>
      <c r="H46" t="inlineStr">
        <is>
          <t>HUMBERTO BRAMBILA DIAZ BARRIGA</t>
        </is>
      </c>
      <c r="I46" t="n">
        <v>8985</v>
      </c>
      <c r="J46" t="inlineStr">
        <is>
          <t>LIDER DE DOMINIO</t>
        </is>
      </c>
      <c r="K46" t="n">
        <v>1</v>
      </c>
      <c r="L46" t="inlineStr">
        <is>
          <t>PRESIDENCIA EJECUTIVA DEL CONSEJO</t>
        </is>
      </c>
      <c r="M46" t="n">
        <v>30</v>
      </c>
      <c r="N46" t="inlineStr">
        <is>
          <t>DIRECCION GENERAL ADJUNTA PRODUCTO Y TRANSFORMACIO</t>
        </is>
      </c>
      <c r="O46" t="n">
        <v>301</v>
      </c>
      <c r="P46" t="inlineStr">
        <is>
          <t>DOMINIO</t>
        </is>
      </c>
      <c r="Q46" t="n">
        <v>3000</v>
      </c>
      <c r="R46" t="inlineStr">
        <is>
          <t>DIRECCION GENERAL ADJUNTA PRODUCTO Y TRANSFORMACIO</t>
        </is>
      </c>
      <c r="S46" t="n">
        <v>30120</v>
      </c>
      <c r="T46" t="inlineStr">
        <is>
          <t>DOMINIO HA</t>
        </is>
      </c>
      <c r="U46" t="n">
        <v>301240</v>
      </c>
      <c r="V46" t="inlineStr">
        <is>
          <t>ADQUISICION</t>
        </is>
      </c>
      <c r="W46" t="n">
        <v>100101</v>
      </c>
      <c r="X46" t="inlineStr">
        <is>
          <t>CORPORATIVO</t>
        </is>
      </c>
      <c r="Y46" t="n">
        <v>4</v>
      </c>
      <c r="Z46" t="inlineStr">
        <is>
          <t>CORPORATIVO</t>
        </is>
      </c>
      <c r="AA46" t="n">
        <v>11</v>
      </c>
      <c r="AB46" t="inlineStr">
        <is>
          <t>DOMINIO HA</t>
        </is>
      </c>
      <c r="AC46" t="n">
        <v>1</v>
      </c>
      <c r="AD46" t="inlineStr">
        <is>
          <t>BANCO</t>
        </is>
      </c>
      <c r="AE46" t="n">
        <v>1</v>
      </c>
      <c r="AF46" t="inlineStr">
        <is>
          <t>BACK</t>
        </is>
      </c>
      <c r="AG46" t="n">
        <v>100101</v>
      </c>
      <c r="AH46" t="inlineStr">
        <is>
          <t>CORPORATIVO</t>
        </is>
      </c>
      <c r="AI46" t="inlineStr">
        <is>
          <t>MTHAN@BANCOBASE.COM</t>
        </is>
      </c>
      <c r="AJ46" s="151" t="n">
        <v>45796</v>
      </c>
      <c r="AK46" s="151" t="n"/>
      <c r="AL46" s="151" t="n"/>
    </row>
    <row r="47" hidden="1" s="150">
      <c r="A47" t="inlineStr">
        <is>
          <t>MVACA</t>
        </is>
      </c>
      <c r="B47" t="n">
        <v>3935</v>
      </c>
      <c r="C47" t="inlineStr">
        <is>
          <t>MARIA JOSE VACA CERON</t>
        </is>
      </c>
      <c r="D47" t="n">
        <v>5134</v>
      </c>
      <c r="E47" t="inlineStr">
        <is>
          <t>DISEÑADOR UX/UI</t>
        </is>
      </c>
      <c r="F47" t="inlineStr">
        <is>
          <t>MEXICO</t>
        </is>
      </c>
      <c r="G47" t="n">
        <v>980</v>
      </c>
      <c r="H47" t="inlineStr">
        <is>
          <t>HUMBERTO BRAMBILA DIAZ BARRIGA</t>
        </is>
      </c>
      <c r="I47" t="n">
        <v>8985</v>
      </c>
      <c r="J47" t="inlineStr">
        <is>
          <t>LIDER DE DOMINIO</t>
        </is>
      </c>
      <c r="K47" t="n">
        <v>1</v>
      </c>
      <c r="L47" t="inlineStr">
        <is>
          <t>PRESIDENCIA EJECUTIVA DEL CONSEJO</t>
        </is>
      </c>
      <c r="M47" t="n">
        <v>30</v>
      </c>
      <c r="N47" t="inlineStr">
        <is>
          <t>DIRECCION GENERAL ADJUNTA PRODUCTO Y TRANSFORMACIO</t>
        </is>
      </c>
      <c r="O47" t="n">
        <v>301</v>
      </c>
      <c r="P47" t="inlineStr">
        <is>
          <t>DOMINIO</t>
        </is>
      </c>
      <c r="Q47" t="n">
        <v>3000</v>
      </c>
      <c r="R47" t="inlineStr">
        <is>
          <t>DIRECCION GENERAL ADJUNTA PRODUCTO Y TRANSFORMACIO</t>
        </is>
      </c>
      <c r="S47" t="n">
        <v>30120</v>
      </c>
      <c r="T47" t="inlineStr">
        <is>
          <t>DOMINIO HA</t>
        </is>
      </c>
      <c r="U47" t="n">
        <v>301240</v>
      </c>
      <c r="V47" t="inlineStr">
        <is>
          <t>ADQUISICION</t>
        </is>
      </c>
      <c r="W47" t="n">
        <v>134111</v>
      </c>
      <c r="X47" t="inlineStr">
        <is>
          <t>LOMAS</t>
        </is>
      </c>
      <c r="Y47" t="n">
        <v>4</v>
      </c>
      <c r="Z47" t="inlineStr">
        <is>
          <t>CORPORATIVO</t>
        </is>
      </c>
      <c r="AA47" t="n">
        <v>11</v>
      </c>
      <c r="AB47" t="inlineStr">
        <is>
          <t>DOMINIO HA</t>
        </is>
      </c>
      <c r="AC47" t="n">
        <v>1</v>
      </c>
      <c r="AD47" t="inlineStr">
        <is>
          <t>BANCO</t>
        </is>
      </c>
      <c r="AE47" t="n">
        <v>1</v>
      </c>
      <c r="AF47" t="inlineStr">
        <is>
          <t>BACK</t>
        </is>
      </c>
      <c r="AG47" t="n">
        <v>134111</v>
      </c>
      <c r="AH47" t="inlineStr">
        <is>
          <t>LOMAS</t>
        </is>
      </c>
      <c r="AI47" t="inlineStr">
        <is>
          <t>MVACA@BANCOBASE.COM</t>
        </is>
      </c>
      <c r="AJ47" s="151" t="n">
        <v>46216</v>
      </c>
      <c r="AK47" s="151" t="n"/>
      <c r="AL47" s="151" t="n"/>
    </row>
    <row r="48" hidden="1" s="150">
      <c r="A48" t="inlineStr">
        <is>
          <t>DELIZALDE</t>
        </is>
      </c>
      <c r="B48" t="n">
        <v>2293</v>
      </c>
      <c r="C48" t="inlineStr">
        <is>
          <t>DIANA MARIA ELIZALDE VILLARREAL</t>
        </is>
      </c>
      <c r="D48" t="n">
        <v>5130</v>
      </c>
      <c r="E48" t="inlineStr">
        <is>
          <t>PRODUCT OWNER SERVICING</t>
        </is>
      </c>
      <c r="F48" t="inlineStr">
        <is>
          <t>MONTERREY</t>
        </is>
      </c>
      <c r="G48" t="n">
        <v>980</v>
      </c>
      <c r="H48" t="inlineStr">
        <is>
          <t>HUMBERTO BRAMBILA DIAZ BARRIGA</t>
        </is>
      </c>
      <c r="I48" t="n">
        <v>8985</v>
      </c>
      <c r="J48" t="inlineStr">
        <is>
          <t>LIDER DE DOMINIO</t>
        </is>
      </c>
      <c r="K48" t="n">
        <v>1</v>
      </c>
      <c r="L48" t="inlineStr">
        <is>
          <t>PRESIDENCIA EJECUTIVA DEL CONSEJO</t>
        </is>
      </c>
      <c r="M48" t="n">
        <v>30</v>
      </c>
      <c r="N48" t="inlineStr">
        <is>
          <t>DIRECCION GENERAL ADJUNTA PRODUCTO Y TRANSFORMACIO</t>
        </is>
      </c>
      <c r="O48" t="n">
        <v>301</v>
      </c>
      <c r="P48" t="inlineStr">
        <is>
          <t>DOMINIO</t>
        </is>
      </c>
      <c r="Q48" t="n">
        <v>3000</v>
      </c>
      <c r="R48" t="inlineStr">
        <is>
          <t>DIRECCION GENERAL ADJUNTA PRODUCTO Y TRANSFORMACIO</t>
        </is>
      </c>
      <c r="S48" t="n">
        <v>30120</v>
      </c>
      <c r="T48" t="inlineStr">
        <is>
          <t>DOMINIO HA</t>
        </is>
      </c>
      <c r="U48" t="n">
        <v>301250</v>
      </c>
      <c r="V48" t="inlineStr">
        <is>
          <t>SERVICING</t>
        </is>
      </c>
      <c r="W48" t="n">
        <v>100101</v>
      </c>
      <c r="X48" t="inlineStr">
        <is>
          <t>CORPORATIVO</t>
        </is>
      </c>
      <c r="Y48" t="n">
        <v>4</v>
      </c>
      <c r="Z48" t="inlineStr">
        <is>
          <t>CORPORATIVO</t>
        </is>
      </c>
      <c r="AA48" t="n">
        <v>11</v>
      </c>
      <c r="AB48" t="inlineStr">
        <is>
          <t>DOMINIO HA</t>
        </is>
      </c>
      <c r="AC48" t="n">
        <v>1</v>
      </c>
      <c r="AD48" t="inlineStr">
        <is>
          <t>BANCO</t>
        </is>
      </c>
      <c r="AE48" t="n">
        <v>1</v>
      </c>
      <c r="AF48" t="inlineStr">
        <is>
          <t>BACK</t>
        </is>
      </c>
      <c r="AG48" t="n">
        <v>100101</v>
      </c>
      <c r="AH48" t="inlineStr">
        <is>
          <t>CORPORATIVO</t>
        </is>
      </c>
      <c r="AI48" t="inlineStr">
        <is>
          <t>DELIZALDE@BANCOBASE.COM</t>
        </is>
      </c>
      <c r="AJ48" s="151" t="n">
        <v>43678</v>
      </c>
      <c r="AK48" s="151" t="n"/>
      <c r="AL48" s="151" t="n"/>
    </row>
    <row r="49" hidden="1" s="150">
      <c r="A49" t="inlineStr">
        <is>
          <t>JBALLEN</t>
        </is>
      </c>
      <c r="B49" t="n">
        <v>3936</v>
      </c>
      <c r="C49" t="inlineStr">
        <is>
          <t>JUAN FELIPE BALLEN BRICENO</t>
        </is>
      </c>
      <c r="D49" t="n">
        <v>8237</v>
      </c>
      <c r="E49" t="inlineStr">
        <is>
          <t>DISEÑADOR UX/UI</t>
        </is>
      </c>
      <c r="F49" t="inlineStr">
        <is>
          <t>GUADALAJARA</t>
        </is>
      </c>
      <c r="G49" t="n">
        <v>980</v>
      </c>
      <c r="H49" t="inlineStr">
        <is>
          <t>HUMBERTO BRAMBILA DIAZ BARRIGA</t>
        </is>
      </c>
      <c r="I49" t="n">
        <v>8985</v>
      </c>
      <c r="J49" t="inlineStr">
        <is>
          <t>LIDER DE DOMINIO</t>
        </is>
      </c>
      <c r="K49" t="n">
        <v>1</v>
      </c>
      <c r="L49" t="inlineStr">
        <is>
          <t>PRESIDENCIA EJECUTIVA DEL CONSEJO</t>
        </is>
      </c>
      <c r="M49" t="n">
        <v>30</v>
      </c>
      <c r="N49" t="inlineStr">
        <is>
          <t>DIRECCION GENERAL ADJUNTA PRODUCTO Y TRANSFORMACIO</t>
        </is>
      </c>
      <c r="O49" t="n">
        <v>301</v>
      </c>
      <c r="P49" t="inlineStr">
        <is>
          <t>DOMINIO</t>
        </is>
      </c>
      <c r="Q49" t="n">
        <v>3000</v>
      </c>
      <c r="R49" t="inlineStr">
        <is>
          <t>DIRECCION GENERAL ADJUNTA PRODUCTO Y TRANSFORMACIO</t>
        </is>
      </c>
      <c r="S49" t="n">
        <v>30120</v>
      </c>
      <c r="T49" t="inlineStr">
        <is>
          <t>DOMINIO HA</t>
        </is>
      </c>
      <c r="U49" t="n">
        <v>301250</v>
      </c>
      <c r="V49" t="inlineStr">
        <is>
          <t>SERVICING</t>
        </is>
      </c>
      <c r="W49" t="n">
        <v>126107</v>
      </c>
      <c r="X49" t="inlineStr">
        <is>
          <t>GUADALAJARA</t>
        </is>
      </c>
      <c r="Y49" t="n">
        <v>4</v>
      </c>
      <c r="Z49" t="inlineStr">
        <is>
          <t>CORPORATIVO</t>
        </is>
      </c>
      <c r="AA49" t="n">
        <v>11</v>
      </c>
      <c r="AB49" t="inlineStr">
        <is>
          <t>DOMINIO HA</t>
        </is>
      </c>
      <c r="AC49" t="n">
        <v>1</v>
      </c>
      <c r="AD49" t="inlineStr">
        <is>
          <t>BANCO</t>
        </is>
      </c>
      <c r="AE49" t="n">
        <v>1</v>
      </c>
      <c r="AF49" t="inlineStr">
        <is>
          <t>BACK</t>
        </is>
      </c>
      <c r="AG49" t="n">
        <v>126107</v>
      </c>
      <c r="AH49" t="inlineStr">
        <is>
          <t>GUADALAJARA</t>
        </is>
      </c>
      <c r="AI49" t="inlineStr">
        <is>
          <t>JBALLEN@BANCOBASE.COM</t>
        </is>
      </c>
      <c r="AJ49" s="151" t="n">
        <v>46216</v>
      </c>
      <c r="AK49" s="151" t="n"/>
      <c r="AL49" s="151" t="n"/>
    </row>
    <row r="50" hidden="1" s="150">
      <c r="A50" t="inlineStr">
        <is>
          <t>AALVAREZA</t>
        </is>
      </c>
      <c r="B50" t="n">
        <v>4007</v>
      </c>
      <c r="C50" t="inlineStr">
        <is>
          <t>ALDO RODRIGO ALVAREZ ALVAREZ</t>
        </is>
      </c>
      <c r="D50" t="n">
        <v>5062</v>
      </c>
      <c r="E50" t="inlineStr">
        <is>
          <t>DIRECTOR DE DISEÑO Y EXPERIENCIA</t>
        </is>
      </c>
      <c r="F50" t="inlineStr">
        <is>
          <t>TELETRABAJO</t>
        </is>
      </c>
      <c r="G50" t="n">
        <v>1694</v>
      </c>
      <c r="H50" t="inlineStr">
        <is>
          <t>LORENZO BARRERA JAIME</t>
        </is>
      </c>
      <c r="I50" t="n">
        <v>9953</v>
      </c>
      <c r="J50" t="inlineStr">
        <is>
          <t>DIRECTOR GENERAL ADJUNTO DE PRODUCTO Y TRANSFORMACION</t>
        </is>
      </c>
      <c r="K50" t="n">
        <v>1</v>
      </c>
      <c r="L50" t="inlineStr">
        <is>
          <t>PRESIDENCIA EJECUTIVA DEL CONSEJO</t>
        </is>
      </c>
      <c r="M50" t="n">
        <v>30</v>
      </c>
      <c r="N50" t="inlineStr">
        <is>
          <t>DIRECCION GENERAL ADJUNTA PRODUCTO Y TRANSFORMACIO</t>
        </is>
      </c>
      <c r="O50" t="n">
        <v>301</v>
      </c>
      <c r="P50" t="inlineStr">
        <is>
          <t>DOMINIO</t>
        </is>
      </c>
      <c r="Q50" t="n">
        <v>3012</v>
      </c>
      <c r="R50" t="inlineStr">
        <is>
          <t>DOMINIO HA</t>
        </is>
      </c>
      <c r="S50" t="n">
        <v>30120</v>
      </c>
      <c r="T50" t="inlineStr">
        <is>
          <t>DOMINIO HA</t>
        </is>
      </c>
      <c r="U50" t="n">
        <v>301200</v>
      </c>
      <c r="V50" t="inlineStr">
        <is>
          <t>DOMINIO HA</t>
        </is>
      </c>
      <c r="W50" t="n">
        <v>134111</v>
      </c>
      <c r="X50" t="inlineStr">
        <is>
          <t>LOMAS</t>
        </is>
      </c>
      <c r="Y50" t="n">
        <v>4</v>
      </c>
      <c r="Z50" t="inlineStr">
        <is>
          <t>CORPORATIVO</t>
        </is>
      </c>
      <c r="AA50" t="n">
        <v>11</v>
      </c>
      <c r="AB50" t="inlineStr">
        <is>
          <t>DOMINIO HA</t>
        </is>
      </c>
      <c r="AC50" t="n">
        <v>1</v>
      </c>
      <c r="AD50" t="inlineStr">
        <is>
          <t>BANCO</t>
        </is>
      </c>
      <c r="AE50" t="n">
        <v>1</v>
      </c>
      <c r="AF50" t="inlineStr">
        <is>
          <t>BACK</t>
        </is>
      </c>
      <c r="AG50" t="n">
        <v>134111</v>
      </c>
      <c r="AH50" t="inlineStr">
        <is>
          <t>LOMAS</t>
        </is>
      </c>
      <c r="AI50" t="inlineStr">
        <is>
          <t>AALVAREZA@BANCOBASE.COM</t>
        </is>
      </c>
      <c r="AJ50" s="151" t="n">
        <v>46258</v>
      </c>
      <c r="AK50" s="151" t="n"/>
      <c r="AL50" s="151" t="n"/>
    </row>
    <row r="51" hidden="1" s="150">
      <c r="A51" t="inlineStr">
        <is>
          <t>EGALEANA</t>
        </is>
      </c>
      <c r="B51" t="n">
        <v>2529</v>
      </c>
      <c r="C51" t="inlineStr">
        <is>
          <t>ENRIQUE EDUARDO GALEANA UGALDE</t>
        </is>
      </c>
      <c r="D51" t="n">
        <v>7</v>
      </c>
      <c r="E51" t="inlineStr">
        <is>
          <t>DIRECTOR DE ADMINISTRACION Y FINANZAS</t>
        </is>
      </c>
      <c r="F51" t="inlineStr">
        <is>
          <t>MONTERREY</t>
        </is>
      </c>
      <c r="G51" t="n">
        <v>386</v>
      </c>
      <c r="H51" t="inlineStr">
        <is>
          <t>JULIO RICARDO ESCANDON JIMENEZ</t>
        </is>
      </c>
      <c r="I51" t="n">
        <v>10324</v>
      </c>
      <c r="J51" t="inlineStr">
        <is>
          <t>DIRECTOR GENERAL</t>
        </is>
      </c>
      <c r="K51" t="n">
        <v>1</v>
      </c>
      <c r="L51" t="inlineStr">
        <is>
          <t>PRESIDENCIA EJECUTIVA DEL CONSEJO</t>
        </is>
      </c>
      <c r="M51" t="n">
        <v>40</v>
      </c>
      <c r="N51" t="inlineStr">
        <is>
          <t>DIRECCION GENERAL BANCO BASE</t>
        </is>
      </c>
      <c r="O51" t="n">
        <v>420</v>
      </c>
      <c r="P51" t="inlineStr">
        <is>
          <t>DIRECCION ADMINISTRACION Y FINANZAS</t>
        </is>
      </c>
      <c r="Q51" t="n">
        <v>4200</v>
      </c>
      <c r="R51" t="inlineStr">
        <is>
          <t>DIRECCION ADMINISTRACION Y FINANZAS</t>
        </is>
      </c>
      <c r="S51" t="n">
        <v>42000</v>
      </c>
      <c r="T51" t="inlineStr">
        <is>
          <t>DIRECCION ADMINISTRACION Y FINANZAS</t>
        </is>
      </c>
      <c r="U51" t="n">
        <v>420000</v>
      </c>
      <c r="V51" t="inlineStr">
        <is>
          <t>DIRECCION ADMINISTRACION Y FINANZAS</t>
        </is>
      </c>
      <c r="W51" t="n">
        <v>100101</v>
      </c>
      <c r="X51" t="inlineStr">
        <is>
          <t>CORPORATIVO</t>
        </is>
      </c>
      <c r="Y51" t="n">
        <v>4</v>
      </c>
      <c r="Z51" t="inlineStr">
        <is>
          <t>CORPORATIVO</t>
        </is>
      </c>
      <c r="AA51" t="n">
        <v>1</v>
      </c>
      <c r="AB51" t="inlineStr">
        <is>
          <t>NEGOCIO EN MARCHA</t>
        </is>
      </c>
      <c r="AC51" t="n">
        <v>1</v>
      </c>
      <c r="AD51" t="inlineStr">
        <is>
          <t>BANCO</t>
        </is>
      </c>
      <c r="AE51" t="n">
        <v>1</v>
      </c>
      <c r="AF51" t="inlineStr">
        <is>
          <t>BACK</t>
        </is>
      </c>
      <c r="AG51" t="n">
        <v>100101</v>
      </c>
      <c r="AH51" t="inlineStr">
        <is>
          <t>CORPORATIVO</t>
        </is>
      </c>
      <c r="AI51" t="inlineStr">
        <is>
          <t>EGALEANA@BANCOBASE.COM</t>
        </is>
      </c>
      <c r="AJ51" s="151" t="n">
        <v>44409</v>
      </c>
      <c r="AK51" s="151" t="n"/>
      <c r="AL51" s="151" t="n"/>
    </row>
    <row r="52" hidden="1" s="150">
      <c r="A52" t="inlineStr">
        <is>
          <t>RMUNOZ</t>
        </is>
      </c>
      <c r="B52" t="n">
        <v>209</v>
      </c>
      <c r="C52" t="inlineStr">
        <is>
          <t>ROBERTO MUÑOZ SALAZAR</t>
        </is>
      </c>
      <c r="D52" t="n">
        <v>9463</v>
      </c>
      <c r="E52" t="inlineStr">
        <is>
          <t>DIRECTOR DE ADMINISTRACION</t>
        </is>
      </c>
      <c r="F52" t="inlineStr">
        <is>
          <t>MONTERREY</t>
        </is>
      </c>
      <c r="G52" t="n">
        <v>2529</v>
      </c>
      <c r="H52" t="inlineStr">
        <is>
          <t>ENRIQUE EDUARDO GALEANA UGALDE</t>
        </is>
      </c>
      <c r="I52" t="n">
        <v>7</v>
      </c>
      <c r="J52" t="inlineStr">
        <is>
          <t>DIRECTOR DE ADMINISTRACION Y FINANZAS</t>
        </is>
      </c>
      <c r="K52" t="n">
        <v>1</v>
      </c>
      <c r="L52" t="inlineStr">
        <is>
          <t>PRESIDENCIA EJECUTIVA DEL CONSEJO</t>
        </is>
      </c>
      <c r="M52" t="n">
        <v>40</v>
      </c>
      <c r="N52" t="inlineStr">
        <is>
          <t>DIRECCION GENERAL BANCO BASE</t>
        </is>
      </c>
      <c r="O52" t="n">
        <v>420</v>
      </c>
      <c r="P52" t="inlineStr">
        <is>
          <t>DIRECCION ADMINISTRACION Y FINANZAS</t>
        </is>
      </c>
      <c r="Q52" t="n">
        <v>4220</v>
      </c>
      <c r="R52" t="inlineStr">
        <is>
          <t>DIRECCION DE ADMINISTRACION</t>
        </is>
      </c>
      <c r="S52" t="n">
        <v>42200</v>
      </c>
      <c r="T52" t="inlineStr">
        <is>
          <t>DIRECCION DE ADMINISTRACION</t>
        </is>
      </c>
      <c r="U52" t="n">
        <v>422000</v>
      </c>
      <c r="V52" t="inlineStr">
        <is>
          <t>DIRECCION DE ADMINISTRACION</t>
        </is>
      </c>
      <c r="W52" t="n">
        <v>100101</v>
      </c>
      <c r="X52" t="inlineStr">
        <is>
          <t>CORPORATIVO</t>
        </is>
      </c>
      <c r="Y52" t="n">
        <v>4</v>
      </c>
      <c r="Z52" t="inlineStr">
        <is>
          <t>CORPORATIVO</t>
        </is>
      </c>
      <c r="AA52" t="n">
        <v>1</v>
      </c>
      <c r="AB52" t="inlineStr">
        <is>
          <t>NEGOCIO EN MARCHA</t>
        </is>
      </c>
      <c r="AC52" t="n">
        <v>1</v>
      </c>
      <c r="AD52" t="inlineStr">
        <is>
          <t>BANCO</t>
        </is>
      </c>
      <c r="AE52" t="n">
        <v>1</v>
      </c>
      <c r="AF52" t="inlineStr">
        <is>
          <t>BACK</t>
        </is>
      </c>
      <c r="AG52" t="n">
        <v>100101</v>
      </c>
      <c r="AH52" t="inlineStr">
        <is>
          <t>CORPORATIVO</t>
        </is>
      </c>
      <c r="AI52" t="inlineStr">
        <is>
          <t>RMUNOZ@BANCOBASE.COM</t>
        </is>
      </c>
      <c r="AJ52" s="151" t="n">
        <v>37392</v>
      </c>
      <c r="AK52" s="151" t="n"/>
      <c r="AL52" s="151" t="n"/>
    </row>
    <row r="53" hidden="1" s="150">
      <c r="A53" t="inlineStr">
        <is>
          <t>MHERMOSILL</t>
        </is>
      </c>
      <c r="B53" t="n">
        <v>444</v>
      </c>
      <c r="C53" t="inlineStr">
        <is>
          <t>MARIO LUDWIN HERMOSILLO BENITEZ</t>
        </is>
      </c>
      <c r="D53" t="n">
        <v>10024</v>
      </c>
      <c r="E53" t="inlineStr">
        <is>
          <t>SUBDIRECTOR DE COMPRAS Y HABILITACION DE ESPACIOS</t>
        </is>
      </c>
      <c r="F53" t="inlineStr">
        <is>
          <t>MONTERREY</t>
        </is>
      </c>
      <c r="G53" t="n">
        <v>209</v>
      </c>
      <c r="H53" t="inlineStr">
        <is>
          <t>ROBERTO MUÑOZ SALAZAR</t>
        </is>
      </c>
      <c r="I53" t="n">
        <v>9463</v>
      </c>
      <c r="J53" t="inlineStr">
        <is>
          <t>DIRECTOR DE ADMINISTRACION</t>
        </is>
      </c>
      <c r="K53" t="n">
        <v>1</v>
      </c>
      <c r="L53" t="inlineStr">
        <is>
          <t>PRESIDENCIA EJECUTIVA DEL CONSEJO</t>
        </is>
      </c>
      <c r="M53" t="n">
        <v>40</v>
      </c>
      <c r="N53" t="inlineStr">
        <is>
          <t>DIRECCION GENERAL BANCO BASE</t>
        </is>
      </c>
      <c r="O53" t="n">
        <v>420</v>
      </c>
      <c r="P53" t="inlineStr">
        <is>
          <t>DIRECCION ADMINISTRACION Y FINANZAS</t>
        </is>
      </c>
      <c r="Q53" t="n">
        <v>4220</v>
      </c>
      <c r="R53" t="inlineStr">
        <is>
          <t>DIRECCION DE ADMINISTRACION</t>
        </is>
      </c>
      <c r="S53" t="n">
        <v>42240</v>
      </c>
      <c r="T53" t="inlineStr">
        <is>
          <t>SUBDIRECCION DE COMPRAS Y HABILITACION DE ESPACIOS</t>
        </is>
      </c>
      <c r="U53" t="n">
        <v>422300</v>
      </c>
      <c r="V53" t="inlineStr">
        <is>
          <t>SUBDIRECCION DE COMPRAS Y HABILITACION DE ESPACIOS</t>
        </is>
      </c>
      <c r="W53" t="n">
        <v>100101</v>
      </c>
      <c r="X53" t="inlineStr">
        <is>
          <t>CORPORATIVO</t>
        </is>
      </c>
      <c r="Y53" t="n">
        <v>4</v>
      </c>
      <c r="Z53" t="inlineStr">
        <is>
          <t>CORPORATIVO</t>
        </is>
      </c>
      <c r="AA53" t="n">
        <v>1</v>
      </c>
      <c r="AB53" t="inlineStr">
        <is>
          <t>NEGOCIO EN MARCHA</t>
        </is>
      </c>
      <c r="AC53" t="n">
        <v>1</v>
      </c>
      <c r="AD53" t="inlineStr">
        <is>
          <t>BANCO</t>
        </is>
      </c>
      <c r="AE53" t="n">
        <v>1</v>
      </c>
      <c r="AF53" t="inlineStr">
        <is>
          <t>BACK</t>
        </is>
      </c>
      <c r="AG53" t="n">
        <v>100101</v>
      </c>
      <c r="AH53" t="inlineStr">
        <is>
          <t>CORPORATIVO</t>
        </is>
      </c>
      <c r="AI53" t="inlineStr">
        <is>
          <t>MHERMOSILL@BANCOBASE.COM</t>
        </is>
      </c>
      <c r="AJ53" s="151" t="n">
        <v>39449</v>
      </c>
      <c r="AK53" s="151" t="n"/>
      <c r="AL53" s="151" t="n"/>
    </row>
    <row r="54" hidden="1" s="150">
      <c r="A54" t="inlineStr">
        <is>
          <t>EURIBE</t>
        </is>
      </c>
      <c r="B54" t="n">
        <v>3565</v>
      </c>
      <c r="C54" t="inlineStr">
        <is>
          <t>EMMANUEL URIBE GONZALEZ</t>
        </is>
      </c>
      <c r="D54" t="n">
        <v>8779</v>
      </c>
      <c r="E54" t="inlineStr">
        <is>
          <t>LIDER DE COMPRAS ESPECIALIZADO</t>
        </is>
      </c>
      <c r="F54" t="inlineStr">
        <is>
          <t>QUERETARO</t>
        </is>
      </c>
      <c r="G54" t="n">
        <v>444</v>
      </c>
      <c r="H54" t="inlineStr">
        <is>
          <t>MARIO LUDWIN HERMOSILLO BENITEZ</t>
        </is>
      </c>
      <c r="I54" t="n">
        <v>10024</v>
      </c>
      <c r="J54" t="inlineStr">
        <is>
          <t>SUBDIRECTOR DE COMPRAS Y HABILITACION DE ESPACIOS</t>
        </is>
      </c>
      <c r="K54" t="n">
        <v>1</v>
      </c>
      <c r="L54" t="inlineStr">
        <is>
          <t>PRESIDENCIA EJECUTIVA DEL CONSEJO</t>
        </is>
      </c>
      <c r="M54" t="n">
        <v>40</v>
      </c>
      <c r="N54" t="inlineStr">
        <is>
          <t>DIRECCION GENERAL BANCO BASE</t>
        </is>
      </c>
      <c r="O54" t="n">
        <v>420</v>
      </c>
      <c r="P54" t="inlineStr">
        <is>
          <t>DIRECCION ADMINISTRACION Y FINANZAS</t>
        </is>
      </c>
      <c r="Q54" t="n">
        <v>4220</v>
      </c>
      <c r="R54" t="inlineStr">
        <is>
          <t>DIRECCION DE ADMINISTRACION</t>
        </is>
      </c>
      <c r="S54" t="n">
        <v>42240</v>
      </c>
      <c r="T54" t="inlineStr">
        <is>
          <t>SUBDIRECCION DE COMPRAS Y HABILITACION DE ESPACIOS</t>
        </is>
      </c>
      <c r="U54" t="n">
        <v>422300</v>
      </c>
      <c r="V54" t="inlineStr">
        <is>
          <t>SUBDIRECCION DE COMPRAS Y HABILITACION DE ESPACIOS</t>
        </is>
      </c>
      <c r="W54" t="n">
        <v>126112</v>
      </c>
      <c r="X54" t="inlineStr">
        <is>
          <t>QUERETARO</t>
        </is>
      </c>
      <c r="Y54" t="n">
        <v>4</v>
      </c>
      <c r="Z54" t="inlineStr">
        <is>
          <t>CORPORATIVO</t>
        </is>
      </c>
      <c r="AA54" t="n">
        <v>1</v>
      </c>
      <c r="AB54" t="inlineStr">
        <is>
          <t>NEGOCIO EN MARCHA</t>
        </is>
      </c>
      <c r="AC54" t="n">
        <v>1</v>
      </c>
      <c r="AD54" t="inlineStr">
        <is>
          <t>BANCO</t>
        </is>
      </c>
      <c r="AE54" t="n">
        <v>1</v>
      </c>
      <c r="AF54" t="inlineStr">
        <is>
          <t>BACK</t>
        </is>
      </c>
      <c r="AG54" t="n">
        <v>126112</v>
      </c>
      <c r="AH54" t="inlineStr">
        <is>
          <t>QUERETARO</t>
        </is>
      </c>
      <c r="AI54" t="inlineStr">
        <is>
          <t>EURIBE@BANCOBASE.COM</t>
        </is>
      </c>
      <c r="AJ54" s="151" t="n">
        <v>45917</v>
      </c>
      <c r="AK54" s="151" t="n"/>
      <c r="AL54" s="151" t="n"/>
    </row>
    <row r="55" hidden="1" s="150">
      <c r="A55" t="inlineStr">
        <is>
          <t>BCRUZ</t>
        </is>
      </c>
      <c r="B55" t="n">
        <v>479</v>
      </c>
      <c r="C55" t="inlineStr">
        <is>
          <t>BRENDA ELIZABETH CRUZ VALDEZ</t>
        </is>
      </c>
      <c r="D55" t="n">
        <v>9227</v>
      </c>
      <c r="E55" t="inlineStr">
        <is>
          <t>COORDINADOR DE SERVICIOS DE VIAJE</t>
        </is>
      </c>
      <c r="F55" t="inlineStr">
        <is>
          <t>MONTERREY</t>
        </is>
      </c>
      <c r="G55" t="n">
        <v>444</v>
      </c>
      <c r="H55" t="inlineStr">
        <is>
          <t>MARIO LUDWIN HERMOSILLO BENITEZ</t>
        </is>
      </c>
      <c r="I55" t="n">
        <v>10024</v>
      </c>
      <c r="J55" t="inlineStr">
        <is>
          <t>SUBDIRECTOR DE COMPRAS Y HABILITACION DE ESPACIOS</t>
        </is>
      </c>
      <c r="K55" t="n">
        <v>1</v>
      </c>
      <c r="L55" t="inlineStr">
        <is>
          <t>PRESIDENCIA EJECUTIVA DEL CONSEJO</t>
        </is>
      </c>
      <c r="M55" t="n">
        <v>40</v>
      </c>
      <c r="N55" t="inlineStr">
        <is>
          <t>DIRECCION GENERAL BANCO BASE</t>
        </is>
      </c>
      <c r="O55" t="n">
        <v>420</v>
      </c>
      <c r="P55" t="inlineStr">
        <is>
          <t>DIRECCION ADMINISTRACION Y FINANZAS</t>
        </is>
      </c>
      <c r="Q55" t="n">
        <v>4220</v>
      </c>
      <c r="R55" t="inlineStr">
        <is>
          <t>DIRECCION DE ADMINISTRACION</t>
        </is>
      </c>
      <c r="S55" t="n">
        <v>42240</v>
      </c>
      <c r="T55" t="inlineStr">
        <is>
          <t>SUBDIRECCION DE COMPRAS Y HABILITACION DE ESPACIOS</t>
        </is>
      </c>
      <c r="U55" t="n">
        <v>422304</v>
      </c>
      <c r="V55" t="inlineStr">
        <is>
          <t>GASTOS DE VIAJE</t>
        </is>
      </c>
      <c r="W55" t="n">
        <v>100101</v>
      </c>
      <c r="X55" t="inlineStr">
        <is>
          <t>CORPORATIVO</t>
        </is>
      </c>
      <c r="Y55" t="n">
        <v>4</v>
      </c>
      <c r="Z55" t="inlineStr">
        <is>
          <t>CORPORATIVO</t>
        </is>
      </c>
      <c r="AA55" t="n">
        <v>1</v>
      </c>
      <c r="AB55" t="inlineStr">
        <is>
          <t>NEGOCIO EN MARCHA</t>
        </is>
      </c>
      <c r="AC55" t="n">
        <v>1</v>
      </c>
      <c r="AD55" t="inlineStr">
        <is>
          <t>BANCO</t>
        </is>
      </c>
      <c r="AE55" t="n">
        <v>1</v>
      </c>
      <c r="AF55" t="inlineStr">
        <is>
          <t>BACK</t>
        </is>
      </c>
      <c r="AG55" t="n">
        <v>100101</v>
      </c>
      <c r="AH55" t="inlineStr">
        <is>
          <t>CORPORATIVO</t>
        </is>
      </c>
      <c r="AI55" t="inlineStr">
        <is>
          <t>BCRUZ@BANCOBASE.COM</t>
        </is>
      </c>
      <c r="AJ55" s="151" t="n">
        <v>39588</v>
      </c>
      <c r="AK55" s="151" t="n"/>
      <c r="AL55" s="151" t="n"/>
    </row>
    <row r="56" hidden="1" s="150">
      <c r="A56" t="inlineStr">
        <is>
          <t>HDAVIDG</t>
        </is>
      </c>
      <c r="B56" t="n">
        <v>2774</v>
      </c>
      <c r="C56" t="inlineStr">
        <is>
          <t>HANNA YAMILE DAVID GEORGE</t>
        </is>
      </c>
      <c r="D56" t="n">
        <v>8672</v>
      </c>
      <c r="E56" t="inlineStr">
        <is>
          <t>AUXILIAR DE GASTOS DE VIAJE</t>
        </is>
      </c>
      <c r="F56" t="inlineStr">
        <is>
          <t>MONTERREY</t>
        </is>
      </c>
      <c r="G56" t="n">
        <v>479</v>
      </c>
      <c r="H56" t="inlineStr">
        <is>
          <t>BRENDA ELIZABETH CRUZ VALDEZ</t>
        </is>
      </c>
      <c r="I56" t="n">
        <v>9227</v>
      </c>
      <c r="J56" t="inlineStr">
        <is>
          <t>COORDINADOR DE SERVICIOS DE VIAJE</t>
        </is>
      </c>
      <c r="K56" t="n">
        <v>1</v>
      </c>
      <c r="L56" t="inlineStr">
        <is>
          <t>PRESIDENCIA EJECUTIVA DEL CONSEJO</t>
        </is>
      </c>
      <c r="M56" t="n">
        <v>40</v>
      </c>
      <c r="N56" t="inlineStr">
        <is>
          <t>DIRECCION GENERAL BANCO BASE</t>
        </is>
      </c>
      <c r="O56" t="n">
        <v>420</v>
      </c>
      <c r="P56" t="inlineStr">
        <is>
          <t>DIRECCION ADMINISTRACION Y FINANZAS</t>
        </is>
      </c>
      <c r="Q56" t="n">
        <v>4220</v>
      </c>
      <c r="R56" t="inlineStr">
        <is>
          <t>DIRECCION DE ADMINISTRACION</t>
        </is>
      </c>
      <c r="S56" t="n">
        <v>42240</v>
      </c>
      <c r="T56" t="inlineStr">
        <is>
          <t>SUBDIRECCION DE COMPRAS Y HABILITACION DE ESPACIOS</t>
        </is>
      </c>
      <c r="U56" t="n">
        <v>422304</v>
      </c>
      <c r="V56" t="inlineStr">
        <is>
          <t>GASTOS DE VIAJE</t>
        </is>
      </c>
      <c r="W56" t="n">
        <v>100101</v>
      </c>
      <c r="X56" t="inlineStr">
        <is>
          <t>CORPORATIVO</t>
        </is>
      </c>
      <c r="Y56" t="n">
        <v>4</v>
      </c>
      <c r="Z56" t="inlineStr">
        <is>
          <t>CORPORATIVO</t>
        </is>
      </c>
      <c r="AA56" t="n">
        <v>1</v>
      </c>
      <c r="AB56" t="inlineStr">
        <is>
          <t>NEGOCIO EN MARCHA</t>
        </is>
      </c>
      <c r="AC56" t="n">
        <v>1</v>
      </c>
      <c r="AD56" t="inlineStr">
        <is>
          <t>BANCO</t>
        </is>
      </c>
      <c r="AE56" t="n">
        <v>1</v>
      </c>
      <c r="AF56" t="inlineStr">
        <is>
          <t>BACK</t>
        </is>
      </c>
      <c r="AG56" t="n">
        <v>100101</v>
      </c>
      <c r="AH56" t="inlineStr">
        <is>
          <t>CORPORATIVO</t>
        </is>
      </c>
      <c r="AI56" t="inlineStr">
        <is>
          <t>HDAVIDG@BANCOBASE.COM</t>
        </is>
      </c>
      <c r="AJ56" s="151" t="n">
        <v>44881</v>
      </c>
      <c r="AK56" s="151" t="n"/>
      <c r="AL56" s="151" t="n"/>
    </row>
    <row r="57" hidden="1" s="150">
      <c r="A57" t="inlineStr">
        <is>
          <t>PORTEGON</t>
        </is>
      </c>
      <c r="B57" t="n">
        <v>2925</v>
      </c>
      <c r="C57" t="inlineStr">
        <is>
          <t>PAOLA ORTEGON DIAZ</t>
        </is>
      </c>
      <c r="D57" t="n">
        <v>8673</v>
      </c>
      <c r="E57" t="inlineStr">
        <is>
          <t>AUXILIAR DE GASTOS DE VIAJE</t>
        </is>
      </c>
      <c r="F57" t="inlineStr">
        <is>
          <t>MONTERREY</t>
        </is>
      </c>
      <c r="G57" t="n">
        <v>479</v>
      </c>
      <c r="H57" t="inlineStr">
        <is>
          <t>BRENDA ELIZABETH CRUZ VALDEZ</t>
        </is>
      </c>
      <c r="I57" t="n">
        <v>9227</v>
      </c>
      <c r="J57" t="inlineStr">
        <is>
          <t>COORDINADOR DE SERVICIOS DE VIAJE</t>
        </is>
      </c>
      <c r="K57" t="n">
        <v>1</v>
      </c>
      <c r="L57" t="inlineStr">
        <is>
          <t>PRESIDENCIA EJECUTIVA DEL CONSEJO</t>
        </is>
      </c>
      <c r="M57" t="n">
        <v>40</v>
      </c>
      <c r="N57" t="inlineStr">
        <is>
          <t>DIRECCION GENERAL BANCO BASE</t>
        </is>
      </c>
      <c r="O57" t="n">
        <v>420</v>
      </c>
      <c r="P57" t="inlineStr">
        <is>
          <t>DIRECCION ADMINISTRACION Y FINANZAS</t>
        </is>
      </c>
      <c r="Q57" t="n">
        <v>4220</v>
      </c>
      <c r="R57" t="inlineStr">
        <is>
          <t>DIRECCION DE ADMINISTRACION</t>
        </is>
      </c>
      <c r="S57" t="n">
        <v>42240</v>
      </c>
      <c r="T57" t="inlineStr">
        <is>
          <t>SUBDIRECCION DE COMPRAS Y HABILITACION DE ESPACIOS</t>
        </is>
      </c>
      <c r="U57" t="n">
        <v>422304</v>
      </c>
      <c r="V57" t="inlineStr">
        <is>
          <t>GASTOS DE VIAJE</t>
        </is>
      </c>
      <c r="W57" t="n">
        <v>100101</v>
      </c>
      <c r="X57" t="inlineStr">
        <is>
          <t>CORPORATIVO</t>
        </is>
      </c>
      <c r="Y57" t="n">
        <v>4</v>
      </c>
      <c r="Z57" t="inlineStr">
        <is>
          <t>CORPORATIVO</t>
        </is>
      </c>
      <c r="AA57" t="n">
        <v>1</v>
      </c>
      <c r="AB57" t="inlineStr">
        <is>
          <t>NEGOCIO EN MARCHA</t>
        </is>
      </c>
      <c r="AC57" t="n">
        <v>1</v>
      </c>
      <c r="AD57" t="inlineStr">
        <is>
          <t>BANCO</t>
        </is>
      </c>
      <c r="AE57" t="n">
        <v>1</v>
      </c>
      <c r="AF57" t="inlineStr">
        <is>
          <t>BACK</t>
        </is>
      </c>
      <c r="AG57" t="n">
        <v>100101</v>
      </c>
      <c r="AH57" t="inlineStr">
        <is>
          <t>CORPORATIVO</t>
        </is>
      </c>
      <c r="AI57" t="inlineStr">
        <is>
          <t>PORTEGON@BANCOBASE.COM</t>
        </is>
      </c>
      <c r="AJ57" s="151" t="n">
        <v>45124</v>
      </c>
      <c r="AK57" s="151" t="n"/>
      <c r="AL57" s="151" t="n"/>
    </row>
    <row r="58" hidden="1" s="150">
      <c r="A58" t="inlineStr">
        <is>
          <t>RLUEVANO</t>
        </is>
      </c>
      <c r="B58" t="n">
        <v>3271</v>
      </c>
      <c r="C58" t="inlineStr">
        <is>
          <t>ROBERTO ENRIQUE LUEVANO HERNANDEZ</t>
        </is>
      </c>
      <c r="D58" t="n">
        <v>8450</v>
      </c>
      <c r="E58" t="inlineStr">
        <is>
          <t>COORDINADOR DE HABILITACION DE ESPACIOS</t>
        </is>
      </c>
      <c r="F58" t="inlineStr">
        <is>
          <t>MONTERREY</t>
        </is>
      </c>
      <c r="G58" t="n">
        <v>444</v>
      </c>
      <c r="H58" t="inlineStr">
        <is>
          <t>MARIO LUDWIN HERMOSILLO BENITEZ</t>
        </is>
      </c>
      <c r="I58" t="n">
        <v>10024</v>
      </c>
      <c r="J58" t="inlineStr">
        <is>
          <t>SUBDIRECTOR DE COMPRAS Y HABILITACION DE ESPACIOS</t>
        </is>
      </c>
      <c r="K58" t="n">
        <v>1</v>
      </c>
      <c r="L58" t="inlineStr">
        <is>
          <t>PRESIDENCIA EJECUTIVA DEL CONSEJO</t>
        </is>
      </c>
      <c r="M58" t="n">
        <v>40</v>
      </c>
      <c r="N58" t="inlineStr">
        <is>
          <t>DIRECCION GENERAL BANCO BASE</t>
        </is>
      </c>
      <c r="O58" t="n">
        <v>420</v>
      </c>
      <c r="P58" t="inlineStr">
        <is>
          <t>DIRECCION ADMINISTRACION Y FINANZAS</t>
        </is>
      </c>
      <c r="Q58" t="n">
        <v>4220</v>
      </c>
      <c r="R58" t="inlineStr">
        <is>
          <t>DIRECCION DE ADMINISTRACION</t>
        </is>
      </c>
      <c r="S58" t="n">
        <v>42240</v>
      </c>
      <c r="T58" t="inlineStr">
        <is>
          <t>SUBDIRECCION DE COMPRAS Y HABILITACION DE ESPACIOS</t>
        </is>
      </c>
      <c r="U58" t="n">
        <v>422300</v>
      </c>
      <c r="V58" t="inlineStr">
        <is>
          <t>SUBDIRECCION DE COMPRAS Y HABILITACION DE ESPACIOS</t>
        </is>
      </c>
      <c r="W58" t="n">
        <v>100101</v>
      </c>
      <c r="X58" t="inlineStr">
        <is>
          <t>CORPORATIVO</t>
        </is>
      </c>
      <c r="Y58" t="n">
        <v>4</v>
      </c>
      <c r="Z58" t="inlineStr">
        <is>
          <t>CORPORATIVO</t>
        </is>
      </c>
      <c r="AA58" t="n">
        <v>1</v>
      </c>
      <c r="AB58" t="inlineStr">
        <is>
          <t>NEGOCIO EN MARCHA</t>
        </is>
      </c>
      <c r="AC58" t="n">
        <v>1</v>
      </c>
      <c r="AD58" t="inlineStr">
        <is>
          <t>BANCO</t>
        </is>
      </c>
      <c r="AE58" t="n">
        <v>1</v>
      </c>
      <c r="AF58" t="inlineStr">
        <is>
          <t>BACK</t>
        </is>
      </c>
      <c r="AG58" t="n">
        <v>100101</v>
      </c>
      <c r="AH58" t="inlineStr">
        <is>
          <t>CORPORATIVO</t>
        </is>
      </c>
      <c r="AI58" t="inlineStr">
        <is>
          <t>RLUEVANO@BANCOBASE.COM</t>
        </is>
      </c>
      <c r="AJ58" s="151" t="n">
        <v>45615</v>
      </c>
      <c r="AK58" s="151" t="n"/>
      <c r="AL58" s="151" t="n"/>
    </row>
    <row r="59" hidden="1" s="150">
      <c r="A59" t="inlineStr">
        <is>
          <t>EHERNANDEH</t>
        </is>
      </c>
      <c r="B59" t="n">
        <v>3592</v>
      </c>
      <c r="C59" t="inlineStr">
        <is>
          <t>ENRIQUE HERNANDEZ HERNANDEZ</t>
        </is>
      </c>
      <c r="D59" t="n">
        <v>8674</v>
      </c>
      <c r="E59" t="inlineStr">
        <is>
          <t>AUXILIAR DE SERVICIOS GENERALES</t>
        </is>
      </c>
      <c r="F59" t="inlineStr">
        <is>
          <t>MONTERREY</t>
        </is>
      </c>
      <c r="G59" t="n">
        <v>3271</v>
      </c>
      <c r="H59" t="inlineStr">
        <is>
          <t>ROBERTO ENRIQUE LUEVANO HERNANDEZ</t>
        </is>
      </c>
      <c r="I59" t="n">
        <v>8450</v>
      </c>
      <c r="J59" t="inlineStr">
        <is>
          <t>COORDINADOR DE HABILITACION DE ESPACIOS</t>
        </is>
      </c>
      <c r="K59" t="n">
        <v>1</v>
      </c>
      <c r="L59" t="inlineStr">
        <is>
          <t>PRESIDENCIA EJECUTIVA DEL CONSEJO</t>
        </is>
      </c>
      <c r="M59" t="n">
        <v>40</v>
      </c>
      <c r="N59" t="inlineStr">
        <is>
          <t>DIRECCION GENERAL BANCO BASE</t>
        </is>
      </c>
      <c r="O59" t="n">
        <v>420</v>
      </c>
      <c r="P59" t="inlineStr">
        <is>
          <t>DIRECCION ADMINISTRACION Y FINANZAS</t>
        </is>
      </c>
      <c r="Q59" t="n">
        <v>4220</v>
      </c>
      <c r="R59" t="inlineStr">
        <is>
          <t>DIRECCION DE ADMINISTRACION</t>
        </is>
      </c>
      <c r="S59" t="n">
        <v>42240</v>
      </c>
      <c r="T59" t="inlineStr">
        <is>
          <t>SUBDIRECCION DE COMPRAS Y HABILITACION DE ESPACIOS</t>
        </is>
      </c>
      <c r="U59" t="n">
        <v>422318</v>
      </c>
      <c r="V59" t="inlineStr">
        <is>
          <t>MANTENIMIENTO</t>
        </is>
      </c>
      <c r="W59" t="n">
        <v>100101</v>
      </c>
      <c r="X59" t="inlineStr">
        <is>
          <t>CORPORATIVO</t>
        </is>
      </c>
      <c r="Y59" t="n">
        <v>4</v>
      </c>
      <c r="Z59" t="inlineStr">
        <is>
          <t>CORPORATIVO</t>
        </is>
      </c>
      <c r="AA59" t="n">
        <v>1</v>
      </c>
      <c r="AB59" t="inlineStr">
        <is>
          <t>NEGOCIO EN MARCHA</t>
        </is>
      </c>
      <c r="AC59" t="n">
        <v>1</v>
      </c>
      <c r="AD59" t="inlineStr">
        <is>
          <t>BANCO</t>
        </is>
      </c>
      <c r="AE59" t="n">
        <v>1</v>
      </c>
      <c r="AF59" t="inlineStr">
        <is>
          <t>BACK</t>
        </is>
      </c>
      <c r="AG59" t="n">
        <v>100101</v>
      </c>
      <c r="AH59" t="inlineStr">
        <is>
          <t>CORPORATIVO</t>
        </is>
      </c>
      <c r="AI59" t="inlineStr">
        <is>
          <t>EHERNANDEH@BANCOBASE.COM</t>
        </is>
      </c>
      <c r="AJ59" s="151" t="n">
        <v>45931</v>
      </c>
      <c r="AK59" s="151" t="n"/>
      <c r="AL59" s="151" t="n"/>
    </row>
    <row r="60" hidden="1" s="150">
      <c r="A60" t="inlineStr">
        <is>
          <t>JMARTINEZP</t>
        </is>
      </c>
      <c r="B60" t="n">
        <v>92</v>
      </c>
      <c r="C60" t="inlineStr">
        <is>
          <t>JOSE MANUEL MARTINEZ PEQUEÑO</t>
        </is>
      </c>
      <c r="D60" t="n">
        <v>9340</v>
      </c>
      <c r="E60" t="inlineStr">
        <is>
          <t>INTENDENTE</t>
        </is>
      </c>
      <c r="F60" t="inlineStr">
        <is>
          <t>MONTERREY</t>
        </is>
      </c>
      <c r="G60" t="n">
        <v>3271</v>
      </c>
      <c r="H60" t="inlineStr">
        <is>
          <t>ROBERTO ENRIQUE LUEVANO HERNANDEZ</t>
        </is>
      </c>
      <c r="I60" t="n">
        <v>8450</v>
      </c>
      <c r="J60" t="inlineStr">
        <is>
          <t>COORDINADOR DE HABILITACION DE ESPACIOS</t>
        </is>
      </c>
      <c r="K60" t="n">
        <v>1</v>
      </c>
      <c r="L60" t="inlineStr">
        <is>
          <t>PRESIDENCIA EJECUTIVA DEL CONSEJO</t>
        </is>
      </c>
      <c r="M60" t="n">
        <v>40</v>
      </c>
      <c r="N60" t="inlineStr">
        <is>
          <t>DIRECCION GENERAL BANCO BASE</t>
        </is>
      </c>
      <c r="O60" t="n">
        <v>420</v>
      </c>
      <c r="P60" t="inlineStr">
        <is>
          <t>DIRECCION ADMINISTRACION Y FINANZAS</t>
        </is>
      </c>
      <c r="Q60" t="n">
        <v>4220</v>
      </c>
      <c r="R60" t="inlineStr">
        <is>
          <t>DIRECCION DE ADMINISTRACION</t>
        </is>
      </c>
      <c r="S60" t="n">
        <v>42240</v>
      </c>
      <c r="T60" t="inlineStr">
        <is>
          <t>SUBDIRECCION DE COMPRAS Y HABILITACION DE ESPACIOS</t>
        </is>
      </c>
      <c r="U60" t="n">
        <v>422318</v>
      </c>
      <c r="V60" t="inlineStr">
        <is>
          <t>MANTENIMIENTO</t>
        </is>
      </c>
      <c r="W60" t="n">
        <v>100101</v>
      </c>
      <c r="X60" t="inlineStr">
        <is>
          <t>CORPORATIVO</t>
        </is>
      </c>
      <c r="Y60" t="n">
        <v>4</v>
      </c>
      <c r="Z60" t="inlineStr">
        <is>
          <t>CORPORATIVO</t>
        </is>
      </c>
      <c r="AA60" t="n">
        <v>1</v>
      </c>
      <c r="AB60" t="inlineStr">
        <is>
          <t>NEGOCIO EN MARCHA</t>
        </is>
      </c>
      <c r="AC60" t="n">
        <v>1</v>
      </c>
      <c r="AD60" t="inlineStr">
        <is>
          <t>BANCO</t>
        </is>
      </c>
      <c r="AE60" t="n">
        <v>1</v>
      </c>
      <c r="AF60" t="inlineStr">
        <is>
          <t>BACK</t>
        </is>
      </c>
      <c r="AG60" t="n">
        <v>100101</v>
      </c>
      <c r="AH60" t="inlineStr">
        <is>
          <t>CORPORATIVO</t>
        </is>
      </c>
      <c r="AI60" t="inlineStr">
        <is>
          <t>JMARTINEZP@BANCOBASE.COM</t>
        </is>
      </c>
      <c r="AJ60" s="151" t="n">
        <v>35606</v>
      </c>
      <c r="AK60" s="151" t="n"/>
      <c r="AL60" s="151" t="n"/>
    </row>
    <row r="61" hidden="1" s="150">
      <c r="A61" t="inlineStr">
        <is>
          <t>EHERNANDEE</t>
        </is>
      </c>
      <c r="B61" t="n">
        <v>1348</v>
      </c>
      <c r="C61" t="inlineStr">
        <is>
          <t>EMMANUEL HERNANDEZ ESPINOSA</t>
        </is>
      </c>
      <c r="D61" t="n">
        <v>10087</v>
      </c>
      <c r="E61" t="inlineStr">
        <is>
          <t>SERVICIOS EJECUTIVOS</t>
        </is>
      </c>
      <c r="F61" t="inlineStr">
        <is>
          <t>MONTERREY</t>
        </is>
      </c>
      <c r="G61" t="n">
        <v>3271</v>
      </c>
      <c r="H61" t="inlineStr">
        <is>
          <t>ROBERTO ENRIQUE LUEVANO HERNANDEZ</t>
        </is>
      </c>
      <c r="I61" t="n">
        <v>8450</v>
      </c>
      <c r="J61" t="inlineStr">
        <is>
          <t>COORDINADOR DE HABILITACION DE ESPACIOS</t>
        </is>
      </c>
      <c r="K61" t="n">
        <v>1</v>
      </c>
      <c r="L61" t="inlineStr">
        <is>
          <t>PRESIDENCIA EJECUTIVA DEL CONSEJO</t>
        </is>
      </c>
      <c r="M61" t="n">
        <v>40</v>
      </c>
      <c r="N61" t="inlineStr">
        <is>
          <t>DIRECCION GENERAL BANCO BASE</t>
        </is>
      </c>
      <c r="O61" t="n">
        <v>420</v>
      </c>
      <c r="P61" t="inlineStr">
        <is>
          <t>DIRECCION ADMINISTRACION Y FINANZAS</t>
        </is>
      </c>
      <c r="Q61" t="n">
        <v>4220</v>
      </c>
      <c r="R61" t="inlineStr">
        <is>
          <t>DIRECCION DE ADMINISTRACION</t>
        </is>
      </c>
      <c r="S61" t="n">
        <v>42240</v>
      </c>
      <c r="T61" t="inlineStr">
        <is>
          <t>SUBDIRECCION DE COMPRAS Y HABILITACION DE ESPACIOS</t>
        </is>
      </c>
      <c r="U61" t="n">
        <v>422318</v>
      </c>
      <c r="V61" t="inlineStr">
        <is>
          <t>MANTENIMIENTO</t>
        </is>
      </c>
      <c r="W61" t="n">
        <v>100101</v>
      </c>
      <c r="X61" t="inlineStr">
        <is>
          <t>CORPORATIVO</t>
        </is>
      </c>
      <c r="Y61" t="n">
        <v>4</v>
      </c>
      <c r="Z61" t="inlineStr">
        <is>
          <t>CORPORATIVO</t>
        </is>
      </c>
      <c r="AA61" t="n">
        <v>1</v>
      </c>
      <c r="AB61" t="inlineStr">
        <is>
          <t>NEGOCIO EN MARCHA</t>
        </is>
      </c>
      <c r="AC61" t="n">
        <v>1</v>
      </c>
      <c r="AD61" t="inlineStr">
        <is>
          <t>BANCO</t>
        </is>
      </c>
      <c r="AE61" t="n">
        <v>1</v>
      </c>
      <c r="AF61" t="inlineStr">
        <is>
          <t>BACK</t>
        </is>
      </c>
      <c r="AG61" t="n">
        <v>100101</v>
      </c>
      <c r="AH61" t="inlineStr">
        <is>
          <t>CORPORATIVO</t>
        </is>
      </c>
      <c r="AI61" t="inlineStr">
        <is>
          <t>EHERNANDEE@BANCOBASE.COM</t>
        </is>
      </c>
      <c r="AJ61" s="151" t="n">
        <v>42220</v>
      </c>
      <c r="AK61" s="151" t="n"/>
      <c r="AL61" s="151" t="n"/>
    </row>
    <row r="62" hidden="1" s="150">
      <c r="A62" t="inlineStr">
        <is>
          <t>CMARTINEZ</t>
        </is>
      </c>
      <c r="B62" t="n">
        <v>709</v>
      </c>
      <c r="C62" t="inlineStr">
        <is>
          <t>CARLOS JOAQUIN MARTINEZ OLVERA</t>
        </is>
      </c>
      <c r="D62" t="n">
        <v>8988</v>
      </c>
      <c r="E62" t="inlineStr">
        <is>
          <t>GERENTE DE GESTION DE FACILIDADES</t>
        </is>
      </c>
      <c r="F62" t="inlineStr">
        <is>
          <t>MONTERREY</t>
        </is>
      </c>
      <c r="G62" t="n">
        <v>444</v>
      </c>
      <c r="H62" t="inlineStr">
        <is>
          <t>MARIO LUDWIN HERMOSILLO BENITEZ</t>
        </is>
      </c>
      <c r="I62" t="n">
        <v>10024</v>
      </c>
      <c r="J62" t="inlineStr">
        <is>
          <t>SUBDIRECTOR DE COMPRAS Y HABILITACION DE ESPACIOS</t>
        </is>
      </c>
      <c r="K62" t="n">
        <v>1</v>
      </c>
      <c r="L62" t="inlineStr">
        <is>
          <t>PRESIDENCIA EJECUTIVA DEL CONSEJO</t>
        </is>
      </c>
      <c r="M62" t="n">
        <v>40</v>
      </c>
      <c r="N62" t="inlineStr">
        <is>
          <t>DIRECCION GENERAL BANCO BASE</t>
        </is>
      </c>
      <c r="O62" t="n">
        <v>420</v>
      </c>
      <c r="P62" t="inlineStr">
        <is>
          <t>DIRECCION ADMINISTRACION Y FINANZAS</t>
        </is>
      </c>
      <c r="Q62" t="n">
        <v>4220</v>
      </c>
      <c r="R62" t="inlineStr">
        <is>
          <t>DIRECCION DE ADMINISTRACION</t>
        </is>
      </c>
      <c r="S62" t="n">
        <v>42240</v>
      </c>
      <c r="T62" t="inlineStr">
        <is>
          <t>SUBDIRECCION DE COMPRAS Y HABILITACION DE ESPACIOS</t>
        </is>
      </c>
      <c r="U62" t="n">
        <v>422300</v>
      </c>
      <c r="V62" t="inlineStr">
        <is>
          <t>SUBDIRECCION DE COMPRAS Y HABILITACION DE ESPACIOS</t>
        </is>
      </c>
      <c r="W62" t="n">
        <v>100101</v>
      </c>
      <c r="X62" t="inlineStr">
        <is>
          <t>CORPORATIVO</t>
        </is>
      </c>
      <c r="Y62" t="n">
        <v>4</v>
      </c>
      <c r="Z62" t="inlineStr">
        <is>
          <t>CORPORATIVO</t>
        </is>
      </c>
      <c r="AA62" t="n">
        <v>1</v>
      </c>
      <c r="AB62" t="inlineStr">
        <is>
          <t>NEGOCIO EN MARCHA</t>
        </is>
      </c>
      <c r="AC62" t="n">
        <v>1</v>
      </c>
      <c r="AD62" t="inlineStr">
        <is>
          <t>BANCO</t>
        </is>
      </c>
      <c r="AE62" t="n">
        <v>1</v>
      </c>
      <c r="AF62" t="inlineStr">
        <is>
          <t>BACK</t>
        </is>
      </c>
      <c r="AG62" t="n">
        <v>100101</v>
      </c>
      <c r="AH62" t="inlineStr">
        <is>
          <t>CORPORATIVO</t>
        </is>
      </c>
      <c r="AI62" t="inlineStr">
        <is>
          <t>CMARTINEZ@BANCOBASE.COM</t>
        </is>
      </c>
      <c r="AJ62" s="151" t="n">
        <v>40603</v>
      </c>
      <c r="AK62" s="151" t="n"/>
      <c r="AL62" s="151" t="n"/>
    </row>
    <row r="63" hidden="1" s="150">
      <c r="A63" t="inlineStr">
        <is>
          <t>ALIMON</t>
        </is>
      </c>
      <c r="B63" t="n">
        <v>1620</v>
      </c>
      <c r="C63" t="inlineStr">
        <is>
          <t>ARTURO GONZALEZ LIMON</t>
        </is>
      </c>
      <c r="D63" t="n">
        <v>8989</v>
      </c>
      <c r="E63" t="inlineStr">
        <is>
          <t>ESPECIALISTA DE GESTION DE FACILIDADES</t>
        </is>
      </c>
      <c r="F63" t="inlineStr">
        <is>
          <t>MONTERREY</t>
        </is>
      </c>
      <c r="G63" t="n">
        <v>709</v>
      </c>
      <c r="H63" t="inlineStr">
        <is>
          <t>CARLOS JOAQUIN MARTINEZ OLVERA</t>
        </is>
      </c>
      <c r="I63" t="n">
        <v>8988</v>
      </c>
      <c r="J63" t="inlineStr">
        <is>
          <t>GERENTE DE GESTION DE FACILIDADES</t>
        </is>
      </c>
      <c r="K63" t="n">
        <v>1</v>
      </c>
      <c r="L63" t="inlineStr">
        <is>
          <t>PRESIDENCIA EJECUTIVA DEL CONSEJO</t>
        </is>
      </c>
      <c r="M63" t="n">
        <v>40</v>
      </c>
      <c r="N63" t="inlineStr">
        <is>
          <t>DIRECCION GENERAL BANCO BASE</t>
        </is>
      </c>
      <c r="O63" t="n">
        <v>420</v>
      </c>
      <c r="P63" t="inlineStr">
        <is>
          <t>DIRECCION ADMINISTRACION Y FINANZAS</t>
        </is>
      </c>
      <c r="Q63" t="n">
        <v>4220</v>
      </c>
      <c r="R63" t="inlineStr">
        <is>
          <t>DIRECCION DE ADMINISTRACION</t>
        </is>
      </c>
      <c r="S63" t="n">
        <v>42240</v>
      </c>
      <c r="T63" t="inlineStr">
        <is>
          <t>SUBDIRECCION DE COMPRAS Y HABILITACION DE ESPACIOS</t>
        </is>
      </c>
      <c r="U63" t="n">
        <v>422300</v>
      </c>
      <c r="V63" t="inlineStr">
        <is>
          <t>SUBDIRECCION DE COMPRAS Y HABILITACION DE ESPACIOS</t>
        </is>
      </c>
      <c r="W63" t="n">
        <v>100101</v>
      </c>
      <c r="X63" t="inlineStr">
        <is>
          <t>CORPORATIVO</t>
        </is>
      </c>
      <c r="Y63" t="n">
        <v>4</v>
      </c>
      <c r="Z63" t="inlineStr">
        <is>
          <t>CORPORATIVO</t>
        </is>
      </c>
      <c r="AA63" t="n">
        <v>1</v>
      </c>
      <c r="AB63" t="inlineStr">
        <is>
          <t>NEGOCIO EN MARCHA</t>
        </is>
      </c>
      <c r="AC63" t="n">
        <v>1</v>
      </c>
      <c r="AD63" t="inlineStr">
        <is>
          <t>BANCO</t>
        </is>
      </c>
      <c r="AE63" t="n">
        <v>1</v>
      </c>
      <c r="AF63" t="inlineStr">
        <is>
          <t>BACK</t>
        </is>
      </c>
      <c r="AG63" t="n">
        <v>100101</v>
      </c>
      <c r="AH63" t="inlineStr">
        <is>
          <t>CORPORATIVO</t>
        </is>
      </c>
      <c r="AI63" t="inlineStr">
        <is>
          <t>ALIMON@BANCOBASE.COM</t>
        </is>
      </c>
      <c r="AJ63" s="151" t="n">
        <v>42619</v>
      </c>
      <c r="AK63" s="151" t="n"/>
      <c r="AL63" s="151" t="n"/>
    </row>
    <row r="64" hidden="1" s="150">
      <c r="A64" t="inlineStr">
        <is>
          <t>LLOZANO</t>
        </is>
      </c>
      <c r="B64" t="n">
        <v>1473</v>
      </c>
      <c r="C64" t="inlineStr">
        <is>
          <t>LUIS FERNANDO LOZANO SUAREZ</t>
        </is>
      </c>
      <c r="D64" t="n">
        <v>8990</v>
      </c>
      <c r="E64" t="inlineStr">
        <is>
          <t>ESPECIALISTA DE GESTION DE FACILIDADES</t>
        </is>
      </c>
      <c r="F64" t="inlineStr">
        <is>
          <t>MONTERREY</t>
        </is>
      </c>
      <c r="G64" t="n">
        <v>709</v>
      </c>
      <c r="H64" t="inlineStr">
        <is>
          <t>CARLOS JOAQUIN MARTINEZ OLVERA</t>
        </is>
      </c>
      <c r="I64" t="n">
        <v>8988</v>
      </c>
      <c r="J64" t="inlineStr">
        <is>
          <t>GERENTE DE GESTION DE FACILIDADES</t>
        </is>
      </c>
      <c r="K64" t="n">
        <v>1</v>
      </c>
      <c r="L64" t="inlineStr">
        <is>
          <t>PRESIDENCIA EJECUTIVA DEL CONSEJO</t>
        </is>
      </c>
      <c r="M64" t="n">
        <v>40</v>
      </c>
      <c r="N64" t="inlineStr">
        <is>
          <t>DIRECCION GENERAL BANCO BASE</t>
        </is>
      </c>
      <c r="O64" t="n">
        <v>420</v>
      </c>
      <c r="P64" t="inlineStr">
        <is>
          <t>DIRECCION ADMINISTRACION Y FINANZAS</t>
        </is>
      </c>
      <c r="Q64" t="n">
        <v>4220</v>
      </c>
      <c r="R64" t="inlineStr">
        <is>
          <t>DIRECCION DE ADMINISTRACION</t>
        </is>
      </c>
      <c r="S64" t="n">
        <v>42240</v>
      </c>
      <c r="T64" t="inlineStr">
        <is>
          <t>SUBDIRECCION DE COMPRAS Y HABILITACION DE ESPACIOS</t>
        </is>
      </c>
      <c r="U64" t="n">
        <v>422300</v>
      </c>
      <c r="V64" t="inlineStr">
        <is>
          <t>SUBDIRECCION DE COMPRAS Y HABILITACION DE ESPACIOS</t>
        </is>
      </c>
      <c r="W64" t="n">
        <v>100101</v>
      </c>
      <c r="X64" t="inlineStr">
        <is>
          <t>CORPORATIVO</t>
        </is>
      </c>
      <c r="Y64" t="n">
        <v>4</v>
      </c>
      <c r="Z64" t="inlineStr">
        <is>
          <t>CORPORATIVO</t>
        </is>
      </c>
      <c r="AA64" t="n">
        <v>1</v>
      </c>
      <c r="AB64" t="inlineStr">
        <is>
          <t>NEGOCIO EN MARCHA</t>
        </is>
      </c>
      <c r="AC64" t="n">
        <v>1</v>
      </c>
      <c r="AD64" t="inlineStr">
        <is>
          <t>BANCO</t>
        </is>
      </c>
      <c r="AE64" t="n">
        <v>1</v>
      </c>
      <c r="AF64" t="inlineStr">
        <is>
          <t>BACK</t>
        </is>
      </c>
      <c r="AG64" t="n">
        <v>100101</v>
      </c>
      <c r="AH64" t="inlineStr">
        <is>
          <t>CORPORATIVO</t>
        </is>
      </c>
      <c r="AI64" t="inlineStr">
        <is>
          <t>LLOZANO@BANCOBASE.COM</t>
        </is>
      </c>
      <c r="AJ64" s="151" t="n">
        <v>42410</v>
      </c>
      <c r="AK64" s="151" t="n"/>
      <c r="AL64" s="151" t="n"/>
    </row>
    <row r="65" hidden="1" s="150">
      <c r="A65" t="inlineStr">
        <is>
          <t>MLOPEZGA</t>
        </is>
      </c>
      <c r="B65" t="n">
        <v>3162</v>
      </c>
      <c r="C65" t="inlineStr">
        <is>
          <t>MONTSERRAT LOPEZ GARCIA</t>
        </is>
      </c>
      <c r="D65" t="n">
        <v>5077</v>
      </c>
      <c r="E65" t="inlineStr">
        <is>
          <t>COORDINADOR DE ABASTECIMIENTOS</t>
        </is>
      </c>
      <c r="F65" t="inlineStr">
        <is>
          <t>MONTERREY</t>
        </is>
      </c>
      <c r="G65" t="n">
        <v>444</v>
      </c>
      <c r="H65" t="inlineStr">
        <is>
          <t>MARIO LUDWIN HERMOSILLO BENITEZ</t>
        </is>
      </c>
      <c r="I65" t="n">
        <v>10024</v>
      </c>
      <c r="J65" t="inlineStr">
        <is>
          <t>SUBDIRECTOR DE COMPRAS Y HABILITACION DE ESPACIOS</t>
        </is>
      </c>
      <c r="K65" t="n">
        <v>1</v>
      </c>
      <c r="L65" t="inlineStr">
        <is>
          <t>PRESIDENCIA EJECUTIVA DEL CONSEJO</t>
        </is>
      </c>
      <c r="M65" t="n">
        <v>40</v>
      </c>
      <c r="N65" t="inlineStr">
        <is>
          <t>DIRECCION GENERAL BANCO BASE</t>
        </is>
      </c>
      <c r="O65" t="n">
        <v>420</v>
      </c>
      <c r="P65" t="inlineStr">
        <is>
          <t>DIRECCION ADMINISTRACION Y FINANZAS</t>
        </is>
      </c>
      <c r="Q65" t="n">
        <v>4220</v>
      </c>
      <c r="R65" t="inlineStr">
        <is>
          <t>DIRECCION DE ADMINISTRACION</t>
        </is>
      </c>
      <c r="S65" t="n">
        <v>42240</v>
      </c>
      <c r="T65" t="inlineStr">
        <is>
          <t>SUBDIRECCION DE COMPRAS Y HABILITACION DE ESPACIOS</t>
        </is>
      </c>
      <c r="U65" t="n">
        <v>422316</v>
      </c>
      <c r="V65" t="inlineStr">
        <is>
          <t>GERENCIA CONTROL DE GASTOS Y ABASTECIMIENTO</t>
        </is>
      </c>
      <c r="W65" t="n">
        <v>100101</v>
      </c>
      <c r="X65" t="inlineStr">
        <is>
          <t>CORPORATIVO</t>
        </is>
      </c>
      <c r="Y65" t="n">
        <v>4</v>
      </c>
      <c r="Z65" t="inlineStr">
        <is>
          <t>CORPORATIVO</t>
        </is>
      </c>
      <c r="AA65" t="n">
        <v>1</v>
      </c>
      <c r="AB65" t="inlineStr">
        <is>
          <t>NEGOCIO EN MARCHA</t>
        </is>
      </c>
      <c r="AC65" t="n">
        <v>1</v>
      </c>
      <c r="AD65" t="inlineStr">
        <is>
          <t>BANCO</t>
        </is>
      </c>
      <c r="AE65" t="n">
        <v>1</v>
      </c>
      <c r="AF65" t="inlineStr">
        <is>
          <t>BACK</t>
        </is>
      </c>
      <c r="AG65" t="n">
        <v>100101</v>
      </c>
      <c r="AH65" t="inlineStr">
        <is>
          <t>CORPORATIVO</t>
        </is>
      </c>
      <c r="AI65" t="inlineStr">
        <is>
          <t>MLOPEZGA@BANCOBASE.COM</t>
        </is>
      </c>
      <c r="AJ65" s="151" t="n">
        <v>45489</v>
      </c>
      <c r="AK65" s="151" t="n"/>
      <c r="AL65" s="151" t="n"/>
    </row>
    <row r="66" hidden="1" s="150">
      <c r="A66" t="inlineStr">
        <is>
          <t>AGUILLENT</t>
        </is>
      </c>
      <c r="B66" t="n">
        <v>3994</v>
      </c>
      <c r="C66" t="inlineStr">
        <is>
          <t>ARECLY YADIRA GUILLEN TOVAR</t>
        </is>
      </c>
      <c r="D66" t="n">
        <v>9527</v>
      </c>
      <c r="E66" t="inlineStr">
        <is>
          <t>ANALISTA DE ABASTECIMIENTO SR</t>
        </is>
      </c>
      <c r="F66" t="inlineStr">
        <is>
          <t>MONTERREY</t>
        </is>
      </c>
      <c r="G66" t="n">
        <v>3162</v>
      </c>
      <c r="H66" t="inlineStr">
        <is>
          <t>MONTSERRAT LOPEZ GARCIA</t>
        </is>
      </c>
      <c r="I66" t="n">
        <v>5077</v>
      </c>
      <c r="J66" t="inlineStr">
        <is>
          <t>COORDINADOR DE ABASTECIMIENTOS</t>
        </is>
      </c>
      <c r="K66" t="n">
        <v>1</v>
      </c>
      <c r="L66" t="inlineStr">
        <is>
          <t>PRESIDENCIA EJECUTIVA DEL CONSEJO</t>
        </is>
      </c>
      <c r="M66" t="n">
        <v>40</v>
      </c>
      <c r="N66" t="inlineStr">
        <is>
          <t>DIRECCION GENERAL BANCO BASE</t>
        </is>
      </c>
      <c r="O66" t="n">
        <v>420</v>
      </c>
      <c r="P66" t="inlineStr">
        <is>
          <t>DIRECCION ADMINISTRACION Y FINANZAS</t>
        </is>
      </c>
      <c r="Q66" t="n">
        <v>4220</v>
      </c>
      <c r="R66" t="inlineStr">
        <is>
          <t>DIRECCION DE ADMINISTRACION</t>
        </is>
      </c>
      <c r="S66" t="n">
        <v>42240</v>
      </c>
      <c r="T66" t="inlineStr">
        <is>
          <t>SUBDIRECCION DE COMPRAS Y HABILITACION DE ESPACIOS</t>
        </is>
      </c>
      <c r="U66" t="n">
        <v>422316</v>
      </c>
      <c r="V66" t="inlineStr">
        <is>
          <t>GERENCIA CONTROL DE GASTOS Y ABASTECIMIENTO</t>
        </is>
      </c>
      <c r="W66" t="n">
        <v>100101</v>
      </c>
      <c r="X66" t="inlineStr">
        <is>
          <t>CORPORATIVO</t>
        </is>
      </c>
      <c r="Y66" t="n">
        <v>4</v>
      </c>
      <c r="Z66" t="inlineStr">
        <is>
          <t>CORPORATIVO</t>
        </is>
      </c>
      <c r="AA66" t="n">
        <v>1</v>
      </c>
      <c r="AB66" t="inlineStr">
        <is>
          <t>NEGOCIO EN MARCHA</t>
        </is>
      </c>
      <c r="AC66" t="n">
        <v>1</v>
      </c>
      <c r="AD66" t="inlineStr">
        <is>
          <t>BANCO</t>
        </is>
      </c>
      <c r="AE66" t="n">
        <v>1</v>
      </c>
      <c r="AF66" t="inlineStr">
        <is>
          <t>BACK</t>
        </is>
      </c>
      <c r="AG66" t="n">
        <v>100101</v>
      </c>
      <c r="AH66" t="inlineStr">
        <is>
          <t>CORPORATIVO</t>
        </is>
      </c>
      <c r="AI66" t="inlineStr">
        <is>
          <t>AGUILLENT@BANCOBASE.COM</t>
        </is>
      </c>
      <c r="AJ66" s="151" t="n">
        <v>46251</v>
      </c>
      <c r="AK66" s="151" t="n"/>
      <c r="AL66" s="151" t="n"/>
    </row>
    <row r="67" hidden="1" s="150">
      <c r="A67" t="inlineStr">
        <is>
          <t>LURIBE</t>
        </is>
      </c>
      <c r="B67" t="n">
        <v>3077</v>
      </c>
      <c r="C67" t="inlineStr">
        <is>
          <t>LUIS FELIPE URIBE LOPEZ</t>
        </is>
      </c>
      <c r="D67" t="n">
        <v>10197</v>
      </c>
      <c r="E67" t="inlineStr">
        <is>
          <t>ANALISTA DE ABASTECIMIENTO</t>
        </is>
      </c>
      <c r="F67" t="inlineStr">
        <is>
          <t>MONTERREY</t>
        </is>
      </c>
      <c r="G67" t="n">
        <v>3162</v>
      </c>
      <c r="H67" t="inlineStr">
        <is>
          <t>MONTSERRAT LOPEZ GARCIA</t>
        </is>
      </c>
      <c r="I67" t="n">
        <v>5077</v>
      </c>
      <c r="J67" t="inlineStr">
        <is>
          <t>COORDINADOR DE ABASTECIMIENTOS</t>
        </is>
      </c>
      <c r="K67" t="n">
        <v>1</v>
      </c>
      <c r="L67" t="inlineStr">
        <is>
          <t>PRESIDENCIA EJECUTIVA DEL CONSEJO</t>
        </is>
      </c>
      <c r="M67" t="n">
        <v>40</v>
      </c>
      <c r="N67" t="inlineStr">
        <is>
          <t>DIRECCION GENERAL BANCO BASE</t>
        </is>
      </c>
      <c r="O67" t="n">
        <v>420</v>
      </c>
      <c r="P67" t="inlineStr">
        <is>
          <t>DIRECCION ADMINISTRACION Y FINANZAS</t>
        </is>
      </c>
      <c r="Q67" t="n">
        <v>4220</v>
      </c>
      <c r="R67" t="inlineStr">
        <is>
          <t>DIRECCION DE ADMINISTRACION</t>
        </is>
      </c>
      <c r="S67" t="n">
        <v>42240</v>
      </c>
      <c r="T67" t="inlineStr">
        <is>
          <t>SUBDIRECCION DE COMPRAS Y HABILITACION DE ESPACIOS</t>
        </is>
      </c>
      <c r="U67" t="n">
        <v>422316</v>
      </c>
      <c r="V67" t="inlineStr">
        <is>
          <t>GERENCIA CONTROL DE GASTOS Y ABASTECIMIENTO</t>
        </is>
      </c>
      <c r="W67" t="n">
        <v>100101</v>
      </c>
      <c r="X67" t="inlineStr">
        <is>
          <t>CORPORATIVO</t>
        </is>
      </c>
      <c r="Y67" t="n">
        <v>4</v>
      </c>
      <c r="Z67" t="inlineStr">
        <is>
          <t>CORPORATIVO</t>
        </is>
      </c>
      <c r="AA67" t="n">
        <v>1</v>
      </c>
      <c r="AB67" t="inlineStr">
        <is>
          <t>NEGOCIO EN MARCHA</t>
        </is>
      </c>
      <c r="AC67" t="n">
        <v>1</v>
      </c>
      <c r="AD67" t="inlineStr">
        <is>
          <t>BANCO</t>
        </is>
      </c>
      <c r="AE67" t="n">
        <v>1</v>
      </c>
      <c r="AF67" t="inlineStr">
        <is>
          <t>BACK</t>
        </is>
      </c>
      <c r="AG67" t="n">
        <v>100101</v>
      </c>
      <c r="AH67" t="inlineStr">
        <is>
          <t>CORPORATIVO</t>
        </is>
      </c>
      <c r="AI67" t="inlineStr">
        <is>
          <t>LURIBE@BANCOBASE.COM</t>
        </is>
      </c>
      <c r="AJ67" s="151" t="n">
        <v>45398</v>
      </c>
      <c r="AK67" s="151" t="n"/>
      <c r="AL67" s="151" t="n"/>
    </row>
    <row r="68" hidden="1" s="150">
      <c r="A68" t="inlineStr">
        <is>
          <t>BVAZQUEZM</t>
        </is>
      </c>
      <c r="B68" t="n">
        <v>3961</v>
      </c>
      <c r="C68" t="inlineStr">
        <is>
          <t>BELINDA VAZQUEZ MADRIGAL</t>
        </is>
      </c>
      <c r="D68" t="n">
        <v>9123</v>
      </c>
      <c r="E68" t="inlineStr">
        <is>
          <t>ANALISTA DE SOPORTE ADMINISTRATIVO</t>
        </is>
      </c>
      <c r="F68" t="inlineStr">
        <is>
          <t>MONTERREY</t>
        </is>
      </c>
      <c r="G68" t="n">
        <v>3162</v>
      </c>
      <c r="H68" t="inlineStr">
        <is>
          <t>MONTSERRAT LOPEZ GARCIA</t>
        </is>
      </c>
      <c r="I68" t="n">
        <v>5077</v>
      </c>
      <c r="J68" t="inlineStr">
        <is>
          <t>COORDINADOR DE ABASTECIMIENTOS</t>
        </is>
      </c>
      <c r="K68" t="n">
        <v>1</v>
      </c>
      <c r="L68" t="inlineStr">
        <is>
          <t>PRESIDENCIA EJECUTIVA DEL CONSEJO</t>
        </is>
      </c>
      <c r="M68" t="n">
        <v>40</v>
      </c>
      <c r="N68" t="inlineStr">
        <is>
          <t>DIRECCION GENERAL BANCO BASE</t>
        </is>
      </c>
      <c r="O68" t="n">
        <v>420</v>
      </c>
      <c r="P68" t="inlineStr">
        <is>
          <t>DIRECCION ADMINISTRACION Y FINANZAS</t>
        </is>
      </c>
      <c r="Q68" t="n">
        <v>4220</v>
      </c>
      <c r="R68" t="inlineStr">
        <is>
          <t>DIRECCION DE ADMINISTRACION</t>
        </is>
      </c>
      <c r="S68" t="n">
        <v>42240</v>
      </c>
      <c r="T68" t="inlineStr">
        <is>
          <t>SUBDIRECCION DE COMPRAS Y HABILITACION DE ESPACIOS</t>
        </is>
      </c>
      <c r="U68" t="n">
        <v>422316</v>
      </c>
      <c r="V68" t="inlineStr">
        <is>
          <t>GERENCIA CONTROL DE GASTOS Y ABASTECIMIENTO</t>
        </is>
      </c>
      <c r="W68" t="n">
        <v>100101</v>
      </c>
      <c r="X68" t="inlineStr">
        <is>
          <t>CORPORATIVO</t>
        </is>
      </c>
      <c r="Y68" t="n">
        <v>4</v>
      </c>
      <c r="Z68" t="inlineStr">
        <is>
          <t>CORPORATIVO</t>
        </is>
      </c>
      <c r="AA68" t="n">
        <v>1</v>
      </c>
      <c r="AB68" t="inlineStr">
        <is>
          <t>NEGOCIO EN MARCHA</t>
        </is>
      </c>
      <c r="AC68" t="n">
        <v>1</v>
      </c>
      <c r="AD68" t="inlineStr">
        <is>
          <t>BANCO</t>
        </is>
      </c>
      <c r="AE68" t="n">
        <v>1</v>
      </c>
      <c r="AF68" t="inlineStr">
        <is>
          <t>BACK</t>
        </is>
      </c>
      <c r="AG68" t="n">
        <v>100101</v>
      </c>
      <c r="AH68" t="inlineStr">
        <is>
          <t>CORPORATIVO</t>
        </is>
      </c>
      <c r="AI68" t="inlineStr">
        <is>
          <t>BVAZQUEZM@BANCOBASE.COM</t>
        </is>
      </c>
      <c r="AJ68" s="151" t="n">
        <v>46237</v>
      </c>
      <c r="AK68" s="151" t="n"/>
      <c r="AL68" s="151" t="n"/>
    </row>
    <row r="69" hidden="1" s="150">
      <c r="A69" t="inlineStr">
        <is>
          <t>ACRUZY</t>
        </is>
      </c>
      <c r="B69" t="n">
        <v>2977</v>
      </c>
      <c r="C69" t="inlineStr">
        <is>
          <t>LUIS ALEJANDRO DE LA CRUZ YAÑEZ</t>
        </is>
      </c>
      <c r="D69" t="n">
        <v>9626</v>
      </c>
      <c r="E69" t="inlineStr">
        <is>
          <t>AUXILIAR DE SEGURIDAD</t>
        </is>
      </c>
      <c r="F69" t="inlineStr">
        <is>
          <t>MONTERREY</t>
        </is>
      </c>
      <c r="I69" t="n">
        <v>9010</v>
      </c>
      <c r="J69" t="inlineStr">
        <is>
          <t>COORDINADOR DE SEGURIDAD</t>
        </is>
      </c>
      <c r="K69" t="n">
        <v>1</v>
      </c>
      <c r="L69" t="inlineStr">
        <is>
          <t>PRESIDENCIA EJECUTIVA DEL CONSEJO</t>
        </is>
      </c>
      <c r="M69" t="n">
        <v>40</v>
      </c>
      <c r="N69" t="inlineStr">
        <is>
          <t>DIRECCION GENERAL BANCO BASE</t>
        </is>
      </c>
      <c r="O69" t="n">
        <v>420</v>
      </c>
      <c r="P69" t="inlineStr">
        <is>
          <t>DIRECCION ADMINISTRACION Y FINANZAS</t>
        </is>
      </c>
      <c r="Q69" t="n">
        <v>4220</v>
      </c>
      <c r="R69" t="inlineStr">
        <is>
          <t>DIRECCION DE ADMINISTRACION</t>
        </is>
      </c>
      <c r="S69" t="n">
        <v>42240</v>
      </c>
      <c r="T69" t="inlineStr">
        <is>
          <t>SUBDIRECCION DE COMPRAS Y HABILITACION DE ESPACIOS</t>
        </is>
      </c>
      <c r="U69" t="n">
        <v>422320</v>
      </c>
      <c r="V69" t="inlineStr">
        <is>
          <t>SEGURIDAD CORPORATIVA</t>
        </is>
      </c>
      <c r="W69" t="n">
        <v>100101</v>
      </c>
      <c r="X69" t="inlineStr">
        <is>
          <t>CORPORATIVO</t>
        </is>
      </c>
      <c r="Y69" t="n">
        <v>4</v>
      </c>
      <c r="Z69" t="inlineStr">
        <is>
          <t>CORPORATIVO</t>
        </is>
      </c>
      <c r="AA69" t="n">
        <v>1</v>
      </c>
      <c r="AB69" t="inlineStr">
        <is>
          <t>NEGOCIO EN MARCHA</t>
        </is>
      </c>
      <c r="AC69" t="n">
        <v>1</v>
      </c>
      <c r="AD69" t="inlineStr">
        <is>
          <t>BANCO</t>
        </is>
      </c>
      <c r="AE69" t="n">
        <v>1</v>
      </c>
      <c r="AF69" t="inlineStr">
        <is>
          <t>BACK</t>
        </is>
      </c>
      <c r="AG69" t="n">
        <v>100101</v>
      </c>
      <c r="AH69" t="inlineStr">
        <is>
          <t>CORPORATIVO</t>
        </is>
      </c>
      <c r="AI69" t="inlineStr">
        <is>
          <t>ACRUZY@BANCOBASE.COM</t>
        </is>
      </c>
      <c r="AJ69" s="151" t="n">
        <v>45231</v>
      </c>
      <c r="AK69" s="151" t="n"/>
      <c r="AL69" s="151" t="n"/>
    </row>
    <row r="70" hidden="1" s="150">
      <c r="A70" t="inlineStr">
        <is>
          <t>AGALLEGOS</t>
        </is>
      </c>
      <c r="B70" t="n">
        <v>756</v>
      </c>
      <c r="C70" t="inlineStr">
        <is>
          <t>AMELIA GALLEGOS GALVAN</t>
        </is>
      </c>
      <c r="D70" t="n">
        <v>47</v>
      </c>
      <c r="E70" t="inlineStr">
        <is>
          <t>GERENTE DE CONTABILIDAD</t>
        </is>
      </c>
      <c r="F70" t="inlineStr">
        <is>
          <t>MONTERREY</t>
        </is>
      </c>
      <c r="G70" t="n">
        <v>209</v>
      </c>
      <c r="H70" t="inlineStr">
        <is>
          <t>ROBERTO MUÑOZ SALAZAR</t>
        </is>
      </c>
      <c r="I70" t="n">
        <v>9463</v>
      </c>
      <c r="J70" t="inlineStr">
        <is>
          <t>DIRECTOR DE ADMINISTRACION</t>
        </is>
      </c>
      <c r="K70" t="n">
        <v>1</v>
      </c>
      <c r="L70" t="inlineStr">
        <is>
          <t>PRESIDENCIA EJECUTIVA DEL CONSEJO</t>
        </is>
      </c>
      <c r="M70" t="n">
        <v>40</v>
      </c>
      <c r="N70" t="inlineStr">
        <is>
          <t>DIRECCION GENERAL BANCO BASE</t>
        </is>
      </c>
      <c r="O70" t="n">
        <v>420</v>
      </c>
      <c r="P70" t="inlineStr">
        <is>
          <t>DIRECCION ADMINISTRACION Y FINANZAS</t>
        </is>
      </c>
      <c r="Q70" t="n">
        <v>4220</v>
      </c>
      <c r="R70" t="inlineStr">
        <is>
          <t>DIRECCION DE ADMINISTRACION</t>
        </is>
      </c>
      <c r="S70" t="n">
        <v>42210</v>
      </c>
      <c r="T70" t="inlineStr">
        <is>
          <t>GERENCIA DE CONTABILIDAD</t>
        </is>
      </c>
      <c r="U70" t="n">
        <v>422101</v>
      </c>
      <c r="V70" t="inlineStr">
        <is>
          <t>CONTABILIDAD</t>
        </is>
      </c>
      <c r="W70" t="n">
        <v>100101</v>
      </c>
      <c r="X70" t="inlineStr">
        <is>
          <t>CORPORATIVO</t>
        </is>
      </c>
      <c r="Y70" t="n">
        <v>4</v>
      </c>
      <c r="Z70" t="inlineStr">
        <is>
          <t>CORPORATIVO</t>
        </is>
      </c>
      <c r="AA70" t="n">
        <v>1</v>
      </c>
      <c r="AB70" t="inlineStr">
        <is>
          <t>NEGOCIO EN MARCHA</t>
        </is>
      </c>
      <c r="AC70" t="n">
        <v>1</v>
      </c>
      <c r="AD70" t="inlineStr">
        <is>
          <t>BANCO</t>
        </is>
      </c>
      <c r="AE70" t="n">
        <v>1</v>
      </c>
      <c r="AF70" t="inlineStr">
        <is>
          <t>BACK</t>
        </is>
      </c>
      <c r="AG70" t="n">
        <v>100101</v>
      </c>
      <c r="AH70" t="inlineStr">
        <is>
          <t>CORPORATIVO</t>
        </is>
      </c>
      <c r="AI70" t="inlineStr">
        <is>
          <t>AGALLEGOS@BANCOBASE.COM</t>
        </is>
      </c>
      <c r="AJ70" s="151" t="n">
        <v>40725</v>
      </c>
      <c r="AK70" s="151" t="n"/>
      <c r="AL70" s="151" t="n"/>
    </row>
    <row r="71" hidden="1" s="150">
      <c r="A71" t="inlineStr">
        <is>
          <t>AHERNANDES</t>
        </is>
      </c>
      <c r="B71" t="n">
        <v>1056</v>
      </c>
      <c r="C71" t="inlineStr">
        <is>
          <t>ARACELI HERNANDEZ SANCHEZ</t>
        </is>
      </c>
      <c r="D71" t="n">
        <v>8384</v>
      </c>
      <c r="E71" t="inlineStr">
        <is>
          <t>COORDINADOR DE CONTABILIDAD</t>
        </is>
      </c>
      <c r="F71" t="inlineStr">
        <is>
          <t>MONTERREY</t>
        </is>
      </c>
      <c r="G71" t="n">
        <v>756</v>
      </c>
      <c r="H71" t="inlineStr">
        <is>
          <t>AMELIA GALLEGOS GALVAN</t>
        </is>
      </c>
      <c r="I71" t="n">
        <v>47</v>
      </c>
      <c r="J71" t="inlineStr">
        <is>
          <t>GERENTE DE CONTABILIDAD</t>
        </is>
      </c>
      <c r="K71" t="n">
        <v>1</v>
      </c>
      <c r="L71" t="inlineStr">
        <is>
          <t>PRESIDENCIA EJECUTIVA DEL CONSEJO</t>
        </is>
      </c>
      <c r="M71" t="n">
        <v>40</v>
      </c>
      <c r="N71" t="inlineStr">
        <is>
          <t>DIRECCION GENERAL BANCO BASE</t>
        </is>
      </c>
      <c r="O71" t="n">
        <v>420</v>
      </c>
      <c r="P71" t="inlineStr">
        <is>
          <t>DIRECCION ADMINISTRACION Y FINANZAS</t>
        </is>
      </c>
      <c r="Q71" t="n">
        <v>4220</v>
      </c>
      <c r="R71" t="inlineStr">
        <is>
          <t>DIRECCION DE ADMINISTRACION</t>
        </is>
      </c>
      <c r="S71" t="n">
        <v>42210</v>
      </c>
      <c r="T71" t="inlineStr">
        <is>
          <t>GERENCIA DE CONTABILIDAD</t>
        </is>
      </c>
      <c r="U71" t="n">
        <v>422101</v>
      </c>
      <c r="V71" t="inlineStr">
        <is>
          <t>CONTABILIDAD</t>
        </is>
      </c>
      <c r="W71" t="n">
        <v>100101</v>
      </c>
      <c r="X71" t="inlineStr">
        <is>
          <t>CORPORATIVO</t>
        </is>
      </c>
      <c r="Y71" t="n">
        <v>4</v>
      </c>
      <c r="Z71" t="inlineStr">
        <is>
          <t>CORPORATIVO</t>
        </is>
      </c>
      <c r="AA71" t="n">
        <v>1</v>
      </c>
      <c r="AB71" t="inlineStr">
        <is>
          <t>NEGOCIO EN MARCHA</t>
        </is>
      </c>
      <c r="AC71" t="n">
        <v>1</v>
      </c>
      <c r="AD71" t="inlineStr">
        <is>
          <t>BANCO</t>
        </is>
      </c>
      <c r="AE71" t="n">
        <v>1</v>
      </c>
      <c r="AF71" t="inlineStr">
        <is>
          <t>BACK</t>
        </is>
      </c>
      <c r="AG71" t="n">
        <v>100101</v>
      </c>
      <c r="AH71" t="inlineStr">
        <is>
          <t>CORPORATIVO</t>
        </is>
      </c>
      <c r="AI71" t="inlineStr">
        <is>
          <t>AHERNANDES@BANCOBASE.COM</t>
        </is>
      </c>
      <c r="AJ71" s="151" t="n">
        <v>41502</v>
      </c>
      <c r="AK71" s="151" t="n"/>
      <c r="AL71" s="151" t="n"/>
    </row>
    <row r="72" hidden="1" s="150">
      <c r="A72" t="inlineStr">
        <is>
          <t>ASALINASV</t>
        </is>
      </c>
      <c r="B72" t="n">
        <v>3006</v>
      </c>
      <c r="C72" t="inlineStr">
        <is>
          <t>ALONDRA MONSERRAT SALINAS VARGAS</t>
        </is>
      </c>
      <c r="D72" t="n">
        <v>8275</v>
      </c>
      <c r="E72" t="inlineStr">
        <is>
          <t>ANALISTA CONTABLE</t>
        </is>
      </c>
      <c r="F72" t="inlineStr">
        <is>
          <t>MONTERREY</t>
        </is>
      </c>
      <c r="G72" t="n">
        <v>1056</v>
      </c>
      <c r="H72" t="inlineStr">
        <is>
          <t>ARACELI HERNANDEZ SANCHEZ</t>
        </is>
      </c>
      <c r="I72" t="n">
        <v>8384</v>
      </c>
      <c r="J72" t="inlineStr">
        <is>
          <t>COORDINADOR DE CONTABILIDAD</t>
        </is>
      </c>
      <c r="K72" t="n">
        <v>1</v>
      </c>
      <c r="L72" t="inlineStr">
        <is>
          <t>PRESIDENCIA EJECUTIVA DEL CONSEJO</t>
        </is>
      </c>
      <c r="M72" t="n">
        <v>40</v>
      </c>
      <c r="N72" t="inlineStr">
        <is>
          <t>DIRECCION GENERAL BANCO BASE</t>
        </is>
      </c>
      <c r="O72" t="n">
        <v>420</v>
      </c>
      <c r="P72" t="inlineStr">
        <is>
          <t>DIRECCION ADMINISTRACION Y FINANZAS</t>
        </is>
      </c>
      <c r="Q72" t="n">
        <v>4220</v>
      </c>
      <c r="R72" t="inlineStr">
        <is>
          <t>DIRECCION DE ADMINISTRACION</t>
        </is>
      </c>
      <c r="S72" t="n">
        <v>42210</v>
      </c>
      <c r="T72" t="inlineStr">
        <is>
          <t>GERENCIA DE CONTABILIDAD</t>
        </is>
      </c>
      <c r="U72" t="n">
        <v>422101</v>
      </c>
      <c r="V72" t="inlineStr">
        <is>
          <t>CONTABILIDAD</t>
        </is>
      </c>
      <c r="W72" t="n">
        <v>100101</v>
      </c>
      <c r="X72" t="inlineStr">
        <is>
          <t>CORPORATIVO</t>
        </is>
      </c>
      <c r="Y72" t="n">
        <v>4</v>
      </c>
      <c r="Z72" t="inlineStr">
        <is>
          <t>CORPORATIVO</t>
        </is>
      </c>
      <c r="AA72" t="n">
        <v>1</v>
      </c>
      <c r="AB72" t="inlineStr">
        <is>
          <t>NEGOCIO EN MARCHA</t>
        </is>
      </c>
      <c r="AC72" t="n">
        <v>1</v>
      </c>
      <c r="AD72" t="inlineStr">
        <is>
          <t>BANCO</t>
        </is>
      </c>
      <c r="AE72" t="n">
        <v>1</v>
      </c>
      <c r="AF72" t="inlineStr">
        <is>
          <t>BACK</t>
        </is>
      </c>
      <c r="AG72" t="n">
        <v>100101</v>
      </c>
      <c r="AH72" t="inlineStr">
        <is>
          <t>CORPORATIVO</t>
        </is>
      </c>
      <c r="AI72" t="inlineStr">
        <is>
          <t>ASALINASV@BANCOBASE.COM</t>
        </is>
      </c>
      <c r="AJ72" s="151" t="n">
        <v>45293</v>
      </c>
      <c r="AK72" s="151" t="n"/>
      <c r="AL72" s="151" t="n"/>
    </row>
    <row r="73" hidden="1" s="150">
      <c r="A73" t="inlineStr">
        <is>
          <t>EPENA</t>
        </is>
      </c>
      <c r="B73" t="n">
        <v>2074</v>
      </c>
      <c r="C73" t="inlineStr">
        <is>
          <t>CYNTHIA ESTHELA PEÑA MARTINEZ</t>
        </is>
      </c>
      <c r="D73" t="n">
        <v>8385</v>
      </c>
      <c r="E73" t="inlineStr">
        <is>
          <t>COORDINADOR DE CONTABILIDAD</t>
        </is>
      </c>
      <c r="F73" t="inlineStr">
        <is>
          <t>MONTERREY</t>
        </is>
      </c>
      <c r="G73" t="n">
        <v>756</v>
      </c>
      <c r="H73" t="inlineStr">
        <is>
          <t>AMELIA GALLEGOS GALVAN</t>
        </is>
      </c>
      <c r="I73" t="n">
        <v>47</v>
      </c>
      <c r="J73" t="inlineStr">
        <is>
          <t>GERENTE DE CONTABILIDAD</t>
        </is>
      </c>
      <c r="K73" t="n">
        <v>1</v>
      </c>
      <c r="L73" t="inlineStr">
        <is>
          <t>PRESIDENCIA EJECUTIVA DEL CONSEJO</t>
        </is>
      </c>
      <c r="M73" t="n">
        <v>40</v>
      </c>
      <c r="N73" t="inlineStr">
        <is>
          <t>DIRECCION GENERAL BANCO BASE</t>
        </is>
      </c>
      <c r="O73" t="n">
        <v>420</v>
      </c>
      <c r="P73" t="inlineStr">
        <is>
          <t>DIRECCION ADMINISTRACION Y FINANZAS</t>
        </is>
      </c>
      <c r="Q73" t="n">
        <v>4220</v>
      </c>
      <c r="R73" t="inlineStr">
        <is>
          <t>DIRECCION DE ADMINISTRACION</t>
        </is>
      </c>
      <c r="S73" t="n">
        <v>42210</v>
      </c>
      <c r="T73" t="inlineStr">
        <is>
          <t>GERENCIA DE CONTABILIDAD</t>
        </is>
      </c>
      <c r="U73" t="n">
        <v>422101</v>
      </c>
      <c r="V73" t="inlineStr">
        <is>
          <t>CONTABILIDAD</t>
        </is>
      </c>
      <c r="W73" t="n">
        <v>100101</v>
      </c>
      <c r="X73" t="inlineStr">
        <is>
          <t>CORPORATIVO</t>
        </is>
      </c>
      <c r="Y73" t="n">
        <v>4</v>
      </c>
      <c r="Z73" t="inlineStr">
        <is>
          <t>CORPORATIVO</t>
        </is>
      </c>
      <c r="AA73" t="n">
        <v>1</v>
      </c>
      <c r="AB73" t="inlineStr">
        <is>
          <t>NEGOCIO EN MARCHA</t>
        </is>
      </c>
      <c r="AC73" t="n">
        <v>1</v>
      </c>
      <c r="AD73" t="inlineStr">
        <is>
          <t>BANCO</t>
        </is>
      </c>
      <c r="AE73" t="n">
        <v>1</v>
      </c>
      <c r="AF73" t="inlineStr">
        <is>
          <t>BACK</t>
        </is>
      </c>
      <c r="AG73" t="n">
        <v>100101</v>
      </c>
      <c r="AH73" t="inlineStr">
        <is>
          <t>CORPORATIVO</t>
        </is>
      </c>
      <c r="AI73" t="inlineStr">
        <is>
          <t>EPENA@BANCOBASE.COM</t>
        </is>
      </c>
      <c r="AJ73" s="151" t="n">
        <v>43328</v>
      </c>
      <c r="AK73" s="151" t="n"/>
      <c r="AL73" s="151" t="n"/>
    </row>
    <row r="74" hidden="1" s="150">
      <c r="A74" t="inlineStr">
        <is>
          <t>ACANO</t>
        </is>
      </c>
      <c r="B74" t="n">
        <v>2884</v>
      </c>
      <c r="C74" t="inlineStr">
        <is>
          <t>AXEL JOAN CANO ESPINOZA</t>
        </is>
      </c>
      <c r="D74" t="n">
        <v>8134</v>
      </c>
      <c r="E74" t="inlineStr">
        <is>
          <t>ANALISTA CONTABLE</t>
        </is>
      </c>
      <c r="F74" t="inlineStr">
        <is>
          <t>MONTERREY</t>
        </is>
      </c>
      <c r="G74" t="n">
        <v>2074</v>
      </c>
      <c r="H74" t="inlineStr">
        <is>
          <t>CYNTHIA ESTHELA PEÑA MARTINEZ</t>
        </is>
      </c>
      <c r="I74" t="n">
        <v>8385</v>
      </c>
      <c r="J74" t="inlineStr">
        <is>
          <t>COORDINADOR DE CONTABILIDAD</t>
        </is>
      </c>
      <c r="K74" t="n">
        <v>1</v>
      </c>
      <c r="L74" t="inlineStr">
        <is>
          <t>PRESIDENCIA EJECUTIVA DEL CONSEJO</t>
        </is>
      </c>
      <c r="M74" t="n">
        <v>40</v>
      </c>
      <c r="N74" t="inlineStr">
        <is>
          <t>DIRECCION GENERAL BANCO BASE</t>
        </is>
      </c>
      <c r="O74" t="n">
        <v>420</v>
      </c>
      <c r="P74" t="inlineStr">
        <is>
          <t>DIRECCION ADMINISTRACION Y FINANZAS</t>
        </is>
      </c>
      <c r="Q74" t="n">
        <v>4220</v>
      </c>
      <c r="R74" t="inlineStr">
        <is>
          <t>DIRECCION DE ADMINISTRACION</t>
        </is>
      </c>
      <c r="S74" t="n">
        <v>42210</v>
      </c>
      <c r="T74" t="inlineStr">
        <is>
          <t>GERENCIA DE CONTABILIDAD</t>
        </is>
      </c>
      <c r="U74" t="n">
        <v>422101</v>
      </c>
      <c r="V74" t="inlineStr">
        <is>
          <t>CONTABILIDAD</t>
        </is>
      </c>
      <c r="W74" t="n">
        <v>100101</v>
      </c>
      <c r="X74" t="inlineStr">
        <is>
          <t>CORPORATIVO</t>
        </is>
      </c>
      <c r="Y74" t="n">
        <v>4</v>
      </c>
      <c r="Z74" t="inlineStr">
        <is>
          <t>CORPORATIVO</t>
        </is>
      </c>
      <c r="AA74" t="n">
        <v>1</v>
      </c>
      <c r="AB74" t="inlineStr">
        <is>
          <t>NEGOCIO EN MARCHA</t>
        </is>
      </c>
      <c r="AC74" t="n">
        <v>1</v>
      </c>
      <c r="AD74" t="inlineStr">
        <is>
          <t>BANCO</t>
        </is>
      </c>
      <c r="AE74" t="n">
        <v>1</v>
      </c>
      <c r="AF74" t="inlineStr">
        <is>
          <t>BACK</t>
        </is>
      </c>
      <c r="AG74" t="n">
        <v>100101</v>
      </c>
      <c r="AH74" t="inlineStr">
        <is>
          <t>CORPORATIVO</t>
        </is>
      </c>
      <c r="AI74" t="inlineStr">
        <is>
          <t>ACANO@BANCOBASE.COM</t>
        </is>
      </c>
      <c r="AJ74" s="151" t="n">
        <v>45047</v>
      </c>
      <c r="AK74" s="151" t="n"/>
      <c r="AL74" s="151" t="n"/>
    </row>
    <row r="75" hidden="1" s="150">
      <c r="A75" t="inlineStr">
        <is>
          <t>MRAMIREZM</t>
        </is>
      </c>
      <c r="B75" t="n">
        <v>1941</v>
      </c>
      <c r="C75" t="inlineStr">
        <is>
          <t>MAGDA LIDIA RAMIREZ MARTINEZ</t>
        </is>
      </c>
      <c r="D75" t="n">
        <v>8230</v>
      </c>
      <c r="E75" t="inlineStr">
        <is>
          <t>COORDINADOR DE CUENTAS POR PAGAR</t>
        </is>
      </c>
      <c r="F75" t="inlineStr">
        <is>
          <t>MONTERREY</t>
        </is>
      </c>
      <c r="G75" t="n">
        <v>756</v>
      </c>
      <c r="H75" t="inlineStr">
        <is>
          <t>AMELIA GALLEGOS GALVAN</t>
        </is>
      </c>
      <c r="I75" t="n">
        <v>47</v>
      </c>
      <c r="J75" t="inlineStr">
        <is>
          <t>GERENTE DE CONTABILIDAD</t>
        </is>
      </c>
      <c r="K75" t="n">
        <v>1</v>
      </c>
      <c r="L75" t="inlineStr">
        <is>
          <t>PRESIDENCIA EJECUTIVA DEL CONSEJO</t>
        </is>
      </c>
      <c r="M75" t="n">
        <v>40</v>
      </c>
      <c r="N75" t="inlineStr">
        <is>
          <t>DIRECCION GENERAL BANCO BASE</t>
        </is>
      </c>
      <c r="O75" t="n">
        <v>420</v>
      </c>
      <c r="P75" t="inlineStr">
        <is>
          <t>DIRECCION ADMINISTRACION Y FINANZAS</t>
        </is>
      </c>
      <c r="Q75" t="n">
        <v>4220</v>
      </c>
      <c r="R75" t="inlineStr">
        <is>
          <t>DIRECCION DE ADMINISTRACION</t>
        </is>
      </c>
      <c r="S75" t="n">
        <v>42210</v>
      </c>
      <c r="T75" t="inlineStr">
        <is>
          <t>GERENCIA DE CONTABILIDAD</t>
        </is>
      </c>
      <c r="U75" t="n">
        <v>422101</v>
      </c>
      <c r="V75" t="inlineStr">
        <is>
          <t>CONTABILIDAD</t>
        </is>
      </c>
      <c r="W75" t="n">
        <v>100101</v>
      </c>
      <c r="X75" t="inlineStr">
        <is>
          <t>CORPORATIVO</t>
        </is>
      </c>
      <c r="Y75" t="n">
        <v>4</v>
      </c>
      <c r="Z75" t="inlineStr">
        <is>
          <t>CORPORATIVO</t>
        </is>
      </c>
      <c r="AA75" t="n">
        <v>1</v>
      </c>
      <c r="AB75" t="inlineStr">
        <is>
          <t>NEGOCIO EN MARCHA</t>
        </is>
      </c>
      <c r="AC75" t="n">
        <v>1</v>
      </c>
      <c r="AD75" t="inlineStr">
        <is>
          <t>BANCO</t>
        </is>
      </c>
      <c r="AE75" t="n">
        <v>1</v>
      </c>
      <c r="AF75" t="inlineStr">
        <is>
          <t>BACK</t>
        </is>
      </c>
      <c r="AG75" t="n">
        <v>100101</v>
      </c>
      <c r="AH75" t="inlineStr">
        <is>
          <t>CORPORATIVO</t>
        </is>
      </c>
      <c r="AI75" t="inlineStr">
        <is>
          <t>MRAMIREZM@BANCOBASE.COM</t>
        </is>
      </c>
      <c r="AJ75" s="151" t="n">
        <v>43147</v>
      </c>
      <c r="AK75" s="151" t="n"/>
      <c r="AL75" s="151" t="n"/>
    </row>
    <row r="76" hidden="1" s="150">
      <c r="A76" t="inlineStr">
        <is>
          <t>QLEIJA</t>
        </is>
      </c>
      <c r="B76" t="n">
        <v>3949</v>
      </c>
      <c r="C76" t="inlineStr">
        <is>
          <t>QUETZALY GUADALUPE LEIJA VILLALOBOS</t>
        </is>
      </c>
      <c r="D76" t="n">
        <v>9017</v>
      </c>
      <c r="E76" t="inlineStr">
        <is>
          <t>ANALISTA CUENTAS POR PAGAR</t>
        </is>
      </c>
      <c r="F76" t="inlineStr">
        <is>
          <t>MONTERREY</t>
        </is>
      </c>
      <c r="G76" t="n">
        <v>1941</v>
      </c>
      <c r="H76" t="inlineStr">
        <is>
          <t>MAGDA LIDIA RAMIREZ MARTINEZ</t>
        </is>
      </c>
      <c r="I76" t="n">
        <v>8230</v>
      </c>
      <c r="J76" t="inlineStr">
        <is>
          <t>COORDINADOR DE CUENTAS POR PAGAR</t>
        </is>
      </c>
      <c r="K76" t="n">
        <v>1</v>
      </c>
      <c r="L76" t="inlineStr">
        <is>
          <t>PRESIDENCIA EJECUTIVA DEL CONSEJO</t>
        </is>
      </c>
      <c r="M76" t="n">
        <v>40</v>
      </c>
      <c r="N76" t="inlineStr">
        <is>
          <t>DIRECCION GENERAL BANCO BASE</t>
        </is>
      </c>
      <c r="O76" t="n">
        <v>420</v>
      </c>
      <c r="P76" t="inlineStr">
        <is>
          <t>DIRECCION ADMINISTRACION Y FINANZAS</t>
        </is>
      </c>
      <c r="Q76" t="n">
        <v>4220</v>
      </c>
      <c r="R76" t="inlineStr">
        <is>
          <t>DIRECCION DE ADMINISTRACION</t>
        </is>
      </c>
      <c r="S76" t="n">
        <v>42210</v>
      </c>
      <c r="T76" t="inlineStr">
        <is>
          <t>GERENCIA DE CONTABILIDAD</t>
        </is>
      </c>
      <c r="U76" t="n">
        <v>422101</v>
      </c>
      <c r="V76" t="inlineStr">
        <is>
          <t>CONTABILIDAD</t>
        </is>
      </c>
      <c r="W76" t="n">
        <v>100101</v>
      </c>
      <c r="X76" t="inlineStr">
        <is>
          <t>CORPORATIVO</t>
        </is>
      </c>
      <c r="Y76" t="n">
        <v>4</v>
      </c>
      <c r="Z76" t="inlineStr">
        <is>
          <t>CORPORATIVO</t>
        </is>
      </c>
      <c r="AA76" t="n">
        <v>1</v>
      </c>
      <c r="AB76" t="inlineStr">
        <is>
          <t>NEGOCIO EN MARCHA</t>
        </is>
      </c>
      <c r="AC76" t="n">
        <v>1</v>
      </c>
      <c r="AD76" t="inlineStr">
        <is>
          <t>BANCO</t>
        </is>
      </c>
      <c r="AE76" t="n">
        <v>1</v>
      </c>
      <c r="AF76" t="inlineStr">
        <is>
          <t>BACK</t>
        </is>
      </c>
      <c r="AG76" t="n">
        <v>100101</v>
      </c>
      <c r="AH76" t="inlineStr">
        <is>
          <t>CORPORATIVO</t>
        </is>
      </c>
      <c r="AI76" t="inlineStr">
        <is>
          <t>QLEIJA@BANCOBASE.COM</t>
        </is>
      </c>
      <c r="AJ76" s="151" t="n">
        <v>46219</v>
      </c>
      <c r="AK76" s="151" t="n"/>
      <c r="AL76" s="151" t="n"/>
    </row>
    <row r="77" hidden="1" s="150">
      <c r="A77" t="inlineStr">
        <is>
          <t>VARMENDAR</t>
        </is>
      </c>
      <c r="B77" t="n">
        <v>3220</v>
      </c>
      <c r="C77" t="inlineStr">
        <is>
          <t>VALERIA SALOME ARMENDARIZ RAMIREZ</t>
        </is>
      </c>
      <c r="D77" t="n">
        <v>10423</v>
      </c>
      <c r="E77" t="inlineStr">
        <is>
          <t>ANALISTA CUENTAS POR PAGAR</t>
        </is>
      </c>
      <c r="F77" t="inlineStr">
        <is>
          <t>MONTERREY</t>
        </is>
      </c>
      <c r="G77" t="n">
        <v>1941</v>
      </c>
      <c r="H77" t="inlineStr">
        <is>
          <t>MAGDA LIDIA RAMIREZ MARTINEZ</t>
        </is>
      </c>
      <c r="I77" t="n">
        <v>8230</v>
      </c>
      <c r="J77" t="inlineStr">
        <is>
          <t>COORDINADOR DE CUENTAS POR PAGAR</t>
        </is>
      </c>
      <c r="K77" t="n">
        <v>1</v>
      </c>
      <c r="L77" t="inlineStr">
        <is>
          <t>PRESIDENCIA EJECUTIVA DEL CONSEJO</t>
        </is>
      </c>
      <c r="M77" t="n">
        <v>40</v>
      </c>
      <c r="N77" t="inlineStr">
        <is>
          <t>DIRECCION GENERAL BANCO BASE</t>
        </is>
      </c>
      <c r="O77" t="n">
        <v>420</v>
      </c>
      <c r="P77" t="inlineStr">
        <is>
          <t>DIRECCION ADMINISTRACION Y FINANZAS</t>
        </is>
      </c>
      <c r="Q77" t="n">
        <v>4220</v>
      </c>
      <c r="R77" t="inlineStr">
        <is>
          <t>DIRECCION DE ADMINISTRACION</t>
        </is>
      </c>
      <c r="S77" t="n">
        <v>42210</v>
      </c>
      <c r="T77" t="inlineStr">
        <is>
          <t>GERENCIA DE CONTABILIDAD</t>
        </is>
      </c>
      <c r="U77" t="n">
        <v>422101</v>
      </c>
      <c r="V77" t="inlineStr">
        <is>
          <t>CONTABILIDAD</t>
        </is>
      </c>
      <c r="W77" t="n">
        <v>100101</v>
      </c>
      <c r="X77" t="inlineStr">
        <is>
          <t>CORPORATIVO</t>
        </is>
      </c>
      <c r="Y77" t="n">
        <v>4</v>
      </c>
      <c r="Z77" t="inlineStr">
        <is>
          <t>CORPORATIVO</t>
        </is>
      </c>
      <c r="AA77" t="n">
        <v>1</v>
      </c>
      <c r="AB77" t="inlineStr">
        <is>
          <t>NEGOCIO EN MARCHA</t>
        </is>
      </c>
      <c r="AC77" t="n">
        <v>1</v>
      </c>
      <c r="AD77" t="inlineStr">
        <is>
          <t>BANCO</t>
        </is>
      </c>
      <c r="AE77" t="n">
        <v>1</v>
      </c>
      <c r="AF77" t="inlineStr">
        <is>
          <t>BACK</t>
        </is>
      </c>
      <c r="AG77" t="n">
        <v>100101</v>
      </c>
      <c r="AH77" t="inlineStr">
        <is>
          <t>CORPORATIVO</t>
        </is>
      </c>
      <c r="AI77" t="inlineStr">
        <is>
          <t>VARMENDAR@BANCOBASE.COM</t>
        </is>
      </c>
      <c r="AJ77" s="151" t="n">
        <v>45572</v>
      </c>
      <c r="AK77" s="151" t="n"/>
      <c r="AL77" s="151" t="n"/>
    </row>
    <row r="78" hidden="1" s="150">
      <c r="A78" t="inlineStr">
        <is>
          <t>JLARAR</t>
        </is>
      </c>
      <c r="B78" t="n">
        <v>2997</v>
      </c>
      <c r="C78" t="inlineStr">
        <is>
          <t>JAIME ALEJANDRO LARA ROJAS</t>
        </is>
      </c>
      <c r="D78" t="n">
        <v>8270</v>
      </c>
      <c r="E78" t="inlineStr">
        <is>
          <t>ESPECIALISTA DE CONTABILIDAD</t>
        </is>
      </c>
      <c r="F78" t="inlineStr">
        <is>
          <t>MONTERREY</t>
        </is>
      </c>
      <c r="G78" t="n">
        <v>756</v>
      </c>
      <c r="H78" t="inlineStr">
        <is>
          <t>AMELIA GALLEGOS GALVAN</t>
        </is>
      </c>
      <c r="I78" t="n">
        <v>47</v>
      </c>
      <c r="J78" t="inlineStr">
        <is>
          <t>GERENTE DE CONTABILIDAD</t>
        </is>
      </c>
      <c r="K78" t="n">
        <v>1</v>
      </c>
      <c r="L78" t="inlineStr">
        <is>
          <t>PRESIDENCIA EJECUTIVA DEL CONSEJO</t>
        </is>
      </c>
      <c r="M78" t="n">
        <v>40</v>
      </c>
      <c r="N78" t="inlineStr">
        <is>
          <t>DIRECCION GENERAL BANCO BASE</t>
        </is>
      </c>
      <c r="O78" t="n">
        <v>420</v>
      </c>
      <c r="P78" t="inlineStr">
        <is>
          <t>DIRECCION ADMINISTRACION Y FINANZAS</t>
        </is>
      </c>
      <c r="Q78" t="n">
        <v>4220</v>
      </c>
      <c r="R78" t="inlineStr">
        <is>
          <t>DIRECCION DE ADMINISTRACION</t>
        </is>
      </c>
      <c r="S78" t="n">
        <v>42210</v>
      </c>
      <c r="T78" t="inlineStr">
        <is>
          <t>GERENCIA DE CONTABILIDAD</t>
        </is>
      </c>
      <c r="U78" t="n">
        <v>422101</v>
      </c>
      <c r="V78" t="inlineStr">
        <is>
          <t>CONTABILIDAD</t>
        </is>
      </c>
      <c r="W78" t="n">
        <v>100101</v>
      </c>
      <c r="X78" t="inlineStr">
        <is>
          <t>CORPORATIVO</t>
        </is>
      </c>
      <c r="Y78" t="n">
        <v>4</v>
      </c>
      <c r="Z78" t="inlineStr">
        <is>
          <t>CORPORATIVO</t>
        </is>
      </c>
      <c r="AA78" t="n">
        <v>1</v>
      </c>
      <c r="AB78" t="inlineStr">
        <is>
          <t>NEGOCIO EN MARCHA</t>
        </is>
      </c>
      <c r="AC78" t="n">
        <v>1</v>
      </c>
      <c r="AD78" t="inlineStr">
        <is>
          <t>BANCO</t>
        </is>
      </c>
      <c r="AE78" t="n">
        <v>1</v>
      </c>
      <c r="AF78" t="inlineStr">
        <is>
          <t>BACK</t>
        </is>
      </c>
      <c r="AG78" t="n">
        <v>100101</v>
      </c>
      <c r="AH78" t="inlineStr">
        <is>
          <t>CORPORATIVO</t>
        </is>
      </c>
      <c r="AI78" t="inlineStr">
        <is>
          <t>JLARAR@BANCOBASE.COM</t>
        </is>
      </c>
      <c r="AJ78" s="151" t="n">
        <v>45261</v>
      </c>
      <c r="AK78" s="151" t="n"/>
      <c r="AL78" s="151" t="n"/>
    </row>
    <row r="79" hidden="1" s="150">
      <c r="A79" t="inlineStr">
        <is>
          <t>MPEREZR</t>
        </is>
      </c>
      <c r="B79" t="n">
        <v>713</v>
      </c>
      <c r="C79" t="inlineStr">
        <is>
          <t>MONICA GABRIELA PEREZ RAMIREZ</t>
        </is>
      </c>
      <c r="D79" t="n">
        <v>10026</v>
      </c>
      <c r="E79" t="inlineStr">
        <is>
          <t>GERENTE ADMINISTRATIVO</t>
        </is>
      </c>
      <c r="F79" t="inlineStr">
        <is>
          <t>MEXICO</t>
        </is>
      </c>
      <c r="G79" t="n">
        <v>209</v>
      </c>
      <c r="H79" t="inlineStr">
        <is>
          <t>ROBERTO MUÑOZ SALAZAR</t>
        </is>
      </c>
      <c r="I79" t="n">
        <v>9463</v>
      </c>
      <c r="J79" t="inlineStr">
        <is>
          <t>DIRECTOR DE ADMINISTRACION</t>
        </is>
      </c>
      <c r="K79" t="n">
        <v>1</v>
      </c>
      <c r="L79" t="inlineStr">
        <is>
          <t>PRESIDENCIA EJECUTIVA DEL CONSEJO</t>
        </is>
      </c>
      <c r="M79" t="n">
        <v>40</v>
      </c>
      <c r="N79" t="inlineStr">
        <is>
          <t>DIRECCION GENERAL BANCO BASE</t>
        </is>
      </c>
      <c r="O79" t="n">
        <v>420</v>
      </c>
      <c r="P79" t="inlineStr">
        <is>
          <t>DIRECCION ADMINISTRACION Y FINANZAS</t>
        </is>
      </c>
      <c r="Q79" t="n">
        <v>4220</v>
      </c>
      <c r="R79" t="inlineStr">
        <is>
          <t>DIRECCION DE ADMINISTRACION</t>
        </is>
      </c>
      <c r="S79" t="n">
        <v>42230</v>
      </c>
      <c r="T79" t="inlineStr">
        <is>
          <t>GERENCIA DE CONTROL ADMINISTRATIVO</t>
        </is>
      </c>
      <c r="U79" t="n">
        <v>422303</v>
      </c>
      <c r="V79" t="inlineStr">
        <is>
          <t>SUBDIRECCION DE CONTROL ADMINISTRATIVO</t>
        </is>
      </c>
      <c r="W79" t="n">
        <v>134111</v>
      </c>
      <c r="X79" t="inlineStr">
        <is>
          <t>LOMAS</t>
        </is>
      </c>
      <c r="Y79" t="n">
        <v>4</v>
      </c>
      <c r="Z79" t="inlineStr">
        <is>
          <t>CORPORATIVO</t>
        </is>
      </c>
      <c r="AA79" t="n">
        <v>1</v>
      </c>
      <c r="AB79" t="inlineStr">
        <is>
          <t>NEGOCIO EN MARCHA</t>
        </is>
      </c>
      <c r="AC79" t="n">
        <v>1</v>
      </c>
      <c r="AD79" t="inlineStr">
        <is>
          <t>BANCO</t>
        </is>
      </c>
      <c r="AE79" t="n">
        <v>1</v>
      </c>
      <c r="AF79" t="inlineStr">
        <is>
          <t>BACK</t>
        </is>
      </c>
      <c r="AG79" t="n">
        <v>134111</v>
      </c>
      <c r="AH79" t="inlineStr">
        <is>
          <t>LOMAS</t>
        </is>
      </c>
      <c r="AI79" t="inlineStr">
        <is>
          <t>MPEREZR@BANCOBASE.COM</t>
        </is>
      </c>
      <c r="AJ79" s="151" t="n">
        <v>40603</v>
      </c>
      <c r="AK79" s="151" t="n"/>
      <c r="AL79" s="151" t="n"/>
    </row>
    <row r="80" hidden="1" s="150">
      <c r="A80" t="inlineStr">
        <is>
          <t>CLARAG</t>
        </is>
      </c>
      <c r="B80" t="n">
        <v>2283</v>
      </c>
      <c r="C80" t="inlineStr">
        <is>
          <t>CESAR AUGUSTO LARA GAMIZ</t>
        </is>
      </c>
      <c r="D80" t="n">
        <v>10025</v>
      </c>
      <c r="E80" t="inlineStr">
        <is>
          <t>COORDINADOR ADMINISTRATIVO REGIONAL MONTERREY Y FORANEAS</t>
        </is>
      </c>
      <c r="F80" t="inlineStr">
        <is>
          <t>MONTERREY</t>
        </is>
      </c>
      <c r="G80" t="n">
        <v>713</v>
      </c>
      <c r="H80" t="inlineStr">
        <is>
          <t>MONICA GABRIELA PEREZ RAMIREZ</t>
        </is>
      </c>
      <c r="I80" t="n">
        <v>10026</v>
      </c>
      <c r="J80" t="inlineStr">
        <is>
          <t>GERENTE ADMINISTRATIVO</t>
        </is>
      </c>
      <c r="K80" t="n">
        <v>1</v>
      </c>
      <c r="L80" t="inlineStr">
        <is>
          <t>PRESIDENCIA EJECUTIVA DEL CONSEJO</t>
        </is>
      </c>
      <c r="M80" t="n">
        <v>40</v>
      </c>
      <c r="N80" t="inlineStr">
        <is>
          <t>DIRECCION GENERAL BANCO BASE</t>
        </is>
      </c>
      <c r="O80" t="n">
        <v>420</v>
      </c>
      <c r="P80" t="inlineStr">
        <is>
          <t>DIRECCION ADMINISTRACION Y FINANZAS</t>
        </is>
      </c>
      <c r="Q80" t="n">
        <v>4220</v>
      </c>
      <c r="R80" t="inlineStr">
        <is>
          <t>DIRECCION DE ADMINISTRACION</t>
        </is>
      </c>
      <c r="S80" t="n">
        <v>42230</v>
      </c>
      <c r="T80" t="inlineStr">
        <is>
          <t>GERENCIA DE CONTROL ADMINISTRATIVO</t>
        </is>
      </c>
      <c r="U80" t="n">
        <v>422303</v>
      </c>
      <c r="V80" t="inlineStr">
        <is>
          <t>SUBDIRECCION DE CONTROL ADMINISTRATIVO</t>
        </is>
      </c>
      <c r="W80" t="n">
        <v>100101</v>
      </c>
      <c r="X80" t="inlineStr">
        <is>
          <t>CORPORATIVO</t>
        </is>
      </c>
      <c r="Y80" t="n">
        <v>4</v>
      </c>
      <c r="Z80" t="inlineStr">
        <is>
          <t>CORPORATIVO</t>
        </is>
      </c>
      <c r="AA80" t="n">
        <v>1</v>
      </c>
      <c r="AB80" t="inlineStr">
        <is>
          <t>NEGOCIO EN MARCHA</t>
        </is>
      </c>
      <c r="AC80" t="n">
        <v>1</v>
      </c>
      <c r="AD80" t="inlineStr">
        <is>
          <t>BANCO</t>
        </is>
      </c>
      <c r="AE80" t="n">
        <v>1</v>
      </c>
      <c r="AF80" t="inlineStr">
        <is>
          <t>BACK</t>
        </is>
      </c>
      <c r="AG80" t="n">
        <v>100101</v>
      </c>
      <c r="AH80" t="inlineStr">
        <is>
          <t>CORPORATIVO</t>
        </is>
      </c>
      <c r="AI80" t="inlineStr">
        <is>
          <t>CLARAG@BANCOBASE.COM</t>
        </is>
      </c>
      <c r="AJ80" s="151" t="n">
        <v>43661</v>
      </c>
      <c r="AK80" s="151" t="n"/>
      <c r="AL80" s="151" t="n"/>
    </row>
    <row r="81" hidden="1" s="150">
      <c r="A81" t="inlineStr">
        <is>
          <t>FOROZCO</t>
        </is>
      </c>
      <c r="B81" t="n">
        <v>2976</v>
      </c>
      <c r="C81" t="inlineStr">
        <is>
          <t>FERNANDA SAHIDALY OROZCO VAZQUEZ</t>
        </is>
      </c>
      <c r="D81" t="n">
        <v>10343</v>
      </c>
      <c r="E81" t="inlineStr">
        <is>
          <t>RESPONSABLE ADMINISTRATIVO CHIHUAHUA</t>
        </is>
      </c>
      <c r="F81" t="inlineStr">
        <is>
          <t>CHIHUAHUA</t>
        </is>
      </c>
      <c r="G81" t="n">
        <v>2283</v>
      </c>
      <c r="H81" t="inlineStr">
        <is>
          <t>CESAR AUGUSTO LARA GAMIZ</t>
        </is>
      </c>
      <c r="I81" t="n">
        <v>10025</v>
      </c>
      <c r="J81" t="inlineStr">
        <is>
          <t>COORDINADOR ADMINISTRATIVO REGIONAL MONTERREY Y FORANEAS</t>
        </is>
      </c>
      <c r="K81" t="n">
        <v>1</v>
      </c>
      <c r="L81" t="inlineStr">
        <is>
          <t>PRESIDENCIA EJECUTIVA DEL CONSEJO</t>
        </is>
      </c>
      <c r="M81" t="n">
        <v>40</v>
      </c>
      <c r="N81" t="inlineStr">
        <is>
          <t>DIRECCION GENERAL BANCO BASE</t>
        </is>
      </c>
      <c r="O81" t="n">
        <v>420</v>
      </c>
      <c r="P81" t="inlineStr">
        <is>
          <t>DIRECCION ADMINISTRACION Y FINANZAS</t>
        </is>
      </c>
      <c r="Q81" t="n">
        <v>4220</v>
      </c>
      <c r="R81" t="inlineStr">
        <is>
          <t>DIRECCION DE ADMINISTRACION</t>
        </is>
      </c>
      <c r="S81" t="n">
        <v>42230</v>
      </c>
      <c r="T81" t="inlineStr">
        <is>
          <t>GERENCIA DE CONTROL ADMINISTRATIVO</t>
        </is>
      </c>
      <c r="U81" t="n">
        <v>422317</v>
      </c>
      <c r="V81" t="inlineStr">
        <is>
          <t>ADMINISTRACION CHIHUAHUA</t>
        </is>
      </c>
      <c r="W81" t="n">
        <v>126131</v>
      </c>
      <c r="X81" t="inlineStr">
        <is>
          <t>CHIHUAHUA</t>
        </is>
      </c>
      <c r="Y81" t="n">
        <v>4</v>
      </c>
      <c r="Z81" t="inlineStr">
        <is>
          <t>CORPORATIVO</t>
        </is>
      </c>
      <c r="AA81" t="n">
        <v>1</v>
      </c>
      <c r="AB81" t="inlineStr">
        <is>
          <t>NEGOCIO EN MARCHA</t>
        </is>
      </c>
      <c r="AC81" t="n">
        <v>1</v>
      </c>
      <c r="AD81" t="inlineStr">
        <is>
          <t>BANCO</t>
        </is>
      </c>
      <c r="AE81" t="n">
        <v>1</v>
      </c>
      <c r="AF81" t="inlineStr">
        <is>
          <t>BACK</t>
        </is>
      </c>
      <c r="AG81" t="n">
        <v>126131</v>
      </c>
      <c r="AH81" t="inlineStr">
        <is>
          <t>CHIHUAHUA</t>
        </is>
      </c>
      <c r="AI81" t="inlineStr">
        <is>
          <t>FOROZCO@BANCOBASE.COM</t>
        </is>
      </c>
      <c r="AJ81" s="151" t="n">
        <v>45231</v>
      </c>
      <c r="AK81" s="151" t="n"/>
      <c r="AL81" s="151" t="n"/>
    </row>
    <row r="82" hidden="1" s="150">
      <c r="A82" t="inlineStr">
        <is>
          <t>RGONZALEZG</t>
        </is>
      </c>
      <c r="B82" t="n">
        <v>755</v>
      </c>
      <c r="C82" t="inlineStr">
        <is>
          <t>RITA GONZALEZ GONZALEZ</t>
        </is>
      </c>
      <c r="D82" t="n">
        <v>185</v>
      </c>
      <c r="E82" t="inlineStr">
        <is>
          <t>RESPONSABLE ADMINISTRATIVO CANCUN</t>
        </is>
      </c>
      <c r="F82" t="inlineStr">
        <is>
          <t>CANCUN</t>
        </is>
      </c>
      <c r="G82" t="n">
        <v>2283</v>
      </c>
      <c r="H82" t="inlineStr">
        <is>
          <t>CESAR AUGUSTO LARA GAMIZ</t>
        </is>
      </c>
      <c r="I82" t="n">
        <v>10025</v>
      </c>
      <c r="J82" t="inlineStr">
        <is>
          <t>COORDINADOR ADMINISTRATIVO REGIONAL MONTERREY Y FORANEAS</t>
        </is>
      </c>
      <c r="K82" t="n">
        <v>1</v>
      </c>
      <c r="L82" t="inlineStr">
        <is>
          <t>PRESIDENCIA EJECUTIVA DEL CONSEJO</t>
        </is>
      </c>
      <c r="M82" t="n">
        <v>40</v>
      </c>
      <c r="N82" t="inlineStr">
        <is>
          <t>DIRECCION GENERAL BANCO BASE</t>
        </is>
      </c>
      <c r="O82" t="n">
        <v>420</v>
      </c>
      <c r="P82" t="inlineStr">
        <is>
          <t>DIRECCION ADMINISTRACION Y FINANZAS</t>
        </is>
      </c>
      <c r="Q82" t="n">
        <v>4220</v>
      </c>
      <c r="R82" t="inlineStr">
        <is>
          <t>DIRECCION DE ADMINISTRACION</t>
        </is>
      </c>
      <c r="S82" t="n">
        <v>42230</v>
      </c>
      <c r="T82" t="inlineStr">
        <is>
          <t>GERENCIA DE CONTROL ADMINISTRATIVO</t>
        </is>
      </c>
      <c r="U82" t="n">
        <v>422308</v>
      </c>
      <c r="V82" t="inlineStr">
        <is>
          <t>ADMINISTRACION CANCUN</t>
        </is>
      </c>
      <c r="W82" t="n">
        <v>126121</v>
      </c>
      <c r="X82" t="inlineStr">
        <is>
          <t>CANCUN</t>
        </is>
      </c>
      <c r="Y82" t="n">
        <v>4</v>
      </c>
      <c r="Z82" t="inlineStr">
        <is>
          <t>CORPORATIVO</t>
        </is>
      </c>
      <c r="AA82" t="n">
        <v>1</v>
      </c>
      <c r="AB82" t="inlineStr">
        <is>
          <t>NEGOCIO EN MARCHA</t>
        </is>
      </c>
      <c r="AC82" t="n">
        <v>1</v>
      </c>
      <c r="AD82" t="inlineStr">
        <is>
          <t>BANCO</t>
        </is>
      </c>
      <c r="AE82" t="n">
        <v>1</v>
      </c>
      <c r="AF82" t="inlineStr">
        <is>
          <t>BACK</t>
        </is>
      </c>
      <c r="AG82" t="n">
        <v>126121</v>
      </c>
      <c r="AH82" t="inlineStr">
        <is>
          <t>CANCUN</t>
        </is>
      </c>
      <c r="AI82" t="inlineStr">
        <is>
          <t>RGONZALEZG@BANCOBASE.COM</t>
        </is>
      </c>
      <c r="AJ82" s="151" t="n">
        <v>40715</v>
      </c>
      <c r="AK82" s="151" t="n"/>
      <c r="AL82" s="151" t="n"/>
    </row>
    <row r="83" hidden="1" s="150">
      <c r="A83" t="inlineStr">
        <is>
          <t>PELIZALDE</t>
        </is>
      </c>
      <c r="B83" t="n">
        <v>354</v>
      </c>
      <c r="C83" t="inlineStr">
        <is>
          <t>KARINA PATRICIA ELIZALDE TRIANA</t>
        </is>
      </c>
      <c r="D83" t="n">
        <v>181</v>
      </c>
      <c r="E83" t="inlineStr">
        <is>
          <t>RESPONSABLE ADMINISTRATIVO TORREON</t>
        </is>
      </c>
      <c r="F83" t="inlineStr">
        <is>
          <t>TORREON</t>
        </is>
      </c>
      <c r="G83" t="n">
        <v>2283</v>
      </c>
      <c r="H83" t="inlineStr">
        <is>
          <t>CESAR AUGUSTO LARA GAMIZ</t>
        </is>
      </c>
      <c r="I83" t="n">
        <v>10025</v>
      </c>
      <c r="J83" t="inlineStr">
        <is>
          <t>COORDINADOR ADMINISTRATIVO REGIONAL MONTERREY Y FORANEAS</t>
        </is>
      </c>
      <c r="K83" t="n">
        <v>1</v>
      </c>
      <c r="L83" t="inlineStr">
        <is>
          <t>PRESIDENCIA EJECUTIVA DEL CONSEJO</t>
        </is>
      </c>
      <c r="M83" t="n">
        <v>40</v>
      </c>
      <c r="N83" t="inlineStr">
        <is>
          <t>DIRECCION GENERAL BANCO BASE</t>
        </is>
      </c>
      <c r="O83" t="n">
        <v>420</v>
      </c>
      <c r="P83" t="inlineStr">
        <is>
          <t>DIRECCION ADMINISTRACION Y FINANZAS</t>
        </is>
      </c>
      <c r="Q83" t="n">
        <v>4220</v>
      </c>
      <c r="R83" t="inlineStr">
        <is>
          <t>DIRECCION DE ADMINISTRACION</t>
        </is>
      </c>
      <c r="S83" t="n">
        <v>42230</v>
      </c>
      <c r="T83" t="inlineStr">
        <is>
          <t>GERENCIA DE CONTROL ADMINISTRATIVO</t>
        </is>
      </c>
      <c r="U83" t="n">
        <v>422301</v>
      </c>
      <c r="V83" t="inlineStr">
        <is>
          <t>ADMINISTRACION TORREON</t>
        </is>
      </c>
      <c r="W83" t="n">
        <v>126115</v>
      </c>
      <c r="X83" t="inlineStr">
        <is>
          <t>TORREON</t>
        </is>
      </c>
      <c r="Y83" t="n">
        <v>4</v>
      </c>
      <c r="Z83" t="inlineStr">
        <is>
          <t>CORPORATIVO</t>
        </is>
      </c>
      <c r="AA83" t="n">
        <v>1</v>
      </c>
      <c r="AB83" t="inlineStr">
        <is>
          <t>NEGOCIO EN MARCHA</t>
        </is>
      </c>
      <c r="AC83" t="n">
        <v>1</v>
      </c>
      <c r="AD83" t="inlineStr">
        <is>
          <t>BANCO</t>
        </is>
      </c>
      <c r="AE83" t="n">
        <v>1</v>
      </c>
      <c r="AF83" t="inlineStr">
        <is>
          <t>BACK</t>
        </is>
      </c>
      <c r="AG83" t="n">
        <v>126115</v>
      </c>
      <c r="AH83" t="inlineStr">
        <is>
          <t>TORREON</t>
        </is>
      </c>
      <c r="AI83" t="inlineStr">
        <is>
          <t>PELIZALDE@BANCOBASE.COM</t>
        </is>
      </c>
      <c r="AJ83" s="151" t="n">
        <v>38961</v>
      </c>
      <c r="AK83" s="151" t="n"/>
      <c r="AL83" s="151" t="n"/>
    </row>
    <row r="84" hidden="1" s="150">
      <c r="A84" t="inlineStr">
        <is>
          <t>MRODRIGUEM</t>
        </is>
      </c>
      <c r="B84" t="n">
        <v>395</v>
      </c>
      <c r="C84" t="inlineStr">
        <is>
          <t>MINERVA RODRIGUEZ MARTINEZ</t>
        </is>
      </c>
      <c r="D84" t="n">
        <v>184</v>
      </c>
      <c r="E84" t="inlineStr">
        <is>
          <t>RESPONSABLE ADMINISTRATIVO TIJUANA</t>
        </is>
      </c>
      <c r="F84" t="inlineStr">
        <is>
          <t>TIJUANA</t>
        </is>
      </c>
      <c r="G84" t="n">
        <v>2283</v>
      </c>
      <c r="H84" t="inlineStr">
        <is>
          <t>CESAR AUGUSTO LARA GAMIZ</t>
        </is>
      </c>
      <c r="I84" t="n">
        <v>10025</v>
      </c>
      <c r="J84" t="inlineStr">
        <is>
          <t>COORDINADOR ADMINISTRATIVO REGIONAL MONTERREY Y FORANEAS</t>
        </is>
      </c>
      <c r="K84" t="n">
        <v>1</v>
      </c>
      <c r="L84" t="inlineStr">
        <is>
          <t>PRESIDENCIA EJECUTIVA DEL CONSEJO</t>
        </is>
      </c>
      <c r="M84" t="n">
        <v>40</v>
      </c>
      <c r="N84" t="inlineStr">
        <is>
          <t>DIRECCION GENERAL BANCO BASE</t>
        </is>
      </c>
      <c r="O84" t="n">
        <v>420</v>
      </c>
      <c r="P84" t="inlineStr">
        <is>
          <t>DIRECCION ADMINISTRACION Y FINANZAS</t>
        </is>
      </c>
      <c r="Q84" t="n">
        <v>4220</v>
      </c>
      <c r="R84" t="inlineStr">
        <is>
          <t>DIRECCION DE ADMINISTRACION</t>
        </is>
      </c>
      <c r="S84" t="n">
        <v>42230</v>
      </c>
      <c r="T84" t="inlineStr">
        <is>
          <t>GERENCIA DE CONTROL ADMINISTRATIVO</t>
        </is>
      </c>
      <c r="U84" t="n">
        <v>422315</v>
      </c>
      <c r="V84" t="inlineStr">
        <is>
          <t>ADMINISTRACION TIJUANA</t>
        </is>
      </c>
      <c r="W84" t="n">
        <v>126114</v>
      </c>
      <c r="X84" t="inlineStr">
        <is>
          <t>TIJUANA</t>
        </is>
      </c>
      <c r="Y84" t="n">
        <v>4</v>
      </c>
      <c r="Z84" t="inlineStr">
        <is>
          <t>CORPORATIVO</t>
        </is>
      </c>
      <c r="AA84" t="n">
        <v>1</v>
      </c>
      <c r="AB84" t="inlineStr">
        <is>
          <t>NEGOCIO EN MARCHA</t>
        </is>
      </c>
      <c r="AC84" t="n">
        <v>1</v>
      </c>
      <c r="AD84" t="inlineStr">
        <is>
          <t>BANCO</t>
        </is>
      </c>
      <c r="AE84" t="n">
        <v>1</v>
      </c>
      <c r="AF84" t="inlineStr">
        <is>
          <t>BACK</t>
        </is>
      </c>
      <c r="AG84" t="n">
        <v>126114</v>
      </c>
      <c r="AH84" t="inlineStr">
        <is>
          <t>TIJUANA</t>
        </is>
      </c>
      <c r="AI84" t="inlineStr">
        <is>
          <t>MRODRIGUEM@BANCOBASE.COM</t>
        </is>
      </c>
      <c r="AJ84" s="151" t="n">
        <v>39173</v>
      </c>
      <c r="AK84" s="151" t="n"/>
      <c r="AL84" s="151" t="n"/>
    </row>
    <row r="85" hidden="1" s="150">
      <c r="A85" t="inlineStr">
        <is>
          <t>DPAZ</t>
        </is>
      </c>
      <c r="B85" t="n">
        <v>3567</v>
      </c>
      <c r="C85" t="inlineStr">
        <is>
          <t>DANIELA NATALY PAZ TORRES</t>
        </is>
      </c>
      <c r="D85" t="n">
        <v>8153</v>
      </c>
      <c r="E85" t="inlineStr">
        <is>
          <t>RECEPCIONISTA</t>
        </is>
      </c>
      <c r="F85" t="inlineStr">
        <is>
          <t>MONTERREY</t>
        </is>
      </c>
      <c r="G85" t="n">
        <v>2283</v>
      </c>
      <c r="H85" t="inlineStr">
        <is>
          <t>CESAR AUGUSTO LARA GAMIZ</t>
        </is>
      </c>
      <c r="I85" t="n">
        <v>10025</v>
      </c>
      <c r="J85" t="inlineStr">
        <is>
          <t>COORDINADOR ADMINISTRATIVO REGIONAL MONTERREY Y FORANEAS</t>
        </is>
      </c>
      <c r="K85" t="n">
        <v>1</v>
      </c>
      <c r="L85" t="inlineStr">
        <is>
          <t>PRESIDENCIA EJECUTIVA DEL CONSEJO</t>
        </is>
      </c>
      <c r="M85" t="n">
        <v>40</v>
      </c>
      <c r="N85" t="inlineStr">
        <is>
          <t>DIRECCION GENERAL BANCO BASE</t>
        </is>
      </c>
      <c r="O85" t="n">
        <v>420</v>
      </c>
      <c r="P85" t="inlineStr">
        <is>
          <t>DIRECCION ADMINISTRACION Y FINANZAS</t>
        </is>
      </c>
      <c r="Q85" t="n">
        <v>4220</v>
      </c>
      <c r="R85" t="inlineStr">
        <is>
          <t>DIRECCION DE ADMINISTRACION</t>
        </is>
      </c>
      <c r="S85" t="n">
        <v>42230</v>
      </c>
      <c r="T85" t="inlineStr">
        <is>
          <t>GERENCIA DE CONTROL ADMINISTRATIVO</t>
        </is>
      </c>
      <c r="U85" t="n">
        <v>422303</v>
      </c>
      <c r="V85" t="inlineStr">
        <is>
          <t>SUBDIRECCION DE CONTROL ADMINISTRATIVO</t>
        </is>
      </c>
      <c r="W85" t="n">
        <v>100101</v>
      </c>
      <c r="X85" t="inlineStr">
        <is>
          <t>CORPORATIVO</t>
        </is>
      </c>
      <c r="Y85" t="n">
        <v>4</v>
      </c>
      <c r="Z85" t="inlineStr">
        <is>
          <t>CORPORATIVO</t>
        </is>
      </c>
      <c r="AA85" t="n">
        <v>1</v>
      </c>
      <c r="AB85" t="inlineStr">
        <is>
          <t>NEGOCIO EN MARCHA</t>
        </is>
      </c>
      <c r="AC85" t="n">
        <v>1</v>
      </c>
      <c r="AD85" t="inlineStr">
        <is>
          <t>BANCO</t>
        </is>
      </c>
      <c r="AE85" t="n">
        <v>1</v>
      </c>
      <c r="AF85" t="inlineStr">
        <is>
          <t>BACK</t>
        </is>
      </c>
      <c r="AG85" t="n">
        <v>100101</v>
      </c>
      <c r="AH85" t="inlineStr">
        <is>
          <t>CORPORATIVO</t>
        </is>
      </c>
      <c r="AI85" t="inlineStr">
        <is>
          <t>DPAZ@BANCOBASE.COM</t>
        </is>
      </c>
      <c r="AJ85" s="151" t="n">
        <v>45917</v>
      </c>
      <c r="AK85" s="151" t="n"/>
      <c r="AL85" s="151" t="n"/>
    </row>
    <row r="86" hidden="1" s="150">
      <c r="A86" t="inlineStr">
        <is>
          <t>RCARRILLO</t>
        </is>
      </c>
      <c r="B86" t="n">
        <v>3869</v>
      </c>
      <c r="C86" t="inlineStr">
        <is>
          <t>RAUL ALEXIS CARRILLO CERVANTES</t>
        </is>
      </c>
      <c r="D86" t="n">
        <v>5111</v>
      </c>
      <c r="E86" t="inlineStr">
        <is>
          <t>ANALISTA ADMINISTRATIVO Y ARCHIVO</t>
        </is>
      </c>
      <c r="F86" t="inlineStr">
        <is>
          <t>MONTERREY</t>
        </is>
      </c>
      <c r="G86" t="n">
        <v>2283</v>
      </c>
      <c r="H86" t="inlineStr">
        <is>
          <t>CESAR AUGUSTO LARA GAMIZ</t>
        </is>
      </c>
      <c r="I86" t="n">
        <v>10025</v>
      </c>
      <c r="J86" t="inlineStr">
        <is>
          <t>COORDINADOR ADMINISTRATIVO REGIONAL MONTERREY Y FORANEAS</t>
        </is>
      </c>
      <c r="K86" t="n">
        <v>1</v>
      </c>
      <c r="L86" t="inlineStr">
        <is>
          <t>PRESIDENCIA EJECUTIVA DEL CONSEJO</t>
        </is>
      </c>
      <c r="M86" t="n">
        <v>40</v>
      </c>
      <c r="N86" t="inlineStr">
        <is>
          <t>DIRECCION GENERAL BANCO BASE</t>
        </is>
      </c>
      <c r="O86" t="n">
        <v>420</v>
      </c>
      <c r="P86" t="inlineStr">
        <is>
          <t>DIRECCION ADMINISTRACION Y FINANZAS</t>
        </is>
      </c>
      <c r="Q86" t="n">
        <v>4220</v>
      </c>
      <c r="R86" t="inlineStr">
        <is>
          <t>DIRECCION DE ADMINISTRACION</t>
        </is>
      </c>
      <c r="S86" t="n">
        <v>42230</v>
      </c>
      <c r="T86" t="inlineStr">
        <is>
          <t>GERENCIA DE CONTROL ADMINISTRATIVO</t>
        </is>
      </c>
      <c r="U86" t="n">
        <v>422303</v>
      </c>
      <c r="V86" t="inlineStr">
        <is>
          <t>SUBDIRECCION DE CONTROL ADMINISTRATIVO</t>
        </is>
      </c>
      <c r="W86" t="n">
        <v>100101</v>
      </c>
      <c r="X86" t="inlineStr">
        <is>
          <t>CORPORATIVO</t>
        </is>
      </c>
      <c r="Y86" t="n">
        <v>4</v>
      </c>
      <c r="Z86" t="inlineStr">
        <is>
          <t>CORPORATIVO</t>
        </is>
      </c>
      <c r="AA86" t="n">
        <v>1</v>
      </c>
      <c r="AB86" t="inlineStr">
        <is>
          <t>NEGOCIO EN MARCHA</t>
        </is>
      </c>
      <c r="AC86" t="n">
        <v>1</v>
      </c>
      <c r="AD86" t="inlineStr">
        <is>
          <t>BANCO</t>
        </is>
      </c>
      <c r="AE86" t="n">
        <v>1</v>
      </c>
      <c r="AF86" t="inlineStr">
        <is>
          <t>BACK</t>
        </is>
      </c>
      <c r="AG86" t="n">
        <v>100101</v>
      </c>
      <c r="AH86" t="inlineStr">
        <is>
          <t>CORPORATIVO</t>
        </is>
      </c>
      <c r="AI86" t="inlineStr">
        <is>
          <t>RCARRILLO@BANCOBASE.COM</t>
        </is>
      </c>
      <c r="AJ86" s="151" t="n">
        <v>46160</v>
      </c>
      <c r="AK86" s="151" t="n"/>
      <c r="AL86" s="151" t="n"/>
    </row>
    <row r="87" hidden="1" s="150">
      <c r="A87" t="inlineStr">
        <is>
          <t>MZAMARRON</t>
        </is>
      </c>
      <c r="B87" t="n">
        <v>3736</v>
      </c>
      <c r="C87" t="inlineStr">
        <is>
          <t>MARTHA GABRIELA ZAMARRON GARCIA</t>
        </is>
      </c>
      <c r="D87" t="n">
        <v>534164</v>
      </c>
      <c r="E87" t="inlineStr">
        <is>
          <t>RECEPCIONISTA</t>
        </is>
      </c>
      <c r="F87" t="inlineStr">
        <is>
          <t>MONTERREY</t>
        </is>
      </c>
      <c r="G87" t="n">
        <v>2283</v>
      </c>
      <c r="H87" t="inlineStr">
        <is>
          <t>CESAR AUGUSTO LARA GAMIZ</t>
        </is>
      </c>
      <c r="I87" t="n">
        <v>10025</v>
      </c>
      <c r="J87" t="inlineStr">
        <is>
          <t>COORDINADOR ADMINISTRATIVO REGIONAL MONTERREY Y FORANEAS</t>
        </is>
      </c>
      <c r="K87" t="n">
        <v>1</v>
      </c>
      <c r="L87" t="inlineStr">
        <is>
          <t>PRESIDENCIA EJECUTIVA DEL CONSEJO</t>
        </is>
      </c>
      <c r="M87" t="n">
        <v>40</v>
      </c>
      <c r="N87" t="inlineStr">
        <is>
          <t>DIRECCION GENERAL BANCO BASE</t>
        </is>
      </c>
      <c r="O87" t="n">
        <v>420</v>
      </c>
      <c r="P87" t="inlineStr">
        <is>
          <t>DIRECCION ADMINISTRACION Y FINANZAS</t>
        </is>
      </c>
      <c r="Q87" t="n">
        <v>4220</v>
      </c>
      <c r="R87" t="inlineStr">
        <is>
          <t>DIRECCION DE ADMINISTRACION</t>
        </is>
      </c>
      <c r="S87" t="n">
        <v>42230</v>
      </c>
      <c r="T87" t="inlineStr">
        <is>
          <t>GERENCIA DE CONTROL ADMINISTRATIVO</t>
        </is>
      </c>
      <c r="U87" t="n">
        <v>422303</v>
      </c>
      <c r="V87" t="inlineStr">
        <is>
          <t>SUBDIRECCION DE CONTROL ADMINISTRATIVO</t>
        </is>
      </c>
      <c r="W87" t="n">
        <v>100101</v>
      </c>
      <c r="X87" t="inlineStr">
        <is>
          <t>CORPORATIVO</t>
        </is>
      </c>
      <c r="Y87" t="n">
        <v>4</v>
      </c>
      <c r="Z87" t="inlineStr">
        <is>
          <t>CORPORATIVO</t>
        </is>
      </c>
      <c r="AA87" t="n">
        <v>1</v>
      </c>
      <c r="AB87" t="inlineStr">
        <is>
          <t>NEGOCIO EN MARCHA</t>
        </is>
      </c>
      <c r="AC87" t="n">
        <v>1</v>
      </c>
      <c r="AD87" t="inlineStr">
        <is>
          <t>BANCO</t>
        </is>
      </c>
      <c r="AE87" t="n">
        <v>1</v>
      </c>
      <c r="AF87" t="inlineStr">
        <is>
          <t>BACK</t>
        </is>
      </c>
      <c r="AG87" t="n">
        <v>100101</v>
      </c>
      <c r="AH87" t="inlineStr">
        <is>
          <t>CORPORATIVO</t>
        </is>
      </c>
      <c r="AI87" t="inlineStr">
        <is>
          <t>MZAMARRON@BANCOBASE.COM</t>
        </is>
      </c>
      <c r="AJ87" s="151" t="n">
        <v>46031</v>
      </c>
      <c r="AK87" s="151" t="n"/>
      <c r="AL87" s="151" t="n"/>
    </row>
    <row r="88" hidden="1" s="150">
      <c r="A88" t="inlineStr">
        <is>
          <t>GUPEREZ</t>
        </is>
      </c>
      <c r="B88" t="n">
        <v>2013</v>
      </c>
      <c r="C88" t="inlineStr">
        <is>
          <t>ERIKA GUADALUPE PEREZ ZAVALA</t>
        </is>
      </c>
      <c r="D88" t="n">
        <v>10037</v>
      </c>
      <c r="E88" t="inlineStr">
        <is>
          <t>COORDINADOR ADMINISTRATIVO REGIONAL OCCIDENTE</t>
        </is>
      </c>
      <c r="F88" t="inlineStr">
        <is>
          <t>LEON</t>
        </is>
      </c>
      <c r="G88" t="n">
        <v>713</v>
      </c>
      <c r="H88" t="inlineStr">
        <is>
          <t>MONICA GABRIELA PEREZ RAMIREZ</t>
        </is>
      </c>
      <c r="I88" t="n">
        <v>10026</v>
      </c>
      <c r="J88" t="inlineStr">
        <is>
          <t>GERENTE ADMINISTRATIVO</t>
        </is>
      </c>
      <c r="K88" t="n">
        <v>1</v>
      </c>
      <c r="L88" t="inlineStr">
        <is>
          <t>PRESIDENCIA EJECUTIVA DEL CONSEJO</t>
        </is>
      </c>
      <c r="M88" t="n">
        <v>40</v>
      </c>
      <c r="N88" t="inlineStr">
        <is>
          <t>DIRECCION GENERAL BANCO BASE</t>
        </is>
      </c>
      <c r="O88" t="n">
        <v>420</v>
      </c>
      <c r="P88" t="inlineStr">
        <is>
          <t>DIRECCION ADMINISTRACION Y FINANZAS</t>
        </is>
      </c>
      <c r="Q88" t="n">
        <v>4220</v>
      </c>
      <c r="R88" t="inlineStr">
        <is>
          <t>DIRECCION DE ADMINISTRACION</t>
        </is>
      </c>
      <c r="S88" t="n">
        <v>42230</v>
      </c>
      <c r="T88" t="inlineStr">
        <is>
          <t>GERENCIA DE CONTROL ADMINISTRATIVO</t>
        </is>
      </c>
      <c r="U88" t="n">
        <v>422306</v>
      </c>
      <c r="V88" t="inlineStr">
        <is>
          <t>CONTROL ADMINISTRATIVO REGIONAL OCCIDENTE</t>
        </is>
      </c>
      <c r="W88" t="n">
        <v>126128</v>
      </c>
      <c r="X88" t="inlineStr">
        <is>
          <t>LEON</t>
        </is>
      </c>
      <c r="Y88" t="n">
        <v>4</v>
      </c>
      <c r="Z88" t="inlineStr">
        <is>
          <t>CORPORATIVO</t>
        </is>
      </c>
      <c r="AA88" t="n">
        <v>1</v>
      </c>
      <c r="AB88" t="inlineStr">
        <is>
          <t>NEGOCIO EN MARCHA</t>
        </is>
      </c>
      <c r="AC88" t="n">
        <v>1</v>
      </c>
      <c r="AD88" t="inlineStr">
        <is>
          <t>BANCO</t>
        </is>
      </c>
      <c r="AE88" t="n">
        <v>1</v>
      </c>
      <c r="AF88" t="inlineStr">
        <is>
          <t>BACK</t>
        </is>
      </c>
      <c r="AG88" t="n">
        <v>126128</v>
      </c>
      <c r="AH88" t="inlineStr">
        <is>
          <t>LEON</t>
        </is>
      </c>
      <c r="AI88" t="inlineStr">
        <is>
          <t>GUPEREZ@BANCOBASE.COM</t>
        </is>
      </c>
      <c r="AJ88" s="151" t="n">
        <v>43241</v>
      </c>
      <c r="AK88" s="151" t="n"/>
      <c r="AL88" s="151" t="n"/>
    </row>
    <row r="89" hidden="1" s="150">
      <c r="A89" t="inlineStr">
        <is>
          <t>JRUIZH</t>
        </is>
      </c>
      <c r="B89" t="n">
        <v>3796</v>
      </c>
      <c r="C89" t="inlineStr">
        <is>
          <t>JONATHAN CHRISTIAN RUIZ HERRERA</t>
        </is>
      </c>
      <c r="D89" t="n">
        <v>179</v>
      </c>
      <c r="E89" t="inlineStr">
        <is>
          <t>RESPONSABLE ADMINISTRATIVO GUADALAJARA</t>
        </is>
      </c>
      <c r="F89" t="inlineStr">
        <is>
          <t>GUADALAJARA</t>
        </is>
      </c>
      <c r="G89" t="n">
        <v>2013</v>
      </c>
      <c r="H89" t="inlineStr">
        <is>
          <t>ERIKA GUADALUPE PEREZ ZAVALA</t>
        </is>
      </c>
      <c r="I89" t="n">
        <v>10037</v>
      </c>
      <c r="J89" t="inlineStr">
        <is>
          <t>COORDINADOR ADMINISTRATIVO REGIONAL OCCIDENTE</t>
        </is>
      </c>
      <c r="K89" t="n">
        <v>1</v>
      </c>
      <c r="L89" t="inlineStr">
        <is>
          <t>PRESIDENCIA EJECUTIVA DEL CONSEJO</t>
        </is>
      </c>
      <c r="M89" t="n">
        <v>40</v>
      </c>
      <c r="N89" t="inlineStr">
        <is>
          <t>DIRECCION GENERAL BANCO BASE</t>
        </is>
      </c>
      <c r="O89" t="n">
        <v>420</v>
      </c>
      <c r="P89" t="inlineStr">
        <is>
          <t>DIRECCION ADMINISTRACION Y FINANZAS</t>
        </is>
      </c>
      <c r="Q89" t="n">
        <v>4220</v>
      </c>
      <c r="R89" t="inlineStr">
        <is>
          <t>DIRECCION DE ADMINISTRACION</t>
        </is>
      </c>
      <c r="S89" t="n">
        <v>42230</v>
      </c>
      <c r="T89" t="inlineStr">
        <is>
          <t>GERENCIA DE CONTROL ADMINISTRATIVO</t>
        </is>
      </c>
      <c r="U89" t="n">
        <v>422309</v>
      </c>
      <c r="V89" t="inlineStr">
        <is>
          <t>ADMINISTRACION GUADALAJARA</t>
        </is>
      </c>
      <c r="W89" t="n">
        <v>126107</v>
      </c>
      <c r="X89" t="inlineStr">
        <is>
          <t>GUADALAJARA</t>
        </is>
      </c>
      <c r="Y89" t="n">
        <v>4</v>
      </c>
      <c r="Z89" t="inlineStr">
        <is>
          <t>CORPORATIVO</t>
        </is>
      </c>
      <c r="AA89" t="n">
        <v>1</v>
      </c>
      <c r="AB89" t="inlineStr">
        <is>
          <t>NEGOCIO EN MARCHA</t>
        </is>
      </c>
      <c r="AC89" t="n">
        <v>1</v>
      </c>
      <c r="AD89" t="inlineStr">
        <is>
          <t>BANCO</t>
        </is>
      </c>
      <c r="AE89" t="n">
        <v>1</v>
      </c>
      <c r="AF89" t="inlineStr">
        <is>
          <t>BACK</t>
        </is>
      </c>
      <c r="AG89" t="n">
        <v>126107</v>
      </c>
      <c r="AH89" t="inlineStr">
        <is>
          <t>GUADALAJARA</t>
        </is>
      </c>
      <c r="AI89" t="inlineStr">
        <is>
          <t>JRUIZH@BANCOBASE.COM</t>
        </is>
      </c>
      <c r="AJ89" s="151" t="n">
        <v>46118</v>
      </c>
      <c r="AK89" s="151" t="n"/>
      <c r="AL89" s="151" t="n"/>
    </row>
    <row r="90" hidden="1" s="150">
      <c r="A90" t="inlineStr">
        <is>
          <t>LLOPEZLO</t>
        </is>
      </c>
      <c r="B90" t="n">
        <v>3452</v>
      </c>
      <c r="C90" t="inlineStr">
        <is>
          <t>LAURA ELIZABETH LOPEZ LOPEZ</t>
        </is>
      </c>
      <c r="D90" t="n">
        <v>5179164</v>
      </c>
      <c r="E90" t="inlineStr">
        <is>
          <t>RECEPCIONISTA</t>
        </is>
      </c>
      <c r="F90" t="inlineStr">
        <is>
          <t>GUADALAJARA</t>
        </is>
      </c>
      <c r="G90" t="n">
        <v>3796</v>
      </c>
      <c r="H90" t="inlineStr">
        <is>
          <t>JONATHAN CHRISTIAN RUIZ HERRERA</t>
        </is>
      </c>
      <c r="I90" t="n">
        <v>179</v>
      </c>
      <c r="J90" t="inlineStr">
        <is>
          <t>RESPONSABLE ADMINISTRATIVO GUADALAJARA</t>
        </is>
      </c>
      <c r="K90" t="n">
        <v>1</v>
      </c>
      <c r="L90" t="inlineStr">
        <is>
          <t>PRESIDENCIA EJECUTIVA DEL CONSEJO</t>
        </is>
      </c>
      <c r="M90" t="n">
        <v>40</v>
      </c>
      <c r="N90" t="inlineStr">
        <is>
          <t>DIRECCION GENERAL BANCO BASE</t>
        </is>
      </c>
      <c r="O90" t="n">
        <v>420</v>
      </c>
      <c r="P90" t="inlineStr">
        <is>
          <t>DIRECCION ADMINISTRACION Y FINANZAS</t>
        </is>
      </c>
      <c r="Q90" t="n">
        <v>4220</v>
      </c>
      <c r="R90" t="inlineStr">
        <is>
          <t>DIRECCION DE ADMINISTRACION</t>
        </is>
      </c>
      <c r="S90" t="n">
        <v>42230</v>
      </c>
      <c r="T90" t="inlineStr">
        <is>
          <t>GERENCIA DE CONTROL ADMINISTRATIVO</t>
        </is>
      </c>
      <c r="U90" t="n">
        <v>422309</v>
      </c>
      <c r="V90" t="inlineStr">
        <is>
          <t>ADMINISTRACION GUADALAJARA</t>
        </is>
      </c>
      <c r="W90" t="n">
        <v>126107</v>
      </c>
      <c r="X90" t="inlineStr">
        <is>
          <t>GUADALAJARA</t>
        </is>
      </c>
      <c r="Y90" t="n">
        <v>4</v>
      </c>
      <c r="Z90" t="inlineStr">
        <is>
          <t>CORPORATIVO</t>
        </is>
      </c>
      <c r="AA90" t="n">
        <v>1</v>
      </c>
      <c r="AB90" t="inlineStr">
        <is>
          <t>NEGOCIO EN MARCHA</t>
        </is>
      </c>
      <c r="AC90" t="n">
        <v>1</v>
      </c>
      <c r="AD90" t="inlineStr">
        <is>
          <t>BANCO</t>
        </is>
      </c>
      <c r="AE90" t="n">
        <v>1</v>
      </c>
      <c r="AF90" t="inlineStr">
        <is>
          <t>BACK</t>
        </is>
      </c>
      <c r="AG90" t="n">
        <v>126107</v>
      </c>
      <c r="AH90" t="inlineStr">
        <is>
          <t>GUADALAJARA</t>
        </is>
      </c>
      <c r="AI90" t="inlineStr">
        <is>
          <t>LLOPEZLO@BANCOBASE.COM</t>
        </is>
      </c>
      <c r="AJ90" s="151" t="n">
        <v>45810</v>
      </c>
      <c r="AK90" s="151" t="n"/>
      <c r="AL90" s="151" t="n"/>
    </row>
    <row r="91" hidden="1" s="150">
      <c r="A91" t="inlineStr">
        <is>
          <t>FTORRES</t>
        </is>
      </c>
      <c r="B91" t="n">
        <v>2927</v>
      </c>
      <c r="C91" t="inlineStr">
        <is>
          <t>FATIMA DEL ROSARIO TORRES JUAREZ</t>
        </is>
      </c>
      <c r="D91" t="n">
        <v>10321</v>
      </c>
      <c r="E91" t="inlineStr">
        <is>
          <t>RESPONSABLE ADMINISTRATIVO SAN LUIS POTOSI</t>
        </is>
      </c>
      <c r="F91" t="inlineStr">
        <is>
          <t>SAN LUIS POTOSI</t>
        </is>
      </c>
      <c r="G91" t="n">
        <v>2013</v>
      </c>
      <c r="H91" t="inlineStr">
        <is>
          <t>ERIKA GUADALUPE PEREZ ZAVALA</t>
        </is>
      </c>
      <c r="I91" t="n">
        <v>10037</v>
      </c>
      <c r="J91" t="inlineStr">
        <is>
          <t>COORDINADOR ADMINISTRATIVO REGIONAL OCCIDENTE</t>
        </is>
      </c>
      <c r="K91" t="n">
        <v>1</v>
      </c>
      <c r="L91" t="inlineStr">
        <is>
          <t>PRESIDENCIA EJECUTIVA DEL CONSEJO</t>
        </is>
      </c>
      <c r="M91" t="n">
        <v>40</v>
      </c>
      <c r="N91" t="inlineStr">
        <is>
          <t>DIRECCION GENERAL BANCO BASE</t>
        </is>
      </c>
      <c r="O91" t="n">
        <v>420</v>
      </c>
      <c r="P91" t="inlineStr">
        <is>
          <t>DIRECCION ADMINISTRACION Y FINANZAS</t>
        </is>
      </c>
      <c r="Q91" t="n">
        <v>4220</v>
      </c>
      <c r="R91" t="inlineStr">
        <is>
          <t>DIRECCION DE ADMINISTRACION</t>
        </is>
      </c>
      <c r="S91" t="n">
        <v>42230</v>
      </c>
      <c r="T91" t="inlineStr">
        <is>
          <t>GERENCIA DE CONTROL ADMINISTRATIVO</t>
        </is>
      </c>
      <c r="U91" t="n">
        <v>422305</v>
      </c>
      <c r="V91" t="inlineStr">
        <is>
          <t>ADMINISTRACION SAN LUIS</t>
        </is>
      </c>
      <c r="W91" t="n">
        <v>126130</v>
      </c>
      <c r="X91" t="inlineStr">
        <is>
          <t>SAN LUIS POTOSI</t>
        </is>
      </c>
      <c r="Y91" t="n">
        <v>4</v>
      </c>
      <c r="Z91" t="inlineStr">
        <is>
          <t>CORPORATIVO</t>
        </is>
      </c>
      <c r="AA91" t="n">
        <v>1</v>
      </c>
      <c r="AB91" t="inlineStr">
        <is>
          <t>NEGOCIO EN MARCHA</t>
        </is>
      </c>
      <c r="AC91" t="n">
        <v>1</v>
      </c>
      <c r="AD91" t="inlineStr">
        <is>
          <t>BANCO</t>
        </is>
      </c>
      <c r="AE91" t="n">
        <v>1</v>
      </c>
      <c r="AF91" t="inlineStr">
        <is>
          <t>BACK</t>
        </is>
      </c>
      <c r="AG91" t="n">
        <v>126130</v>
      </c>
      <c r="AH91" t="inlineStr">
        <is>
          <t>SAN LUIS POTOSI</t>
        </is>
      </c>
      <c r="AI91" t="inlineStr">
        <is>
          <t>FTORRES@BANCOBASE.COM</t>
        </is>
      </c>
      <c r="AJ91" s="151" t="n">
        <v>45124</v>
      </c>
      <c r="AK91" s="151" t="n"/>
      <c r="AL91" s="151" t="n"/>
    </row>
    <row r="92" hidden="1" s="150">
      <c r="A92" t="inlineStr">
        <is>
          <t>DSANCHEZI</t>
        </is>
      </c>
      <c r="B92" t="n">
        <v>3760</v>
      </c>
      <c r="C92" t="inlineStr">
        <is>
          <t>DALIA CELESTE SANCHEZ INFANTE</t>
        </is>
      </c>
      <c r="D92" t="n">
        <v>8040</v>
      </c>
      <c r="E92" t="inlineStr">
        <is>
          <t>RESPONSABLE ADMINISTRATIVO QUERETARO</t>
        </is>
      </c>
      <c r="F92" t="inlineStr">
        <is>
          <t>QUERETARO</t>
        </is>
      </c>
      <c r="G92" t="n">
        <v>2013</v>
      </c>
      <c r="H92" t="inlineStr">
        <is>
          <t>ERIKA GUADALUPE PEREZ ZAVALA</t>
        </is>
      </c>
      <c r="I92" t="n">
        <v>10037</v>
      </c>
      <c r="J92" t="inlineStr">
        <is>
          <t>COORDINADOR ADMINISTRATIVO REGIONAL OCCIDENTE</t>
        </is>
      </c>
      <c r="K92" t="n">
        <v>1</v>
      </c>
      <c r="L92" t="inlineStr">
        <is>
          <t>PRESIDENCIA EJECUTIVA DEL CONSEJO</t>
        </is>
      </c>
      <c r="M92" t="n">
        <v>40</v>
      </c>
      <c r="N92" t="inlineStr">
        <is>
          <t>DIRECCION GENERAL BANCO BASE</t>
        </is>
      </c>
      <c r="O92" t="n">
        <v>420</v>
      </c>
      <c r="P92" t="inlineStr">
        <is>
          <t>DIRECCION ADMINISTRACION Y FINANZAS</t>
        </is>
      </c>
      <c r="Q92" t="n">
        <v>4220</v>
      </c>
      <c r="R92" t="inlineStr">
        <is>
          <t>DIRECCION DE ADMINISTRACION</t>
        </is>
      </c>
      <c r="S92" t="n">
        <v>42230</v>
      </c>
      <c r="T92" t="inlineStr">
        <is>
          <t>GERENCIA DE CONTROL ADMINISTRATIVO</t>
        </is>
      </c>
      <c r="U92" t="n">
        <v>422306</v>
      </c>
      <c r="V92" t="inlineStr">
        <is>
          <t>CONTROL ADMINISTRATIVO REGIONAL OCCIDENTE</t>
        </is>
      </c>
      <c r="W92" t="n">
        <v>126112</v>
      </c>
      <c r="X92" t="inlineStr">
        <is>
          <t>QUERETARO</t>
        </is>
      </c>
      <c r="Y92" t="n">
        <v>4</v>
      </c>
      <c r="Z92" t="inlineStr">
        <is>
          <t>CORPORATIVO</t>
        </is>
      </c>
      <c r="AA92" t="n">
        <v>1</v>
      </c>
      <c r="AB92" t="inlineStr">
        <is>
          <t>NEGOCIO EN MARCHA</t>
        </is>
      </c>
      <c r="AC92" t="n">
        <v>1</v>
      </c>
      <c r="AD92" t="inlineStr">
        <is>
          <t>BANCO</t>
        </is>
      </c>
      <c r="AE92" t="n">
        <v>1</v>
      </c>
      <c r="AF92" t="inlineStr">
        <is>
          <t>BACK</t>
        </is>
      </c>
      <c r="AG92" t="n">
        <v>126112</v>
      </c>
      <c r="AH92" t="inlineStr">
        <is>
          <t>QUERETARO</t>
        </is>
      </c>
      <c r="AI92" t="inlineStr">
        <is>
          <t>DSANCHEZI@BANCOBASE.COM</t>
        </is>
      </c>
      <c r="AJ92" s="151" t="n">
        <v>46069</v>
      </c>
      <c r="AK92" s="151" t="n"/>
      <c r="AL92" s="151" t="n"/>
    </row>
    <row r="93" hidden="1" s="150">
      <c r="A93" t="inlineStr">
        <is>
          <t>YCOLUNGA</t>
        </is>
      </c>
      <c r="B93" t="n">
        <v>3963</v>
      </c>
      <c r="C93" t="inlineStr">
        <is>
          <t>YESSICA COLUNGA CASTANEDA</t>
        </is>
      </c>
      <c r="D93" t="n">
        <v>182</v>
      </c>
      <c r="E93" t="inlineStr">
        <is>
          <t>RESPONSABLE ADMINISTRATIVO AGUASCALIENTES</t>
        </is>
      </c>
      <c r="F93" t="inlineStr">
        <is>
          <t>AGUASCALIENTES</t>
        </is>
      </c>
      <c r="G93" t="n">
        <v>2013</v>
      </c>
      <c r="H93" t="inlineStr">
        <is>
          <t>ERIKA GUADALUPE PEREZ ZAVALA</t>
        </is>
      </c>
      <c r="I93" t="n">
        <v>10037</v>
      </c>
      <c r="J93" t="inlineStr">
        <is>
          <t>COORDINADOR ADMINISTRATIVO REGIONAL OCCIDENTE</t>
        </is>
      </c>
      <c r="K93" t="n">
        <v>1</v>
      </c>
      <c r="L93" t="inlineStr">
        <is>
          <t>PRESIDENCIA EJECUTIVA DEL CONSEJO</t>
        </is>
      </c>
      <c r="M93" t="n">
        <v>40</v>
      </c>
      <c r="N93" t="inlineStr">
        <is>
          <t>DIRECCION GENERAL BANCO BASE</t>
        </is>
      </c>
      <c r="O93" t="n">
        <v>420</v>
      </c>
      <c r="P93" t="inlineStr">
        <is>
          <t>DIRECCION ADMINISTRACION Y FINANZAS</t>
        </is>
      </c>
      <c r="Q93" t="n">
        <v>4220</v>
      </c>
      <c r="R93" t="inlineStr">
        <is>
          <t>DIRECCION DE ADMINISTRACION</t>
        </is>
      </c>
      <c r="S93" t="n">
        <v>42230</v>
      </c>
      <c r="T93" t="inlineStr">
        <is>
          <t>GERENCIA DE CONTROL ADMINISTRATIVO</t>
        </is>
      </c>
      <c r="U93" t="n">
        <v>422307</v>
      </c>
      <c r="V93" t="inlineStr">
        <is>
          <t>ADMINISTRACION AGUASCALIENTES</t>
        </is>
      </c>
      <c r="W93" t="n">
        <v>126103</v>
      </c>
      <c r="X93" t="inlineStr">
        <is>
          <t>AGUASCALIENTES</t>
        </is>
      </c>
      <c r="Y93" t="n">
        <v>4</v>
      </c>
      <c r="Z93" t="inlineStr">
        <is>
          <t>CORPORATIVO</t>
        </is>
      </c>
      <c r="AA93" t="n">
        <v>1</v>
      </c>
      <c r="AB93" t="inlineStr">
        <is>
          <t>NEGOCIO EN MARCHA</t>
        </is>
      </c>
      <c r="AC93" t="n">
        <v>1</v>
      </c>
      <c r="AD93" t="inlineStr">
        <is>
          <t>BANCO</t>
        </is>
      </c>
      <c r="AE93" t="n">
        <v>1</v>
      </c>
      <c r="AF93" t="inlineStr">
        <is>
          <t>BACK</t>
        </is>
      </c>
      <c r="AG93" t="n">
        <v>126103</v>
      </c>
      <c r="AH93" t="inlineStr">
        <is>
          <t>AGUASCALIENTES</t>
        </is>
      </c>
      <c r="AI93" t="inlineStr">
        <is>
          <t>YCOLUNGA@BANCOBASE.COM</t>
        </is>
      </c>
      <c r="AJ93" s="151" t="n">
        <v>46237</v>
      </c>
      <c r="AK93" s="151" t="n"/>
      <c r="AL93" s="151" t="n"/>
    </row>
    <row r="94" hidden="1" s="150">
      <c r="A94" t="inlineStr">
        <is>
          <t>IRAMIREZ</t>
        </is>
      </c>
      <c r="B94" t="n">
        <v>2463</v>
      </c>
      <c r="C94" t="inlineStr">
        <is>
          <t>ITZEL PILAR RAMIREZ KANAREK</t>
        </is>
      </c>
      <c r="D94" t="n">
        <v>9325</v>
      </c>
      <c r="E94" t="inlineStr">
        <is>
          <t>RESPONSABLE ADMINISTRATIVO LOMAS</t>
        </is>
      </c>
      <c r="F94" t="inlineStr">
        <is>
          <t>MEXICO</t>
        </is>
      </c>
      <c r="G94" t="n">
        <v>713</v>
      </c>
      <c r="H94" t="inlineStr">
        <is>
          <t>MONICA GABRIELA PEREZ RAMIREZ</t>
        </is>
      </c>
      <c r="I94" t="n">
        <v>10026</v>
      </c>
      <c r="J94" t="inlineStr">
        <is>
          <t>GERENTE ADMINISTRATIVO</t>
        </is>
      </c>
      <c r="K94" t="n">
        <v>1</v>
      </c>
      <c r="L94" t="inlineStr">
        <is>
          <t>PRESIDENCIA EJECUTIVA DEL CONSEJO</t>
        </is>
      </c>
      <c r="M94" t="n">
        <v>40</v>
      </c>
      <c r="N94" t="inlineStr">
        <is>
          <t>DIRECCION GENERAL BANCO BASE</t>
        </is>
      </c>
      <c r="O94" t="n">
        <v>420</v>
      </c>
      <c r="P94" t="inlineStr">
        <is>
          <t>DIRECCION ADMINISTRACION Y FINANZAS</t>
        </is>
      </c>
      <c r="Q94" t="n">
        <v>4220</v>
      </c>
      <c r="R94" t="inlineStr">
        <is>
          <t>DIRECCION DE ADMINISTRACION</t>
        </is>
      </c>
      <c r="S94" t="n">
        <v>42230</v>
      </c>
      <c r="T94" t="inlineStr">
        <is>
          <t>GERENCIA DE CONTROL ADMINISTRATIVO</t>
        </is>
      </c>
      <c r="U94" t="n">
        <v>422311</v>
      </c>
      <c r="V94" t="inlineStr">
        <is>
          <t>ADMINISTRACION MEXICO</t>
        </is>
      </c>
      <c r="W94" t="n">
        <v>134111</v>
      </c>
      <c r="X94" t="inlineStr">
        <is>
          <t>LOMAS</t>
        </is>
      </c>
      <c r="Y94" t="n">
        <v>4</v>
      </c>
      <c r="Z94" t="inlineStr">
        <is>
          <t>CORPORATIVO</t>
        </is>
      </c>
      <c r="AA94" t="n">
        <v>1</v>
      </c>
      <c r="AB94" t="inlineStr">
        <is>
          <t>NEGOCIO EN MARCHA</t>
        </is>
      </c>
      <c r="AC94" t="n">
        <v>1</v>
      </c>
      <c r="AD94" t="inlineStr">
        <is>
          <t>BANCO</t>
        </is>
      </c>
      <c r="AE94" t="n">
        <v>1</v>
      </c>
      <c r="AF94" t="inlineStr">
        <is>
          <t>BACK</t>
        </is>
      </c>
      <c r="AG94" t="n">
        <v>134111</v>
      </c>
      <c r="AH94" t="inlineStr">
        <is>
          <t>LOMAS</t>
        </is>
      </c>
      <c r="AI94" t="inlineStr">
        <is>
          <t>IRAMIREZ@BANCOBASE.COM</t>
        </is>
      </c>
      <c r="AJ94" s="151" t="n">
        <v>44207</v>
      </c>
      <c r="AK94" s="151" t="n"/>
      <c r="AL94" s="151" t="n"/>
    </row>
    <row r="95" hidden="1" s="150">
      <c r="A95" t="inlineStr">
        <is>
          <t>ACORRO</t>
        </is>
      </c>
      <c r="B95" t="n">
        <v>3496</v>
      </c>
      <c r="C95" t="inlineStr">
        <is>
          <t>ANDREA STEPHANIE CORRO RODRIGUEZ</t>
        </is>
      </c>
      <c r="D95" t="n">
        <v>10257</v>
      </c>
      <c r="E95" t="inlineStr">
        <is>
          <t>ANALISTA ADMINISTRATIVO</t>
        </is>
      </c>
      <c r="F95" t="inlineStr">
        <is>
          <t>MEXICO</t>
        </is>
      </c>
      <c r="G95" t="n">
        <v>2463</v>
      </c>
      <c r="H95" t="inlineStr">
        <is>
          <t>ITZEL PILAR RAMIREZ KANAREK</t>
        </is>
      </c>
      <c r="I95" t="n">
        <v>9325</v>
      </c>
      <c r="J95" t="inlineStr">
        <is>
          <t>RESPONSABLE ADMINISTRATIVO LOMAS</t>
        </is>
      </c>
      <c r="K95" t="n">
        <v>1</v>
      </c>
      <c r="L95" t="inlineStr">
        <is>
          <t>PRESIDENCIA EJECUTIVA DEL CONSEJO</t>
        </is>
      </c>
      <c r="M95" t="n">
        <v>40</v>
      </c>
      <c r="N95" t="inlineStr">
        <is>
          <t>DIRECCION GENERAL BANCO BASE</t>
        </is>
      </c>
      <c r="O95" t="n">
        <v>420</v>
      </c>
      <c r="P95" t="inlineStr">
        <is>
          <t>DIRECCION ADMINISTRACION Y FINANZAS</t>
        </is>
      </c>
      <c r="Q95" t="n">
        <v>4220</v>
      </c>
      <c r="R95" t="inlineStr">
        <is>
          <t>DIRECCION DE ADMINISTRACION</t>
        </is>
      </c>
      <c r="S95" t="n">
        <v>42230</v>
      </c>
      <c r="T95" t="inlineStr">
        <is>
          <t>GERENCIA DE CONTROL ADMINISTRATIVO</t>
        </is>
      </c>
      <c r="U95" t="n">
        <v>422311</v>
      </c>
      <c r="V95" t="inlineStr">
        <is>
          <t>ADMINISTRACION MEXICO</t>
        </is>
      </c>
      <c r="W95" t="n">
        <v>134111</v>
      </c>
      <c r="X95" t="inlineStr">
        <is>
          <t>LOMAS</t>
        </is>
      </c>
      <c r="Y95" t="n">
        <v>4</v>
      </c>
      <c r="Z95" t="inlineStr">
        <is>
          <t>CORPORATIVO</t>
        </is>
      </c>
      <c r="AA95" t="n">
        <v>1</v>
      </c>
      <c r="AB95" t="inlineStr">
        <is>
          <t>NEGOCIO EN MARCHA</t>
        </is>
      </c>
      <c r="AC95" t="n">
        <v>1</v>
      </c>
      <c r="AD95" t="inlineStr">
        <is>
          <t>BANCO</t>
        </is>
      </c>
      <c r="AE95" t="n">
        <v>1</v>
      </c>
      <c r="AF95" t="inlineStr">
        <is>
          <t>BACK</t>
        </is>
      </c>
      <c r="AG95" t="n">
        <v>134111</v>
      </c>
      <c r="AH95" t="inlineStr">
        <is>
          <t>LOMAS</t>
        </is>
      </c>
      <c r="AI95" t="inlineStr">
        <is>
          <t>ACORRO@BANCOBASE.COM</t>
        </is>
      </c>
      <c r="AJ95" s="151" t="n">
        <v>45873</v>
      </c>
      <c r="AK95" s="151" t="n"/>
      <c r="AL95" s="151" t="n"/>
    </row>
    <row r="96" hidden="1" s="150">
      <c r="A96" t="inlineStr">
        <is>
          <t>SDELAROSAN</t>
        </is>
      </c>
      <c r="B96" t="n">
        <v>3867</v>
      </c>
      <c r="C96" t="inlineStr">
        <is>
          <t>SILVIA CAROLINA DE LA ROSA NIETO</t>
        </is>
      </c>
      <c r="D96" t="n">
        <v>433164</v>
      </c>
      <c r="E96" t="inlineStr">
        <is>
          <t>RECEPCIONISTA</t>
        </is>
      </c>
      <c r="F96" t="inlineStr">
        <is>
          <t>MEXICO</t>
        </is>
      </c>
      <c r="G96" t="n">
        <v>2463</v>
      </c>
      <c r="H96" t="inlineStr">
        <is>
          <t>ITZEL PILAR RAMIREZ KANAREK</t>
        </is>
      </c>
      <c r="I96" t="n">
        <v>9325</v>
      </c>
      <c r="J96" t="inlineStr">
        <is>
          <t>RESPONSABLE ADMINISTRATIVO LOMAS</t>
        </is>
      </c>
      <c r="K96" t="n">
        <v>1</v>
      </c>
      <c r="L96" t="inlineStr">
        <is>
          <t>PRESIDENCIA EJECUTIVA DEL CONSEJO</t>
        </is>
      </c>
      <c r="M96" t="n">
        <v>40</v>
      </c>
      <c r="N96" t="inlineStr">
        <is>
          <t>DIRECCION GENERAL BANCO BASE</t>
        </is>
      </c>
      <c r="O96" t="n">
        <v>420</v>
      </c>
      <c r="P96" t="inlineStr">
        <is>
          <t>DIRECCION ADMINISTRACION Y FINANZAS</t>
        </is>
      </c>
      <c r="Q96" t="n">
        <v>4220</v>
      </c>
      <c r="R96" t="inlineStr">
        <is>
          <t>DIRECCION DE ADMINISTRACION</t>
        </is>
      </c>
      <c r="S96" t="n">
        <v>42230</v>
      </c>
      <c r="T96" t="inlineStr">
        <is>
          <t>GERENCIA DE CONTROL ADMINISTRATIVO</t>
        </is>
      </c>
      <c r="U96" t="n">
        <v>422311</v>
      </c>
      <c r="V96" t="inlineStr">
        <is>
          <t>ADMINISTRACION MEXICO</t>
        </is>
      </c>
      <c r="W96" t="n">
        <v>134111</v>
      </c>
      <c r="X96" t="inlineStr">
        <is>
          <t>LOMAS</t>
        </is>
      </c>
      <c r="Y96" t="n">
        <v>4</v>
      </c>
      <c r="Z96" t="inlineStr">
        <is>
          <t>CORPORATIVO</t>
        </is>
      </c>
      <c r="AA96" t="n">
        <v>1</v>
      </c>
      <c r="AB96" t="inlineStr">
        <is>
          <t>NEGOCIO EN MARCHA</t>
        </is>
      </c>
      <c r="AC96" t="n">
        <v>1</v>
      </c>
      <c r="AD96" t="inlineStr">
        <is>
          <t>BANCO</t>
        </is>
      </c>
      <c r="AE96" t="n">
        <v>1</v>
      </c>
      <c r="AF96" t="inlineStr">
        <is>
          <t>BACK</t>
        </is>
      </c>
      <c r="AG96" t="n">
        <v>134111</v>
      </c>
      <c r="AH96" t="inlineStr">
        <is>
          <t>LOMAS</t>
        </is>
      </c>
      <c r="AI96" t="inlineStr">
        <is>
          <t>SDELAROSAN@BANCOBASE.COM</t>
        </is>
      </c>
      <c r="AJ96" s="151" t="n">
        <v>46160</v>
      </c>
      <c r="AK96" s="151" t="n"/>
      <c r="AL96" s="151" t="n"/>
    </row>
    <row r="97" hidden="1" s="150">
      <c r="A97" t="inlineStr">
        <is>
          <t>MESTRADA</t>
        </is>
      </c>
      <c r="B97" t="n">
        <v>3925</v>
      </c>
      <c r="C97" t="inlineStr">
        <is>
          <t>MELISA VIANEY ESTRADA DIAZ</t>
        </is>
      </c>
      <c r="D97" t="n">
        <v>8320</v>
      </c>
      <c r="E97" t="inlineStr">
        <is>
          <t>RECEPCIONISTA</t>
        </is>
      </c>
      <c r="F97" t="inlineStr">
        <is>
          <t>MEXICO</t>
        </is>
      </c>
      <c r="G97" t="n">
        <v>2463</v>
      </c>
      <c r="H97" t="inlineStr">
        <is>
          <t>ITZEL PILAR RAMIREZ KANAREK</t>
        </is>
      </c>
      <c r="I97" t="n">
        <v>9325</v>
      </c>
      <c r="J97" t="inlineStr">
        <is>
          <t>RESPONSABLE ADMINISTRATIVO LOMAS</t>
        </is>
      </c>
      <c r="K97" t="n">
        <v>1</v>
      </c>
      <c r="L97" t="inlineStr">
        <is>
          <t>PRESIDENCIA EJECUTIVA DEL CONSEJO</t>
        </is>
      </c>
      <c r="M97" t="n">
        <v>40</v>
      </c>
      <c r="N97" t="inlineStr">
        <is>
          <t>DIRECCION GENERAL BANCO BASE</t>
        </is>
      </c>
      <c r="O97" t="n">
        <v>420</v>
      </c>
      <c r="P97" t="inlineStr">
        <is>
          <t>DIRECCION ADMINISTRACION Y FINANZAS</t>
        </is>
      </c>
      <c r="Q97" t="n">
        <v>4220</v>
      </c>
      <c r="R97" t="inlineStr">
        <is>
          <t>DIRECCION DE ADMINISTRACION</t>
        </is>
      </c>
      <c r="S97" t="n">
        <v>42230</v>
      </c>
      <c r="T97" t="inlineStr">
        <is>
          <t>GERENCIA DE CONTROL ADMINISTRATIVO</t>
        </is>
      </c>
      <c r="U97" t="n">
        <v>422311</v>
      </c>
      <c r="V97" t="inlineStr">
        <is>
          <t>ADMINISTRACION MEXICO</t>
        </is>
      </c>
      <c r="W97" t="n">
        <v>134111</v>
      </c>
      <c r="X97" t="inlineStr">
        <is>
          <t>LOMAS</t>
        </is>
      </c>
      <c r="Y97" t="n">
        <v>4</v>
      </c>
      <c r="Z97" t="inlineStr">
        <is>
          <t>CORPORATIVO</t>
        </is>
      </c>
      <c r="AA97" t="n">
        <v>1</v>
      </c>
      <c r="AB97" t="inlineStr">
        <is>
          <t>NEGOCIO EN MARCHA</t>
        </is>
      </c>
      <c r="AC97" t="n">
        <v>1</v>
      </c>
      <c r="AD97" t="inlineStr">
        <is>
          <t>BANCO</t>
        </is>
      </c>
      <c r="AE97" t="n">
        <v>1</v>
      </c>
      <c r="AF97" t="inlineStr">
        <is>
          <t>BACK</t>
        </is>
      </c>
      <c r="AG97" t="n">
        <v>134111</v>
      </c>
      <c r="AH97" t="inlineStr">
        <is>
          <t>LOMAS</t>
        </is>
      </c>
      <c r="AI97" t="inlineStr">
        <is>
          <t>MESTRADA@BANCOBASE.COM</t>
        </is>
      </c>
      <c r="AJ97" s="151" t="n">
        <v>46204</v>
      </c>
      <c r="AK97" s="151" t="n"/>
      <c r="AL97" s="151" t="n"/>
    </row>
    <row r="98" hidden="1" s="150">
      <c r="A98" t="inlineStr">
        <is>
          <t>SDELEON</t>
        </is>
      </c>
      <c r="B98" t="n">
        <v>1901</v>
      </c>
      <c r="C98" t="inlineStr">
        <is>
          <t>SANJUANA JUDITH DE LEON FLORES</t>
        </is>
      </c>
      <c r="D98" t="n">
        <v>8258</v>
      </c>
      <c r="E98" t="inlineStr">
        <is>
          <t>GERENTE DE CONSOLIDACION FINANCIERA</t>
        </is>
      </c>
      <c r="F98" t="inlineStr">
        <is>
          <t>MONTERREY</t>
        </is>
      </c>
      <c r="G98" t="n">
        <v>209</v>
      </c>
      <c r="H98" t="inlineStr">
        <is>
          <t>ROBERTO MUÑOZ SALAZAR</t>
        </is>
      </c>
      <c r="I98" t="n">
        <v>9463</v>
      </c>
      <c r="J98" t="inlineStr">
        <is>
          <t>DIRECTOR DE ADMINISTRACION</t>
        </is>
      </c>
      <c r="K98" t="n">
        <v>1</v>
      </c>
      <c r="L98" t="inlineStr">
        <is>
          <t>PRESIDENCIA EJECUTIVA DEL CONSEJO</t>
        </is>
      </c>
      <c r="M98" t="n">
        <v>40</v>
      </c>
      <c r="N98" t="inlineStr">
        <is>
          <t>DIRECCION GENERAL BANCO BASE</t>
        </is>
      </c>
      <c r="O98" t="n">
        <v>420</v>
      </c>
      <c r="P98" t="inlineStr">
        <is>
          <t>DIRECCION ADMINISTRACION Y FINANZAS</t>
        </is>
      </c>
      <c r="Q98" t="n">
        <v>4220</v>
      </c>
      <c r="R98" t="inlineStr">
        <is>
          <t>DIRECCION DE ADMINISTRACION</t>
        </is>
      </c>
      <c r="S98" t="n">
        <v>42212</v>
      </c>
      <c r="T98" t="inlineStr">
        <is>
          <t>GERENCIA DE CONSOLIDACION FINANCIERA</t>
        </is>
      </c>
      <c r="U98" t="n">
        <v>422102</v>
      </c>
      <c r="V98" t="inlineStr">
        <is>
          <t>CONSOLIDACION FINANCIERA</t>
        </is>
      </c>
      <c r="W98" t="n">
        <v>100101</v>
      </c>
      <c r="X98" t="inlineStr">
        <is>
          <t>CORPORATIVO</t>
        </is>
      </c>
      <c r="Y98" t="n">
        <v>4</v>
      </c>
      <c r="Z98" t="inlineStr">
        <is>
          <t>CORPORATIVO</t>
        </is>
      </c>
      <c r="AA98" t="n">
        <v>1</v>
      </c>
      <c r="AB98" t="inlineStr">
        <is>
          <t>NEGOCIO EN MARCHA</t>
        </is>
      </c>
      <c r="AC98" t="n">
        <v>1</v>
      </c>
      <c r="AD98" t="inlineStr">
        <is>
          <t>BANCO</t>
        </is>
      </c>
      <c r="AE98" t="n">
        <v>1</v>
      </c>
      <c r="AF98" t="inlineStr">
        <is>
          <t>BACK</t>
        </is>
      </c>
      <c r="AG98" t="n">
        <v>100101</v>
      </c>
      <c r="AH98" t="inlineStr">
        <is>
          <t>CORPORATIVO</t>
        </is>
      </c>
      <c r="AI98" t="inlineStr">
        <is>
          <t>SDELEON@BANCOBASE.COM</t>
        </is>
      </c>
      <c r="AJ98" s="151" t="n">
        <v>43076</v>
      </c>
      <c r="AK98" s="151" t="n"/>
      <c r="AL98" s="151" t="n"/>
    </row>
    <row r="99" hidden="1" s="150">
      <c r="A99" t="inlineStr">
        <is>
          <t>CVASQUEZ</t>
        </is>
      </c>
      <c r="B99" t="n">
        <v>3022</v>
      </c>
      <c r="C99" t="inlineStr">
        <is>
          <t>CITLALLI ARACELI ZULIMA VASQUEZ RAMIREZ</t>
        </is>
      </c>
      <c r="D99" t="n">
        <v>9638</v>
      </c>
      <c r="E99" t="inlineStr">
        <is>
          <t>ANALISTA DE CONSOLIDACION SR</t>
        </is>
      </c>
      <c r="F99" t="inlineStr">
        <is>
          <t>MONTERREY</t>
        </is>
      </c>
      <c r="G99" t="n">
        <v>1901</v>
      </c>
      <c r="H99" t="inlineStr">
        <is>
          <t>SANJUANA JUDITH DE LEON FLORES</t>
        </is>
      </c>
      <c r="I99" t="n">
        <v>8258</v>
      </c>
      <c r="J99" t="inlineStr">
        <is>
          <t>GERENTE DE CONSOLIDACION FINANCIERA</t>
        </is>
      </c>
      <c r="K99" t="n">
        <v>1</v>
      </c>
      <c r="L99" t="inlineStr">
        <is>
          <t>PRESIDENCIA EJECUTIVA DEL CONSEJO</t>
        </is>
      </c>
      <c r="M99" t="n">
        <v>40</v>
      </c>
      <c r="N99" t="inlineStr">
        <is>
          <t>DIRECCION GENERAL BANCO BASE</t>
        </is>
      </c>
      <c r="O99" t="n">
        <v>420</v>
      </c>
      <c r="P99" t="inlineStr">
        <is>
          <t>DIRECCION ADMINISTRACION Y FINANZAS</t>
        </is>
      </c>
      <c r="Q99" t="n">
        <v>4220</v>
      </c>
      <c r="R99" t="inlineStr">
        <is>
          <t>DIRECCION DE ADMINISTRACION</t>
        </is>
      </c>
      <c r="S99" t="n">
        <v>42212</v>
      </c>
      <c r="T99" t="inlineStr">
        <is>
          <t>GERENCIA DE CONSOLIDACION FINANCIERA</t>
        </is>
      </c>
      <c r="U99" t="n">
        <v>422102</v>
      </c>
      <c r="V99" t="inlineStr">
        <is>
          <t>CONSOLIDACION FINANCIERA</t>
        </is>
      </c>
      <c r="W99" t="n">
        <v>100101</v>
      </c>
      <c r="X99" t="inlineStr">
        <is>
          <t>CORPORATIVO</t>
        </is>
      </c>
      <c r="Y99" t="n">
        <v>4</v>
      </c>
      <c r="Z99" t="inlineStr">
        <is>
          <t>CORPORATIVO</t>
        </is>
      </c>
      <c r="AA99" t="n">
        <v>1</v>
      </c>
      <c r="AB99" t="inlineStr">
        <is>
          <t>NEGOCIO EN MARCHA</t>
        </is>
      </c>
      <c r="AC99" t="n">
        <v>1</v>
      </c>
      <c r="AD99" t="inlineStr">
        <is>
          <t>BANCO</t>
        </is>
      </c>
      <c r="AE99" t="n">
        <v>1</v>
      </c>
      <c r="AF99" t="inlineStr">
        <is>
          <t>BACK</t>
        </is>
      </c>
      <c r="AG99" t="n">
        <v>100101</v>
      </c>
      <c r="AH99" t="inlineStr">
        <is>
          <t>CORPORATIVO</t>
        </is>
      </c>
      <c r="AI99" t="inlineStr">
        <is>
          <t>CVASQUEZ@BANCOBASE.COM</t>
        </is>
      </c>
      <c r="AJ99" s="151" t="n">
        <v>45323</v>
      </c>
      <c r="AK99" s="151" t="n"/>
      <c r="AL99" s="151" t="n"/>
    </row>
    <row r="100" hidden="1" s="150">
      <c r="A100" t="inlineStr">
        <is>
          <t>LGONZALEG</t>
        </is>
      </c>
      <c r="B100" t="n">
        <v>2353</v>
      </c>
      <c r="C100" t="inlineStr">
        <is>
          <t>LESLIE ELENA GONZALEZ GONZALEZ</t>
        </is>
      </c>
      <c r="D100" t="n">
        <v>8165</v>
      </c>
      <c r="E100" t="inlineStr">
        <is>
          <t>ANALISTA DE CONSOLIDACION SR</t>
        </is>
      </c>
      <c r="F100" t="inlineStr">
        <is>
          <t>MONTERREY</t>
        </is>
      </c>
      <c r="G100" t="n">
        <v>1901</v>
      </c>
      <c r="H100" t="inlineStr">
        <is>
          <t>SANJUANA JUDITH DE LEON FLORES</t>
        </is>
      </c>
      <c r="I100" t="n">
        <v>8258</v>
      </c>
      <c r="J100" t="inlineStr">
        <is>
          <t>GERENTE DE CONSOLIDACION FINANCIERA</t>
        </is>
      </c>
      <c r="K100" t="n">
        <v>1</v>
      </c>
      <c r="L100" t="inlineStr">
        <is>
          <t>PRESIDENCIA EJECUTIVA DEL CONSEJO</t>
        </is>
      </c>
      <c r="M100" t="n">
        <v>40</v>
      </c>
      <c r="N100" t="inlineStr">
        <is>
          <t>DIRECCION GENERAL BANCO BASE</t>
        </is>
      </c>
      <c r="O100" t="n">
        <v>420</v>
      </c>
      <c r="P100" t="inlineStr">
        <is>
          <t>DIRECCION ADMINISTRACION Y FINANZAS</t>
        </is>
      </c>
      <c r="Q100" t="n">
        <v>4220</v>
      </c>
      <c r="R100" t="inlineStr">
        <is>
          <t>DIRECCION DE ADMINISTRACION</t>
        </is>
      </c>
      <c r="S100" t="n">
        <v>42212</v>
      </c>
      <c r="T100" t="inlineStr">
        <is>
          <t>GERENCIA DE CONSOLIDACION FINANCIERA</t>
        </is>
      </c>
      <c r="U100" t="n">
        <v>422102</v>
      </c>
      <c r="V100" t="inlineStr">
        <is>
          <t>CONSOLIDACION FINANCIERA</t>
        </is>
      </c>
      <c r="W100" t="n">
        <v>100101</v>
      </c>
      <c r="X100" t="inlineStr">
        <is>
          <t>CORPORATIVO</t>
        </is>
      </c>
      <c r="Y100" t="n">
        <v>4</v>
      </c>
      <c r="Z100" t="inlineStr">
        <is>
          <t>CORPORATIVO</t>
        </is>
      </c>
      <c r="AA100" t="n">
        <v>1</v>
      </c>
      <c r="AB100" t="inlineStr">
        <is>
          <t>NEGOCIO EN MARCHA</t>
        </is>
      </c>
      <c r="AC100" t="n">
        <v>1</v>
      </c>
      <c r="AD100" t="inlineStr">
        <is>
          <t>BANCO</t>
        </is>
      </c>
      <c r="AE100" t="n">
        <v>1</v>
      </c>
      <c r="AF100" t="inlineStr">
        <is>
          <t>BACK</t>
        </is>
      </c>
      <c r="AG100" t="n">
        <v>100101</v>
      </c>
      <c r="AH100" t="inlineStr">
        <is>
          <t>CORPORATIVO</t>
        </is>
      </c>
      <c r="AI100" t="inlineStr">
        <is>
          <t>LGONZALEG@BANCOBASE.COM</t>
        </is>
      </c>
      <c r="AJ100" s="151" t="n">
        <v>43800</v>
      </c>
      <c r="AK100" s="151" t="n"/>
      <c r="AL100" s="151" t="n"/>
    </row>
    <row r="101" hidden="1" s="150">
      <c r="A101" t="inlineStr">
        <is>
          <t>LRICO</t>
        </is>
      </c>
      <c r="B101" t="n">
        <v>1228</v>
      </c>
      <c r="C101" t="inlineStr">
        <is>
          <t>LUIS ALFONSO RICO LIMON</t>
        </is>
      </c>
      <c r="D101" t="n">
        <v>43</v>
      </c>
      <c r="E101" t="inlineStr">
        <is>
          <t>GERENTE FISCAL</t>
        </is>
      </c>
      <c r="F101" t="inlineStr">
        <is>
          <t>MONTERREY</t>
        </is>
      </c>
      <c r="G101" t="n">
        <v>209</v>
      </c>
      <c r="H101" t="inlineStr">
        <is>
          <t>ROBERTO MUÑOZ SALAZAR</t>
        </is>
      </c>
      <c r="I101" t="n">
        <v>9463</v>
      </c>
      <c r="J101" t="inlineStr">
        <is>
          <t>DIRECTOR DE ADMINISTRACION</t>
        </is>
      </c>
      <c r="K101" t="n">
        <v>1</v>
      </c>
      <c r="L101" t="inlineStr">
        <is>
          <t>PRESIDENCIA EJECUTIVA DEL CONSEJO</t>
        </is>
      </c>
      <c r="M101" t="n">
        <v>40</v>
      </c>
      <c r="N101" t="inlineStr">
        <is>
          <t>DIRECCION GENERAL BANCO BASE</t>
        </is>
      </c>
      <c r="O101" t="n">
        <v>420</v>
      </c>
      <c r="P101" t="inlineStr">
        <is>
          <t>DIRECCION ADMINISTRACION Y FINANZAS</t>
        </is>
      </c>
      <c r="Q101" t="n">
        <v>4220</v>
      </c>
      <c r="R101" t="inlineStr">
        <is>
          <t>DIRECCION DE ADMINISTRACION</t>
        </is>
      </c>
      <c r="S101" t="n">
        <v>42213</v>
      </c>
      <c r="T101" t="inlineStr">
        <is>
          <t>GERENCIA DE FISCAL</t>
        </is>
      </c>
      <c r="U101" t="n">
        <v>422103</v>
      </c>
      <c r="V101" t="inlineStr">
        <is>
          <t>FISCAL</t>
        </is>
      </c>
      <c r="W101" t="n">
        <v>100101</v>
      </c>
      <c r="X101" t="inlineStr">
        <is>
          <t>CORPORATIVO</t>
        </is>
      </c>
      <c r="Y101" t="n">
        <v>4</v>
      </c>
      <c r="Z101" t="inlineStr">
        <is>
          <t>CORPORATIVO</t>
        </is>
      </c>
      <c r="AA101" t="n">
        <v>1</v>
      </c>
      <c r="AB101" t="inlineStr">
        <is>
          <t>NEGOCIO EN MARCHA</t>
        </is>
      </c>
      <c r="AC101" t="n">
        <v>1</v>
      </c>
      <c r="AD101" t="inlineStr">
        <is>
          <t>BANCO</t>
        </is>
      </c>
      <c r="AE101" t="n">
        <v>1</v>
      </c>
      <c r="AF101" t="inlineStr">
        <is>
          <t>BACK</t>
        </is>
      </c>
      <c r="AG101" t="n">
        <v>100101</v>
      </c>
      <c r="AH101" t="inlineStr">
        <is>
          <t>CORPORATIVO</t>
        </is>
      </c>
      <c r="AI101" t="inlineStr">
        <is>
          <t>LRICO@BANCOBASE.COM</t>
        </is>
      </c>
      <c r="AJ101" s="151" t="n">
        <v>41954</v>
      </c>
      <c r="AK101" s="151" t="n"/>
      <c r="AL101" s="151" t="n"/>
    </row>
    <row r="102" hidden="1" s="150">
      <c r="A102" t="inlineStr">
        <is>
          <t>CHERNANDEA</t>
        </is>
      </c>
      <c r="B102" t="n">
        <v>3045</v>
      </c>
      <c r="C102" t="inlineStr">
        <is>
          <t>CARLOS AGUSTIN HERNANDEZ ALVARADO</t>
        </is>
      </c>
      <c r="D102" t="n">
        <v>8316</v>
      </c>
      <c r="E102" t="inlineStr">
        <is>
          <t>ESPECIALISTA FISCAL</t>
        </is>
      </c>
      <c r="F102" t="inlineStr">
        <is>
          <t>MONTERREY</t>
        </is>
      </c>
      <c r="G102" t="n">
        <v>1228</v>
      </c>
      <c r="H102" t="inlineStr">
        <is>
          <t>LUIS ALFONSO RICO LIMON</t>
        </is>
      </c>
      <c r="I102" t="n">
        <v>43</v>
      </c>
      <c r="J102" t="inlineStr">
        <is>
          <t>GERENTE FISCAL</t>
        </is>
      </c>
      <c r="K102" t="n">
        <v>1</v>
      </c>
      <c r="L102" t="inlineStr">
        <is>
          <t>PRESIDENCIA EJECUTIVA DEL CONSEJO</t>
        </is>
      </c>
      <c r="M102" t="n">
        <v>40</v>
      </c>
      <c r="N102" t="inlineStr">
        <is>
          <t>DIRECCION GENERAL BANCO BASE</t>
        </is>
      </c>
      <c r="O102" t="n">
        <v>420</v>
      </c>
      <c r="P102" t="inlineStr">
        <is>
          <t>DIRECCION ADMINISTRACION Y FINANZAS</t>
        </is>
      </c>
      <c r="Q102" t="n">
        <v>4220</v>
      </c>
      <c r="R102" t="inlineStr">
        <is>
          <t>DIRECCION DE ADMINISTRACION</t>
        </is>
      </c>
      <c r="S102" t="n">
        <v>42213</v>
      </c>
      <c r="T102" t="inlineStr">
        <is>
          <t>GERENCIA DE FISCAL</t>
        </is>
      </c>
      <c r="U102" t="n">
        <v>422103</v>
      </c>
      <c r="V102" t="inlineStr">
        <is>
          <t>FISCAL</t>
        </is>
      </c>
      <c r="W102" t="n">
        <v>100101</v>
      </c>
      <c r="X102" t="inlineStr">
        <is>
          <t>CORPORATIVO</t>
        </is>
      </c>
      <c r="Y102" t="n">
        <v>4</v>
      </c>
      <c r="Z102" t="inlineStr">
        <is>
          <t>CORPORATIVO</t>
        </is>
      </c>
      <c r="AA102" t="n">
        <v>1</v>
      </c>
      <c r="AB102" t="inlineStr">
        <is>
          <t>NEGOCIO EN MARCHA</t>
        </is>
      </c>
      <c r="AC102" t="n">
        <v>1</v>
      </c>
      <c r="AD102" t="inlineStr">
        <is>
          <t>BANCO</t>
        </is>
      </c>
      <c r="AE102" t="n">
        <v>1</v>
      </c>
      <c r="AF102" t="inlineStr">
        <is>
          <t>BACK</t>
        </is>
      </c>
      <c r="AG102" t="n">
        <v>100101</v>
      </c>
      <c r="AH102" t="inlineStr">
        <is>
          <t>CORPORATIVO</t>
        </is>
      </c>
      <c r="AI102" t="inlineStr">
        <is>
          <t>CHERNANDEA@BANCOBASE.COM</t>
        </is>
      </c>
      <c r="AJ102" s="151" t="n">
        <v>45352</v>
      </c>
      <c r="AK102" s="151" t="n"/>
      <c r="AL102" s="151" t="n"/>
    </row>
    <row r="103" hidden="1" s="150">
      <c r="A103" t="inlineStr">
        <is>
          <t>BHERNANDEM</t>
        </is>
      </c>
      <c r="B103" t="n">
        <v>3564</v>
      </c>
      <c r="C103" t="inlineStr">
        <is>
          <t>BRANDON HERNANDEZ MURO</t>
        </is>
      </c>
      <c r="D103" t="n">
        <v>10107</v>
      </c>
      <c r="E103" t="inlineStr">
        <is>
          <t>ESPECIALISTA FISCAL</t>
        </is>
      </c>
      <c r="F103" t="inlineStr">
        <is>
          <t>MONTERREY</t>
        </is>
      </c>
      <c r="G103" t="n">
        <v>1228</v>
      </c>
      <c r="H103" t="inlineStr">
        <is>
          <t>LUIS ALFONSO RICO LIMON</t>
        </is>
      </c>
      <c r="I103" t="n">
        <v>43</v>
      </c>
      <c r="J103" t="inlineStr">
        <is>
          <t>GERENTE FISCAL</t>
        </is>
      </c>
      <c r="K103" t="n">
        <v>1</v>
      </c>
      <c r="L103" t="inlineStr">
        <is>
          <t>PRESIDENCIA EJECUTIVA DEL CONSEJO</t>
        </is>
      </c>
      <c r="M103" t="n">
        <v>40</v>
      </c>
      <c r="N103" t="inlineStr">
        <is>
          <t>DIRECCION GENERAL BANCO BASE</t>
        </is>
      </c>
      <c r="O103" t="n">
        <v>420</v>
      </c>
      <c r="P103" t="inlineStr">
        <is>
          <t>DIRECCION ADMINISTRACION Y FINANZAS</t>
        </is>
      </c>
      <c r="Q103" t="n">
        <v>4220</v>
      </c>
      <c r="R103" t="inlineStr">
        <is>
          <t>DIRECCION DE ADMINISTRACION</t>
        </is>
      </c>
      <c r="S103" t="n">
        <v>42213</v>
      </c>
      <c r="T103" t="inlineStr">
        <is>
          <t>GERENCIA DE FISCAL</t>
        </is>
      </c>
      <c r="U103" t="n">
        <v>422103</v>
      </c>
      <c r="V103" t="inlineStr">
        <is>
          <t>FISCAL</t>
        </is>
      </c>
      <c r="W103" t="n">
        <v>100101</v>
      </c>
      <c r="X103" t="inlineStr">
        <is>
          <t>CORPORATIVO</t>
        </is>
      </c>
      <c r="Y103" t="n">
        <v>4</v>
      </c>
      <c r="Z103" t="inlineStr">
        <is>
          <t>CORPORATIVO</t>
        </is>
      </c>
      <c r="AA103" t="n">
        <v>1</v>
      </c>
      <c r="AB103" t="inlineStr">
        <is>
          <t>NEGOCIO EN MARCHA</t>
        </is>
      </c>
      <c r="AC103" t="n">
        <v>1</v>
      </c>
      <c r="AD103" t="inlineStr">
        <is>
          <t>BANCO</t>
        </is>
      </c>
      <c r="AE103" t="n">
        <v>1</v>
      </c>
      <c r="AF103" t="inlineStr">
        <is>
          <t>BACK</t>
        </is>
      </c>
      <c r="AG103" t="n">
        <v>100101</v>
      </c>
      <c r="AH103" t="inlineStr">
        <is>
          <t>CORPORATIVO</t>
        </is>
      </c>
      <c r="AI103" t="inlineStr">
        <is>
          <t>BHERNANDEM@BANCOBASE.COM</t>
        </is>
      </c>
      <c r="AJ103" s="151" t="n">
        <v>45917</v>
      </c>
      <c r="AK103" s="151" t="n"/>
      <c r="AL103" s="151" t="n"/>
    </row>
    <row r="104" hidden="1" s="150">
      <c r="A104" t="inlineStr">
        <is>
          <t>DOCANAS</t>
        </is>
      </c>
      <c r="B104" t="n">
        <v>2496</v>
      </c>
      <c r="C104" t="inlineStr">
        <is>
          <t>DAVID FLORENCIO OCAÑAS VILLARREAL</t>
        </is>
      </c>
      <c r="D104" t="n">
        <v>10100</v>
      </c>
      <c r="E104" t="inlineStr">
        <is>
          <t>ANALISTA FISCAL</t>
        </is>
      </c>
      <c r="F104" t="inlineStr">
        <is>
          <t>MONTERREY</t>
        </is>
      </c>
      <c r="G104" t="n">
        <v>1228</v>
      </c>
      <c r="H104" t="inlineStr">
        <is>
          <t>LUIS ALFONSO RICO LIMON</t>
        </is>
      </c>
      <c r="I104" t="n">
        <v>43</v>
      </c>
      <c r="J104" t="inlineStr">
        <is>
          <t>GERENTE FISCAL</t>
        </is>
      </c>
      <c r="K104" t="n">
        <v>1</v>
      </c>
      <c r="L104" t="inlineStr">
        <is>
          <t>PRESIDENCIA EJECUTIVA DEL CONSEJO</t>
        </is>
      </c>
      <c r="M104" t="n">
        <v>40</v>
      </c>
      <c r="N104" t="inlineStr">
        <is>
          <t>DIRECCION GENERAL BANCO BASE</t>
        </is>
      </c>
      <c r="O104" t="n">
        <v>420</v>
      </c>
      <c r="P104" t="inlineStr">
        <is>
          <t>DIRECCION ADMINISTRACION Y FINANZAS</t>
        </is>
      </c>
      <c r="Q104" t="n">
        <v>4220</v>
      </c>
      <c r="R104" t="inlineStr">
        <is>
          <t>DIRECCION DE ADMINISTRACION</t>
        </is>
      </c>
      <c r="S104" t="n">
        <v>42213</v>
      </c>
      <c r="T104" t="inlineStr">
        <is>
          <t>GERENCIA DE FISCAL</t>
        </is>
      </c>
      <c r="U104" t="n">
        <v>422103</v>
      </c>
      <c r="V104" t="inlineStr">
        <is>
          <t>FISCAL</t>
        </is>
      </c>
      <c r="W104" t="n">
        <v>100101</v>
      </c>
      <c r="X104" t="inlineStr">
        <is>
          <t>CORPORATIVO</t>
        </is>
      </c>
      <c r="Y104" t="n">
        <v>4</v>
      </c>
      <c r="Z104" t="inlineStr">
        <is>
          <t>CORPORATIVO</t>
        </is>
      </c>
      <c r="AA104" t="n">
        <v>1</v>
      </c>
      <c r="AB104" t="inlineStr">
        <is>
          <t>NEGOCIO EN MARCHA</t>
        </is>
      </c>
      <c r="AC104" t="n">
        <v>1</v>
      </c>
      <c r="AD104" t="inlineStr">
        <is>
          <t>BANCO</t>
        </is>
      </c>
      <c r="AE104" t="n">
        <v>1</v>
      </c>
      <c r="AF104" t="inlineStr">
        <is>
          <t>BACK</t>
        </is>
      </c>
      <c r="AG104" t="n">
        <v>100101</v>
      </c>
      <c r="AH104" t="inlineStr">
        <is>
          <t>CORPORATIVO</t>
        </is>
      </c>
      <c r="AI104" t="inlineStr">
        <is>
          <t>DOCANAS@BANCOBASE.COM</t>
        </is>
      </c>
      <c r="AJ104" s="151" t="n">
        <v>44332</v>
      </c>
      <c r="AK104" s="151" t="n"/>
      <c r="AL104" s="151" t="n"/>
    </row>
    <row r="105" hidden="1" s="150">
      <c r="A105" t="inlineStr">
        <is>
          <t>VFUENTE</t>
        </is>
      </c>
      <c r="B105" t="n">
        <v>2115</v>
      </c>
      <c r="C105" t="inlineStr">
        <is>
          <t>VALERIA DE LA FUENTE CARRINGTON</t>
        </is>
      </c>
      <c r="D105" t="n">
        <v>10367</v>
      </c>
      <c r="E105" t="inlineStr">
        <is>
          <t>ANALISTA FISCAL</t>
        </is>
      </c>
      <c r="F105" t="inlineStr">
        <is>
          <t>MONTERREY</t>
        </is>
      </c>
      <c r="G105" t="n">
        <v>1228</v>
      </c>
      <c r="H105" t="inlineStr">
        <is>
          <t>LUIS ALFONSO RICO LIMON</t>
        </is>
      </c>
      <c r="I105" t="n">
        <v>43</v>
      </c>
      <c r="J105" t="inlineStr">
        <is>
          <t>GERENTE FISCAL</t>
        </is>
      </c>
      <c r="K105" t="n">
        <v>1</v>
      </c>
      <c r="L105" t="inlineStr">
        <is>
          <t>PRESIDENCIA EJECUTIVA DEL CONSEJO</t>
        </is>
      </c>
      <c r="M105" t="n">
        <v>40</v>
      </c>
      <c r="N105" t="inlineStr">
        <is>
          <t>DIRECCION GENERAL BANCO BASE</t>
        </is>
      </c>
      <c r="O105" t="n">
        <v>420</v>
      </c>
      <c r="P105" t="inlineStr">
        <is>
          <t>DIRECCION ADMINISTRACION Y FINANZAS</t>
        </is>
      </c>
      <c r="Q105" t="n">
        <v>4220</v>
      </c>
      <c r="R105" t="inlineStr">
        <is>
          <t>DIRECCION DE ADMINISTRACION</t>
        </is>
      </c>
      <c r="S105" t="n">
        <v>42213</v>
      </c>
      <c r="T105" t="inlineStr">
        <is>
          <t>GERENCIA DE FISCAL</t>
        </is>
      </c>
      <c r="U105" t="n">
        <v>422103</v>
      </c>
      <c r="V105" t="inlineStr">
        <is>
          <t>FISCAL</t>
        </is>
      </c>
      <c r="W105" t="n">
        <v>100101</v>
      </c>
      <c r="X105" t="inlineStr">
        <is>
          <t>CORPORATIVO</t>
        </is>
      </c>
      <c r="Y105" t="n">
        <v>4</v>
      </c>
      <c r="Z105" t="inlineStr">
        <is>
          <t>CORPORATIVO</t>
        </is>
      </c>
      <c r="AA105" t="n">
        <v>1</v>
      </c>
      <c r="AB105" t="inlineStr">
        <is>
          <t>NEGOCIO EN MARCHA</t>
        </is>
      </c>
      <c r="AC105" t="n">
        <v>1</v>
      </c>
      <c r="AD105" t="inlineStr">
        <is>
          <t>BANCO</t>
        </is>
      </c>
      <c r="AE105" t="n">
        <v>1</v>
      </c>
      <c r="AF105" t="inlineStr">
        <is>
          <t>BACK</t>
        </is>
      </c>
      <c r="AG105" t="n">
        <v>100101</v>
      </c>
      <c r="AH105" t="inlineStr">
        <is>
          <t>CORPORATIVO</t>
        </is>
      </c>
      <c r="AI105" t="inlineStr">
        <is>
          <t>VFUENTE@BANCOBASE.COM</t>
        </is>
      </c>
      <c r="AJ105" s="151" t="n">
        <v>43381</v>
      </c>
      <c r="AK105" s="151" t="n"/>
      <c r="AL105" s="151" t="n"/>
    </row>
    <row r="106" hidden="1" s="150">
      <c r="A106" t="inlineStr">
        <is>
          <t>GSILLER</t>
        </is>
      </c>
      <c r="B106" t="n">
        <v>2364</v>
      </c>
      <c r="C106" t="inlineStr">
        <is>
          <t>MARIA GABRIELA SILLER PAGAZA</t>
        </is>
      </c>
      <c r="D106" t="n">
        <v>27</v>
      </c>
      <c r="E106" t="inlineStr">
        <is>
          <t>DIRECTOR ANALISIS ECONOMICO</t>
        </is>
      </c>
      <c r="F106" t="inlineStr">
        <is>
          <t>MONTERREY</t>
        </is>
      </c>
      <c r="G106" t="n">
        <v>2529</v>
      </c>
      <c r="H106" t="inlineStr">
        <is>
          <t>ENRIQUE EDUARDO GALEANA UGALDE</t>
        </is>
      </c>
      <c r="I106" t="n">
        <v>7</v>
      </c>
      <c r="J106" t="inlineStr">
        <is>
          <t>DIRECTOR DE ADMINISTRACION Y FINANZAS</t>
        </is>
      </c>
      <c r="K106" t="n">
        <v>1</v>
      </c>
      <c r="L106" t="inlineStr">
        <is>
          <t>PRESIDENCIA EJECUTIVA DEL CONSEJO</t>
        </is>
      </c>
      <c r="M106" t="n">
        <v>40</v>
      </c>
      <c r="N106" t="inlineStr">
        <is>
          <t>DIRECCION GENERAL BANCO BASE</t>
        </is>
      </c>
      <c r="O106" t="n">
        <v>420</v>
      </c>
      <c r="P106" t="inlineStr">
        <is>
          <t>DIRECCION ADMINISTRACION Y FINANZAS</t>
        </is>
      </c>
      <c r="Q106" t="n">
        <v>4230</v>
      </c>
      <c r="R106" t="inlineStr">
        <is>
          <t>DIRECCION DE ANALISIS ECONOMICO</t>
        </is>
      </c>
      <c r="S106" t="n">
        <v>42300</v>
      </c>
      <c r="T106" t="inlineStr">
        <is>
          <t>DIRECCION DE ANALISIS ECONOMICO</t>
        </is>
      </c>
      <c r="U106" t="n">
        <v>423000</v>
      </c>
      <c r="V106" t="inlineStr">
        <is>
          <t>DIRECCION DE ANALISIS ECONOMICO</t>
        </is>
      </c>
      <c r="W106" t="n">
        <v>100101</v>
      </c>
      <c r="X106" t="inlineStr">
        <is>
          <t>CORPORATIVO</t>
        </is>
      </c>
      <c r="Y106" t="n">
        <v>4</v>
      </c>
      <c r="Z106" t="inlineStr">
        <is>
          <t>CORPORATIVO</t>
        </is>
      </c>
      <c r="AA106" t="n">
        <v>1</v>
      </c>
      <c r="AB106" t="inlineStr">
        <is>
          <t>NEGOCIO EN MARCHA</t>
        </is>
      </c>
      <c r="AC106" t="n">
        <v>1</v>
      </c>
      <c r="AD106" t="inlineStr">
        <is>
          <t>BANCO</t>
        </is>
      </c>
      <c r="AE106" t="n">
        <v>1</v>
      </c>
      <c r="AF106" t="inlineStr">
        <is>
          <t>BACK</t>
        </is>
      </c>
      <c r="AG106" t="n">
        <v>100101</v>
      </c>
      <c r="AH106" t="inlineStr">
        <is>
          <t>CORPORATIVO</t>
        </is>
      </c>
      <c r="AI106" t="inlineStr">
        <is>
          <t>GSILLER@BANCOBASE.COM</t>
        </is>
      </c>
      <c r="AJ106" s="151" t="n">
        <v>43831</v>
      </c>
      <c r="AK106" s="151" t="n"/>
      <c r="AL106" s="151" t="n"/>
    </row>
    <row r="107" hidden="1" s="150">
      <c r="A107" t="inlineStr">
        <is>
          <t>JLOPEZF</t>
        </is>
      </c>
      <c r="B107" t="n">
        <v>1029</v>
      </c>
      <c r="C107" t="inlineStr">
        <is>
          <t>JESUS ANACARSIS LOPEZ FLORES</t>
        </is>
      </c>
      <c r="D107" t="n">
        <v>9913</v>
      </c>
      <c r="E107" t="inlineStr">
        <is>
          <t>SUBDIRECTOR DE ANALISIS ECONOMICO</t>
        </is>
      </c>
      <c r="F107" t="inlineStr">
        <is>
          <t>MONTERREY</t>
        </is>
      </c>
      <c r="G107" t="n">
        <v>2364</v>
      </c>
      <c r="H107" t="inlineStr">
        <is>
          <t>MARIA GABRIELA SILLER PAGAZA</t>
        </is>
      </c>
      <c r="I107" t="n">
        <v>27</v>
      </c>
      <c r="J107" t="inlineStr">
        <is>
          <t>DIRECTOR ANALISIS ECONOMICO</t>
        </is>
      </c>
      <c r="K107" t="n">
        <v>1</v>
      </c>
      <c r="L107" t="inlineStr">
        <is>
          <t>PRESIDENCIA EJECUTIVA DEL CONSEJO</t>
        </is>
      </c>
      <c r="M107" t="n">
        <v>40</v>
      </c>
      <c r="N107" t="inlineStr">
        <is>
          <t>DIRECCION GENERAL BANCO BASE</t>
        </is>
      </c>
      <c r="O107" t="n">
        <v>420</v>
      </c>
      <c r="P107" t="inlineStr">
        <is>
          <t>DIRECCION ADMINISTRACION Y FINANZAS</t>
        </is>
      </c>
      <c r="Q107" t="n">
        <v>4230</v>
      </c>
      <c r="R107" t="inlineStr">
        <is>
          <t>DIRECCION DE ANALISIS ECONOMICO</t>
        </is>
      </c>
      <c r="S107" t="n">
        <v>42310</v>
      </c>
      <c r="T107" t="inlineStr">
        <is>
          <t>GERENCIA DE ANALISIS ECONOMICO</t>
        </is>
      </c>
      <c r="U107" t="n">
        <v>423000</v>
      </c>
      <c r="V107" t="inlineStr">
        <is>
          <t>DIRECCION DE ANALISIS ECONOMICO</t>
        </is>
      </c>
      <c r="W107" t="n">
        <v>100101</v>
      </c>
      <c r="X107" t="inlineStr">
        <is>
          <t>CORPORATIVO</t>
        </is>
      </c>
      <c r="Y107" t="n">
        <v>4</v>
      </c>
      <c r="Z107" t="inlineStr">
        <is>
          <t>CORPORATIVO</t>
        </is>
      </c>
      <c r="AA107" t="n">
        <v>1</v>
      </c>
      <c r="AB107" t="inlineStr">
        <is>
          <t>NEGOCIO EN MARCHA</t>
        </is>
      </c>
      <c r="AC107" t="n">
        <v>1</v>
      </c>
      <c r="AD107" t="inlineStr">
        <is>
          <t>BANCO</t>
        </is>
      </c>
      <c r="AE107" t="n">
        <v>1</v>
      </c>
      <c r="AF107" t="inlineStr">
        <is>
          <t>BACK</t>
        </is>
      </c>
      <c r="AG107" t="n">
        <v>100101</v>
      </c>
      <c r="AH107" t="inlineStr">
        <is>
          <t>CORPORATIVO</t>
        </is>
      </c>
      <c r="AI107" t="inlineStr">
        <is>
          <t>JLOPEZF@BANCOBASE.COM</t>
        </is>
      </c>
      <c r="AJ107" s="151" t="n">
        <v>41410</v>
      </c>
      <c r="AK107" s="151" t="n"/>
      <c r="AL107" s="151" t="n"/>
    </row>
    <row r="108" hidden="1" s="150">
      <c r="A108" t="inlineStr">
        <is>
          <t>GVILLARREM</t>
        </is>
      </c>
      <c r="B108" t="n">
        <v>3301</v>
      </c>
      <c r="C108" t="inlineStr">
        <is>
          <t>GERARDO VILLARREAL MORALES</t>
        </is>
      </c>
      <c r="D108" t="n">
        <v>10198</v>
      </c>
      <c r="E108" t="inlineStr">
        <is>
          <t>ESPECIALISTA ECONOMICO FINANCIERO</t>
        </is>
      </c>
      <c r="F108" t="inlineStr">
        <is>
          <t>MONTERREY</t>
        </is>
      </c>
      <c r="G108" t="n">
        <v>1029</v>
      </c>
      <c r="H108" t="inlineStr">
        <is>
          <t>JESUS ANACARSIS LOPEZ FLORES</t>
        </is>
      </c>
      <c r="I108" t="n">
        <v>9913</v>
      </c>
      <c r="J108" t="inlineStr">
        <is>
          <t>SUBDIRECTOR DE ANALISIS ECONOMICO</t>
        </is>
      </c>
      <c r="K108" t="n">
        <v>1</v>
      </c>
      <c r="L108" t="inlineStr">
        <is>
          <t>PRESIDENCIA EJECUTIVA DEL CONSEJO</t>
        </is>
      </c>
      <c r="M108" t="n">
        <v>40</v>
      </c>
      <c r="N108" t="inlineStr">
        <is>
          <t>DIRECCION GENERAL BANCO BASE</t>
        </is>
      </c>
      <c r="O108" t="n">
        <v>420</v>
      </c>
      <c r="P108" t="inlineStr">
        <is>
          <t>DIRECCION ADMINISTRACION Y FINANZAS</t>
        </is>
      </c>
      <c r="Q108" t="n">
        <v>4230</v>
      </c>
      <c r="R108" t="inlineStr">
        <is>
          <t>DIRECCION DE ANALISIS ECONOMICO</t>
        </is>
      </c>
      <c r="S108" t="n">
        <v>42310</v>
      </c>
      <c r="T108" t="inlineStr">
        <is>
          <t>GERENCIA DE ANALISIS ECONOMICO</t>
        </is>
      </c>
      <c r="U108" t="n">
        <v>423000</v>
      </c>
      <c r="V108" t="inlineStr">
        <is>
          <t>DIRECCION DE ANALISIS ECONOMICO</t>
        </is>
      </c>
      <c r="W108" t="n">
        <v>100101</v>
      </c>
      <c r="X108" t="inlineStr">
        <is>
          <t>CORPORATIVO</t>
        </is>
      </c>
      <c r="Y108" t="n">
        <v>4</v>
      </c>
      <c r="Z108" t="inlineStr">
        <is>
          <t>CORPORATIVO</t>
        </is>
      </c>
      <c r="AA108" t="n">
        <v>1</v>
      </c>
      <c r="AB108" t="inlineStr">
        <is>
          <t>NEGOCIO EN MARCHA</t>
        </is>
      </c>
      <c r="AC108" t="n">
        <v>1</v>
      </c>
      <c r="AD108" t="inlineStr">
        <is>
          <t>BANCO</t>
        </is>
      </c>
      <c r="AE108" t="n">
        <v>1</v>
      </c>
      <c r="AF108" t="inlineStr">
        <is>
          <t>BACK</t>
        </is>
      </c>
      <c r="AG108" t="n">
        <v>100101</v>
      </c>
      <c r="AH108" t="inlineStr">
        <is>
          <t>CORPORATIVO</t>
        </is>
      </c>
      <c r="AI108" t="inlineStr">
        <is>
          <t>GVILLARREM@BANCOBASE.COM</t>
        </is>
      </c>
      <c r="AJ108" s="151" t="n">
        <v>45658</v>
      </c>
      <c r="AK108" s="151" t="n"/>
      <c r="AL108" s="151" t="n"/>
    </row>
    <row r="109" hidden="1" s="150">
      <c r="A109" t="inlineStr">
        <is>
          <t>FCASTELLAN</t>
        </is>
      </c>
      <c r="B109" t="n">
        <v>2860</v>
      </c>
      <c r="C109" t="inlineStr">
        <is>
          <t>FERNANDO CASTELLANOS CARRILLO</t>
        </is>
      </c>
      <c r="D109" t="n">
        <v>9322</v>
      </c>
      <c r="E109" t="inlineStr">
        <is>
          <t>ESPECIALISTA ECONOMICO FINANCIERO</t>
        </is>
      </c>
      <c r="F109" t="inlineStr">
        <is>
          <t>MONTERREY</t>
        </is>
      </c>
      <c r="G109" t="n">
        <v>1029</v>
      </c>
      <c r="H109" t="inlineStr">
        <is>
          <t>JESUS ANACARSIS LOPEZ FLORES</t>
        </is>
      </c>
      <c r="I109" t="n">
        <v>9913</v>
      </c>
      <c r="J109" t="inlineStr">
        <is>
          <t>SUBDIRECTOR DE ANALISIS ECONOMICO</t>
        </is>
      </c>
      <c r="K109" t="n">
        <v>1</v>
      </c>
      <c r="L109" t="inlineStr">
        <is>
          <t>PRESIDENCIA EJECUTIVA DEL CONSEJO</t>
        </is>
      </c>
      <c r="M109" t="n">
        <v>40</v>
      </c>
      <c r="N109" t="inlineStr">
        <is>
          <t>DIRECCION GENERAL BANCO BASE</t>
        </is>
      </c>
      <c r="O109" t="n">
        <v>420</v>
      </c>
      <c r="P109" t="inlineStr">
        <is>
          <t>DIRECCION ADMINISTRACION Y FINANZAS</t>
        </is>
      </c>
      <c r="Q109" t="n">
        <v>4230</v>
      </c>
      <c r="R109" t="inlineStr">
        <is>
          <t>DIRECCION DE ANALISIS ECONOMICO</t>
        </is>
      </c>
      <c r="S109" t="n">
        <v>42310</v>
      </c>
      <c r="T109" t="inlineStr">
        <is>
          <t>GERENCIA DE ANALISIS ECONOMICO</t>
        </is>
      </c>
      <c r="U109" t="n">
        <v>423000</v>
      </c>
      <c r="V109" t="inlineStr">
        <is>
          <t>DIRECCION DE ANALISIS ECONOMICO</t>
        </is>
      </c>
      <c r="W109" t="n">
        <v>100101</v>
      </c>
      <c r="X109" t="inlineStr">
        <is>
          <t>CORPORATIVO</t>
        </is>
      </c>
      <c r="Y109" t="n">
        <v>4</v>
      </c>
      <c r="Z109" t="inlineStr">
        <is>
          <t>CORPORATIVO</t>
        </is>
      </c>
      <c r="AA109" t="n">
        <v>1</v>
      </c>
      <c r="AB109" t="inlineStr">
        <is>
          <t>NEGOCIO EN MARCHA</t>
        </is>
      </c>
      <c r="AC109" t="n">
        <v>1</v>
      </c>
      <c r="AD109" t="inlineStr">
        <is>
          <t>BANCO</t>
        </is>
      </c>
      <c r="AE109" t="n">
        <v>1</v>
      </c>
      <c r="AF109" t="inlineStr">
        <is>
          <t>BACK</t>
        </is>
      </c>
      <c r="AG109" t="n">
        <v>100101</v>
      </c>
      <c r="AH109" t="inlineStr">
        <is>
          <t>CORPORATIVO</t>
        </is>
      </c>
      <c r="AI109" t="inlineStr">
        <is>
          <t>FCASTELLAN@BANCOBASE.COM</t>
        </is>
      </c>
      <c r="AJ109" s="151" t="n">
        <v>45001</v>
      </c>
      <c r="AK109" s="151" t="n"/>
      <c r="AL109" s="151" t="n"/>
    </row>
    <row r="110" hidden="1" s="150">
      <c r="A110" t="inlineStr">
        <is>
          <t>HGONZALEZ</t>
        </is>
      </c>
      <c r="B110" t="n">
        <v>3046</v>
      </c>
      <c r="C110" t="inlineStr">
        <is>
          <t>HERNAN AYRTON GONZALEZ CRUZ</t>
        </is>
      </c>
      <c r="D110" t="n">
        <v>10031</v>
      </c>
      <c r="E110" t="inlineStr">
        <is>
          <t>ESPECIALISTA ECONOMICO FINANCIERO</t>
        </is>
      </c>
      <c r="F110" t="inlineStr">
        <is>
          <t>MONTERREY</t>
        </is>
      </c>
      <c r="G110" t="n">
        <v>1029</v>
      </c>
      <c r="H110" t="inlineStr">
        <is>
          <t>JESUS ANACARSIS LOPEZ FLORES</t>
        </is>
      </c>
      <c r="I110" t="n">
        <v>9913</v>
      </c>
      <c r="J110" t="inlineStr">
        <is>
          <t>SUBDIRECTOR DE ANALISIS ECONOMICO</t>
        </is>
      </c>
      <c r="K110" t="n">
        <v>1</v>
      </c>
      <c r="L110" t="inlineStr">
        <is>
          <t>PRESIDENCIA EJECUTIVA DEL CONSEJO</t>
        </is>
      </c>
      <c r="M110" t="n">
        <v>40</v>
      </c>
      <c r="N110" t="inlineStr">
        <is>
          <t>DIRECCION GENERAL BANCO BASE</t>
        </is>
      </c>
      <c r="O110" t="n">
        <v>420</v>
      </c>
      <c r="P110" t="inlineStr">
        <is>
          <t>DIRECCION ADMINISTRACION Y FINANZAS</t>
        </is>
      </c>
      <c r="Q110" t="n">
        <v>4230</v>
      </c>
      <c r="R110" t="inlineStr">
        <is>
          <t>DIRECCION DE ANALISIS ECONOMICO</t>
        </is>
      </c>
      <c r="S110" t="n">
        <v>42310</v>
      </c>
      <c r="T110" t="inlineStr">
        <is>
          <t>GERENCIA DE ANALISIS ECONOMICO</t>
        </is>
      </c>
      <c r="U110" t="n">
        <v>423000</v>
      </c>
      <c r="V110" t="inlineStr">
        <is>
          <t>DIRECCION DE ANALISIS ECONOMICO</t>
        </is>
      </c>
      <c r="W110" t="n">
        <v>100101</v>
      </c>
      <c r="X110" t="inlineStr">
        <is>
          <t>CORPORATIVO</t>
        </is>
      </c>
      <c r="Y110" t="n">
        <v>4</v>
      </c>
      <c r="Z110" t="inlineStr">
        <is>
          <t>CORPORATIVO</t>
        </is>
      </c>
      <c r="AA110" t="n">
        <v>1</v>
      </c>
      <c r="AB110" t="inlineStr">
        <is>
          <t>NEGOCIO EN MARCHA</t>
        </is>
      </c>
      <c r="AC110" t="n">
        <v>1</v>
      </c>
      <c r="AD110" t="inlineStr">
        <is>
          <t>BANCO</t>
        </is>
      </c>
      <c r="AE110" t="n">
        <v>1</v>
      </c>
      <c r="AF110" t="inlineStr">
        <is>
          <t>BACK</t>
        </is>
      </c>
      <c r="AG110" t="n">
        <v>100101</v>
      </c>
      <c r="AH110" t="inlineStr">
        <is>
          <t>CORPORATIVO</t>
        </is>
      </c>
      <c r="AI110" t="inlineStr">
        <is>
          <t>HGONZALEZ@BANCOBASE.COM</t>
        </is>
      </c>
      <c r="AJ110" s="151" t="n">
        <v>45352</v>
      </c>
      <c r="AK110" s="151" t="n"/>
      <c r="AL110" s="151" t="n"/>
    </row>
    <row r="111" hidden="1" s="150">
      <c r="A111" t="inlineStr">
        <is>
          <t>AGARCIAGA</t>
        </is>
      </c>
      <c r="B111" t="n">
        <v>3598</v>
      </c>
      <c r="C111" t="inlineStr">
        <is>
          <t>ALAN GARCIA GALLEGOS</t>
        </is>
      </c>
      <c r="D111" t="n">
        <v>6019</v>
      </c>
      <c r="E111" t="inlineStr">
        <is>
          <t>ANALISTA ECONOMICO FINANCIERO</t>
        </is>
      </c>
      <c r="F111" t="inlineStr">
        <is>
          <t>MONTERREY</t>
        </is>
      </c>
      <c r="G111" t="n">
        <v>1029</v>
      </c>
      <c r="H111" t="inlineStr">
        <is>
          <t>JESUS ANACARSIS LOPEZ FLORES</t>
        </is>
      </c>
      <c r="I111" t="n">
        <v>9913</v>
      </c>
      <c r="J111" t="inlineStr">
        <is>
          <t>SUBDIRECTOR DE ANALISIS ECONOMICO</t>
        </is>
      </c>
      <c r="K111" t="n">
        <v>1</v>
      </c>
      <c r="L111" t="inlineStr">
        <is>
          <t>PRESIDENCIA EJECUTIVA DEL CONSEJO</t>
        </is>
      </c>
      <c r="M111" t="n">
        <v>40</v>
      </c>
      <c r="N111" t="inlineStr">
        <is>
          <t>DIRECCION GENERAL BANCO BASE</t>
        </is>
      </c>
      <c r="O111" t="n">
        <v>420</v>
      </c>
      <c r="P111" t="inlineStr">
        <is>
          <t>DIRECCION ADMINISTRACION Y FINANZAS</t>
        </is>
      </c>
      <c r="Q111" t="n">
        <v>4230</v>
      </c>
      <c r="R111" t="inlineStr">
        <is>
          <t>DIRECCION DE ANALISIS ECONOMICO</t>
        </is>
      </c>
      <c r="S111" t="n">
        <v>42310</v>
      </c>
      <c r="T111" t="inlineStr">
        <is>
          <t>GERENCIA DE ANALISIS ECONOMICO</t>
        </is>
      </c>
      <c r="U111" t="n">
        <v>423000</v>
      </c>
      <c r="V111" t="inlineStr">
        <is>
          <t>DIRECCION DE ANALISIS ECONOMICO</t>
        </is>
      </c>
      <c r="W111" t="n">
        <v>100101</v>
      </c>
      <c r="X111" t="inlineStr">
        <is>
          <t>CORPORATIVO</t>
        </is>
      </c>
      <c r="Y111" t="n">
        <v>4</v>
      </c>
      <c r="Z111" t="inlineStr">
        <is>
          <t>CORPORATIVO</t>
        </is>
      </c>
      <c r="AA111" t="n">
        <v>1</v>
      </c>
      <c r="AB111" t="inlineStr">
        <is>
          <t>NEGOCIO EN MARCHA</t>
        </is>
      </c>
      <c r="AC111" t="n">
        <v>1</v>
      </c>
      <c r="AD111" t="inlineStr">
        <is>
          <t>BANCO</t>
        </is>
      </c>
      <c r="AE111" t="n">
        <v>1</v>
      </c>
      <c r="AF111" t="inlineStr">
        <is>
          <t>BACK</t>
        </is>
      </c>
      <c r="AG111" t="n">
        <v>100101</v>
      </c>
      <c r="AH111" t="inlineStr">
        <is>
          <t>CORPORATIVO</t>
        </is>
      </c>
      <c r="AI111" t="inlineStr">
        <is>
          <t>AGARCIAGA@BANCOBASE.COM</t>
        </is>
      </c>
      <c r="AJ111" s="151" t="n">
        <v>45931</v>
      </c>
      <c r="AK111" s="151" t="n"/>
      <c r="AL111" s="151" t="n"/>
    </row>
    <row r="112" hidden="1" s="150">
      <c r="A112" t="inlineStr">
        <is>
          <t>SROMAN</t>
        </is>
      </c>
      <c r="B112" t="n">
        <v>3702</v>
      </c>
      <c r="C112" t="inlineStr">
        <is>
          <t>SELMA ROMAN ARILLO</t>
        </is>
      </c>
      <c r="D112" t="n">
        <v>10384</v>
      </c>
      <c r="E112" t="inlineStr">
        <is>
          <t>ANALISTA ECONOMICO FINANCIERO</t>
        </is>
      </c>
      <c r="F112" t="inlineStr">
        <is>
          <t>MONTERREY</t>
        </is>
      </c>
      <c r="G112" t="n">
        <v>1029</v>
      </c>
      <c r="H112" t="inlineStr">
        <is>
          <t>JESUS ANACARSIS LOPEZ FLORES</t>
        </is>
      </c>
      <c r="I112" t="n">
        <v>9913</v>
      </c>
      <c r="J112" t="inlineStr">
        <is>
          <t>SUBDIRECTOR DE ANALISIS ECONOMICO</t>
        </is>
      </c>
      <c r="K112" t="n">
        <v>1</v>
      </c>
      <c r="L112" t="inlineStr">
        <is>
          <t>PRESIDENCIA EJECUTIVA DEL CONSEJO</t>
        </is>
      </c>
      <c r="M112" t="n">
        <v>40</v>
      </c>
      <c r="N112" t="inlineStr">
        <is>
          <t>DIRECCION GENERAL BANCO BASE</t>
        </is>
      </c>
      <c r="O112" t="n">
        <v>420</v>
      </c>
      <c r="P112" t="inlineStr">
        <is>
          <t>DIRECCION ADMINISTRACION Y FINANZAS</t>
        </is>
      </c>
      <c r="Q112" t="n">
        <v>4230</v>
      </c>
      <c r="R112" t="inlineStr">
        <is>
          <t>DIRECCION DE ANALISIS ECONOMICO</t>
        </is>
      </c>
      <c r="S112" t="n">
        <v>42310</v>
      </c>
      <c r="T112" t="inlineStr">
        <is>
          <t>GERENCIA DE ANALISIS ECONOMICO</t>
        </is>
      </c>
      <c r="U112" t="n">
        <v>423000</v>
      </c>
      <c r="V112" t="inlineStr">
        <is>
          <t>DIRECCION DE ANALISIS ECONOMICO</t>
        </is>
      </c>
      <c r="W112" t="n">
        <v>100101</v>
      </c>
      <c r="X112" t="inlineStr">
        <is>
          <t>CORPORATIVO</t>
        </is>
      </c>
      <c r="Y112" t="n">
        <v>4</v>
      </c>
      <c r="Z112" t="inlineStr">
        <is>
          <t>CORPORATIVO</t>
        </is>
      </c>
      <c r="AA112" t="n">
        <v>1</v>
      </c>
      <c r="AB112" t="inlineStr">
        <is>
          <t>NEGOCIO EN MARCHA</t>
        </is>
      </c>
      <c r="AC112" t="n">
        <v>1</v>
      </c>
      <c r="AD112" t="inlineStr">
        <is>
          <t>BANCO</t>
        </is>
      </c>
      <c r="AE112" t="n">
        <v>1</v>
      </c>
      <c r="AF112" t="inlineStr">
        <is>
          <t>BACK</t>
        </is>
      </c>
      <c r="AG112" t="n">
        <v>100101</v>
      </c>
      <c r="AH112" t="inlineStr">
        <is>
          <t>CORPORATIVO</t>
        </is>
      </c>
      <c r="AI112" t="inlineStr">
        <is>
          <t>SROMAN@BANCOBASE.COM</t>
        </is>
      </c>
      <c r="AJ112" s="151" t="n">
        <v>45992</v>
      </c>
      <c r="AK112" s="151" t="n"/>
      <c r="AL112" s="151" t="n"/>
    </row>
    <row r="113" hidden="1" s="150">
      <c r="A113" t="inlineStr">
        <is>
          <t>CZAMUDIOC</t>
        </is>
      </c>
      <c r="B113" t="n">
        <v>3749</v>
      </c>
      <c r="C113" t="inlineStr">
        <is>
          <t>CHRISTOPHER ALEJANDRO ZAMUDIO CANTU</t>
        </is>
      </c>
      <c r="D113" t="n">
        <v>8654</v>
      </c>
      <c r="E113" t="inlineStr">
        <is>
          <t>ANALISTA ECONOMICO FINANCIERO</t>
        </is>
      </c>
      <c r="F113" t="inlineStr">
        <is>
          <t>MONTERREY</t>
        </is>
      </c>
      <c r="G113" t="n">
        <v>1029</v>
      </c>
      <c r="H113" t="inlineStr">
        <is>
          <t>JESUS ANACARSIS LOPEZ FLORES</t>
        </is>
      </c>
      <c r="I113" t="n">
        <v>9913</v>
      </c>
      <c r="J113" t="inlineStr">
        <is>
          <t>SUBDIRECTOR DE ANALISIS ECONOMICO</t>
        </is>
      </c>
      <c r="K113" t="n">
        <v>1</v>
      </c>
      <c r="L113" t="inlineStr">
        <is>
          <t>PRESIDENCIA EJECUTIVA DEL CONSEJO</t>
        </is>
      </c>
      <c r="M113" t="n">
        <v>40</v>
      </c>
      <c r="N113" t="inlineStr">
        <is>
          <t>DIRECCION GENERAL BANCO BASE</t>
        </is>
      </c>
      <c r="O113" t="n">
        <v>420</v>
      </c>
      <c r="P113" t="inlineStr">
        <is>
          <t>DIRECCION ADMINISTRACION Y FINANZAS</t>
        </is>
      </c>
      <c r="Q113" t="n">
        <v>4230</v>
      </c>
      <c r="R113" t="inlineStr">
        <is>
          <t>DIRECCION DE ANALISIS ECONOMICO</t>
        </is>
      </c>
      <c r="S113" t="n">
        <v>42310</v>
      </c>
      <c r="T113" t="inlineStr">
        <is>
          <t>GERENCIA DE ANALISIS ECONOMICO</t>
        </is>
      </c>
      <c r="U113" t="n">
        <v>423000</v>
      </c>
      <c r="V113" t="inlineStr">
        <is>
          <t>DIRECCION DE ANALISIS ECONOMICO</t>
        </is>
      </c>
      <c r="W113" t="n">
        <v>100101</v>
      </c>
      <c r="X113" t="inlineStr">
        <is>
          <t>CORPORATIVO</t>
        </is>
      </c>
      <c r="Y113" t="n">
        <v>4</v>
      </c>
      <c r="Z113" t="inlineStr">
        <is>
          <t>CORPORATIVO</t>
        </is>
      </c>
      <c r="AA113" t="n">
        <v>1</v>
      </c>
      <c r="AB113" t="inlineStr">
        <is>
          <t>NEGOCIO EN MARCHA</t>
        </is>
      </c>
      <c r="AC113" t="n">
        <v>1</v>
      </c>
      <c r="AD113" t="inlineStr">
        <is>
          <t>BANCO</t>
        </is>
      </c>
      <c r="AE113" t="n">
        <v>1</v>
      </c>
      <c r="AF113" t="inlineStr">
        <is>
          <t>BACK</t>
        </is>
      </c>
      <c r="AG113" t="n">
        <v>100101</v>
      </c>
      <c r="AH113" t="inlineStr">
        <is>
          <t>CORPORATIVO</t>
        </is>
      </c>
      <c r="AI113" t="inlineStr">
        <is>
          <t>CZAMUDIOC@BANCOBASE.COM</t>
        </is>
      </c>
      <c r="AJ113" s="151" t="n">
        <v>46056</v>
      </c>
      <c r="AK113" s="151" t="n"/>
      <c r="AL113" s="151" t="n"/>
    </row>
    <row r="114" hidden="1" s="150">
      <c r="A114" t="inlineStr">
        <is>
          <t>CHERNANDEO</t>
        </is>
      </c>
      <c r="B114" t="n">
        <v>99535</v>
      </c>
      <c r="C114" t="inlineStr">
        <is>
          <t>CAROLINA HERNANDEZ OLVERA</t>
        </is>
      </c>
      <c r="D114" t="n">
        <v>10418</v>
      </c>
      <c r="E114" t="inlineStr">
        <is>
          <t>PRACTICANTE</t>
        </is>
      </c>
      <c r="F114" t="inlineStr">
        <is>
          <t>MONTERREY</t>
        </is>
      </c>
      <c r="G114" t="n">
        <v>1029</v>
      </c>
      <c r="H114" t="inlineStr">
        <is>
          <t>JESUS ANACARSIS LOPEZ FLORES</t>
        </is>
      </c>
      <c r="I114" t="n">
        <v>9913</v>
      </c>
      <c r="J114" t="inlineStr">
        <is>
          <t>SUBDIRECTOR DE ANALISIS ECONOMICO</t>
        </is>
      </c>
      <c r="K114" t="n">
        <v>1</v>
      </c>
      <c r="L114" t="inlineStr">
        <is>
          <t>PRESIDENCIA EJECUTIVA DEL CONSEJO</t>
        </is>
      </c>
      <c r="M114" t="n">
        <v>40</v>
      </c>
      <c r="N114" t="inlineStr">
        <is>
          <t>DIRECCION GENERAL BANCO BASE</t>
        </is>
      </c>
      <c r="O114" t="n">
        <v>420</v>
      </c>
      <c r="P114" t="inlineStr">
        <is>
          <t>DIRECCION ADMINISTRACION Y FINANZAS</t>
        </is>
      </c>
      <c r="Q114" t="n">
        <v>4230</v>
      </c>
      <c r="R114" t="inlineStr">
        <is>
          <t>DIRECCION DE ANALISIS ECONOMICO</t>
        </is>
      </c>
      <c r="S114" t="n">
        <v>42310</v>
      </c>
      <c r="T114" t="inlineStr">
        <is>
          <t>GERENCIA DE ANALISIS ECONOMICO</t>
        </is>
      </c>
      <c r="U114" t="n">
        <v>423000</v>
      </c>
      <c r="V114" t="inlineStr">
        <is>
          <t>DIRECCION DE ANALISIS ECONOMICO</t>
        </is>
      </c>
      <c r="W114" t="n">
        <v>100101</v>
      </c>
      <c r="X114" t="inlineStr">
        <is>
          <t>CORPORATIVO</t>
        </is>
      </c>
      <c r="Y114" t="n">
        <v>4</v>
      </c>
      <c r="Z114" t="inlineStr">
        <is>
          <t>CORPORATIVO</t>
        </is>
      </c>
      <c r="AA114" t="n">
        <v>1</v>
      </c>
      <c r="AB114" t="inlineStr">
        <is>
          <t>NEGOCIO EN MARCHA</t>
        </is>
      </c>
      <c r="AC114" t="n">
        <v>1</v>
      </c>
      <c r="AD114" t="inlineStr">
        <is>
          <t>BANCO</t>
        </is>
      </c>
      <c r="AE114" t="n">
        <v>1</v>
      </c>
      <c r="AF114" t="inlineStr">
        <is>
          <t>BACK</t>
        </is>
      </c>
      <c r="AG114" t="n">
        <v>100101</v>
      </c>
      <c r="AH114" t="inlineStr">
        <is>
          <t>CORPORATIVO</t>
        </is>
      </c>
      <c r="AI114" t="inlineStr">
        <is>
          <t>CHERNANDEO@BANCOBASE.COM</t>
        </is>
      </c>
      <c r="AJ114" s="151" t="n">
        <v>46118</v>
      </c>
      <c r="AK114" s="151" t="n"/>
      <c r="AL114" s="151" t="n"/>
    </row>
    <row r="115" hidden="1" s="150">
      <c r="A115" t="inlineStr">
        <is>
          <t>ETREVINOGA</t>
        </is>
      </c>
      <c r="B115" t="n">
        <v>2359</v>
      </c>
      <c r="C115" t="inlineStr">
        <is>
          <t>ELVA TREVIÑO DE LA GARZA</t>
        </is>
      </c>
      <c r="D115" t="n">
        <v>10382</v>
      </c>
      <c r="E115" t="inlineStr">
        <is>
          <t>DIRECTOR DE PLANEACION FINANCIERA</t>
        </is>
      </c>
      <c r="F115" t="inlineStr">
        <is>
          <t>MONTERREY</t>
        </is>
      </c>
      <c r="G115" t="n">
        <v>2529</v>
      </c>
      <c r="H115" t="inlineStr">
        <is>
          <t>ENRIQUE EDUARDO GALEANA UGALDE</t>
        </is>
      </c>
      <c r="I115" t="n">
        <v>7</v>
      </c>
      <c r="J115" t="inlineStr">
        <is>
          <t>DIRECTOR DE ADMINISTRACION Y FINANZAS</t>
        </is>
      </c>
      <c r="K115" t="n">
        <v>1</v>
      </c>
      <c r="L115" t="inlineStr">
        <is>
          <t>PRESIDENCIA EJECUTIVA DEL CONSEJO</t>
        </is>
      </c>
      <c r="M115" t="n">
        <v>40</v>
      </c>
      <c r="N115" t="inlineStr">
        <is>
          <t>DIRECCION GENERAL BANCO BASE</t>
        </is>
      </c>
      <c r="O115" t="n">
        <v>420</v>
      </c>
      <c r="P115" t="inlineStr">
        <is>
          <t>DIRECCION ADMINISTRACION Y FINANZAS</t>
        </is>
      </c>
      <c r="Q115" t="n">
        <v>4250</v>
      </c>
      <c r="R115" t="inlineStr">
        <is>
          <t>DIRECCION DE PLANEACION FINANCIERA</t>
        </is>
      </c>
      <c r="S115" t="n">
        <v>42500</v>
      </c>
      <c r="T115" t="inlineStr">
        <is>
          <t>DIRECCION DE PLANEACION FINANCIERA</t>
        </is>
      </c>
      <c r="U115" t="n">
        <v>425000</v>
      </c>
      <c r="V115" t="inlineStr">
        <is>
          <t>DIRECCION DE PLANEACION FINANCIERA</t>
        </is>
      </c>
      <c r="W115" t="n">
        <v>100101</v>
      </c>
      <c r="X115" t="inlineStr">
        <is>
          <t>CORPORATIVO</t>
        </is>
      </c>
      <c r="Y115" t="n">
        <v>4</v>
      </c>
      <c r="Z115" t="inlineStr">
        <is>
          <t>CORPORATIVO</t>
        </is>
      </c>
      <c r="AA115" t="n">
        <v>1</v>
      </c>
      <c r="AB115" t="inlineStr">
        <is>
          <t>NEGOCIO EN MARCHA</t>
        </is>
      </c>
      <c r="AC115" t="n">
        <v>1</v>
      </c>
      <c r="AD115" t="inlineStr">
        <is>
          <t>BANCO</t>
        </is>
      </c>
      <c r="AE115" t="n">
        <v>1</v>
      </c>
      <c r="AF115" t="inlineStr">
        <is>
          <t>BACK</t>
        </is>
      </c>
      <c r="AG115" t="n">
        <v>100101</v>
      </c>
      <c r="AH115" t="inlineStr">
        <is>
          <t>CORPORATIVO</t>
        </is>
      </c>
      <c r="AI115" t="inlineStr">
        <is>
          <t>ETREVINOGA@BANCOBASE.COM</t>
        </is>
      </c>
      <c r="AJ115" s="151" t="n">
        <v>43800</v>
      </c>
      <c r="AK115" s="151" t="n"/>
      <c r="AL115" s="151" t="n"/>
    </row>
    <row r="116" hidden="1" s="150">
      <c r="A116" t="inlineStr">
        <is>
          <t>AHERNANDEM</t>
        </is>
      </c>
      <c r="B116" t="n">
        <v>1392</v>
      </c>
      <c r="C116" t="inlineStr">
        <is>
          <t>ARACELY HERNANDEZ MARTINEZ</t>
        </is>
      </c>
      <c r="D116" t="n">
        <v>10259</v>
      </c>
      <c r="E116" t="inlineStr">
        <is>
          <t>SUBDIRECTOR DE PLANEACION Y ADMINISTRACION DE EGRESOS</t>
        </is>
      </c>
      <c r="F116" t="inlineStr">
        <is>
          <t>MONTERREY</t>
        </is>
      </c>
      <c r="G116" t="n">
        <v>2359</v>
      </c>
      <c r="H116" t="inlineStr">
        <is>
          <t>ELVA TREVIÑO DE LA GARZA</t>
        </is>
      </c>
      <c r="I116" t="n">
        <v>10382</v>
      </c>
      <c r="J116" t="inlineStr">
        <is>
          <t>DIRECTOR DE PLANEACION FINANCIERA</t>
        </is>
      </c>
      <c r="K116" t="n">
        <v>1</v>
      </c>
      <c r="L116" t="inlineStr">
        <is>
          <t>PRESIDENCIA EJECUTIVA DEL CONSEJO</t>
        </is>
      </c>
      <c r="M116" t="n">
        <v>40</v>
      </c>
      <c r="N116" t="inlineStr">
        <is>
          <t>DIRECCION GENERAL BANCO BASE</t>
        </is>
      </c>
      <c r="O116" t="n">
        <v>420</v>
      </c>
      <c r="P116" t="inlineStr">
        <is>
          <t>DIRECCION ADMINISTRACION Y FINANZAS</t>
        </is>
      </c>
      <c r="Q116" t="n">
        <v>4250</v>
      </c>
      <c r="R116" t="inlineStr">
        <is>
          <t>DIRECCION DE PLANEACION FINANCIERA</t>
        </is>
      </c>
      <c r="S116" t="n">
        <v>42520</v>
      </c>
      <c r="T116" t="inlineStr">
        <is>
          <t>SUBDIRECCION DE PLANEACION Y ADMON DE EGRESOS</t>
        </is>
      </c>
      <c r="U116" t="n">
        <v>425201</v>
      </c>
      <c r="V116" t="inlineStr">
        <is>
          <t>SUBDIRECCION DE PLANEACION Y ADMON DE EGRESOS</t>
        </is>
      </c>
      <c r="W116" t="n">
        <v>100101</v>
      </c>
      <c r="X116" t="inlineStr">
        <is>
          <t>CORPORATIVO</t>
        </is>
      </c>
      <c r="Y116" t="n">
        <v>4</v>
      </c>
      <c r="Z116" t="inlineStr">
        <is>
          <t>CORPORATIVO</t>
        </is>
      </c>
      <c r="AA116" t="n">
        <v>1</v>
      </c>
      <c r="AB116" t="inlineStr">
        <is>
          <t>NEGOCIO EN MARCHA</t>
        </is>
      </c>
      <c r="AC116" t="n">
        <v>1</v>
      </c>
      <c r="AD116" t="inlineStr">
        <is>
          <t>BANCO</t>
        </is>
      </c>
      <c r="AE116" t="n">
        <v>1</v>
      </c>
      <c r="AF116" t="inlineStr">
        <is>
          <t>BACK</t>
        </is>
      </c>
      <c r="AG116" t="n">
        <v>100101</v>
      </c>
      <c r="AH116" t="inlineStr">
        <is>
          <t>CORPORATIVO</t>
        </is>
      </c>
      <c r="AI116" t="inlineStr">
        <is>
          <t>AHERNANDEM@BANCOBASE.COM</t>
        </is>
      </c>
      <c r="AJ116" s="151" t="n">
        <v>42311</v>
      </c>
      <c r="AK116" s="151" t="n"/>
      <c r="AL116" s="151" t="n"/>
    </row>
    <row r="117" hidden="1" s="150">
      <c r="A117" t="inlineStr">
        <is>
          <t>MALVAREZU</t>
        </is>
      </c>
      <c r="B117" t="n">
        <v>2966</v>
      </c>
      <c r="C117" t="inlineStr">
        <is>
          <t>ANDREA MELANIE ALVAREZ URQUIZA</t>
        </is>
      </c>
      <c r="D117" t="n">
        <v>8386</v>
      </c>
      <c r="E117" t="inlineStr">
        <is>
          <t>COORDINADOR DE ADMINISTRACION DE PAGOS</t>
        </is>
      </c>
      <c r="F117" t="inlineStr">
        <is>
          <t>MONTERREY</t>
        </is>
      </c>
      <c r="G117" t="n">
        <v>1392</v>
      </c>
      <c r="H117" t="inlineStr">
        <is>
          <t>ARACELY HERNANDEZ MARTINEZ</t>
        </is>
      </c>
      <c r="I117" t="n">
        <v>10259</v>
      </c>
      <c r="J117" t="inlineStr">
        <is>
          <t>SUBDIRECTOR DE PLANEACION Y ADMINISTRACION DE EGRESOS</t>
        </is>
      </c>
      <c r="K117" t="n">
        <v>1</v>
      </c>
      <c r="L117" t="inlineStr">
        <is>
          <t>PRESIDENCIA EJECUTIVA DEL CONSEJO</t>
        </is>
      </c>
      <c r="M117" t="n">
        <v>40</v>
      </c>
      <c r="N117" t="inlineStr">
        <is>
          <t>DIRECCION GENERAL BANCO BASE</t>
        </is>
      </c>
      <c r="O117" t="n">
        <v>420</v>
      </c>
      <c r="P117" t="inlineStr">
        <is>
          <t>DIRECCION ADMINISTRACION Y FINANZAS</t>
        </is>
      </c>
      <c r="Q117" t="n">
        <v>4250</v>
      </c>
      <c r="R117" t="inlineStr">
        <is>
          <t>DIRECCION DE PLANEACION FINANCIERA</t>
        </is>
      </c>
      <c r="S117" t="n">
        <v>42520</v>
      </c>
      <c r="T117" t="inlineStr">
        <is>
          <t>SUBDIRECCION DE PLANEACION Y ADMON DE EGRESOS</t>
        </is>
      </c>
      <c r="U117" t="n">
        <v>425202</v>
      </c>
      <c r="V117" t="inlineStr">
        <is>
          <t>ADMINISTRACION Y PAGOS</t>
        </is>
      </c>
      <c r="W117" t="n">
        <v>100101</v>
      </c>
      <c r="X117" t="inlineStr">
        <is>
          <t>CORPORATIVO</t>
        </is>
      </c>
      <c r="Y117" t="n">
        <v>4</v>
      </c>
      <c r="Z117" t="inlineStr">
        <is>
          <t>CORPORATIVO</t>
        </is>
      </c>
      <c r="AA117" t="n">
        <v>1</v>
      </c>
      <c r="AB117" t="inlineStr">
        <is>
          <t>NEGOCIO EN MARCHA</t>
        </is>
      </c>
      <c r="AC117" t="n">
        <v>1</v>
      </c>
      <c r="AD117" t="inlineStr">
        <is>
          <t>BANCO</t>
        </is>
      </c>
      <c r="AE117" t="n">
        <v>1</v>
      </c>
      <c r="AF117" t="inlineStr">
        <is>
          <t>BACK</t>
        </is>
      </c>
      <c r="AG117" t="n">
        <v>100101</v>
      </c>
      <c r="AH117" t="inlineStr">
        <is>
          <t>CORPORATIVO</t>
        </is>
      </c>
      <c r="AI117" t="inlineStr">
        <is>
          <t>MALVAREZU@BANCOBASE.COM</t>
        </is>
      </c>
      <c r="AJ117" s="151" t="n">
        <v>45201</v>
      </c>
      <c r="AK117" s="151" t="n"/>
      <c r="AL117" s="151" t="n"/>
    </row>
    <row r="118" hidden="1" s="150">
      <c r="A118" t="inlineStr">
        <is>
          <t>LLINAN</t>
        </is>
      </c>
      <c r="B118" t="n">
        <v>2533</v>
      </c>
      <c r="C118" t="inlineStr">
        <is>
          <t>LIZBETH ABIGAIL LIÑAN MARQUEZ</t>
        </is>
      </c>
      <c r="D118" t="n">
        <v>10250</v>
      </c>
      <c r="E118" t="inlineStr">
        <is>
          <t>ANALISTA DE ADMINISTRACION DE PAGOS</t>
        </is>
      </c>
      <c r="F118" t="inlineStr">
        <is>
          <t>MONTERREY</t>
        </is>
      </c>
      <c r="G118" t="n">
        <v>2966</v>
      </c>
      <c r="H118" t="inlineStr">
        <is>
          <t>ANDREA MELANIE ALVAREZ URQUIZA</t>
        </is>
      </c>
      <c r="I118" t="n">
        <v>8386</v>
      </c>
      <c r="J118" t="inlineStr">
        <is>
          <t>COORDINADOR DE ADMINISTRACION DE PAGOS</t>
        </is>
      </c>
      <c r="K118" t="n">
        <v>1</v>
      </c>
      <c r="L118" t="inlineStr">
        <is>
          <t>PRESIDENCIA EJECUTIVA DEL CONSEJO</t>
        </is>
      </c>
      <c r="M118" t="n">
        <v>40</v>
      </c>
      <c r="N118" t="inlineStr">
        <is>
          <t>DIRECCION GENERAL BANCO BASE</t>
        </is>
      </c>
      <c r="O118" t="n">
        <v>420</v>
      </c>
      <c r="P118" t="inlineStr">
        <is>
          <t>DIRECCION ADMINISTRACION Y FINANZAS</t>
        </is>
      </c>
      <c r="Q118" t="n">
        <v>4250</v>
      </c>
      <c r="R118" t="inlineStr">
        <is>
          <t>DIRECCION DE PLANEACION FINANCIERA</t>
        </is>
      </c>
      <c r="S118" t="n">
        <v>42520</v>
      </c>
      <c r="T118" t="inlineStr">
        <is>
          <t>SUBDIRECCION DE PLANEACION Y ADMON DE EGRESOS</t>
        </is>
      </c>
      <c r="U118" t="n">
        <v>425202</v>
      </c>
      <c r="V118" t="inlineStr">
        <is>
          <t>ADMINISTRACION Y PAGOS</t>
        </is>
      </c>
      <c r="W118" t="n">
        <v>100101</v>
      </c>
      <c r="X118" t="inlineStr">
        <is>
          <t>CORPORATIVO</t>
        </is>
      </c>
      <c r="Y118" t="n">
        <v>4</v>
      </c>
      <c r="Z118" t="inlineStr">
        <is>
          <t>CORPORATIVO</t>
        </is>
      </c>
      <c r="AA118" t="n">
        <v>1</v>
      </c>
      <c r="AB118" t="inlineStr">
        <is>
          <t>NEGOCIO EN MARCHA</t>
        </is>
      </c>
      <c r="AC118" t="n">
        <v>1</v>
      </c>
      <c r="AD118" t="inlineStr">
        <is>
          <t>BANCO</t>
        </is>
      </c>
      <c r="AE118" t="n">
        <v>1</v>
      </c>
      <c r="AF118" t="inlineStr">
        <is>
          <t>BACK</t>
        </is>
      </c>
      <c r="AG118" t="n">
        <v>100101</v>
      </c>
      <c r="AH118" t="inlineStr">
        <is>
          <t>CORPORATIVO</t>
        </is>
      </c>
      <c r="AI118" t="inlineStr">
        <is>
          <t>LLINAN@BANCOBASE.COM</t>
        </is>
      </c>
      <c r="AJ118" s="151" t="n">
        <v>44409</v>
      </c>
      <c r="AK118" s="151" t="n"/>
      <c r="AL118" s="151" t="n"/>
    </row>
    <row r="119" hidden="1" s="150">
      <c r="A119" t="inlineStr">
        <is>
          <t>DVELEZ</t>
        </is>
      </c>
      <c r="B119" t="n">
        <v>3367</v>
      </c>
      <c r="C119" t="inlineStr">
        <is>
          <t>DAVID ALEJANDRO VELEZ GONZALEZ</t>
        </is>
      </c>
      <c r="D119" t="n">
        <v>10134</v>
      </c>
      <c r="E119" t="inlineStr">
        <is>
          <t>ANALISTA DE PLANEACION DE EGRESOS SR</t>
        </is>
      </c>
      <c r="F119" t="inlineStr">
        <is>
          <t>MONTERREY</t>
        </is>
      </c>
      <c r="G119" t="n">
        <v>1392</v>
      </c>
      <c r="H119" t="inlineStr">
        <is>
          <t>ARACELY HERNANDEZ MARTINEZ</t>
        </is>
      </c>
      <c r="I119" t="n">
        <v>10259</v>
      </c>
      <c r="J119" t="inlineStr">
        <is>
          <t>SUBDIRECTOR DE PLANEACION Y ADMINISTRACION DE EGRESOS</t>
        </is>
      </c>
      <c r="K119" t="n">
        <v>1</v>
      </c>
      <c r="L119" t="inlineStr">
        <is>
          <t>PRESIDENCIA EJECUTIVA DEL CONSEJO</t>
        </is>
      </c>
      <c r="M119" t="n">
        <v>40</v>
      </c>
      <c r="N119" t="inlineStr">
        <is>
          <t>DIRECCION GENERAL BANCO BASE</t>
        </is>
      </c>
      <c r="O119" t="n">
        <v>420</v>
      </c>
      <c r="P119" t="inlineStr">
        <is>
          <t>DIRECCION ADMINISTRACION Y FINANZAS</t>
        </is>
      </c>
      <c r="Q119" t="n">
        <v>4250</v>
      </c>
      <c r="R119" t="inlineStr">
        <is>
          <t>DIRECCION DE PLANEACION FINANCIERA</t>
        </is>
      </c>
      <c r="S119" t="n">
        <v>42520</v>
      </c>
      <c r="T119" t="inlineStr">
        <is>
          <t>SUBDIRECCION DE PLANEACION Y ADMON DE EGRESOS</t>
        </is>
      </c>
      <c r="U119" t="n">
        <v>425201</v>
      </c>
      <c r="V119" t="inlineStr">
        <is>
          <t>SUBDIRECCION DE PLANEACION Y ADMON DE EGRESOS</t>
        </is>
      </c>
      <c r="W119" t="n">
        <v>100101</v>
      </c>
      <c r="X119" t="inlineStr">
        <is>
          <t>CORPORATIVO</t>
        </is>
      </c>
      <c r="Y119" t="n">
        <v>4</v>
      </c>
      <c r="Z119" t="inlineStr">
        <is>
          <t>CORPORATIVO</t>
        </is>
      </c>
      <c r="AA119" t="n">
        <v>1</v>
      </c>
      <c r="AB119" t="inlineStr">
        <is>
          <t>NEGOCIO EN MARCHA</t>
        </is>
      </c>
      <c r="AC119" t="n">
        <v>1</v>
      </c>
      <c r="AD119" t="inlineStr">
        <is>
          <t>BANCO</t>
        </is>
      </c>
      <c r="AE119" t="n">
        <v>1</v>
      </c>
      <c r="AF119" t="inlineStr">
        <is>
          <t>BACK</t>
        </is>
      </c>
      <c r="AG119" t="n">
        <v>100101</v>
      </c>
      <c r="AH119" t="inlineStr">
        <is>
          <t>CORPORATIVO</t>
        </is>
      </c>
      <c r="AI119" t="inlineStr">
        <is>
          <t>DVELEZ@BANCOBASE.COM</t>
        </is>
      </c>
      <c r="AJ119" s="151" t="n">
        <v>45734</v>
      </c>
      <c r="AK119" s="151" t="n"/>
      <c r="AL119" s="151" t="n"/>
    </row>
    <row r="120" hidden="1" s="150">
      <c r="A120" t="inlineStr">
        <is>
          <t>AARREOLA</t>
        </is>
      </c>
      <c r="B120" t="n">
        <v>3377</v>
      </c>
      <c r="C120" t="inlineStr">
        <is>
          <t>ARLETH ARREOLA CASTILLO</t>
        </is>
      </c>
      <c r="D120" t="n">
        <v>8680</v>
      </c>
      <c r="E120" t="inlineStr">
        <is>
          <t>ANALISTA DE PLANEACION DE EGRESOS</t>
        </is>
      </c>
      <c r="F120" t="inlineStr">
        <is>
          <t>MONTERREY</t>
        </is>
      </c>
      <c r="G120" t="n">
        <v>1392</v>
      </c>
      <c r="H120" t="inlineStr">
        <is>
          <t>ARACELY HERNANDEZ MARTINEZ</t>
        </is>
      </c>
      <c r="I120" t="n">
        <v>10259</v>
      </c>
      <c r="J120" t="inlineStr">
        <is>
          <t>SUBDIRECTOR DE PLANEACION Y ADMINISTRACION DE EGRESOS</t>
        </is>
      </c>
      <c r="K120" t="n">
        <v>1</v>
      </c>
      <c r="L120" t="inlineStr">
        <is>
          <t>PRESIDENCIA EJECUTIVA DEL CONSEJO</t>
        </is>
      </c>
      <c r="M120" t="n">
        <v>40</v>
      </c>
      <c r="N120" t="inlineStr">
        <is>
          <t>DIRECCION GENERAL BANCO BASE</t>
        </is>
      </c>
      <c r="O120" t="n">
        <v>420</v>
      </c>
      <c r="P120" t="inlineStr">
        <is>
          <t>DIRECCION ADMINISTRACION Y FINANZAS</t>
        </is>
      </c>
      <c r="Q120" t="n">
        <v>4250</v>
      </c>
      <c r="R120" t="inlineStr">
        <is>
          <t>DIRECCION DE PLANEACION FINANCIERA</t>
        </is>
      </c>
      <c r="S120" t="n">
        <v>42520</v>
      </c>
      <c r="T120" t="inlineStr">
        <is>
          <t>SUBDIRECCION DE PLANEACION Y ADMON DE EGRESOS</t>
        </is>
      </c>
      <c r="U120" t="n">
        <v>425201</v>
      </c>
      <c r="V120" t="inlineStr">
        <is>
          <t>SUBDIRECCION DE PLANEACION Y ADMON DE EGRESOS</t>
        </is>
      </c>
      <c r="W120" t="n">
        <v>100101</v>
      </c>
      <c r="X120" t="inlineStr">
        <is>
          <t>CORPORATIVO</t>
        </is>
      </c>
      <c r="Y120" t="n">
        <v>4</v>
      </c>
      <c r="Z120" t="inlineStr">
        <is>
          <t>CORPORATIVO</t>
        </is>
      </c>
      <c r="AA120" t="n">
        <v>1</v>
      </c>
      <c r="AB120" t="inlineStr">
        <is>
          <t>NEGOCIO EN MARCHA</t>
        </is>
      </c>
      <c r="AC120" t="n">
        <v>1</v>
      </c>
      <c r="AD120" t="inlineStr">
        <is>
          <t>BANCO</t>
        </is>
      </c>
      <c r="AE120" t="n">
        <v>1</v>
      </c>
      <c r="AF120" t="inlineStr">
        <is>
          <t>BACK</t>
        </is>
      </c>
      <c r="AG120" t="n">
        <v>100101</v>
      </c>
      <c r="AH120" t="inlineStr">
        <is>
          <t>CORPORATIVO</t>
        </is>
      </c>
      <c r="AI120" t="inlineStr">
        <is>
          <t>AARREOLA@BANCOBASE.COM</t>
        </is>
      </c>
      <c r="AJ120" s="151" t="n">
        <v>45748</v>
      </c>
      <c r="AK120" s="151" t="n"/>
      <c r="AL120" s="151" t="n"/>
    </row>
    <row r="121" hidden="1" s="150">
      <c r="A121" t="inlineStr">
        <is>
          <t>JDELACRUZ</t>
        </is>
      </c>
      <c r="B121" t="n">
        <v>1924</v>
      </c>
      <c r="C121" t="inlineStr">
        <is>
          <t>JUAN ALEJANDRO DE LA CRUZ SAUCEDO</t>
        </is>
      </c>
      <c r="D121" t="n">
        <v>10135</v>
      </c>
      <c r="E121" t="inlineStr">
        <is>
          <t>ANALISTA DE PLANEACION DE EGRESOS</t>
        </is>
      </c>
      <c r="F121" t="inlineStr">
        <is>
          <t>MONTERREY</t>
        </is>
      </c>
      <c r="G121" t="n">
        <v>1392</v>
      </c>
      <c r="H121" t="inlineStr">
        <is>
          <t>ARACELY HERNANDEZ MARTINEZ</t>
        </is>
      </c>
      <c r="I121" t="n">
        <v>10259</v>
      </c>
      <c r="J121" t="inlineStr">
        <is>
          <t>SUBDIRECTOR DE PLANEACION Y ADMINISTRACION DE EGRESOS</t>
        </is>
      </c>
      <c r="K121" t="n">
        <v>1</v>
      </c>
      <c r="L121" t="inlineStr">
        <is>
          <t>PRESIDENCIA EJECUTIVA DEL CONSEJO</t>
        </is>
      </c>
      <c r="M121" t="n">
        <v>40</v>
      </c>
      <c r="N121" t="inlineStr">
        <is>
          <t>DIRECCION GENERAL BANCO BASE</t>
        </is>
      </c>
      <c r="O121" t="n">
        <v>420</v>
      </c>
      <c r="P121" t="inlineStr">
        <is>
          <t>DIRECCION ADMINISTRACION Y FINANZAS</t>
        </is>
      </c>
      <c r="Q121" t="n">
        <v>4250</v>
      </c>
      <c r="R121" t="inlineStr">
        <is>
          <t>DIRECCION DE PLANEACION FINANCIERA</t>
        </is>
      </c>
      <c r="S121" t="n">
        <v>42520</v>
      </c>
      <c r="T121" t="inlineStr">
        <is>
          <t>SUBDIRECCION DE PLANEACION Y ADMON DE EGRESOS</t>
        </is>
      </c>
      <c r="U121" t="n">
        <v>425201</v>
      </c>
      <c r="V121" t="inlineStr">
        <is>
          <t>SUBDIRECCION DE PLANEACION Y ADMON DE EGRESOS</t>
        </is>
      </c>
      <c r="W121" t="n">
        <v>100101</v>
      </c>
      <c r="X121" t="inlineStr">
        <is>
          <t>CORPORATIVO</t>
        </is>
      </c>
      <c r="Y121" t="n">
        <v>4</v>
      </c>
      <c r="Z121" t="inlineStr">
        <is>
          <t>CORPORATIVO</t>
        </is>
      </c>
      <c r="AA121" t="n">
        <v>1</v>
      </c>
      <c r="AB121" t="inlineStr">
        <is>
          <t>NEGOCIO EN MARCHA</t>
        </is>
      </c>
      <c r="AC121" t="n">
        <v>1</v>
      </c>
      <c r="AD121" t="inlineStr">
        <is>
          <t>BANCO</t>
        </is>
      </c>
      <c r="AE121" t="n">
        <v>1</v>
      </c>
      <c r="AF121" t="inlineStr">
        <is>
          <t>BACK</t>
        </is>
      </c>
      <c r="AG121" t="n">
        <v>100101</v>
      </c>
      <c r="AH121" t="inlineStr">
        <is>
          <t>CORPORATIVO</t>
        </is>
      </c>
      <c r="AI121" t="inlineStr">
        <is>
          <t>JDELACRUZ@BANCOBASE.COM</t>
        </is>
      </c>
      <c r="AJ121" s="151" t="n">
        <v>43132</v>
      </c>
      <c r="AK121" s="151" t="n"/>
      <c r="AL121" s="151" t="n"/>
    </row>
    <row r="122" hidden="1" s="150">
      <c r="A122" t="inlineStr">
        <is>
          <t>AOCHOAM</t>
        </is>
      </c>
      <c r="B122" t="n">
        <v>2221</v>
      </c>
      <c r="C122" t="inlineStr">
        <is>
          <t>ALONDRA ELIS OCHOA MALDONADO</t>
        </is>
      </c>
      <c r="D122" t="n">
        <v>9234</v>
      </c>
      <c r="E122" t="inlineStr">
        <is>
          <t>GERENTE DE PLANEACION FINANCIERA Y RENTABILIDAD</t>
        </is>
      </c>
      <c r="F122" t="inlineStr">
        <is>
          <t>MONTERREY</t>
        </is>
      </c>
      <c r="G122" t="n">
        <v>2359</v>
      </c>
      <c r="H122" t="inlineStr">
        <is>
          <t>ELVA TREVIÑO DE LA GARZA</t>
        </is>
      </c>
      <c r="I122" t="n">
        <v>10382</v>
      </c>
      <c r="J122" t="inlineStr">
        <is>
          <t>DIRECTOR DE PLANEACION FINANCIERA</t>
        </is>
      </c>
      <c r="K122" t="n">
        <v>1</v>
      </c>
      <c r="L122" t="inlineStr">
        <is>
          <t>PRESIDENCIA EJECUTIVA DEL CONSEJO</t>
        </is>
      </c>
      <c r="M122" t="n">
        <v>40</v>
      </c>
      <c r="N122" t="inlineStr">
        <is>
          <t>DIRECCION GENERAL BANCO BASE</t>
        </is>
      </c>
      <c r="O122" t="n">
        <v>420</v>
      </c>
      <c r="P122" t="inlineStr">
        <is>
          <t>DIRECCION ADMINISTRACION Y FINANZAS</t>
        </is>
      </c>
      <c r="Q122" t="n">
        <v>4250</v>
      </c>
      <c r="R122" t="inlineStr">
        <is>
          <t>DIRECCION DE PLANEACION FINANCIERA</t>
        </is>
      </c>
      <c r="S122" t="n">
        <v>42510</v>
      </c>
      <c r="T122" t="inlineStr">
        <is>
          <t>GERENCIA DE PLANEACION FINANCIERA Y RENTABILIDAD</t>
        </is>
      </c>
      <c r="U122" t="n">
        <v>425100</v>
      </c>
      <c r="V122" t="inlineStr">
        <is>
          <t>SUBDIRECCION DE RENTABILIDAD</t>
        </is>
      </c>
      <c r="W122" t="n">
        <v>100101</v>
      </c>
      <c r="X122" t="inlineStr">
        <is>
          <t>CORPORATIVO</t>
        </is>
      </c>
      <c r="Y122" t="n">
        <v>4</v>
      </c>
      <c r="Z122" t="inlineStr">
        <is>
          <t>CORPORATIVO</t>
        </is>
      </c>
      <c r="AA122" t="n">
        <v>1</v>
      </c>
      <c r="AB122" t="inlineStr">
        <is>
          <t>NEGOCIO EN MARCHA</t>
        </is>
      </c>
      <c r="AC122" t="n">
        <v>1</v>
      </c>
      <c r="AD122" t="inlineStr">
        <is>
          <t>BANCO</t>
        </is>
      </c>
      <c r="AE122" t="n">
        <v>1</v>
      </c>
      <c r="AF122" t="inlineStr">
        <is>
          <t>BACK</t>
        </is>
      </c>
      <c r="AG122" t="n">
        <v>100101</v>
      </c>
      <c r="AH122" t="inlineStr">
        <is>
          <t>CORPORATIVO</t>
        </is>
      </c>
      <c r="AI122" t="inlineStr">
        <is>
          <t>AOCHOAM@BANCOBASE.COM</t>
        </is>
      </c>
      <c r="AJ122" s="151" t="n">
        <v>43563</v>
      </c>
      <c r="AK122" s="151" t="n"/>
      <c r="AL122" s="151" t="n"/>
    </row>
    <row r="123" hidden="1" s="150">
      <c r="A123" t="inlineStr">
        <is>
          <t>DSANCHEZM</t>
        </is>
      </c>
      <c r="B123" t="n">
        <v>2345</v>
      </c>
      <c r="C123" t="inlineStr">
        <is>
          <t>DAVID ALBERTO SANCHEZ MARTINEZ</t>
        </is>
      </c>
      <c r="D123" t="n">
        <v>10377</v>
      </c>
      <c r="E123" t="inlineStr">
        <is>
          <t>ESPECIALISTA DE INFORMACION DE NEGOCIO</t>
        </is>
      </c>
      <c r="F123" t="inlineStr">
        <is>
          <t>MONTERREY</t>
        </is>
      </c>
      <c r="G123" t="n">
        <v>2221</v>
      </c>
      <c r="H123" t="inlineStr">
        <is>
          <t>ALONDRA ELIS OCHOA MALDONADO</t>
        </is>
      </c>
      <c r="I123" t="n">
        <v>9234</v>
      </c>
      <c r="J123" t="inlineStr">
        <is>
          <t>GERENTE DE PLANEACION FINANCIERA Y RENTABILIDAD</t>
        </is>
      </c>
      <c r="K123" t="n">
        <v>1</v>
      </c>
      <c r="L123" t="inlineStr">
        <is>
          <t>PRESIDENCIA EJECUTIVA DEL CONSEJO</t>
        </is>
      </c>
      <c r="M123" t="n">
        <v>40</v>
      </c>
      <c r="N123" t="inlineStr">
        <is>
          <t>DIRECCION GENERAL BANCO BASE</t>
        </is>
      </c>
      <c r="O123" t="n">
        <v>420</v>
      </c>
      <c r="P123" t="inlineStr">
        <is>
          <t>DIRECCION ADMINISTRACION Y FINANZAS</t>
        </is>
      </c>
      <c r="Q123" t="n">
        <v>4250</v>
      </c>
      <c r="R123" t="inlineStr">
        <is>
          <t>DIRECCION DE PLANEACION FINANCIERA</t>
        </is>
      </c>
      <c r="S123" t="n">
        <v>42510</v>
      </c>
      <c r="T123" t="inlineStr">
        <is>
          <t>GERENCIA DE PLANEACION FINANCIERA Y RENTABILIDAD</t>
        </is>
      </c>
      <c r="U123" t="n">
        <v>425100</v>
      </c>
      <c r="V123" t="inlineStr">
        <is>
          <t>SUBDIRECCION DE RENTABILIDAD</t>
        </is>
      </c>
      <c r="W123" t="n">
        <v>100101</v>
      </c>
      <c r="X123" t="inlineStr">
        <is>
          <t>CORPORATIVO</t>
        </is>
      </c>
      <c r="Y123" t="n">
        <v>4</v>
      </c>
      <c r="Z123" t="inlineStr">
        <is>
          <t>CORPORATIVO</t>
        </is>
      </c>
      <c r="AA123" t="n">
        <v>1</v>
      </c>
      <c r="AB123" t="inlineStr">
        <is>
          <t>NEGOCIO EN MARCHA</t>
        </is>
      </c>
      <c r="AC123" t="n">
        <v>1</v>
      </c>
      <c r="AD123" t="inlineStr">
        <is>
          <t>BANCO</t>
        </is>
      </c>
      <c r="AE123" t="n">
        <v>1</v>
      </c>
      <c r="AF123" t="inlineStr">
        <is>
          <t>BACK</t>
        </is>
      </c>
      <c r="AG123" t="n">
        <v>100101</v>
      </c>
      <c r="AH123" t="inlineStr">
        <is>
          <t>CORPORATIVO</t>
        </is>
      </c>
      <c r="AI123" t="inlineStr">
        <is>
          <t>DSANCHEZM@BANCOBASE.COM</t>
        </is>
      </c>
      <c r="AJ123" s="151" t="n">
        <v>43780</v>
      </c>
      <c r="AK123" s="151" t="n"/>
      <c r="AL123" s="151" t="n"/>
    </row>
    <row r="124" hidden="1" s="150">
      <c r="A124" t="inlineStr">
        <is>
          <t>FLOZANOG</t>
        </is>
      </c>
      <c r="B124" t="n">
        <v>3222</v>
      </c>
      <c r="C124" t="inlineStr">
        <is>
          <t>JESUS FRANCISCO LOZANO GUEVARA</t>
        </is>
      </c>
      <c r="D124" t="n">
        <v>8447</v>
      </c>
      <c r="E124" t="inlineStr">
        <is>
          <t>ANALISTA DE PLANEACION FINANCIERA</t>
        </is>
      </c>
      <c r="F124" t="inlineStr">
        <is>
          <t>MONTERREY</t>
        </is>
      </c>
      <c r="G124" t="n">
        <v>2221</v>
      </c>
      <c r="H124" t="inlineStr">
        <is>
          <t>ALONDRA ELIS OCHOA MALDONADO</t>
        </is>
      </c>
      <c r="I124" t="n">
        <v>9234</v>
      </c>
      <c r="J124" t="inlineStr">
        <is>
          <t>GERENTE DE PLANEACION FINANCIERA Y RENTABILIDAD</t>
        </is>
      </c>
      <c r="K124" t="n">
        <v>1</v>
      </c>
      <c r="L124" t="inlineStr">
        <is>
          <t>PRESIDENCIA EJECUTIVA DEL CONSEJO</t>
        </is>
      </c>
      <c r="M124" t="n">
        <v>40</v>
      </c>
      <c r="N124" t="inlineStr">
        <is>
          <t>DIRECCION GENERAL BANCO BASE</t>
        </is>
      </c>
      <c r="O124" t="n">
        <v>420</v>
      </c>
      <c r="P124" t="inlineStr">
        <is>
          <t>DIRECCION ADMINISTRACION Y FINANZAS</t>
        </is>
      </c>
      <c r="Q124" t="n">
        <v>4250</v>
      </c>
      <c r="R124" t="inlineStr">
        <is>
          <t>DIRECCION DE PLANEACION FINANCIERA</t>
        </is>
      </c>
      <c r="S124" t="n">
        <v>42510</v>
      </c>
      <c r="T124" t="inlineStr">
        <is>
          <t>GERENCIA DE PLANEACION FINANCIERA Y RENTABILIDAD</t>
        </is>
      </c>
      <c r="U124" t="n">
        <v>425100</v>
      </c>
      <c r="V124" t="inlineStr">
        <is>
          <t>SUBDIRECCION DE RENTABILIDAD</t>
        </is>
      </c>
      <c r="W124" t="n">
        <v>100101</v>
      </c>
      <c r="X124" t="inlineStr">
        <is>
          <t>CORPORATIVO</t>
        </is>
      </c>
      <c r="Y124" t="n">
        <v>4</v>
      </c>
      <c r="Z124" t="inlineStr">
        <is>
          <t>CORPORATIVO</t>
        </is>
      </c>
      <c r="AA124" t="n">
        <v>1</v>
      </c>
      <c r="AB124" t="inlineStr">
        <is>
          <t>NEGOCIO EN MARCHA</t>
        </is>
      </c>
      <c r="AC124" t="n">
        <v>1</v>
      </c>
      <c r="AD124" t="inlineStr">
        <is>
          <t>BANCO</t>
        </is>
      </c>
      <c r="AE124" t="n">
        <v>1</v>
      </c>
      <c r="AF124" t="inlineStr">
        <is>
          <t>BACK</t>
        </is>
      </c>
      <c r="AG124" t="n">
        <v>100101</v>
      </c>
      <c r="AH124" t="inlineStr">
        <is>
          <t>CORPORATIVO</t>
        </is>
      </c>
      <c r="AI124" t="inlineStr">
        <is>
          <t>FLOZANOG@BANCOBASE.COM</t>
        </is>
      </c>
      <c r="AJ124" s="151" t="n">
        <v>45572</v>
      </c>
      <c r="AK124" s="151" t="n"/>
      <c r="AL124" s="151" t="n"/>
    </row>
    <row r="125" hidden="1" s="150">
      <c r="A125" t="inlineStr">
        <is>
          <t>AJASSO</t>
        </is>
      </c>
      <c r="B125" t="n">
        <v>3858</v>
      </c>
      <c r="C125" t="inlineStr">
        <is>
          <t>ALVARO ANDRES JASSO CANTU</t>
        </is>
      </c>
      <c r="D125" t="n">
        <v>5058</v>
      </c>
      <c r="E125" t="inlineStr">
        <is>
          <t>ESPECIALISTA DE INFORMACION DE NEGOCIO</t>
        </is>
      </c>
      <c r="F125" t="inlineStr">
        <is>
          <t>MONTERREY</t>
        </is>
      </c>
      <c r="G125" t="n">
        <v>2221</v>
      </c>
      <c r="H125" t="inlineStr">
        <is>
          <t>ALONDRA ELIS OCHOA MALDONADO</t>
        </is>
      </c>
      <c r="I125" t="n">
        <v>9234</v>
      </c>
      <c r="J125" t="inlineStr">
        <is>
          <t>GERENTE DE PLANEACION FINANCIERA Y RENTABILIDAD</t>
        </is>
      </c>
      <c r="K125" t="n">
        <v>1</v>
      </c>
      <c r="L125" t="inlineStr">
        <is>
          <t>PRESIDENCIA EJECUTIVA DEL CONSEJO</t>
        </is>
      </c>
      <c r="M125" t="n">
        <v>40</v>
      </c>
      <c r="N125" t="inlineStr">
        <is>
          <t>DIRECCION GENERAL BANCO BASE</t>
        </is>
      </c>
      <c r="O125" t="n">
        <v>420</v>
      </c>
      <c r="P125" t="inlineStr">
        <is>
          <t>DIRECCION ADMINISTRACION Y FINANZAS</t>
        </is>
      </c>
      <c r="Q125" t="n">
        <v>4250</v>
      </c>
      <c r="R125" t="inlineStr">
        <is>
          <t>DIRECCION DE PLANEACION FINANCIERA</t>
        </is>
      </c>
      <c r="S125" t="n">
        <v>42510</v>
      </c>
      <c r="T125" t="inlineStr">
        <is>
          <t>GERENCIA DE PLANEACION FINANCIERA Y RENTABILIDAD</t>
        </is>
      </c>
      <c r="U125" t="n">
        <v>425100</v>
      </c>
      <c r="V125" t="inlineStr">
        <is>
          <t>SUBDIRECCION DE RENTABILIDAD</t>
        </is>
      </c>
      <c r="W125" t="n">
        <v>100101</v>
      </c>
      <c r="X125" t="inlineStr">
        <is>
          <t>CORPORATIVO</t>
        </is>
      </c>
      <c r="Y125" t="n">
        <v>4</v>
      </c>
      <c r="Z125" t="inlineStr">
        <is>
          <t>CORPORATIVO</t>
        </is>
      </c>
      <c r="AA125" t="n">
        <v>1</v>
      </c>
      <c r="AB125" t="inlineStr">
        <is>
          <t>NEGOCIO EN MARCHA</t>
        </is>
      </c>
      <c r="AC125" t="n">
        <v>1</v>
      </c>
      <c r="AD125" t="inlineStr">
        <is>
          <t>BANCO</t>
        </is>
      </c>
      <c r="AE125" t="n">
        <v>1</v>
      </c>
      <c r="AF125" t="inlineStr">
        <is>
          <t>BACK</t>
        </is>
      </c>
      <c r="AG125" t="n">
        <v>100101</v>
      </c>
      <c r="AH125" t="inlineStr">
        <is>
          <t>CORPORATIVO</t>
        </is>
      </c>
      <c r="AI125" t="inlineStr">
        <is>
          <t>AJASSO@BANCOBASE.COM</t>
        </is>
      </c>
      <c r="AJ125" s="151" t="n">
        <v>46160</v>
      </c>
      <c r="AK125" s="151" t="n"/>
      <c r="AL125" s="151" t="n"/>
    </row>
    <row r="126" hidden="1" s="150">
      <c r="A126" t="inlineStr">
        <is>
          <t>AROSALESG</t>
        </is>
      </c>
      <c r="B126" t="n">
        <v>2915</v>
      </c>
      <c r="C126" t="inlineStr">
        <is>
          <t>ALEJANDRA ROSALES DE GOLFERICHS</t>
        </is>
      </c>
      <c r="D126" t="n">
        <v>8155</v>
      </c>
      <c r="E126" t="inlineStr">
        <is>
          <t>ESPECIALISTA EN INFORMACION FINANCIERA</t>
        </is>
      </c>
      <c r="F126" t="inlineStr">
        <is>
          <t>MONTERREY</t>
        </is>
      </c>
      <c r="G126" t="n">
        <v>2359</v>
      </c>
      <c r="H126" t="inlineStr">
        <is>
          <t>ELVA TREVIÑO DE LA GARZA</t>
        </is>
      </c>
      <c r="I126" t="n">
        <v>10382</v>
      </c>
      <c r="J126" t="inlineStr">
        <is>
          <t>DIRECTOR DE PLANEACION FINANCIERA</t>
        </is>
      </c>
      <c r="K126" t="n">
        <v>1</v>
      </c>
      <c r="L126" t="inlineStr">
        <is>
          <t>PRESIDENCIA EJECUTIVA DEL CONSEJO</t>
        </is>
      </c>
      <c r="M126" t="n">
        <v>40</v>
      </c>
      <c r="N126" t="inlineStr">
        <is>
          <t>DIRECCION GENERAL BANCO BASE</t>
        </is>
      </c>
      <c r="O126" t="n">
        <v>420</v>
      </c>
      <c r="P126" t="inlineStr">
        <is>
          <t>DIRECCION ADMINISTRACION Y FINANZAS</t>
        </is>
      </c>
      <c r="Q126" t="n">
        <v>4250</v>
      </c>
      <c r="R126" t="inlineStr">
        <is>
          <t>DIRECCION DE PLANEACION FINANCIERA</t>
        </is>
      </c>
      <c r="S126" t="n">
        <v>42530</v>
      </c>
      <c r="T126" t="inlineStr">
        <is>
          <t>SUBDIRECCION DE INFORMACION Y EVALUACION FINANCIER</t>
        </is>
      </c>
      <c r="U126" t="n">
        <v>425000</v>
      </c>
      <c r="V126" t="inlineStr">
        <is>
          <t>DIRECCION DE PLANEACION FINANCIERA</t>
        </is>
      </c>
      <c r="W126" t="n">
        <v>100101</v>
      </c>
      <c r="X126" t="inlineStr">
        <is>
          <t>CORPORATIVO</t>
        </is>
      </c>
      <c r="Y126" t="n">
        <v>4</v>
      </c>
      <c r="Z126" t="inlineStr">
        <is>
          <t>CORPORATIVO</t>
        </is>
      </c>
      <c r="AA126" t="n">
        <v>1</v>
      </c>
      <c r="AB126" t="inlineStr">
        <is>
          <t>NEGOCIO EN MARCHA</t>
        </is>
      </c>
      <c r="AC126" t="n">
        <v>1</v>
      </c>
      <c r="AD126" t="inlineStr">
        <is>
          <t>BANCO</t>
        </is>
      </c>
      <c r="AE126" t="n">
        <v>1</v>
      </c>
      <c r="AF126" t="inlineStr">
        <is>
          <t>BACK</t>
        </is>
      </c>
      <c r="AG126" t="n">
        <v>100101</v>
      </c>
      <c r="AH126" t="inlineStr">
        <is>
          <t>CORPORATIVO</t>
        </is>
      </c>
      <c r="AI126" t="inlineStr">
        <is>
          <t>AROSALESG@BANCOBASE.COM</t>
        </is>
      </c>
      <c r="AJ126" s="151" t="n">
        <v>45110</v>
      </c>
      <c r="AK126" s="151" t="n"/>
      <c r="AL126" s="151" t="n"/>
    </row>
    <row r="127" hidden="1" s="150">
      <c r="A127" t="inlineStr">
        <is>
          <t>SVALERO</t>
        </is>
      </c>
      <c r="B127" t="n">
        <v>3844</v>
      </c>
      <c r="C127" t="inlineStr">
        <is>
          <t>SAMUEL ALEJANDRO VALERO BERRONES</t>
        </is>
      </c>
      <c r="D127" t="n">
        <v>5059</v>
      </c>
      <c r="E127" t="inlineStr">
        <is>
          <t>ESPECIALISTA DE INFORMACION Y EVALUACION FINANCIERA</t>
        </is>
      </c>
      <c r="F127" t="inlineStr">
        <is>
          <t>MONTERREY</t>
        </is>
      </c>
      <c r="G127" t="n">
        <v>2359</v>
      </c>
      <c r="H127" t="inlineStr">
        <is>
          <t>ELVA TREVIÑO DE LA GARZA</t>
        </is>
      </c>
      <c r="I127" t="n">
        <v>10382</v>
      </c>
      <c r="J127" t="inlineStr">
        <is>
          <t>DIRECTOR DE PLANEACION FINANCIERA</t>
        </is>
      </c>
      <c r="K127" t="n">
        <v>1</v>
      </c>
      <c r="L127" t="inlineStr">
        <is>
          <t>PRESIDENCIA EJECUTIVA DEL CONSEJO</t>
        </is>
      </c>
      <c r="M127" t="n">
        <v>40</v>
      </c>
      <c r="N127" t="inlineStr">
        <is>
          <t>DIRECCION GENERAL BANCO BASE</t>
        </is>
      </c>
      <c r="O127" t="n">
        <v>420</v>
      </c>
      <c r="P127" t="inlineStr">
        <is>
          <t>DIRECCION ADMINISTRACION Y FINANZAS</t>
        </is>
      </c>
      <c r="Q127" t="n">
        <v>4250</v>
      </c>
      <c r="R127" t="inlineStr">
        <is>
          <t>DIRECCION DE PLANEACION FINANCIERA</t>
        </is>
      </c>
      <c r="S127" t="n">
        <v>42530</v>
      </c>
      <c r="T127" t="inlineStr">
        <is>
          <t>SUBDIRECCION DE INFORMACION Y EVALUACION FINANCIER</t>
        </is>
      </c>
      <c r="U127" t="n">
        <v>425000</v>
      </c>
      <c r="V127" t="inlineStr">
        <is>
          <t>DIRECCION DE PLANEACION FINANCIERA</t>
        </is>
      </c>
      <c r="W127" t="n">
        <v>100101</v>
      </c>
      <c r="X127" t="inlineStr">
        <is>
          <t>CORPORATIVO</t>
        </is>
      </c>
      <c r="Y127" t="n">
        <v>4</v>
      </c>
      <c r="Z127" t="inlineStr">
        <is>
          <t>CORPORATIVO</t>
        </is>
      </c>
      <c r="AA127" t="n">
        <v>1</v>
      </c>
      <c r="AB127" t="inlineStr">
        <is>
          <t>NEGOCIO EN MARCHA</t>
        </is>
      </c>
      <c r="AC127" t="n">
        <v>1</v>
      </c>
      <c r="AD127" t="inlineStr">
        <is>
          <t>BANCO</t>
        </is>
      </c>
      <c r="AE127" t="n">
        <v>1</v>
      </c>
      <c r="AF127" t="inlineStr">
        <is>
          <t>BACK</t>
        </is>
      </c>
      <c r="AG127" t="n">
        <v>100101</v>
      </c>
      <c r="AH127" t="inlineStr">
        <is>
          <t>CORPORATIVO</t>
        </is>
      </c>
      <c r="AI127" t="inlineStr">
        <is>
          <t>SVALERO@BANCOBASE.COM</t>
        </is>
      </c>
      <c r="AJ127" s="151" t="n">
        <v>46146</v>
      </c>
      <c r="AK127" s="151" t="n"/>
      <c r="AL127" s="151" t="n"/>
    </row>
    <row r="128" hidden="1" s="150">
      <c r="A128" t="inlineStr">
        <is>
          <t>ISILVA</t>
        </is>
      </c>
      <c r="B128" t="n">
        <v>1432</v>
      </c>
      <c r="C128" t="inlineStr">
        <is>
          <t>MARIA ISABEL SILVA GARCIA</t>
        </is>
      </c>
      <c r="D128" t="n">
        <v>8383</v>
      </c>
      <c r="E128" t="inlineStr">
        <is>
          <t>DIRECTOR DE TESORERIA</t>
        </is>
      </c>
      <c r="F128" t="inlineStr">
        <is>
          <t>MONTERREY</t>
        </is>
      </c>
      <c r="G128" t="n">
        <v>2529</v>
      </c>
      <c r="H128" t="inlineStr">
        <is>
          <t>ENRIQUE EDUARDO GALEANA UGALDE</t>
        </is>
      </c>
      <c r="I128" t="n">
        <v>7</v>
      </c>
      <c r="J128" t="inlineStr">
        <is>
          <t>DIRECTOR DE ADMINISTRACION Y FINANZAS</t>
        </is>
      </c>
      <c r="K128" t="n">
        <v>1</v>
      </c>
      <c r="L128" t="inlineStr">
        <is>
          <t>PRESIDENCIA EJECUTIVA DEL CONSEJO</t>
        </is>
      </c>
      <c r="M128" t="n">
        <v>40</v>
      </c>
      <c r="N128" t="inlineStr">
        <is>
          <t>DIRECCION GENERAL BANCO BASE</t>
        </is>
      </c>
      <c r="O128" t="n">
        <v>420</v>
      </c>
      <c r="P128" t="inlineStr">
        <is>
          <t>DIRECCION ADMINISTRACION Y FINANZAS</t>
        </is>
      </c>
      <c r="Q128" t="n">
        <v>4270</v>
      </c>
      <c r="R128" t="inlineStr">
        <is>
          <t>DIRECCION DE TESORERIA</t>
        </is>
      </c>
      <c r="S128" t="n">
        <v>42700</v>
      </c>
      <c r="T128" t="inlineStr">
        <is>
          <t>DIRECCION DE TESORERIA</t>
        </is>
      </c>
      <c r="U128" t="n">
        <v>427000</v>
      </c>
      <c r="V128" t="inlineStr">
        <is>
          <t>DIRECCION DE TESORERIA</t>
        </is>
      </c>
      <c r="W128" t="n">
        <v>100101</v>
      </c>
      <c r="X128" t="inlineStr">
        <is>
          <t>CORPORATIVO</t>
        </is>
      </c>
      <c r="Y128" t="n">
        <v>4</v>
      </c>
      <c r="Z128" t="inlineStr">
        <is>
          <t>CORPORATIVO</t>
        </is>
      </c>
      <c r="AA128" t="n">
        <v>1</v>
      </c>
      <c r="AB128" t="inlineStr">
        <is>
          <t>NEGOCIO EN MARCHA</t>
        </is>
      </c>
      <c r="AC128" t="n">
        <v>1</v>
      </c>
      <c r="AD128" t="inlineStr">
        <is>
          <t>BANCO</t>
        </is>
      </c>
      <c r="AE128" t="n">
        <v>1</v>
      </c>
      <c r="AF128" t="inlineStr">
        <is>
          <t>BACK</t>
        </is>
      </c>
      <c r="AG128" t="n">
        <v>100101</v>
      </c>
      <c r="AH128" t="inlineStr">
        <is>
          <t>CORPORATIVO</t>
        </is>
      </c>
      <c r="AI128" t="inlineStr">
        <is>
          <t>ISILVA@BANCOBASE.COM</t>
        </is>
      </c>
      <c r="AJ128" s="151" t="n">
        <v>42373</v>
      </c>
      <c r="AK128" s="151" t="n"/>
      <c r="AL128" s="151" t="n"/>
    </row>
    <row r="129" hidden="1" s="150">
      <c r="A129" t="inlineStr">
        <is>
          <t>VSUAREZ</t>
        </is>
      </c>
      <c r="B129" t="n">
        <v>313</v>
      </c>
      <c r="C129" t="inlineStr">
        <is>
          <t>ESTRELLA VIRIDIANA SUAREZ GIACOMAN</t>
        </is>
      </c>
      <c r="D129" t="n">
        <v>140</v>
      </c>
      <c r="E129" t="inlineStr">
        <is>
          <t>SUBDIRECTOR DE TESORERIA OPERATIVA</t>
        </is>
      </c>
      <c r="F129" t="inlineStr">
        <is>
          <t>MONTERREY</t>
        </is>
      </c>
      <c r="G129" t="n">
        <v>1432</v>
      </c>
      <c r="H129" t="inlineStr">
        <is>
          <t>MARIA ISABEL SILVA GARCIA</t>
        </is>
      </c>
      <c r="I129" t="n">
        <v>8383</v>
      </c>
      <c r="J129" t="inlineStr">
        <is>
          <t>DIRECTOR DE TESORERIA</t>
        </is>
      </c>
      <c r="K129" t="n">
        <v>1</v>
      </c>
      <c r="L129" t="inlineStr">
        <is>
          <t>PRESIDENCIA EJECUTIVA DEL CONSEJO</t>
        </is>
      </c>
      <c r="M129" t="n">
        <v>40</v>
      </c>
      <c r="N129" t="inlineStr">
        <is>
          <t>DIRECCION GENERAL BANCO BASE</t>
        </is>
      </c>
      <c r="O129" t="n">
        <v>420</v>
      </c>
      <c r="P129" t="inlineStr">
        <is>
          <t>DIRECCION ADMINISTRACION Y FINANZAS</t>
        </is>
      </c>
      <c r="Q129" t="n">
        <v>4270</v>
      </c>
      <c r="R129" t="inlineStr">
        <is>
          <t>DIRECCION DE TESORERIA</t>
        </is>
      </c>
      <c r="S129" t="n">
        <v>42700</v>
      </c>
      <c r="T129" t="inlineStr">
        <is>
          <t>DIRECCION DE TESORERIA</t>
        </is>
      </c>
      <c r="U129" t="n">
        <v>427000</v>
      </c>
      <c r="V129" t="inlineStr">
        <is>
          <t>DIRECCION DE TESORERIA</t>
        </is>
      </c>
      <c r="W129" t="n">
        <v>100101</v>
      </c>
      <c r="X129" t="inlineStr">
        <is>
          <t>CORPORATIVO</t>
        </is>
      </c>
      <c r="Y129" t="n">
        <v>4</v>
      </c>
      <c r="Z129" t="inlineStr">
        <is>
          <t>CORPORATIVO</t>
        </is>
      </c>
      <c r="AA129" t="n">
        <v>1</v>
      </c>
      <c r="AB129" t="inlineStr">
        <is>
          <t>NEGOCIO EN MARCHA</t>
        </is>
      </c>
      <c r="AC129" t="n">
        <v>1</v>
      </c>
      <c r="AD129" t="inlineStr">
        <is>
          <t>BANCO</t>
        </is>
      </c>
      <c r="AE129" t="n">
        <v>1</v>
      </c>
      <c r="AF129" t="inlineStr">
        <is>
          <t>BACK</t>
        </is>
      </c>
      <c r="AG129" t="n">
        <v>100101</v>
      </c>
      <c r="AH129" t="inlineStr">
        <is>
          <t>CORPORATIVO</t>
        </is>
      </c>
      <c r="AI129" t="inlineStr">
        <is>
          <t>VSUAREZ@BANCOBASE.COM</t>
        </is>
      </c>
      <c r="AJ129" s="151" t="n">
        <v>38718</v>
      </c>
      <c r="AK129" s="151" t="n"/>
      <c r="AL129" s="151" t="n"/>
    </row>
    <row r="130" hidden="1" s="150">
      <c r="A130" t="inlineStr">
        <is>
          <t>CIBARRA</t>
        </is>
      </c>
      <c r="B130" t="n">
        <v>1024</v>
      </c>
      <c r="C130" t="inlineStr">
        <is>
          <t>CLAUDIA ELIZABETH IBARRA OROZCO</t>
        </is>
      </c>
      <c r="D130" t="n">
        <v>8370</v>
      </c>
      <c r="E130" t="inlineStr">
        <is>
          <t>GERENTE DE TESORERIA</t>
        </is>
      </c>
      <c r="F130" t="inlineStr">
        <is>
          <t>MONTERREY</t>
        </is>
      </c>
      <c r="G130" t="n">
        <v>313</v>
      </c>
      <c r="H130" t="inlineStr">
        <is>
          <t>ESTRELLA VIRIDIANA SUAREZ GIACOMAN</t>
        </is>
      </c>
      <c r="I130" t="n">
        <v>140</v>
      </c>
      <c r="J130" t="inlineStr">
        <is>
          <t>SUBDIRECTOR DE TESORERIA OPERATIVA</t>
        </is>
      </c>
      <c r="K130" t="n">
        <v>1</v>
      </c>
      <c r="L130" t="inlineStr">
        <is>
          <t>PRESIDENCIA EJECUTIVA DEL CONSEJO</t>
        </is>
      </c>
      <c r="M130" t="n">
        <v>40</v>
      </c>
      <c r="N130" t="inlineStr">
        <is>
          <t>DIRECCION GENERAL BANCO BASE</t>
        </is>
      </c>
      <c r="O130" t="n">
        <v>420</v>
      </c>
      <c r="P130" t="inlineStr">
        <is>
          <t>DIRECCION ADMINISTRACION Y FINANZAS</t>
        </is>
      </c>
      <c r="Q130" t="n">
        <v>4270</v>
      </c>
      <c r="R130" t="inlineStr">
        <is>
          <t>DIRECCION DE TESORERIA</t>
        </is>
      </c>
      <c r="S130" t="n">
        <v>42700</v>
      </c>
      <c r="T130" t="inlineStr">
        <is>
          <t>DIRECCION DE TESORERIA</t>
        </is>
      </c>
      <c r="U130" t="n">
        <v>427000</v>
      </c>
      <c r="V130" t="inlineStr">
        <is>
          <t>DIRECCION DE TESORERIA</t>
        </is>
      </c>
      <c r="W130" t="n">
        <v>100101</v>
      </c>
      <c r="X130" t="inlineStr">
        <is>
          <t>CORPORATIVO</t>
        </is>
      </c>
      <c r="Y130" t="n">
        <v>4</v>
      </c>
      <c r="Z130" t="inlineStr">
        <is>
          <t>CORPORATIVO</t>
        </is>
      </c>
      <c r="AA130" t="n">
        <v>1</v>
      </c>
      <c r="AB130" t="inlineStr">
        <is>
          <t>NEGOCIO EN MARCHA</t>
        </is>
      </c>
      <c r="AC130" t="n">
        <v>1</v>
      </c>
      <c r="AD130" t="inlineStr">
        <is>
          <t>BANCO</t>
        </is>
      </c>
      <c r="AE130" t="n">
        <v>1</v>
      </c>
      <c r="AF130" t="inlineStr">
        <is>
          <t>BACK</t>
        </is>
      </c>
      <c r="AG130" t="n">
        <v>100101</v>
      </c>
      <c r="AH130" t="inlineStr">
        <is>
          <t>CORPORATIVO</t>
        </is>
      </c>
      <c r="AI130" t="inlineStr">
        <is>
          <t>CIBARRA@BANCOBASE.COM</t>
        </is>
      </c>
      <c r="AJ130" s="151" t="n">
        <v>41396</v>
      </c>
      <c r="AK130" s="151" t="n"/>
      <c r="AL130" s="151" t="n"/>
    </row>
    <row r="131" hidden="1" s="150">
      <c r="A131" t="inlineStr">
        <is>
          <t>GPENA</t>
        </is>
      </c>
      <c r="B131" t="n">
        <v>3012</v>
      </c>
      <c r="C131" t="inlineStr">
        <is>
          <t>CARMEN GUADALUPE PEÑA CANELA</t>
        </is>
      </c>
      <c r="D131" t="n">
        <v>5057</v>
      </c>
      <c r="E131" t="inlineStr">
        <is>
          <t>ESPECIALISTA DE PROCESOS OPERATIVOS DE TESORERIA</t>
        </is>
      </c>
      <c r="F131" t="inlineStr">
        <is>
          <t>MONTERREY</t>
        </is>
      </c>
      <c r="G131" t="n">
        <v>1024</v>
      </c>
      <c r="H131" t="inlineStr">
        <is>
          <t>CLAUDIA ELIZABETH IBARRA OROZCO</t>
        </is>
      </c>
      <c r="I131" t="n">
        <v>8370</v>
      </c>
      <c r="J131" t="inlineStr">
        <is>
          <t>GERENTE DE TESORERIA</t>
        </is>
      </c>
      <c r="K131" t="n">
        <v>1</v>
      </c>
      <c r="L131" t="inlineStr">
        <is>
          <t>PRESIDENCIA EJECUTIVA DEL CONSEJO</t>
        </is>
      </c>
      <c r="M131" t="n">
        <v>40</v>
      </c>
      <c r="N131" t="inlineStr">
        <is>
          <t>DIRECCION GENERAL BANCO BASE</t>
        </is>
      </c>
      <c r="O131" t="n">
        <v>420</v>
      </c>
      <c r="P131" t="inlineStr">
        <is>
          <t>DIRECCION ADMINISTRACION Y FINANZAS</t>
        </is>
      </c>
      <c r="Q131" t="n">
        <v>4270</v>
      </c>
      <c r="R131" t="inlineStr">
        <is>
          <t>DIRECCION DE TESORERIA</t>
        </is>
      </c>
      <c r="S131" t="n">
        <v>42700</v>
      </c>
      <c r="T131" t="inlineStr">
        <is>
          <t>DIRECCION DE TESORERIA</t>
        </is>
      </c>
      <c r="U131" t="n">
        <v>427000</v>
      </c>
      <c r="V131" t="inlineStr">
        <is>
          <t>DIRECCION DE TESORERIA</t>
        </is>
      </c>
      <c r="W131" t="n">
        <v>100101</v>
      </c>
      <c r="X131" t="inlineStr">
        <is>
          <t>CORPORATIVO</t>
        </is>
      </c>
      <c r="Y131" t="n">
        <v>4</v>
      </c>
      <c r="Z131" t="inlineStr">
        <is>
          <t>CORPORATIVO</t>
        </is>
      </c>
      <c r="AA131" t="n">
        <v>1</v>
      </c>
      <c r="AB131" t="inlineStr">
        <is>
          <t>NEGOCIO EN MARCHA</t>
        </is>
      </c>
      <c r="AC131" t="n">
        <v>1</v>
      </c>
      <c r="AD131" t="inlineStr">
        <is>
          <t>BANCO</t>
        </is>
      </c>
      <c r="AE131" t="n">
        <v>1</v>
      </c>
      <c r="AF131" t="inlineStr">
        <is>
          <t>BACK</t>
        </is>
      </c>
      <c r="AG131" t="n">
        <v>100101</v>
      </c>
      <c r="AH131" t="inlineStr">
        <is>
          <t>CORPORATIVO</t>
        </is>
      </c>
      <c r="AI131" t="inlineStr">
        <is>
          <t>GPENA@BANCOBASE.COM</t>
        </is>
      </c>
      <c r="AJ131" s="151" t="n">
        <v>45307</v>
      </c>
      <c r="AK131" s="151" t="n"/>
      <c r="AL131" s="151" t="n"/>
    </row>
    <row r="132" hidden="1" s="150">
      <c r="A132" t="inlineStr">
        <is>
          <t>DGALLEGOM</t>
        </is>
      </c>
      <c r="B132" t="n">
        <v>3778</v>
      </c>
      <c r="C132" t="inlineStr">
        <is>
          <t>DAVID ABRAHAM GALLEGOS MORALES</t>
        </is>
      </c>
      <c r="D132" t="n">
        <v>8287</v>
      </c>
      <c r="E132" t="inlineStr">
        <is>
          <t>ANALISTA DE PROCESOS OPERATIVOS DE TESORERIA</t>
        </is>
      </c>
      <c r="F132" t="inlineStr">
        <is>
          <t>MONTERREY</t>
        </is>
      </c>
      <c r="G132" t="n">
        <v>1024</v>
      </c>
      <c r="H132" t="inlineStr">
        <is>
          <t>CLAUDIA ELIZABETH IBARRA OROZCO</t>
        </is>
      </c>
      <c r="I132" t="n">
        <v>8370</v>
      </c>
      <c r="J132" t="inlineStr">
        <is>
          <t>GERENTE DE TESORERIA</t>
        </is>
      </c>
      <c r="K132" t="n">
        <v>1</v>
      </c>
      <c r="L132" t="inlineStr">
        <is>
          <t>PRESIDENCIA EJECUTIVA DEL CONSEJO</t>
        </is>
      </c>
      <c r="M132" t="n">
        <v>40</v>
      </c>
      <c r="N132" t="inlineStr">
        <is>
          <t>DIRECCION GENERAL BANCO BASE</t>
        </is>
      </c>
      <c r="O132" t="n">
        <v>420</v>
      </c>
      <c r="P132" t="inlineStr">
        <is>
          <t>DIRECCION ADMINISTRACION Y FINANZAS</t>
        </is>
      </c>
      <c r="Q132" t="n">
        <v>4270</v>
      </c>
      <c r="R132" t="inlineStr">
        <is>
          <t>DIRECCION DE TESORERIA</t>
        </is>
      </c>
      <c r="S132" t="n">
        <v>42700</v>
      </c>
      <c r="T132" t="inlineStr">
        <is>
          <t>DIRECCION DE TESORERIA</t>
        </is>
      </c>
      <c r="U132" t="n">
        <v>427000</v>
      </c>
      <c r="V132" t="inlineStr">
        <is>
          <t>DIRECCION DE TESORERIA</t>
        </is>
      </c>
      <c r="W132" t="n">
        <v>100101</v>
      </c>
      <c r="X132" t="inlineStr">
        <is>
          <t>CORPORATIVO</t>
        </is>
      </c>
      <c r="Y132" t="n">
        <v>4</v>
      </c>
      <c r="Z132" t="inlineStr">
        <is>
          <t>CORPORATIVO</t>
        </is>
      </c>
      <c r="AA132" t="n">
        <v>1</v>
      </c>
      <c r="AB132" t="inlineStr">
        <is>
          <t>NEGOCIO EN MARCHA</t>
        </is>
      </c>
      <c r="AC132" t="n">
        <v>1</v>
      </c>
      <c r="AD132" t="inlineStr">
        <is>
          <t>BANCO</t>
        </is>
      </c>
      <c r="AE132" t="n">
        <v>1</v>
      </c>
      <c r="AF132" t="inlineStr">
        <is>
          <t>BACK</t>
        </is>
      </c>
      <c r="AG132" t="n">
        <v>100101</v>
      </c>
      <c r="AH132" t="inlineStr">
        <is>
          <t>CORPORATIVO</t>
        </is>
      </c>
      <c r="AI132" t="inlineStr">
        <is>
          <t>DGALLEGOM@BANCOBASE.COM</t>
        </is>
      </c>
      <c r="AJ132" s="151" t="n">
        <v>46098</v>
      </c>
      <c r="AK132" s="151" t="n"/>
      <c r="AL132" s="151" t="n"/>
    </row>
    <row r="133" hidden="1" s="150">
      <c r="A133" t="inlineStr">
        <is>
          <t>ETAMEZ</t>
        </is>
      </c>
      <c r="B133" t="n">
        <v>625</v>
      </c>
      <c r="C133" t="inlineStr">
        <is>
          <t>ENRIQUE ALBERTO TAMEZ CAVAZOS</t>
        </is>
      </c>
      <c r="D133" t="n">
        <v>9593</v>
      </c>
      <c r="E133" t="inlineStr">
        <is>
          <t>ESPECIALISTA DE PROCESOS OPERATIVOS DE TESORERIA</t>
        </is>
      </c>
      <c r="F133" t="inlineStr">
        <is>
          <t>MONTERREY</t>
        </is>
      </c>
      <c r="G133" t="n">
        <v>313</v>
      </c>
      <c r="H133" t="inlineStr">
        <is>
          <t>ESTRELLA VIRIDIANA SUAREZ GIACOMAN</t>
        </is>
      </c>
      <c r="I133" t="n">
        <v>140</v>
      </c>
      <c r="J133" t="inlineStr">
        <is>
          <t>SUBDIRECTOR DE TESORERIA OPERATIVA</t>
        </is>
      </c>
      <c r="K133" t="n">
        <v>1</v>
      </c>
      <c r="L133" t="inlineStr">
        <is>
          <t>PRESIDENCIA EJECUTIVA DEL CONSEJO</t>
        </is>
      </c>
      <c r="M133" t="n">
        <v>40</v>
      </c>
      <c r="N133" t="inlineStr">
        <is>
          <t>DIRECCION GENERAL BANCO BASE</t>
        </is>
      </c>
      <c r="O133" t="n">
        <v>420</v>
      </c>
      <c r="P133" t="inlineStr">
        <is>
          <t>DIRECCION ADMINISTRACION Y FINANZAS</t>
        </is>
      </c>
      <c r="Q133" t="n">
        <v>4270</v>
      </c>
      <c r="R133" t="inlineStr">
        <is>
          <t>DIRECCION DE TESORERIA</t>
        </is>
      </c>
      <c r="S133" t="n">
        <v>42700</v>
      </c>
      <c r="T133" t="inlineStr">
        <is>
          <t>DIRECCION DE TESORERIA</t>
        </is>
      </c>
      <c r="U133" t="n">
        <v>427000</v>
      </c>
      <c r="V133" t="inlineStr">
        <is>
          <t>DIRECCION DE TESORERIA</t>
        </is>
      </c>
      <c r="W133" t="n">
        <v>100101</v>
      </c>
      <c r="X133" t="inlineStr">
        <is>
          <t>CORPORATIVO</t>
        </is>
      </c>
      <c r="Y133" t="n">
        <v>4</v>
      </c>
      <c r="Z133" t="inlineStr">
        <is>
          <t>CORPORATIVO</t>
        </is>
      </c>
      <c r="AA133" t="n">
        <v>1</v>
      </c>
      <c r="AB133" t="inlineStr">
        <is>
          <t>NEGOCIO EN MARCHA</t>
        </is>
      </c>
      <c r="AC133" t="n">
        <v>1</v>
      </c>
      <c r="AD133" t="inlineStr">
        <is>
          <t>BANCO</t>
        </is>
      </c>
      <c r="AE133" t="n">
        <v>1</v>
      </c>
      <c r="AF133" t="inlineStr">
        <is>
          <t>BACK</t>
        </is>
      </c>
      <c r="AG133" t="n">
        <v>100101</v>
      </c>
      <c r="AH133" t="inlineStr">
        <is>
          <t>CORPORATIVO</t>
        </is>
      </c>
      <c r="AI133" t="inlineStr">
        <is>
          <t>ETAMEZ@BANCOBASE.COM</t>
        </is>
      </c>
      <c r="AJ133" s="151" t="n">
        <v>40360</v>
      </c>
      <c r="AK133" s="151" t="n"/>
      <c r="AL133" s="151" t="n"/>
    </row>
    <row r="134" hidden="1" s="150">
      <c r="A134" t="inlineStr">
        <is>
          <t>JOROZCO</t>
        </is>
      </c>
      <c r="B134" t="n">
        <v>1190</v>
      </c>
      <c r="C134" t="inlineStr">
        <is>
          <t>JUANITA ALEJANDRA OROZCO LOREDO</t>
        </is>
      </c>
      <c r="D134" t="n">
        <v>6007</v>
      </c>
      <c r="E134" t="inlineStr">
        <is>
          <t>ESPECIALISTA DE PROCESOS OPERATIVOS DE TESORERIA</t>
        </is>
      </c>
      <c r="F134" t="inlineStr">
        <is>
          <t>MONTERREY</t>
        </is>
      </c>
      <c r="G134" t="n">
        <v>313</v>
      </c>
      <c r="H134" t="inlineStr">
        <is>
          <t>ESTRELLA VIRIDIANA SUAREZ GIACOMAN</t>
        </is>
      </c>
      <c r="I134" t="n">
        <v>140</v>
      </c>
      <c r="J134" t="inlineStr">
        <is>
          <t>SUBDIRECTOR DE TESORERIA OPERATIVA</t>
        </is>
      </c>
      <c r="K134" t="n">
        <v>1</v>
      </c>
      <c r="L134" t="inlineStr">
        <is>
          <t>PRESIDENCIA EJECUTIVA DEL CONSEJO</t>
        </is>
      </c>
      <c r="M134" t="n">
        <v>40</v>
      </c>
      <c r="N134" t="inlineStr">
        <is>
          <t>DIRECCION GENERAL BANCO BASE</t>
        </is>
      </c>
      <c r="O134" t="n">
        <v>420</v>
      </c>
      <c r="P134" t="inlineStr">
        <is>
          <t>DIRECCION ADMINISTRACION Y FINANZAS</t>
        </is>
      </c>
      <c r="Q134" t="n">
        <v>4270</v>
      </c>
      <c r="R134" t="inlineStr">
        <is>
          <t>DIRECCION DE TESORERIA</t>
        </is>
      </c>
      <c r="S134" t="n">
        <v>42700</v>
      </c>
      <c r="T134" t="inlineStr">
        <is>
          <t>DIRECCION DE TESORERIA</t>
        </is>
      </c>
      <c r="U134" t="n">
        <v>427000</v>
      </c>
      <c r="V134" t="inlineStr">
        <is>
          <t>DIRECCION DE TESORERIA</t>
        </is>
      </c>
      <c r="W134" t="n">
        <v>100101</v>
      </c>
      <c r="X134" t="inlineStr">
        <is>
          <t>CORPORATIVO</t>
        </is>
      </c>
      <c r="Y134" t="n">
        <v>4</v>
      </c>
      <c r="Z134" t="inlineStr">
        <is>
          <t>CORPORATIVO</t>
        </is>
      </c>
      <c r="AA134" t="n">
        <v>1</v>
      </c>
      <c r="AB134" t="inlineStr">
        <is>
          <t>NEGOCIO EN MARCHA</t>
        </is>
      </c>
      <c r="AC134" t="n">
        <v>1</v>
      </c>
      <c r="AD134" t="inlineStr">
        <is>
          <t>BANCO</t>
        </is>
      </c>
      <c r="AE134" t="n">
        <v>1</v>
      </c>
      <c r="AF134" t="inlineStr">
        <is>
          <t>BACK</t>
        </is>
      </c>
      <c r="AG134" t="n">
        <v>100101</v>
      </c>
      <c r="AH134" t="inlineStr">
        <is>
          <t>CORPORATIVO</t>
        </is>
      </c>
      <c r="AI134" t="inlineStr">
        <is>
          <t>JOROZCO@BANCOBASE.COM</t>
        </is>
      </c>
      <c r="AJ134" s="151" t="n">
        <v>41855</v>
      </c>
      <c r="AK134" s="151" t="n"/>
      <c r="AL134" s="151" t="n"/>
    </row>
    <row r="135" hidden="1" s="150">
      <c r="A135" t="inlineStr">
        <is>
          <t>ACALDERON</t>
        </is>
      </c>
      <c r="B135" t="n">
        <v>3359</v>
      </c>
      <c r="C135" t="inlineStr">
        <is>
          <t>ANA PATRICIA CALDERON CORTES</t>
        </is>
      </c>
      <c r="D135" t="n">
        <v>3733</v>
      </c>
      <c r="E135" t="inlineStr">
        <is>
          <t>ESPECIALISTA DE PROCESOS OPERATIVOS DE TESORERIA</t>
        </is>
      </c>
      <c r="F135" t="inlineStr">
        <is>
          <t>MONTERREY</t>
        </is>
      </c>
      <c r="G135" t="n">
        <v>313</v>
      </c>
      <c r="H135" t="inlineStr">
        <is>
          <t>ESTRELLA VIRIDIANA SUAREZ GIACOMAN</t>
        </is>
      </c>
      <c r="I135" t="n">
        <v>140</v>
      </c>
      <c r="J135" t="inlineStr">
        <is>
          <t>SUBDIRECTOR DE TESORERIA OPERATIVA</t>
        </is>
      </c>
      <c r="K135" t="n">
        <v>1</v>
      </c>
      <c r="L135" t="inlineStr">
        <is>
          <t>PRESIDENCIA EJECUTIVA DEL CONSEJO</t>
        </is>
      </c>
      <c r="M135" t="n">
        <v>40</v>
      </c>
      <c r="N135" t="inlineStr">
        <is>
          <t>DIRECCION GENERAL BANCO BASE</t>
        </is>
      </c>
      <c r="O135" t="n">
        <v>420</v>
      </c>
      <c r="P135" t="inlineStr">
        <is>
          <t>DIRECCION ADMINISTRACION Y FINANZAS</t>
        </is>
      </c>
      <c r="Q135" t="n">
        <v>4270</v>
      </c>
      <c r="R135" t="inlineStr">
        <is>
          <t>DIRECCION DE TESORERIA</t>
        </is>
      </c>
      <c r="S135" t="n">
        <v>42700</v>
      </c>
      <c r="T135" t="inlineStr">
        <is>
          <t>DIRECCION DE TESORERIA</t>
        </is>
      </c>
      <c r="U135" t="n">
        <v>427000</v>
      </c>
      <c r="V135" t="inlineStr">
        <is>
          <t>DIRECCION DE TESORERIA</t>
        </is>
      </c>
      <c r="W135" t="n">
        <v>100101</v>
      </c>
      <c r="X135" t="inlineStr">
        <is>
          <t>CORPORATIVO</t>
        </is>
      </c>
      <c r="Y135" t="n">
        <v>4</v>
      </c>
      <c r="Z135" t="inlineStr">
        <is>
          <t>CORPORATIVO</t>
        </is>
      </c>
      <c r="AA135" t="n">
        <v>1</v>
      </c>
      <c r="AB135" t="inlineStr">
        <is>
          <t>NEGOCIO EN MARCHA</t>
        </is>
      </c>
      <c r="AC135" t="n">
        <v>1</v>
      </c>
      <c r="AD135" t="inlineStr">
        <is>
          <t>BANCO</t>
        </is>
      </c>
      <c r="AE135" t="n">
        <v>1</v>
      </c>
      <c r="AF135" t="inlineStr">
        <is>
          <t>BACK</t>
        </is>
      </c>
      <c r="AG135" t="n">
        <v>100101</v>
      </c>
      <c r="AH135" t="inlineStr">
        <is>
          <t>CORPORATIVO</t>
        </is>
      </c>
      <c r="AI135" t="inlineStr">
        <is>
          <t>ACALDERON@BANCOBASE.COM</t>
        </is>
      </c>
      <c r="AJ135" s="151" t="n">
        <v>45734</v>
      </c>
      <c r="AK135" s="151" t="n"/>
      <c r="AL135" s="151" t="n"/>
    </row>
    <row r="136" hidden="1" s="150">
      <c r="A136" t="inlineStr">
        <is>
          <t>JSALAZAR</t>
        </is>
      </c>
      <c r="B136" t="n">
        <v>607</v>
      </c>
      <c r="C136" t="inlineStr">
        <is>
          <t>JANETH ELIZABETH SALAZAR SOTO</t>
        </is>
      </c>
      <c r="D136" t="n">
        <v>9702</v>
      </c>
      <c r="E136" t="inlineStr">
        <is>
          <t>ESPECIALISTA DE ESTRATEGIA TESORERIA</t>
        </is>
      </c>
      <c r="F136" t="inlineStr">
        <is>
          <t>MONTERREY</t>
        </is>
      </c>
      <c r="G136" t="n">
        <v>1432</v>
      </c>
      <c r="H136" t="inlineStr">
        <is>
          <t>MARIA ISABEL SILVA GARCIA</t>
        </is>
      </c>
      <c r="I136" t="n">
        <v>8383</v>
      </c>
      <c r="J136" t="inlineStr">
        <is>
          <t>DIRECTOR DE TESORERIA</t>
        </is>
      </c>
      <c r="K136" t="n">
        <v>1</v>
      </c>
      <c r="L136" t="inlineStr">
        <is>
          <t>PRESIDENCIA EJECUTIVA DEL CONSEJO</t>
        </is>
      </c>
      <c r="M136" t="n">
        <v>40</v>
      </c>
      <c r="N136" t="inlineStr">
        <is>
          <t>DIRECCION GENERAL BANCO BASE</t>
        </is>
      </c>
      <c r="O136" t="n">
        <v>420</v>
      </c>
      <c r="P136" t="inlineStr">
        <is>
          <t>DIRECCION ADMINISTRACION Y FINANZAS</t>
        </is>
      </c>
      <c r="Q136" t="n">
        <v>4270</v>
      </c>
      <c r="R136" t="inlineStr">
        <is>
          <t>DIRECCION DE TESORERIA</t>
        </is>
      </c>
      <c r="S136" t="n">
        <v>42700</v>
      </c>
      <c r="T136" t="inlineStr">
        <is>
          <t>DIRECCION DE TESORERIA</t>
        </is>
      </c>
      <c r="U136" t="n">
        <v>427000</v>
      </c>
      <c r="V136" t="inlineStr">
        <is>
          <t>DIRECCION DE TESORERIA</t>
        </is>
      </c>
      <c r="W136" t="n">
        <v>100101</v>
      </c>
      <c r="X136" t="inlineStr">
        <is>
          <t>CORPORATIVO</t>
        </is>
      </c>
      <c r="Y136" t="n">
        <v>4</v>
      </c>
      <c r="Z136" t="inlineStr">
        <is>
          <t>CORPORATIVO</t>
        </is>
      </c>
      <c r="AA136" t="n">
        <v>1</v>
      </c>
      <c r="AB136" t="inlineStr">
        <is>
          <t>NEGOCIO EN MARCHA</t>
        </is>
      </c>
      <c r="AC136" t="n">
        <v>1</v>
      </c>
      <c r="AD136" t="inlineStr">
        <is>
          <t>BANCO</t>
        </is>
      </c>
      <c r="AE136" t="n">
        <v>1</v>
      </c>
      <c r="AF136" t="inlineStr">
        <is>
          <t>BACK</t>
        </is>
      </c>
      <c r="AG136" t="n">
        <v>100101</v>
      </c>
      <c r="AH136" t="inlineStr">
        <is>
          <t>CORPORATIVO</t>
        </is>
      </c>
      <c r="AI136" t="inlineStr">
        <is>
          <t>JSALAZAR@BANCOBASE.COM</t>
        </is>
      </c>
      <c r="AJ136" s="151" t="n">
        <v>40303</v>
      </c>
      <c r="AK136" s="151" t="n"/>
      <c r="AL136" s="151" t="n"/>
    </row>
    <row r="137" hidden="1" s="150">
      <c r="A137" t="inlineStr">
        <is>
          <t>MCHAPUS</t>
        </is>
      </c>
      <c r="B137" t="n">
        <v>3342</v>
      </c>
      <c r="C137" t="inlineStr">
        <is>
          <t>MIGUEL EDUARDO CHAPUS FONSECA</t>
        </is>
      </c>
      <c r="D137" t="n">
        <v>8451</v>
      </c>
      <c r="E137" t="inlineStr">
        <is>
          <t>OPERADOR DE TESORERIA</t>
        </is>
      </c>
      <c r="F137" t="inlineStr">
        <is>
          <t>MONTERREY</t>
        </is>
      </c>
      <c r="G137" t="n">
        <v>1432</v>
      </c>
      <c r="H137" t="inlineStr">
        <is>
          <t>MARIA ISABEL SILVA GARCIA</t>
        </is>
      </c>
      <c r="I137" t="n">
        <v>8383</v>
      </c>
      <c r="J137" t="inlineStr">
        <is>
          <t>DIRECTOR DE TESORERIA</t>
        </is>
      </c>
      <c r="K137" t="n">
        <v>1</v>
      </c>
      <c r="L137" t="inlineStr">
        <is>
          <t>PRESIDENCIA EJECUTIVA DEL CONSEJO</t>
        </is>
      </c>
      <c r="M137" t="n">
        <v>40</v>
      </c>
      <c r="N137" t="inlineStr">
        <is>
          <t>DIRECCION GENERAL BANCO BASE</t>
        </is>
      </c>
      <c r="O137" t="n">
        <v>420</v>
      </c>
      <c r="P137" t="inlineStr">
        <is>
          <t>DIRECCION ADMINISTRACION Y FINANZAS</t>
        </is>
      </c>
      <c r="Q137" t="n">
        <v>4270</v>
      </c>
      <c r="R137" t="inlineStr">
        <is>
          <t>DIRECCION DE TESORERIA</t>
        </is>
      </c>
      <c r="S137" t="n">
        <v>42700</v>
      </c>
      <c r="T137" t="inlineStr">
        <is>
          <t>DIRECCION DE TESORERIA</t>
        </is>
      </c>
      <c r="U137" t="n">
        <v>427000</v>
      </c>
      <c r="V137" t="inlineStr">
        <is>
          <t>DIRECCION DE TESORERIA</t>
        </is>
      </c>
      <c r="W137" t="n">
        <v>100101</v>
      </c>
      <c r="X137" t="inlineStr">
        <is>
          <t>CORPORATIVO</t>
        </is>
      </c>
      <c r="Y137" t="n">
        <v>4</v>
      </c>
      <c r="Z137" t="inlineStr">
        <is>
          <t>CORPORATIVO</t>
        </is>
      </c>
      <c r="AA137" t="n">
        <v>1</v>
      </c>
      <c r="AB137" t="inlineStr">
        <is>
          <t>NEGOCIO EN MARCHA</t>
        </is>
      </c>
      <c r="AC137" t="n">
        <v>1</v>
      </c>
      <c r="AD137" t="inlineStr">
        <is>
          <t>BANCO</t>
        </is>
      </c>
      <c r="AE137" t="n">
        <v>1</v>
      </c>
      <c r="AF137" t="inlineStr">
        <is>
          <t>BACK</t>
        </is>
      </c>
      <c r="AG137" t="n">
        <v>100101</v>
      </c>
      <c r="AH137" t="inlineStr">
        <is>
          <t>CORPORATIVO</t>
        </is>
      </c>
      <c r="AI137" t="inlineStr">
        <is>
          <t>MCHAPUS@BANCOBASE.COM</t>
        </is>
      </c>
      <c r="AJ137" s="151" t="n">
        <v>45719</v>
      </c>
      <c r="AK137" s="151" t="n"/>
      <c r="AL137" s="151" t="n"/>
    </row>
    <row r="138" hidden="1" s="150">
      <c r="A138" t="inlineStr">
        <is>
          <t>MPEREZMU</t>
        </is>
      </c>
      <c r="B138" t="n">
        <v>2682</v>
      </c>
      <c r="C138" t="inlineStr">
        <is>
          <t>MELINA PEREZ MUÑOZ</t>
        </is>
      </c>
      <c r="D138" t="n">
        <v>8999</v>
      </c>
      <c r="E138" t="inlineStr">
        <is>
          <t>ESPECIALISTA DE ESTRATEGIA TESORERIA</t>
        </is>
      </c>
      <c r="F138" t="inlineStr">
        <is>
          <t>MONTERREY</t>
        </is>
      </c>
      <c r="G138" t="n">
        <v>3342</v>
      </c>
      <c r="H138" t="inlineStr">
        <is>
          <t>MIGUEL EDUARDO CHAPUS FONSECA</t>
        </is>
      </c>
      <c r="I138" t="n">
        <v>8451</v>
      </c>
      <c r="J138" t="inlineStr">
        <is>
          <t>OPERADOR DE TESORERIA</t>
        </is>
      </c>
      <c r="K138" t="n">
        <v>1</v>
      </c>
      <c r="L138" t="inlineStr">
        <is>
          <t>PRESIDENCIA EJECUTIVA DEL CONSEJO</t>
        </is>
      </c>
      <c r="M138" t="n">
        <v>40</v>
      </c>
      <c r="N138" t="inlineStr">
        <is>
          <t>DIRECCION GENERAL BANCO BASE</t>
        </is>
      </c>
      <c r="O138" t="n">
        <v>420</v>
      </c>
      <c r="P138" t="inlineStr">
        <is>
          <t>DIRECCION ADMINISTRACION Y FINANZAS</t>
        </is>
      </c>
      <c r="Q138" t="n">
        <v>4270</v>
      </c>
      <c r="R138" t="inlineStr">
        <is>
          <t>DIRECCION DE TESORERIA</t>
        </is>
      </c>
      <c r="S138" t="n">
        <v>42700</v>
      </c>
      <c r="T138" t="inlineStr">
        <is>
          <t>DIRECCION DE TESORERIA</t>
        </is>
      </c>
      <c r="U138" t="n">
        <v>427000</v>
      </c>
      <c r="V138" t="inlineStr">
        <is>
          <t>DIRECCION DE TESORERIA</t>
        </is>
      </c>
      <c r="W138" t="n">
        <v>100101</v>
      </c>
      <c r="X138" t="inlineStr">
        <is>
          <t>CORPORATIVO</t>
        </is>
      </c>
      <c r="Y138" t="n">
        <v>4</v>
      </c>
      <c r="Z138" t="inlineStr">
        <is>
          <t>CORPORATIVO</t>
        </is>
      </c>
      <c r="AA138" t="n">
        <v>1</v>
      </c>
      <c r="AB138" t="inlineStr">
        <is>
          <t>NEGOCIO EN MARCHA</t>
        </is>
      </c>
      <c r="AC138" t="n">
        <v>1</v>
      </c>
      <c r="AD138" t="inlineStr">
        <is>
          <t>BANCO</t>
        </is>
      </c>
      <c r="AE138" t="n">
        <v>1</v>
      </c>
      <c r="AF138" t="inlineStr">
        <is>
          <t>BACK</t>
        </is>
      </c>
      <c r="AG138" t="n">
        <v>100101</v>
      </c>
      <c r="AH138" t="inlineStr">
        <is>
          <t>CORPORATIVO</t>
        </is>
      </c>
      <c r="AI138" t="inlineStr">
        <is>
          <t>MPEREZMU@BANCOBASE.COM</t>
        </is>
      </c>
      <c r="AJ138" s="151" t="n">
        <v>44743</v>
      </c>
      <c r="AK138" s="151" t="n"/>
      <c r="AL138" s="151" t="n"/>
    </row>
    <row r="139" hidden="1" s="150">
      <c r="A139" t="inlineStr">
        <is>
          <t>JGARZAL</t>
        </is>
      </c>
      <c r="B139" t="n">
        <v>878</v>
      </c>
      <c r="C139" t="inlineStr">
        <is>
          <t>JAVIER ALEJANDRO GARZA LEAL</t>
        </is>
      </c>
      <c r="D139" t="n">
        <v>9948</v>
      </c>
      <c r="E139" t="inlineStr">
        <is>
          <t>DIRECTOR JURIDICO CONTENCIOSO</t>
        </is>
      </c>
      <c r="F139" t="inlineStr">
        <is>
          <t>MONTERREY</t>
        </is>
      </c>
      <c r="I139" t="n">
        <v>177</v>
      </c>
      <c r="J139" t="inlineStr">
        <is>
          <t>DIRECTOR JURIDICO Y CUMPLIMIENTO</t>
        </is>
      </c>
      <c r="K139" t="n">
        <v>1</v>
      </c>
      <c r="L139" t="inlineStr">
        <is>
          <t>PRESIDENCIA EJECUTIVA DEL CONSEJO</t>
        </is>
      </c>
      <c r="M139" t="n">
        <v>40</v>
      </c>
      <c r="N139" t="inlineStr">
        <is>
          <t>DIRECCION GENERAL BANCO BASE</t>
        </is>
      </c>
      <c r="O139" t="n">
        <v>420</v>
      </c>
      <c r="P139" t="inlineStr">
        <is>
          <t>DIRECCION ADMINISTRACION Y FINANZAS</t>
        </is>
      </c>
      <c r="Q139" t="n">
        <v>4930</v>
      </c>
      <c r="R139" t="inlineStr">
        <is>
          <t>DIRECCION DE JURIDICO</t>
        </is>
      </c>
      <c r="S139" t="n">
        <v>49360</v>
      </c>
      <c r="T139" t="inlineStr">
        <is>
          <t>DIRECCION JURIDICO CONTENCIOSO</t>
        </is>
      </c>
      <c r="U139" t="n">
        <v>493600</v>
      </c>
      <c r="V139" t="inlineStr">
        <is>
          <t>DIRECCION JURIDICO CONTENCIOSO</t>
        </is>
      </c>
      <c r="W139" t="n">
        <v>100101</v>
      </c>
      <c r="X139" t="inlineStr">
        <is>
          <t>CORPORATIVO</t>
        </is>
      </c>
      <c r="Y139" t="n">
        <v>4</v>
      </c>
      <c r="Z139" t="inlineStr">
        <is>
          <t>CORPORATIVO</t>
        </is>
      </c>
      <c r="AA139" t="n">
        <v>1</v>
      </c>
      <c r="AB139" t="inlineStr">
        <is>
          <t>NEGOCIO EN MARCHA</t>
        </is>
      </c>
      <c r="AC139" t="n">
        <v>1</v>
      </c>
      <c r="AD139" t="inlineStr">
        <is>
          <t>BANCO</t>
        </is>
      </c>
      <c r="AE139" t="n">
        <v>1</v>
      </c>
      <c r="AF139" t="inlineStr">
        <is>
          <t>BACK</t>
        </is>
      </c>
      <c r="AG139" t="n">
        <v>100101</v>
      </c>
      <c r="AH139" t="inlineStr">
        <is>
          <t>CORPORATIVO</t>
        </is>
      </c>
      <c r="AI139" t="inlineStr">
        <is>
          <t>JGARZAL@BANCOBASE.COM</t>
        </is>
      </c>
      <c r="AJ139" s="151" t="n">
        <v>41030</v>
      </c>
      <c r="AK139" s="151" t="n"/>
      <c r="AL139" s="151" t="n"/>
    </row>
    <row r="140" hidden="1" s="150">
      <c r="A140" t="inlineStr">
        <is>
          <t>NFERNANDEZ</t>
        </is>
      </c>
      <c r="B140" t="n">
        <v>1755</v>
      </c>
      <c r="C140" t="inlineStr">
        <is>
          <t>NORMA ALICIA FERNANDEZ SALDAÑA</t>
        </is>
      </c>
      <c r="D140" t="n">
        <v>8359</v>
      </c>
      <c r="E140" t="inlineStr">
        <is>
          <t>GERENTE JURIDICO DE RECUPERACION</t>
        </is>
      </c>
      <c r="F140" t="inlineStr">
        <is>
          <t>MONTERREY</t>
        </is>
      </c>
      <c r="G140" t="n">
        <v>878</v>
      </c>
      <c r="H140" t="inlineStr">
        <is>
          <t>JAVIER ALEJANDRO GARZA LEAL</t>
        </is>
      </c>
      <c r="I140" t="n">
        <v>9948</v>
      </c>
      <c r="J140" t="inlineStr">
        <is>
          <t>DIRECTOR JURIDICO CONTENCIOSO</t>
        </is>
      </c>
      <c r="K140" t="n">
        <v>1</v>
      </c>
      <c r="L140" t="inlineStr">
        <is>
          <t>PRESIDENCIA EJECUTIVA DEL CONSEJO</t>
        </is>
      </c>
      <c r="M140" t="n">
        <v>40</v>
      </c>
      <c r="N140" t="inlineStr">
        <is>
          <t>DIRECCION GENERAL BANCO BASE</t>
        </is>
      </c>
      <c r="O140" t="n">
        <v>420</v>
      </c>
      <c r="P140" t="inlineStr">
        <is>
          <t>DIRECCION ADMINISTRACION Y FINANZAS</t>
        </is>
      </c>
      <c r="Q140" t="n">
        <v>4930</v>
      </c>
      <c r="R140" t="inlineStr">
        <is>
          <t>DIRECCION DE JURIDICO</t>
        </is>
      </c>
      <c r="S140" t="n">
        <v>49360</v>
      </c>
      <c r="T140" t="inlineStr">
        <is>
          <t>DIRECCION JURIDICO CONTENCIOSO</t>
        </is>
      </c>
      <c r="U140" t="n">
        <v>493600</v>
      </c>
      <c r="V140" t="inlineStr">
        <is>
          <t>DIRECCION JURIDICO CONTENCIOSO</t>
        </is>
      </c>
      <c r="W140" t="n">
        <v>100101</v>
      </c>
      <c r="X140" t="inlineStr">
        <is>
          <t>CORPORATIVO</t>
        </is>
      </c>
      <c r="Y140" t="n">
        <v>4</v>
      </c>
      <c r="Z140" t="inlineStr">
        <is>
          <t>CORPORATIVO</t>
        </is>
      </c>
      <c r="AA140" t="n">
        <v>1</v>
      </c>
      <c r="AB140" t="inlineStr">
        <is>
          <t>NEGOCIO EN MARCHA</t>
        </is>
      </c>
      <c r="AC140" t="n">
        <v>1</v>
      </c>
      <c r="AD140" t="inlineStr">
        <is>
          <t>BANCO</t>
        </is>
      </c>
      <c r="AE140" t="n">
        <v>1</v>
      </c>
      <c r="AF140" t="inlineStr">
        <is>
          <t>BACK</t>
        </is>
      </c>
      <c r="AG140" t="n">
        <v>100101</v>
      </c>
      <c r="AH140" t="inlineStr">
        <is>
          <t>CORPORATIVO</t>
        </is>
      </c>
      <c r="AI140" t="inlineStr">
        <is>
          <t>NFERNANDEZ@BANCOBASE.COM</t>
        </is>
      </c>
      <c r="AJ140" s="151" t="n">
        <v>42857</v>
      </c>
      <c r="AK140" s="151" t="n"/>
      <c r="AL140" s="151" t="n"/>
    </row>
    <row r="141" hidden="1" s="150">
      <c r="A141" t="inlineStr">
        <is>
          <t>MRIOSJ</t>
        </is>
      </c>
      <c r="B141" t="n">
        <v>3113</v>
      </c>
      <c r="C141" t="inlineStr">
        <is>
          <t>MINERVA DANIELLA RIOS JARQUIN</t>
        </is>
      </c>
      <c r="D141" t="n">
        <v>8348</v>
      </c>
      <c r="E141" t="inlineStr">
        <is>
          <t>ESPECIALISTA JURIDICO DE RECUPERACION</t>
        </is>
      </c>
      <c r="F141" t="inlineStr">
        <is>
          <t>MONTERREY</t>
        </is>
      </c>
      <c r="G141" t="n">
        <v>1755</v>
      </c>
      <c r="H141" t="inlineStr">
        <is>
          <t>NORMA ALICIA FERNANDEZ SALDAÑA</t>
        </is>
      </c>
      <c r="I141" t="n">
        <v>8359</v>
      </c>
      <c r="J141" t="inlineStr">
        <is>
          <t>GERENTE JURIDICO DE RECUPERACION</t>
        </is>
      </c>
      <c r="K141" t="n">
        <v>1</v>
      </c>
      <c r="L141" t="inlineStr">
        <is>
          <t>PRESIDENCIA EJECUTIVA DEL CONSEJO</t>
        </is>
      </c>
      <c r="M141" t="n">
        <v>40</v>
      </c>
      <c r="N141" t="inlineStr">
        <is>
          <t>DIRECCION GENERAL BANCO BASE</t>
        </is>
      </c>
      <c r="O141" t="n">
        <v>420</v>
      </c>
      <c r="P141" t="inlineStr">
        <is>
          <t>DIRECCION ADMINISTRACION Y FINANZAS</t>
        </is>
      </c>
      <c r="Q141" t="n">
        <v>4930</v>
      </c>
      <c r="R141" t="inlineStr">
        <is>
          <t>DIRECCION DE JURIDICO</t>
        </is>
      </c>
      <c r="S141" t="n">
        <v>49360</v>
      </c>
      <c r="T141" t="inlineStr">
        <is>
          <t>DIRECCION JURIDICO CONTENCIOSO</t>
        </is>
      </c>
      <c r="U141" t="n">
        <v>493600</v>
      </c>
      <c r="V141" t="inlineStr">
        <is>
          <t>DIRECCION JURIDICO CONTENCIOSO</t>
        </is>
      </c>
      <c r="W141" t="n">
        <v>100101</v>
      </c>
      <c r="X141" t="inlineStr">
        <is>
          <t>CORPORATIVO</t>
        </is>
      </c>
      <c r="Y141" t="n">
        <v>4</v>
      </c>
      <c r="Z141" t="inlineStr">
        <is>
          <t>CORPORATIVO</t>
        </is>
      </c>
      <c r="AA141" t="n">
        <v>1</v>
      </c>
      <c r="AB141" t="inlineStr">
        <is>
          <t>NEGOCIO EN MARCHA</t>
        </is>
      </c>
      <c r="AC141" t="n">
        <v>1</v>
      </c>
      <c r="AD141" t="inlineStr">
        <is>
          <t>BANCO</t>
        </is>
      </c>
      <c r="AE141" t="n">
        <v>1</v>
      </c>
      <c r="AF141" t="inlineStr">
        <is>
          <t>BACK</t>
        </is>
      </c>
      <c r="AG141" t="n">
        <v>100101</v>
      </c>
      <c r="AH141" t="inlineStr">
        <is>
          <t>CORPORATIVO</t>
        </is>
      </c>
      <c r="AI141" t="inlineStr">
        <is>
          <t>MRIOSJ@BANCOBASE.COM</t>
        </is>
      </c>
      <c r="AJ141" s="151" t="n">
        <v>45428</v>
      </c>
      <c r="AK141" s="151" t="n"/>
      <c r="AL141" s="151" t="n"/>
    </row>
    <row r="142" hidden="1" s="150">
      <c r="A142" t="inlineStr">
        <is>
          <t>JGALAVIZ</t>
        </is>
      </c>
      <c r="B142" t="n">
        <v>3440</v>
      </c>
      <c r="C142" t="inlineStr">
        <is>
          <t>JAIME GALAVIZ CUEVAS</t>
        </is>
      </c>
      <c r="D142" t="n">
        <v>8559</v>
      </c>
      <c r="E142" t="inlineStr">
        <is>
          <t>ANALISTA JURIDICO DE RECUPERACION</t>
        </is>
      </c>
      <c r="F142" t="inlineStr">
        <is>
          <t>GUADALAJARA</t>
        </is>
      </c>
      <c r="G142" t="n">
        <v>1755</v>
      </c>
      <c r="H142" t="inlineStr">
        <is>
          <t>NORMA ALICIA FERNANDEZ SALDAÑA</t>
        </is>
      </c>
      <c r="I142" t="n">
        <v>8359</v>
      </c>
      <c r="J142" t="inlineStr">
        <is>
          <t>GERENTE JURIDICO DE RECUPERACION</t>
        </is>
      </c>
      <c r="K142" t="n">
        <v>1</v>
      </c>
      <c r="L142" t="inlineStr">
        <is>
          <t>PRESIDENCIA EJECUTIVA DEL CONSEJO</t>
        </is>
      </c>
      <c r="M142" t="n">
        <v>40</v>
      </c>
      <c r="N142" t="inlineStr">
        <is>
          <t>DIRECCION GENERAL BANCO BASE</t>
        </is>
      </c>
      <c r="O142" t="n">
        <v>420</v>
      </c>
      <c r="P142" t="inlineStr">
        <is>
          <t>DIRECCION ADMINISTRACION Y FINANZAS</t>
        </is>
      </c>
      <c r="Q142" t="n">
        <v>4930</v>
      </c>
      <c r="R142" t="inlineStr">
        <is>
          <t>DIRECCION DE JURIDICO</t>
        </is>
      </c>
      <c r="S142" t="n">
        <v>49360</v>
      </c>
      <c r="T142" t="inlineStr">
        <is>
          <t>DIRECCION JURIDICO CONTENCIOSO</t>
        </is>
      </c>
      <c r="U142" t="n">
        <v>493600</v>
      </c>
      <c r="V142" t="inlineStr">
        <is>
          <t>DIRECCION JURIDICO CONTENCIOSO</t>
        </is>
      </c>
      <c r="W142" t="n">
        <v>100101</v>
      </c>
      <c r="X142" t="inlineStr">
        <is>
          <t>CORPORATIVO</t>
        </is>
      </c>
      <c r="Y142" t="n">
        <v>4</v>
      </c>
      <c r="Z142" t="inlineStr">
        <is>
          <t>CORPORATIVO</t>
        </is>
      </c>
      <c r="AA142" t="n">
        <v>1</v>
      </c>
      <c r="AB142" t="inlineStr">
        <is>
          <t>NEGOCIO EN MARCHA</t>
        </is>
      </c>
      <c r="AC142" t="n">
        <v>1</v>
      </c>
      <c r="AD142" t="inlineStr">
        <is>
          <t>BANCO</t>
        </is>
      </c>
      <c r="AE142" t="n">
        <v>1</v>
      </c>
      <c r="AF142" t="inlineStr">
        <is>
          <t>BACK</t>
        </is>
      </c>
      <c r="AG142" t="n">
        <v>100101</v>
      </c>
      <c r="AH142" t="inlineStr">
        <is>
          <t>CORPORATIVO</t>
        </is>
      </c>
      <c r="AI142" t="inlineStr">
        <is>
          <t>JGALAVIZ@BANCOBASE.COM</t>
        </is>
      </c>
      <c r="AJ142" s="151" t="n">
        <v>45810</v>
      </c>
      <c r="AK142" s="151" t="n"/>
      <c r="AL142" s="151" t="n"/>
    </row>
    <row r="143" hidden="1" s="150">
      <c r="A143" t="inlineStr">
        <is>
          <t>FLEAL</t>
        </is>
      </c>
      <c r="B143" t="n">
        <v>2756</v>
      </c>
      <c r="C143" t="inlineStr">
        <is>
          <t>FATIMA KARINA LEAL HUERTA</t>
        </is>
      </c>
      <c r="D143" t="n">
        <v>8012</v>
      </c>
      <c r="E143" t="inlineStr">
        <is>
          <t>ESPECIALISTA JURIDICO DE RECUPERACION</t>
        </is>
      </c>
      <c r="F143" t="inlineStr">
        <is>
          <t>MONTERREY</t>
        </is>
      </c>
      <c r="G143" t="n">
        <v>1755</v>
      </c>
      <c r="H143" t="inlineStr">
        <is>
          <t>NORMA ALICIA FERNANDEZ SALDAÑA</t>
        </is>
      </c>
      <c r="I143" t="n">
        <v>8359</v>
      </c>
      <c r="J143" t="inlineStr">
        <is>
          <t>GERENTE JURIDICO DE RECUPERACION</t>
        </is>
      </c>
      <c r="K143" t="n">
        <v>1</v>
      </c>
      <c r="L143" t="inlineStr">
        <is>
          <t>PRESIDENCIA EJECUTIVA DEL CONSEJO</t>
        </is>
      </c>
      <c r="M143" t="n">
        <v>40</v>
      </c>
      <c r="N143" t="inlineStr">
        <is>
          <t>DIRECCION GENERAL BANCO BASE</t>
        </is>
      </c>
      <c r="O143" t="n">
        <v>420</v>
      </c>
      <c r="P143" t="inlineStr">
        <is>
          <t>DIRECCION ADMINISTRACION Y FINANZAS</t>
        </is>
      </c>
      <c r="Q143" t="n">
        <v>4930</v>
      </c>
      <c r="R143" t="inlineStr">
        <is>
          <t>DIRECCION DE JURIDICO</t>
        </is>
      </c>
      <c r="S143" t="n">
        <v>49360</v>
      </c>
      <c r="T143" t="inlineStr">
        <is>
          <t>DIRECCION JURIDICO CONTENCIOSO</t>
        </is>
      </c>
      <c r="U143" t="n">
        <v>493600</v>
      </c>
      <c r="V143" t="inlineStr">
        <is>
          <t>DIRECCION JURIDICO CONTENCIOSO</t>
        </is>
      </c>
      <c r="W143" t="n">
        <v>100101</v>
      </c>
      <c r="X143" t="inlineStr">
        <is>
          <t>CORPORATIVO</t>
        </is>
      </c>
      <c r="Y143" t="n">
        <v>4</v>
      </c>
      <c r="Z143" t="inlineStr">
        <is>
          <t>CORPORATIVO</t>
        </is>
      </c>
      <c r="AA143" t="n">
        <v>1</v>
      </c>
      <c r="AB143" t="inlineStr">
        <is>
          <t>NEGOCIO EN MARCHA</t>
        </is>
      </c>
      <c r="AC143" t="n">
        <v>1</v>
      </c>
      <c r="AD143" t="inlineStr">
        <is>
          <t>BANCO</t>
        </is>
      </c>
      <c r="AE143" t="n">
        <v>1</v>
      </c>
      <c r="AF143" t="inlineStr">
        <is>
          <t>BACK</t>
        </is>
      </c>
      <c r="AG143" t="n">
        <v>100101</v>
      </c>
      <c r="AH143" t="inlineStr">
        <is>
          <t>CORPORATIVO</t>
        </is>
      </c>
      <c r="AI143" t="inlineStr">
        <is>
          <t>FLEAL@BANCOBASE.COM</t>
        </is>
      </c>
      <c r="AJ143" s="151" t="n">
        <v>44851</v>
      </c>
      <c r="AK143" s="151" t="n"/>
      <c r="AL143" s="151" t="n"/>
    </row>
    <row r="144" hidden="1" s="150">
      <c r="A144" t="inlineStr">
        <is>
          <t>RMARTINERO</t>
        </is>
      </c>
      <c r="B144" t="n">
        <v>2203</v>
      </c>
      <c r="C144" t="inlineStr">
        <is>
          <t>ROCIO ARACELY MARTINEZ RODRIGUEZ</t>
        </is>
      </c>
      <c r="D144" t="n">
        <v>8360</v>
      </c>
      <c r="E144" t="inlineStr">
        <is>
          <t>GERENTE JURIDICO DE RESPUESTA A AUTORIDADES</t>
        </is>
      </c>
      <c r="F144" t="inlineStr">
        <is>
          <t>MONTERREY</t>
        </is>
      </c>
      <c r="G144" t="n">
        <v>878</v>
      </c>
      <c r="H144" t="inlineStr">
        <is>
          <t>JAVIER ALEJANDRO GARZA LEAL</t>
        </is>
      </c>
      <c r="I144" t="n">
        <v>9948</v>
      </c>
      <c r="J144" t="inlineStr">
        <is>
          <t>DIRECTOR JURIDICO CONTENCIOSO</t>
        </is>
      </c>
      <c r="K144" t="n">
        <v>1</v>
      </c>
      <c r="L144" t="inlineStr">
        <is>
          <t>PRESIDENCIA EJECUTIVA DEL CONSEJO</t>
        </is>
      </c>
      <c r="M144" t="n">
        <v>40</v>
      </c>
      <c r="N144" t="inlineStr">
        <is>
          <t>DIRECCION GENERAL BANCO BASE</t>
        </is>
      </c>
      <c r="O144" t="n">
        <v>420</v>
      </c>
      <c r="P144" t="inlineStr">
        <is>
          <t>DIRECCION ADMINISTRACION Y FINANZAS</t>
        </is>
      </c>
      <c r="Q144" t="n">
        <v>4930</v>
      </c>
      <c r="R144" t="inlineStr">
        <is>
          <t>DIRECCION DE JURIDICO</t>
        </is>
      </c>
      <c r="S144" t="n">
        <v>49360</v>
      </c>
      <c r="T144" t="inlineStr">
        <is>
          <t>DIRECCION JURIDICO CONTENCIOSO</t>
        </is>
      </c>
      <c r="U144" t="n">
        <v>493600</v>
      </c>
      <c r="V144" t="inlineStr">
        <is>
          <t>DIRECCION JURIDICO CONTENCIOSO</t>
        </is>
      </c>
      <c r="W144" t="n">
        <v>100101</v>
      </c>
      <c r="X144" t="inlineStr">
        <is>
          <t>CORPORATIVO</t>
        </is>
      </c>
      <c r="Y144" t="n">
        <v>4</v>
      </c>
      <c r="Z144" t="inlineStr">
        <is>
          <t>CORPORATIVO</t>
        </is>
      </c>
      <c r="AA144" t="n">
        <v>1</v>
      </c>
      <c r="AB144" t="inlineStr">
        <is>
          <t>NEGOCIO EN MARCHA</t>
        </is>
      </c>
      <c r="AC144" t="n">
        <v>1</v>
      </c>
      <c r="AD144" t="inlineStr">
        <is>
          <t>BANCO</t>
        </is>
      </c>
      <c r="AE144" t="n">
        <v>1</v>
      </c>
      <c r="AF144" t="inlineStr">
        <is>
          <t>BACK</t>
        </is>
      </c>
      <c r="AG144" t="n">
        <v>100101</v>
      </c>
      <c r="AH144" t="inlineStr">
        <is>
          <t>CORPORATIVO</t>
        </is>
      </c>
      <c r="AI144" t="inlineStr">
        <is>
          <t>RMARTINERO@BANCOBASE.COM</t>
        </is>
      </c>
      <c r="AJ144" s="151" t="n">
        <v>43545</v>
      </c>
      <c r="AK144" s="151" t="n"/>
      <c r="AL144" s="151" t="n"/>
    </row>
    <row r="145" hidden="1" s="150">
      <c r="A145" t="inlineStr">
        <is>
          <t>EBUENO</t>
        </is>
      </c>
      <c r="B145" t="n">
        <v>2098</v>
      </c>
      <c r="C145" t="inlineStr">
        <is>
          <t>SANDRA ESMERALDA BUENO PEÑA</t>
        </is>
      </c>
      <c r="D145" t="n">
        <v>8022</v>
      </c>
      <c r="E145" t="inlineStr">
        <is>
          <t>ANALISTA JURIDICO DE RESPUESTA A AUTORIDADES</t>
        </is>
      </c>
      <c r="F145" t="inlineStr">
        <is>
          <t>MONTERREY</t>
        </is>
      </c>
      <c r="G145" t="n">
        <v>2203</v>
      </c>
      <c r="H145" t="inlineStr">
        <is>
          <t>ROCIO ARACELY MARTINEZ RODRIGUEZ</t>
        </is>
      </c>
      <c r="I145" t="n">
        <v>8360</v>
      </c>
      <c r="J145" t="inlineStr">
        <is>
          <t>GERENTE JURIDICO DE RESPUESTA A AUTORIDADES</t>
        </is>
      </c>
      <c r="K145" t="n">
        <v>1</v>
      </c>
      <c r="L145" t="inlineStr">
        <is>
          <t>PRESIDENCIA EJECUTIVA DEL CONSEJO</t>
        </is>
      </c>
      <c r="M145" t="n">
        <v>40</v>
      </c>
      <c r="N145" t="inlineStr">
        <is>
          <t>DIRECCION GENERAL BANCO BASE</t>
        </is>
      </c>
      <c r="O145" t="n">
        <v>420</v>
      </c>
      <c r="P145" t="inlineStr">
        <is>
          <t>DIRECCION ADMINISTRACION Y FINANZAS</t>
        </is>
      </c>
      <c r="Q145" t="n">
        <v>4930</v>
      </c>
      <c r="R145" t="inlineStr">
        <is>
          <t>DIRECCION DE JURIDICO</t>
        </is>
      </c>
      <c r="S145" t="n">
        <v>49360</v>
      </c>
      <c r="T145" t="inlineStr">
        <is>
          <t>DIRECCION JURIDICO CONTENCIOSO</t>
        </is>
      </c>
      <c r="U145" t="n">
        <v>493600</v>
      </c>
      <c r="V145" t="inlineStr">
        <is>
          <t>DIRECCION JURIDICO CONTENCIOSO</t>
        </is>
      </c>
      <c r="W145" t="n">
        <v>100101</v>
      </c>
      <c r="X145" t="inlineStr">
        <is>
          <t>CORPORATIVO</t>
        </is>
      </c>
      <c r="Y145" t="n">
        <v>4</v>
      </c>
      <c r="Z145" t="inlineStr">
        <is>
          <t>CORPORATIVO</t>
        </is>
      </c>
      <c r="AA145" t="n">
        <v>6</v>
      </c>
      <c r="AB145" t="inlineStr">
        <is>
          <t>PROYECTO REGULATORIOS</t>
        </is>
      </c>
      <c r="AC145" t="n">
        <v>1</v>
      </c>
      <c r="AD145" t="inlineStr">
        <is>
          <t>BANCO</t>
        </is>
      </c>
      <c r="AE145" t="n">
        <v>1</v>
      </c>
      <c r="AF145" t="inlineStr">
        <is>
          <t>BACK</t>
        </is>
      </c>
      <c r="AG145" t="n">
        <v>100101</v>
      </c>
      <c r="AH145" t="inlineStr">
        <is>
          <t>CORPORATIVO</t>
        </is>
      </c>
      <c r="AI145" t="inlineStr">
        <is>
          <t>EBUENO@BANCOBASE.COM</t>
        </is>
      </c>
      <c r="AJ145" s="151" t="n">
        <v>43359</v>
      </c>
      <c r="AK145" s="151" t="n"/>
      <c r="AL145" s="151" t="n"/>
    </row>
    <row r="146" hidden="1" s="150">
      <c r="A146" t="inlineStr">
        <is>
          <t>GSANTIAGO</t>
        </is>
      </c>
      <c r="B146" t="n">
        <v>99536</v>
      </c>
      <c r="C146" t="inlineStr">
        <is>
          <t>GABRIELA TONANTZIN SANTIAGO OLMOS</t>
        </is>
      </c>
      <c r="D146" t="n">
        <v>7013</v>
      </c>
      <c r="E146" t="inlineStr">
        <is>
          <t>PRACTICANTE</t>
        </is>
      </c>
      <c r="F146" t="inlineStr">
        <is>
          <t>MONTERREY</t>
        </is>
      </c>
      <c r="G146" t="n">
        <v>2203</v>
      </c>
      <c r="H146" t="inlineStr">
        <is>
          <t>ROCIO ARACELY MARTINEZ RODRIGUEZ</t>
        </is>
      </c>
      <c r="I146" t="n">
        <v>8360</v>
      </c>
      <c r="J146" t="inlineStr">
        <is>
          <t>GERENTE JURIDICO DE RESPUESTA A AUTORIDADES</t>
        </is>
      </c>
      <c r="K146" t="n">
        <v>1</v>
      </c>
      <c r="L146" t="inlineStr">
        <is>
          <t>PRESIDENCIA EJECUTIVA DEL CONSEJO</t>
        </is>
      </c>
      <c r="M146" t="n">
        <v>40</v>
      </c>
      <c r="N146" t="inlineStr">
        <is>
          <t>DIRECCION GENERAL BANCO BASE</t>
        </is>
      </c>
      <c r="O146" t="n">
        <v>420</v>
      </c>
      <c r="P146" t="inlineStr">
        <is>
          <t>DIRECCION ADMINISTRACION Y FINANZAS</t>
        </is>
      </c>
      <c r="Q146" t="n">
        <v>4930</v>
      </c>
      <c r="R146" t="inlineStr">
        <is>
          <t>DIRECCION DE JURIDICO</t>
        </is>
      </c>
      <c r="S146" t="n">
        <v>49360</v>
      </c>
      <c r="T146" t="inlineStr">
        <is>
          <t>DIRECCION JURIDICO CONTENCIOSO</t>
        </is>
      </c>
      <c r="U146" t="n">
        <v>493600</v>
      </c>
      <c r="V146" t="inlineStr">
        <is>
          <t>DIRECCION JURIDICO CONTENCIOSO</t>
        </is>
      </c>
      <c r="W146" t="n">
        <v>100101</v>
      </c>
      <c r="X146" t="inlineStr">
        <is>
          <t>CORPORATIVO</t>
        </is>
      </c>
      <c r="Y146" t="n">
        <v>4</v>
      </c>
      <c r="Z146" t="inlineStr">
        <is>
          <t>CORPORATIVO</t>
        </is>
      </c>
      <c r="AA146" t="n">
        <v>1</v>
      </c>
      <c r="AB146" t="inlineStr">
        <is>
          <t>NEGOCIO EN MARCHA</t>
        </is>
      </c>
      <c r="AC146" t="n">
        <v>1</v>
      </c>
      <c r="AD146" t="inlineStr">
        <is>
          <t>BANCO</t>
        </is>
      </c>
      <c r="AE146" t="n">
        <v>1</v>
      </c>
      <c r="AF146" t="inlineStr">
        <is>
          <t>BACK</t>
        </is>
      </c>
      <c r="AG146" t="n">
        <v>100101</v>
      </c>
      <c r="AH146" t="inlineStr">
        <is>
          <t>CORPORATIVO</t>
        </is>
      </c>
      <c r="AI146" t="inlineStr">
        <is>
          <t>GSANTIAGO@BANCOBASE.COM</t>
        </is>
      </c>
      <c r="AJ146" s="151" t="n">
        <v>46128</v>
      </c>
      <c r="AK146" s="151" t="n"/>
      <c r="AL146" s="151" t="n"/>
    </row>
    <row r="147" hidden="1" s="150">
      <c r="A147" t="inlineStr">
        <is>
          <t>JAGUILARGA</t>
        </is>
      </c>
      <c r="B147" t="n">
        <v>3938</v>
      </c>
      <c r="C147" t="inlineStr">
        <is>
          <t>JORDI AGUILAR GARCIA</t>
        </is>
      </c>
      <c r="D147" t="n">
        <v>8224</v>
      </c>
      <c r="E147" t="inlineStr">
        <is>
          <t>ANALISTA JURIDICO DE RESPUESTA A AUTORIDADES</t>
        </is>
      </c>
      <c r="F147" t="inlineStr">
        <is>
          <t>MONTERREY</t>
        </is>
      </c>
      <c r="G147" t="n">
        <v>2203</v>
      </c>
      <c r="H147" t="inlineStr">
        <is>
          <t>ROCIO ARACELY MARTINEZ RODRIGUEZ</t>
        </is>
      </c>
      <c r="I147" t="n">
        <v>8360</v>
      </c>
      <c r="J147" t="inlineStr">
        <is>
          <t>GERENTE JURIDICO DE RESPUESTA A AUTORIDADES</t>
        </is>
      </c>
      <c r="K147" t="n">
        <v>1</v>
      </c>
      <c r="L147" t="inlineStr">
        <is>
          <t>PRESIDENCIA EJECUTIVA DEL CONSEJO</t>
        </is>
      </c>
      <c r="M147" t="n">
        <v>40</v>
      </c>
      <c r="N147" t="inlineStr">
        <is>
          <t>DIRECCION GENERAL BANCO BASE</t>
        </is>
      </c>
      <c r="O147" t="n">
        <v>420</v>
      </c>
      <c r="P147" t="inlineStr">
        <is>
          <t>DIRECCION ADMINISTRACION Y FINANZAS</t>
        </is>
      </c>
      <c r="Q147" t="n">
        <v>4930</v>
      </c>
      <c r="R147" t="inlineStr">
        <is>
          <t>DIRECCION DE JURIDICO</t>
        </is>
      </c>
      <c r="S147" t="n">
        <v>49360</v>
      </c>
      <c r="T147" t="inlineStr">
        <is>
          <t>DIRECCION JURIDICO CONTENCIOSO</t>
        </is>
      </c>
      <c r="U147" t="n">
        <v>493600</v>
      </c>
      <c r="V147" t="inlineStr">
        <is>
          <t>DIRECCION JURIDICO CONTENCIOSO</t>
        </is>
      </c>
      <c r="W147" t="n">
        <v>100101</v>
      </c>
      <c r="X147" t="inlineStr">
        <is>
          <t>CORPORATIVO</t>
        </is>
      </c>
      <c r="Y147" t="n">
        <v>4</v>
      </c>
      <c r="Z147" t="inlineStr">
        <is>
          <t>CORPORATIVO</t>
        </is>
      </c>
      <c r="AA147" t="n">
        <v>6</v>
      </c>
      <c r="AB147" t="inlineStr">
        <is>
          <t>PROYECTO REGULATORIOS</t>
        </is>
      </c>
      <c r="AC147" t="n">
        <v>1</v>
      </c>
      <c r="AD147" t="inlineStr">
        <is>
          <t>BANCO</t>
        </is>
      </c>
      <c r="AE147" t="n">
        <v>1</v>
      </c>
      <c r="AF147" t="inlineStr">
        <is>
          <t>BACK</t>
        </is>
      </c>
      <c r="AG147" t="n">
        <v>100101</v>
      </c>
      <c r="AH147" t="inlineStr">
        <is>
          <t>CORPORATIVO</t>
        </is>
      </c>
      <c r="AI147" t="inlineStr">
        <is>
          <t>JAGUILARGA@BANCOBASE.COM</t>
        </is>
      </c>
      <c r="AJ147" s="151" t="n">
        <v>46219</v>
      </c>
      <c r="AK147" s="151" t="n"/>
      <c r="AL147" s="151" t="n"/>
    </row>
    <row r="148" hidden="1" s="150">
      <c r="A148" t="inlineStr">
        <is>
          <t>GVEGA</t>
        </is>
      </c>
      <c r="B148" t="n">
        <v>3020</v>
      </c>
      <c r="C148" t="inlineStr">
        <is>
          <t>GERARDO ROGELIO VEGA VERDUGO</t>
        </is>
      </c>
      <c r="D148" t="n">
        <v>425</v>
      </c>
      <c r="E148" t="inlineStr">
        <is>
          <t>RESPONSABLE  JURIDICO CONTENCIOSO</t>
        </is>
      </c>
      <c r="F148" t="inlineStr">
        <is>
          <t>MONTERREY</t>
        </is>
      </c>
      <c r="G148" t="n">
        <v>878</v>
      </c>
      <c r="H148" t="inlineStr">
        <is>
          <t>JAVIER ALEJANDRO GARZA LEAL</t>
        </is>
      </c>
      <c r="I148" t="n">
        <v>9948</v>
      </c>
      <c r="J148" t="inlineStr">
        <is>
          <t>DIRECTOR JURIDICO CONTENCIOSO</t>
        </is>
      </c>
      <c r="K148" t="n">
        <v>1</v>
      </c>
      <c r="L148" t="inlineStr">
        <is>
          <t>PRESIDENCIA EJECUTIVA DEL CONSEJO</t>
        </is>
      </c>
      <c r="M148" t="n">
        <v>40</v>
      </c>
      <c r="N148" t="inlineStr">
        <is>
          <t>DIRECCION GENERAL BANCO BASE</t>
        </is>
      </c>
      <c r="O148" t="n">
        <v>420</v>
      </c>
      <c r="P148" t="inlineStr">
        <is>
          <t>DIRECCION ADMINISTRACION Y FINANZAS</t>
        </is>
      </c>
      <c r="Q148" t="n">
        <v>4930</v>
      </c>
      <c r="R148" t="inlineStr">
        <is>
          <t>DIRECCION DE JURIDICO</t>
        </is>
      </c>
      <c r="S148" t="n">
        <v>49360</v>
      </c>
      <c r="T148" t="inlineStr">
        <is>
          <t>DIRECCION JURIDICO CONTENCIOSO</t>
        </is>
      </c>
      <c r="U148" t="n">
        <v>493600</v>
      </c>
      <c r="V148" t="inlineStr">
        <is>
          <t>DIRECCION JURIDICO CONTENCIOSO</t>
        </is>
      </c>
      <c r="W148" t="n">
        <v>100101</v>
      </c>
      <c r="X148" t="inlineStr">
        <is>
          <t>CORPORATIVO</t>
        </is>
      </c>
      <c r="Y148" t="n">
        <v>4</v>
      </c>
      <c r="Z148" t="inlineStr">
        <is>
          <t>CORPORATIVO</t>
        </is>
      </c>
      <c r="AA148" t="n">
        <v>1</v>
      </c>
      <c r="AB148" t="inlineStr">
        <is>
          <t>NEGOCIO EN MARCHA</t>
        </is>
      </c>
      <c r="AC148" t="n">
        <v>1</v>
      </c>
      <c r="AD148" t="inlineStr">
        <is>
          <t>BANCO</t>
        </is>
      </c>
      <c r="AE148" t="n">
        <v>1</v>
      </c>
      <c r="AF148" t="inlineStr">
        <is>
          <t>BACK</t>
        </is>
      </c>
      <c r="AG148" t="n">
        <v>100101</v>
      </c>
      <c r="AH148" t="inlineStr">
        <is>
          <t>CORPORATIVO</t>
        </is>
      </c>
      <c r="AI148" t="inlineStr">
        <is>
          <t>GVEGA@BANCOBASE.COM</t>
        </is>
      </c>
      <c r="AJ148" s="151" t="n">
        <v>45323</v>
      </c>
      <c r="AK148" s="151" t="n"/>
      <c r="AL148" s="151" t="n"/>
    </row>
    <row r="149" hidden="1" s="150">
      <c r="A149" t="inlineStr">
        <is>
          <t>MMEDINA</t>
        </is>
      </c>
      <c r="B149" t="n">
        <v>99533</v>
      </c>
      <c r="C149" t="inlineStr">
        <is>
          <t>MARIANA SOPHIA MEDINA LEAL</t>
        </is>
      </c>
      <c r="D149" t="n">
        <v>10144</v>
      </c>
      <c r="E149" t="inlineStr">
        <is>
          <t>PRACTICANTE</t>
        </is>
      </c>
      <c r="F149" t="inlineStr">
        <is>
          <t>MONTERREY</t>
        </is>
      </c>
      <c r="G149" t="n">
        <v>3020</v>
      </c>
      <c r="H149" t="inlineStr">
        <is>
          <t>GERARDO ROGELIO VEGA VERDUGO</t>
        </is>
      </c>
      <c r="I149" t="n">
        <v>425</v>
      </c>
      <c r="J149" t="inlineStr">
        <is>
          <t>RESPONSABLE  JURIDICO CONTENCIOSO</t>
        </is>
      </c>
      <c r="K149" t="n">
        <v>1</v>
      </c>
      <c r="L149" t="inlineStr">
        <is>
          <t>PRESIDENCIA EJECUTIVA DEL CONSEJO</t>
        </is>
      </c>
      <c r="M149" t="n">
        <v>40</v>
      </c>
      <c r="N149" t="inlineStr">
        <is>
          <t>DIRECCION GENERAL BANCO BASE</t>
        </is>
      </c>
      <c r="O149" t="n">
        <v>420</v>
      </c>
      <c r="P149" t="inlineStr">
        <is>
          <t>DIRECCION ADMINISTRACION Y FINANZAS</t>
        </is>
      </c>
      <c r="Q149" t="n">
        <v>4930</v>
      </c>
      <c r="R149" t="inlineStr">
        <is>
          <t>DIRECCION DE JURIDICO</t>
        </is>
      </c>
      <c r="S149" t="n">
        <v>49360</v>
      </c>
      <c r="T149" t="inlineStr">
        <is>
          <t>DIRECCION JURIDICO CONTENCIOSO</t>
        </is>
      </c>
      <c r="U149" t="n">
        <v>493600</v>
      </c>
      <c r="V149" t="inlineStr">
        <is>
          <t>DIRECCION JURIDICO CONTENCIOSO</t>
        </is>
      </c>
      <c r="W149" t="n">
        <v>100101</v>
      </c>
      <c r="X149" t="inlineStr">
        <is>
          <t>CORPORATIVO</t>
        </is>
      </c>
      <c r="Y149" t="n">
        <v>4</v>
      </c>
      <c r="Z149" t="inlineStr">
        <is>
          <t>CORPORATIVO</t>
        </is>
      </c>
      <c r="AA149" t="n">
        <v>1</v>
      </c>
      <c r="AB149" t="inlineStr">
        <is>
          <t>NEGOCIO EN MARCHA</t>
        </is>
      </c>
      <c r="AC149" t="n">
        <v>1</v>
      </c>
      <c r="AD149" t="inlineStr">
        <is>
          <t>BANCO</t>
        </is>
      </c>
      <c r="AE149" t="n">
        <v>1</v>
      </c>
      <c r="AF149" t="inlineStr">
        <is>
          <t>BACK</t>
        </is>
      </c>
      <c r="AG149" t="n">
        <v>100101</v>
      </c>
      <c r="AH149" t="inlineStr">
        <is>
          <t>CORPORATIVO</t>
        </is>
      </c>
      <c r="AI149" t="inlineStr">
        <is>
          <t>MMEDINA@BANCOBASE.COM</t>
        </is>
      </c>
      <c r="AJ149" s="151" t="n">
        <v>46098</v>
      </c>
      <c r="AK149" s="151" t="n"/>
      <c r="AL149" s="151" t="n"/>
    </row>
    <row r="150" hidden="1" s="150">
      <c r="A150" t="inlineStr">
        <is>
          <t>CGONZALEZN</t>
        </is>
      </c>
      <c r="B150" t="n">
        <v>3135</v>
      </c>
      <c r="C150" t="inlineStr">
        <is>
          <t>CAROLINA FRANCHESKA GONZALEZ NAVARRO</t>
        </is>
      </c>
      <c r="D150" t="n">
        <v>8732</v>
      </c>
      <c r="E150" t="inlineStr">
        <is>
          <t>ESPECIALISTA JURIDICO CONTENCIOSO</t>
        </is>
      </c>
      <c r="F150" t="inlineStr">
        <is>
          <t>MONTERREY</t>
        </is>
      </c>
      <c r="G150" t="n">
        <v>878</v>
      </c>
      <c r="H150" t="inlineStr">
        <is>
          <t>JAVIER ALEJANDRO GARZA LEAL</t>
        </is>
      </c>
      <c r="I150" t="n">
        <v>9948</v>
      </c>
      <c r="J150" t="inlineStr">
        <is>
          <t>DIRECTOR JURIDICO CONTENCIOSO</t>
        </is>
      </c>
      <c r="K150" t="n">
        <v>1</v>
      </c>
      <c r="L150" t="inlineStr">
        <is>
          <t>PRESIDENCIA EJECUTIVA DEL CONSEJO</t>
        </is>
      </c>
      <c r="M150" t="n">
        <v>40</v>
      </c>
      <c r="N150" t="inlineStr">
        <is>
          <t>DIRECCION GENERAL BANCO BASE</t>
        </is>
      </c>
      <c r="O150" t="n">
        <v>420</v>
      </c>
      <c r="P150" t="inlineStr">
        <is>
          <t>DIRECCION ADMINISTRACION Y FINANZAS</t>
        </is>
      </c>
      <c r="Q150" t="n">
        <v>4930</v>
      </c>
      <c r="R150" t="inlineStr">
        <is>
          <t>DIRECCION DE JURIDICO</t>
        </is>
      </c>
      <c r="S150" t="n">
        <v>49360</v>
      </c>
      <c r="T150" t="inlineStr">
        <is>
          <t>DIRECCION JURIDICO CONTENCIOSO</t>
        </is>
      </c>
      <c r="U150" t="n">
        <v>493600</v>
      </c>
      <c r="V150" t="inlineStr">
        <is>
          <t>DIRECCION JURIDICO CONTENCIOSO</t>
        </is>
      </c>
      <c r="W150" t="n">
        <v>100101</v>
      </c>
      <c r="X150" t="inlineStr">
        <is>
          <t>CORPORATIVO</t>
        </is>
      </c>
      <c r="Y150" t="n">
        <v>4</v>
      </c>
      <c r="Z150" t="inlineStr">
        <is>
          <t>CORPORATIVO</t>
        </is>
      </c>
      <c r="AA150" t="n">
        <v>1</v>
      </c>
      <c r="AB150" t="inlineStr">
        <is>
          <t>NEGOCIO EN MARCHA</t>
        </is>
      </c>
      <c r="AC150" t="n">
        <v>1</v>
      </c>
      <c r="AD150" t="inlineStr">
        <is>
          <t>BANCO</t>
        </is>
      </c>
      <c r="AE150" t="n">
        <v>1</v>
      </c>
      <c r="AF150" t="inlineStr">
        <is>
          <t>BACK</t>
        </is>
      </c>
      <c r="AG150" t="n">
        <v>100101</v>
      </c>
      <c r="AH150" t="inlineStr">
        <is>
          <t>CORPORATIVO</t>
        </is>
      </c>
      <c r="AI150" t="inlineStr">
        <is>
          <t>CGONZALEZN@BANCOBASE.COM</t>
        </is>
      </c>
      <c r="AJ150" s="151" t="n">
        <v>45460</v>
      </c>
      <c r="AK150" s="151" t="n"/>
      <c r="AL150" s="151" t="n"/>
    </row>
    <row r="151" hidden="1" s="150">
      <c r="A151" t="inlineStr">
        <is>
          <t>IGARCIA</t>
        </is>
      </c>
      <c r="B151" t="n">
        <v>923</v>
      </c>
      <c r="C151" t="inlineStr">
        <is>
          <t>IVETTE GUADALUPE GARCIA ALVAREZ</t>
        </is>
      </c>
      <c r="D151" t="n">
        <v>9341</v>
      </c>
      <c r="E151" t="inlineStr">
        <is>
          <t>SUBDIRECTOR JURIDICO TRANSACCIONAL</t>
        </is>
      </c>
      <c r="F151" t="inlineStr">
        <is>
          <t>MONTERREY</t>
        </is>
      </c>
      <c r="I151" t="n">
        <v>177</v>
      </c>
      <c r="J151" t="inlineStr">
        <is>
          <t>DIRECTOR JURIDICO Y CUMPLIMIENTO</t>
        </is>
      </c>
      <c r="K151" t="n">
        <v>1</v>
      </c>
      <c r="L151" t="inlineStr">
        <is>
          <t>PRESIDENCIA EJECUTIVA DEL CONSEJO</t>
        </is>
      </c>
      <c r="M151" t="n">
        <v>40</v>
      </c>
      <c r="N151" t="inlineStr">
        <is>
          <t>DIRECCION GENERAL BANCO BASE</t>
        </is>
      </c>
      <c r="O151" t="n">
        <v>420</v>
      </c>
      <c r="P151" t="inlineStr">
        <is>
          <t>DIRECCION ADMINISTRACION Y FINANZAS</t>
        </is>
      </c>
      <c r="Q151" t="n">
        <v>4930</v>
      </c>
      <c r="R151" t="inlineStr">
        <is>
          <t>DIRECCION DE JURIDICO</t>
        </is>
      </c>
      <c r="S151" t="n">
        <v>49330</v>
      </c>
      <c r="T151" t="inlineStr">
        <is>
          <t>SUBDIRECCION JURIDICO TRANSACCIONAL</t>
        </is>
      </c>
      <c r="U151" t="n">
        <v>493300</v>
      </c>
      <c r="V151" t="inlineStr">
        <is>
          <t>SUBDIRECCION JURIDICO TRANSACCIONAL</t>
        </is>
      </c>
      <c r="W151" t="n">
        <v>100101</v>
      </c>
      <c r="X151" t="inlineStr">
        <is>
          <t>CORPORATIVO</t>
        </is>
      </c>
      <c r="Y151" t="n">
        <v>9</v>
      </c>
      <c r="Z151" t="inlineStr">
        <is>
          <t>BANCARIO</t>
        </is>
      </c>
      <c r="AA151" t="n">
        <v>1</v>
      </c>
      <c r="AB151" t="inlineStr">
        <is>
          <t>NEGOCIO EN MARCHA</t>
        </is>
      </c>
      <c r="AC151" t="n">
        <v>1</v>
      </c>
      <c r="AD151" t="inlineStr">
        <is>
          <t>BANCO</t>
        </is>
      </c>
      <c r="AE151" t="n">
        <v>1</v>
      </c>
      <c r="AF151" t="inlineStr">
        <is>
          <t>BACK</t>
        </is>
      </c>
      <c r="AG151" t="n">
        <v>100101</v>
      </c>
      <c r="AH151" t="inlineStr">
        <is>
          <t>CORPORATIVO</t>
        </is>
      </c>
      <c r="AI151" t="inlineStr">
        <is>
          <t>IGARCIA@BANCOBASE.COM</t>
        </is>
      </c>
      <c r="AJ151" s="151" t="n">
        <v>41122</v>
      </c>
      <c r="AK151" s="151" t="n"/>
      <c r="AL151" s="151" t="n"/>
    </row>
    <row r="152" hidden="1" s="150">
      <c r="A152" t="inlineStr">
        <is>
          <t>EESQUEDA</t>
        </is>
      </c>
      <c r="B152" t="n">
        <v>1837</v>
      </c>
      <c r="C152" t="inlineStr">
        <is>
          <t>ERICK EDUARDO ESQUEDA LOYA</t>
        </is>
      </c>
      <c r="D152" t="n">
        <v>10295</v>
      </c>
      <c r="E152" t="inlineStr">
        <is>
          <t>GERENTE JURIDICO DE CONTRATACION</t>
        </is>
      </c>
      <c r="F152" t="inlineStr">
        <is>
          <t>MONTERREY</t>
        </is>
      </c>
      <c r="G152" t="n">
        <v>923</v>
      </c>
      <c r="H152" t="inlineStr">
        <is>
          <t>IVETTE GUADALUPE GARCIA ALVAREZ</t>
        </is>
      </c>
      <c r="I152" t="n">
        <v>9341</v>
      </c>
      <c r="J152" t="inlineStr">
        <is>
          <t>SUBDIRECTOR JURIDICO TRANSACCIONAL</t>
        </is>
      </c>
      <c r="K152" t="n">
        <v>1</v>
      </c>
      <c r="L152" t="inlineStr">
        <is>
          <t>PRESIDENCIA EJECUTIVA DEL CONSEJO</t>
        </is>
      </c>
      <c r="M152" t="n">
        <v>40</v>
      </c>
      <c r="N152" t="inlineStr">
        <is>
          <t>DIRECCION GENERAL BANCO BASE</t>
        </is>
      </c>
      <c r="O152" t="n">
        <v>420</v>
      </c>
      <c r="P152" t="inlineStr">
        <is>
          <t>DIRECCION ADMINISTRACION Y FINANZAS</t>
        </is>
      </c>
      <c r="Q152" t="n">
        <v>4930</v>
      </c>
      <c r="R152" t="inlineStr">
        <is>
          <t>DIRECCION DE JURIDICO</t>
        </is>
      </c>
      <c r="S152" t="n">
        <v>49330</v>
      </c>
      <c r="T152" t="inlineStr">
        <is>
          <t>SUBDIRECCION JURIDICO TRANSACCIONAL</t>
        </is>
      </c>
      <c r="U152" t="n">
        <v>493300</v>
      </c>
      <c r="V152" t="inlineStr">
        <is>
          <t>SUBDIRECCION JURIDICO TRANSACCIONAL</t>
        </is>
      </c>
      <c r="W152" t="n">
        <v>100101</v>
      </c>
      <c r="X152" t="inlineStr">
        <is>
          <t>CORPORATIVO</t>
        </is>
      </c>
      <c r="Y152" t="n">
        <v>4</v>
      </c>
      <c r="Z152" t="inlineStr">
        <is>
          <t>CORPORATIVO</t>
        </is>
      </c>
      <c r="AA152" t="n">
        <v>1</v>
      </c>
      <c r="AB152" t="inlineStr">
        <is>
          <t>NEGOCIO EN MARCHA</t>
        </is>
      </c>
      <c r="AC152" t="n">
        <v>1</v>
      </c>
      <c r="AD152" t="inlineStr">
        <is>
          <t>BANCO</t>
        </is>
      </c>
      <c r="AE152" t="n">
        <v>1</v>
      </c>
      <c r="AF152" t="inlineStr">
        <is>
          <t>BACK</t>
        </is>
      </c>
      <c r="AG152" t="n">
        <v>100101</v>
      </c>
      <c r="AH152" t="inlineStr">
        <is>
          <t>CORPORATIVO</t>
        </is>
      </c>
      <c r="AI152" t="inlineStr">
        <is>
          <t>EESQUEDA@BANCOBASE.COM</t>
        </is>
      </c>
      <c r="AJ152" s="151" t="n">
        <v>42982</v>
      </c>
      <c r="AK152" s="151" t="n"/>
      <c r="AL152" s="151" t="n"/>
    </row>
    <row r="153" hidden="1" s="150">
      <c r="A153" t="inlineStr">
        <is>
          <t>FHERNANDEG</t>
        </is>
      </c>
      <c r="B153" t="n">
        <v>2654</v>
      </c>
      <c r="C153" t="inlineStr">
        <is>
          <t>MARIA FERNANDA HERNANDEZ GAYTAN</t>
        </is>
      </c>
      <c r="D153" t="n">
        <v>9530</v>
      </c>
      <c r="E153" t="inlineStr">
        <is>
          <t>ANALISTA JURIDICO DE CONTRATACION</t>
        </is>
      </c>
      <c r="F153" t="inlineStr">
        <is>
          <t>MONTERREY</t>
        </is>
      </c>
      <c r="G153" t="n">
        <v>1837</v>
      </c>
      <c r="H153" t="inlineStr">
        <is>
          <t>ERICK EDUARDO ESQUEDA LOYA</t>
        </is>
      </c>
      <c r="I153" t="n">
        <v>10295</v>
      </c>
      <c r="J153" t="inlineStr">
        <is>
          <t>GERENTE JURIDICO DE CONTRATACION</t>
        </is>
      </c>
      <c r="K153" t="n">
        <v>1</v>
      </c>
      <c r="L153" t="inlineStr">
        <is>
          <t>PRESIDENCIA EJECUTIVA DEL CONSEJO</t>
        </is>
      </c>
      <c r="M153" t="n">
        <v>40</v>
      </c>
      <c r="N153" t="inlineStr">
        <is>
          <t>DIRECCION GENERAL BANCO BASE</t>
        </is>
      </c>
      <c r="O153" t="n">
        <v>420</v>
      </c>
      <c r="P153" t="inlineStr">
        <is>
          <t>DIRECCION ADMINISTRACION Y FINANZAS</t>
        </is>
      </c>
      <c r="Q153" t="n">
        <v>4930</v>
      </c>
      <c r="R153" t="inlineStr">
        <is>
          <t>DIRECCION DE JURIDICO</t>
        </is>
      </c>
      <c r="S153" t="n">
        <v>49330</v>
      </c>
      <c r="T153" t="inlineStr">
        <is>
          <t>SUBDIRECCION JURIDICO TRANSACCIONAL</t>
        </is>
      </c>
      <c r="U153" t="n">
        <v>493300</v>
      </c>
      <c r="V153" t="inlineStr">
        <is>
          <t>SUBDIRECCION JURIDICO TRANSACCIONAL</t>
        </is>
      </c>
      <c r="W153" t="n">
        <v>100101</v>
      </c>
      <c r="X153" t="inlineStr">
        <is>
          <t>CORPORATIVO</t>
        </is>
      </c>
      <c r="Y153" t="n">
        <v>9</v>
      </c>
      <c r="Z153" t="inlineStr">
        <is>
          <t>BANCARIO</t>
        </is>
      </c>
      <c r="AA153" t="n">
        <v>1</v>
      </c>
      <c r="AB153" t="inlineStr">
        <is>
          <t>NEGOCIO EN MARCHA</t>
        </is>
      </c>
      <c r="AC153" t="n">
        <v>1</v>
      </c>
      <c r="AD153" t="inlineStr">
        <is>
          <t>BANCO</t>
        </is>
      </c>
      <c r="AE153" t="n">
        <v>1</v>
      </c>
      <c r="AF153" t="inlineStr">
        <is>
          <t>BACK</t>
        </is>
      </c>
      <c r="AG153" t="n">
        <v>100101</v>
      </c>
      <c r="AH153" t="inlineStr">
        <is>
          <t>CORPORATIVO</t>
        </is>
      </c>
      <c r="AI153" t="inlineStr">
        <is>
          <t>FHERNANDEG@BANCOBASE.COM</t>
        </is>
      </c>
      <c r="AJ153" s="151" t="n">
        <v>44697</v>
      </c>
      <c r="AK153" s="151" t="n"/>
      <c r="AL153" s="151" t="n"/>
    </row>
    <row r="154" hidden="1" s="150">
      <c r="A154" t="inlineStr">
        <is>
          <t>LGARCIAGO</t>
        </is>
      </c>
      <c r="B154" t="n">
        <v>2653</v>
      </c>
      <c r="C154" t="inlineStr">
        <is>
          <t>LUISANA SOFIA GARCIA GONZALEZ</t>
        </is>
      </c>
      <c r="D154" t="n">
        <v>9180</v>
      </c>
      <c r="E154" t="inlineStr">
        <is>
          <t>ANALISTA JURIDICO DE CONTRATACION</t>
        </is>
      </c>
      <c r="F154" t="inlineStr">
        <is>
          <t>MONTERREY</t>
        </is>
      </c>
      <c r="G154" t="n">
        <v>1837</v>
      </c>
      <c r="H154" t="inlineStr">
        <is>
          <t>ERICK EDUARDO ESQUEDA LOYA</t>
        </is>
      </c>
      <c r="I154" t="n">
        <v>10295</v>
      </c>
      <c r="J154" t="inlineStr">
        <is>
          <t>GERENTE JURIDICO DE CONTRATACION</t>
        </is>
      </c>
      <c r="K154" t="n">
        <v>1</v>
      </c>
      <c r="L154" t="inlineStr">
        <is>
          <t>PRESIDENCIA EJECUTIVA DEL CONSEJO</t>
        </is>
      </c>
      <c r="M154" t="n">
        <v>40</v>
      </c>
      <c r="N154" t="inlineStr">
        <is>
          <t>DIRECCION GENERAL BANCO BASE</t>
        </is>
      </c>
      <c r="O154" t="n">
        <v>420</v>
      </c>
      <c r="P154" t="inlineStr">
        <is>
          <t>DIRECCION ADMINISTRACION Y FINANZAS</t>
        </is>
      </c>
      <c r="Q154" t="n">
        <v>4930</v>
      </c>
      <c r="R154" t="inlineStr">
        <is>
          <t>DIRECCION DE JURIDICO</t>
        </is>
      </c>
      <c r="S154" t="n">
        <v>49330</v>
      </c>
      <c r="T154" t="inlineStr">
        <is>
          <t>SUBDIRECCION JURIDICO TRANSACCIONAL</t>
        </is>
      </c>
      <c r="U154" t="n">
        <v>493300</v>
      </c>
      <c r="V154" t="inlineStr">
        <is>
          <t>SUBDIRECCION JURIDICO TRANSACCIONAL</t>
        </is>
      </c>
      <c r="W154" t="n">
        <v>100101</v>
      </c>
      <c r="X154" t="inlineStr">
        <is>
          <t>CORPORATIVO</t>
        </is>
      </c>
      <c r="Y154" t="n">
        <v>9</v>
      </c>
      <c r="Z154" t="inlineStr">
        <is>
          <t>BANCARIO</t>
        </is>
      </c>
      <c r="AA154" t="n">
        <v>1</v>
      </c>
      <c r="AB154" t="inlineStr">
        <is>
          <t>NEGOCIO EN MARCHA</t>
        </is>
      </c>
      <c r="AC154" t="n">
        <v>1</v>
      </c>
      <c r="AD154" t="inlineStr">
        <is>
          <t>BANCO</t>
        </is>
      </c>
      <c r="AE154" t="n">
        <v>1</v>
      </c>
      <c r="AF154" t="inlineStr">
        <is>
          <t>BACK</t>
        </is>
      </c>
      <c r="AG154" t="n">
        <v>100101</v>
      </c>
      <c r="AH154" t="inlineStr">
        <is>
          <t>CORPORATIVO</t>
        </is>
      </c>
      <c r="AI154" t="inlineStr">
        <is>
          <t>LGARCIAGO@BANCOBASE.COM</t>
        </is>
      </c>
      <c r="AJ154" s="151" t="n">
        <v>44697</v>
      </c>
      <c r="AK154" s="151" t="n"/>
      <c r="AL154" s="151" t="n"/>
    </row>
    <row r="155" hidden="1" s="150">
      <c r="A155" t="inlineStr">
        <is>
          <t>ASGONZALEZ</t>
        </is>
      </c>
      <c r="B155" t="n">
        <v>1896</v>
      </c>
      <c r="C155" t="inlineStr">
        <is>
          <t>ARTURO SANTIAGO GONZALEZ CARRILLO</t>
        </is>
      </c>
      <c r="D155" t="n">
        <v>8124</v>
      </c>
      <c r="E155" t="inlineStr">
        <is>
          <t>GERENTE JURIDICO DE DICTAMINACION</t>
        </is>
      </c>
      <c r="F155" t="inlineStr">
        <is>
          <t>MONTERREY</t>
        </is>
      </c>
      <c r="G155" t="n">
        <v>923</v>
      </c>
      <c r="H155" t="inlineStr">
        <is>
          <t>IVETTE GUADALUPE GARCIA ALVAREZ</t>
        </is>
      </c>
      <c r="I155" t="n">
        <v>9341</v>
      </c>
      <c r="J155" t="inlineStr">
        <is>
          <t>SUBDIRECTOR JURIDICO TRANSACCIONAL</t>
        </is>
      </c>
      <c r="K155" t="n">
        <v>1</v>
      </c>
      <c r="L155" t="inlineStr">
        <is>
          <t>PRESIDENCIA EJECUTIVA DEL CONSEJO</t>
        </is>
      </c>
      <c r="M155" t="n">
        <v>40</v>
      </c>
      <c r="N155" t="inlineStr">
        <is>
          <t>DIRECCION GENERAL BANCO BASE</t>
        </is>
      </c>
      <c r="O155" t="n">
        <v>420</v>
      </c>
      <c r="P155" t="inlineStr">
        <is>
          <t>DIRECCION ADMINISTRACION Y FINANZAS</t>
        </is>
      </c>
      <c r="Q155" t="n">
        <v>4930</v>
      </c>
      <c r="R155" t="inlineStr">
        <is>
          <t>DIRECCION DE JURIDICO</t>
        </is>
      </c>
      <c r="S155" t="n">
        <v>49330</v>
      </c>
      <c r="T155" t="inlineStr">
        <is>
          <t>SUBDIRECCION JURIDICO TRANSACCIONAL</t>
        </is>
      </c>
      <c r="U155" t="n">
        <v>493300</v>
      </c>
      <c r="V155" t="inlineStr">
        <is>
          <t>SUBDIRECCION JURIDICO TRANSACCIONAL</t>
        </is>
      </c>
      <c r="W155" t="n">
        <v>100101</v>
      </c>
      <c r="X155" t="inlineStr">
        <is>
          <t>CORPORATIVO</t>
        </is>
      </c>
      <c r="Y155" t="n">
        <v>9</v>
      </c>
      <c r="Z155" t="inlineStr">
        <is>
          <t>BANCARIO</t>
        </is>
      </c>
      <c r="AA155" t="n">
        <v>1</v>
      </c>
      <c r="AB155" t="inlineStr">
        <is>
          <t>NEGOCIO EN MARCHA</t>
        </is>
      </c>
      <c r="AC155" t="n">
        <v>1</v>
      </c>
      <c r="AD155" t="inlineStr">
        <is>
          <t>BANCO</t>
        </is>
      </c>
      <c r="AE155" t="n">
        <v>1</v>
      </c>
      <c r="AF155" t="inlineStr">
        <is>
          <t>BACK</t>
        </is>
      </c>
      <c r="AG155" t="n">
        <v>100101</v>
      </c>
      <c r="AH155" t="inlineStr">
        <is>
          <t>CORPORATIVO</t>
        </is>
      </c>
      <c r="AI155" t="inlineStr">
        <is>
          <t>ASGONZALEZ@BANCOBASE.COM</t>
        </is>
      </c>
      <c r="AJ155" s="151" t="n">
        <v>43070</v>
      </c>
      <c r="AK155" s="151" t="n"/>
      <c r="AL155" s="151" t="n"/>
    </row>
    <row r="156" hidden="1" s="150">
      <c r="A156" t="inlineStr">
        <is>
          <t>JVALENZUEV</t>
        </is>
      </c>
      <c r="B156" t="n">
        <v>2487</v>
      </c>
      <c r="C156" t="inlineStr">
        <is>
          <t>JESUS EMILIANO VALENZUELA VALLEJO</t>
        </is>
      </c>
      <c r="D156" t="n">
        <v>8126</v>
      </c>
      <c r="E156" t="inlineStr">
        <is>
          <t>ESPECIALISTA JURIDICO DE DICTAMINACION</t>
        </is>
      </c>
      <c r="F156" t="inlineStr">
        <is>
          <t>MONTERREY</t>
        </is>
      </c>
      <c r="G156" t="n">
        <v>1896</v>
      </c>
      <c r="H156" t="inlineStr">
        <is>
          <t>ARTURO SANTIAGO GONZALEZ CARRILLO</t>
        </is>
      </c>
      <c r="I156" t="n">
        <v>8124</v>
      </c>
      <c r="J156" t="inlineStr">
        <is>
          <t>GERENTE JURIDICO DE DICTAMINACION</t>
        </is>
      </c>
      <c r="K156" t="n">
        <v>1</v>
      </c>
      <c r="L156" t="inlineStr">
        <is>
          <t>PRESIDENCIA EJECUTIVA DEL CONSEJO</t>
        </is>
      </c>
      <c r="M156" t="n">
        <v>40</v>
      </c>
      <c r="N156" t="inlineStr">
        <is>
          <t>DIRECCION GENERAL BANCO BASE</t>
        </is>
      </c>
      <c r="O156" t="n">
        <v>420</v>
      </c>
      <c r="P156" t="inlineStr">
        <is>
          <t>DIRECCION ADMINISTRACION Y FINANZAS</t>
        </is>
      </c>
      <c r="Q156" t="n">
        <v>4930</v>
      </c>
      <c r="R156" t="inlineStr">
        <is>
          <t>DIRECCION DE JURIDICO</t>
        </is>
      </c>
      <c r="S156" t="n">
        <v>49330</v>
      </c>
      <c r="T156" t="inlineStr">
        <is>
          <t>SUBDIRECCION JURIDICO TRANSACCIONAL</t>
        </is>
      </c>
      <c r="U156" t="n">
        <v>493300</v>
      </c>
      <c r="V156" t="inlineStr">
        <is>
          <t>SUBDIRECCION JURIDICO TRANSACCIONAL</t>
        </is>
      </c>
      <c r="W156" t="n">
        <v>100101</v>
      </c>
      <c r="X156" t="inlineStr">
        <is>
          <t>CORPORATIVO</t>
        </is>
      </c>
      <c r="Y156" t="n">
        <v>4</v>
      </c>
      <c r="Z156" t="inlineStr">
        <is>
          <t>CORPORATIVO</t>
        </is>
      </c>
      <c r="AA156" t="n">
        <v>1</v>
      </c>
      <c r="AB156" t="inlineStr">
        <is>
          <t>NEGOCIO EN MARCHA</t>
        </is>
      </c>
      <c r="AC156" t="n">
        <v>1</v>
      </c>
      <c r="AD156" t="inlineStr">
        <is>
          <t>BANCO</t>
        </is>
      </c>
      <c r="AE156" t="n">
        <v>1</v>
      </c>
      <c r="AF156" t="inlineStr">
        <is>
          <t>BACK</t>
        </is>
      </c>
      <c r="AG156" t="n">
        <v>100101</v>
      </c>
      <c r="AH156" t="inlineStr">
        <is>
          <t>CORPORATIVO</t>
        </is>
      </c>
      <c r="AI156" t="inlineStr">
        <is>
          <t>JVALENZUEV@BANCOBASE.COM</t>
        </is>
      </c>
      <c r="AJ156" s="151" t="n">
        <v>44271</v>
      </c>
      <c r="AK156" s="151" t="n"/>
      <c r="AL156" s="151" t="n"/>
    </row>
    <row r="157" hidden="1" s="150">
      <c r="A157" t="inlineStr">
        <is>
          <t>EGALLEGOS</t>
        </is>
      </c>
      <c r="B157" t="n">
        <v>2871</v>
      </c>
      <c r="C157" t="inlineStr">
        <is>
          <t>ELIZABETH GALLEGOS BARAJAS</t>
        </is>
      </c>
      <c r="D157" t="n">
        <v>10126</v>
      </c>
      <c r="E157" t="inlineStr">
        <is>
          <t>ANALISTA JURIDICO DE DICTAMINACION SR</t>
        </is>
      </c>
      <c r="F157" t="inlineStr">
        <is>
          <t>MONTERREY</t>
        </is>
      </c>
      <c r="G157" t="n">
        <v>1896</v>
      </c>
      <c r="H157" t="inlineStr">
        <is>
          <t>ARTURO SANTIAGO GONZALEZ CARRILLO</t>
        </is>
      </c>
      <c r="I157" t="n">
        <v>8124</v>
      </c>
      <c r="J157" t="inlineStr">
        <is>
          <t>GERENTE JURIDICO DE DICTAMINACION</t>
        </is>
      </c>
      <c r="K157" t="n">
        <v>1</v>
      </c>
      <c r="L157" t="inlineStr">
        <is>
          <t>PRESIDENCIA EJECUTIVA DEL CONSEJO</t>
        </is>
      </c>
      <c r="M157" t="n">
        <v>40</v>
      </c>
      <c r="N157" t="inlineStr">
        <is>
          <t>DIRECCION GENERAL BANCO BASE</t>
        </is>
      </c>
      <c r="O157" t="n">
        <v>420</v>
      </c>
      <c r="P157" t="inlineStr">
        <is>
          <t>DIRECCION ADMINISTRACION Y FINANZAS</t>
        </is>
      </c>
      <c r="Q157" t="n">
        <v>4930</v>
      </c>
      <c r="R157" t="inlineStr">
        <is>
          <t>DIRECCION DE JURIDICO</t>
        </is>
      </c>
      <c r="S157" t="n">
        <v>49330</v>
      </c>
      <c r="T157" t="inlineStr">
        <is>
          <t>SUBDIRECCION JURIDICO TRANSACCIONAL</t>
        </is>
      </c>
      <c r="U157" t="n">
        <v>493300</v>
      </c>
      <c r="V157" t="inlineStr">
        <is>
          <t>SUBDIRECCION JURIDICO TRANSACCIONAL</t>
        </is>
      </c>
      <c r="W157" t="n">
        <v>100101</v>
      </c>
      <c r="X157" t="inlineStr">
        <is>
          <t>CORPORATIVO</t>
        </is>
      </c>
      <c r="Y157" t="n">
        <v>4</v>
      </c>
      <c r="Z157" t="inlineStr">
        <is>
          <t>CORPORATIVO</t>
        </is>
      </c>
      <c r="AA157" t="n">
        <v>1</v>
      </c>
      <c r="AB157" t="inlineStr">
        <is>
          <t>NEGOCIO EN MARCHA</t>
        </is>
      </c>
      <c r="AC157" t="n">
        <v>1</v>
      </c>
      <c r="AD157" t="inlineStr">
        <is>
          <t>BANCO</t>
        </is>
      </c>
      <c r="AE157" t="n">
        <v>1</v>
      </c>
      <c r="AF157" t="inlineStr">
        <is>
          <t>BACK</t>
        </is>
      </c>
      <c r="AG157" t="n">
        <v>100101</v>
      </c>
      <c r="AH157" t="inlineStr">
        <is>
          <t>CORPORATIVO</t>
        </is>
      </c>
      <c r="AI157" t="inlineStr">
        <is>
          <t>EGALLEGOS@BANCOBASE.COM</t>
        </is>
      </c>
      <c r="AJ157" s="151" t="n">
        <v>45019</v>
      </c>
      <c r="AK157" s="151" t="n"/>
      <c r="AL157" s="151" t="n"/>
    </row>
    <row r="158" hidden="1" s="150">
      <c r="A158" t="inlineStr">
        <is>
          <t>AALVAREZS</t>
        </is>
      </c>
      <c r="B158" t="n">
        <v>3049</v>
      </c>
      <c r="C158" t="inlineStr">
        <is>
          <t>ANDREA MICHELLE ALVAREZ SILVA</t>
        </is>
      </c>
      <c r="D158" t="n">
        <v>9022</v>
      </c>
      <c r="E158" t="inlineStr">
        <is>
          <t>ANALISTA JURIDICO DE DICTAMINACION JR</t>
        </is>
      </c>
      <c r="F158" t="inlineStr">
        <is>
          <t>MONTERREY</t>
        </is>
      </c>
      <c r="G158" t="n">
        <v>1896</v>
      </c>
      <c r="H158" t="inlineStr">
        <is>
          <t>ARTURO SANTIAGO GONZALEZ CARRILLO</t>
        </is>
      </c>
      <c r="I158" t="n">
        <v>8124</v>
      </c>
      <c r="J158" t="inlineStr">
        <is>
          <t>GERENTE JURIDICO DE DICTAMINACION</t>
        </is>
      </c>
      <c r="K158" t="n">
        <v>1</v>
      </c>
      <c r="L158" t="inlineStr">
        <is>
          <t>PRESIDENCIA EJECUTIVA DEL CONSEJO</t>
        </is>
      </c>
      <c r="M158" t="n">
        <v>40</v>
      </c>
      <c r="N158" t="inlineStr">
        <is>
          <t>DIRECCION GENERAL BANCO BASE</t>
        </is>
      </c>
      <c r="O158" t="n">
        <v>420</v>
      </c>
      <c r="P158" t="inlineStr">
        <is>
          <t>DIRECCION ADMINISTRACION Y FINANZAS</t>
        </is>
      </c>
      <c r="Q158" t="n">
        <v>4930</v>
      </c>
      <c r="R158" t="inlineStr">
        <is>
          <t>DIRECCION DE JURIDICO</t>
        </is>
      </c>
      <c r="S158" t="n">
        <v>49330</v>
      </c>
      <c r="T158" t="inlineStr">
        <is>
          <t>SUBDIRECCION JURIDICO TRANSACCIONAL</t>
        </is>
      </c>
      <c r="U158" t="n">
        <v>493300</v>
      </c>
      <c r="V158" t="inlineStr">
        <is>
          <t>SUBDIRECCION JURIDICO TRANSACCIONAL</t>
        </is>
      </c>
      <c r="W158" t="n">
        <v>100101</v>
      </c>
      <c r="X158" t="inlineStr">
        <is>
          <t>CORPORATIVO</t>
        </is>
      </c>
      <c r="Y158" t="n">
        <v>4</v>
      </c>
      <c r="Z158" t="inlineStr">
        <is>
          <t>CORPORATIVO</t>
        </is>
      </c>
      <c r="AA158" t="n">
        <v>1</v>
      </c>
      <c r="AB158" t="inlineStr">
        <is>
          <t>NEGOCIO EN MARCHA</t>
        </is>
      </c>
      <c r="AC158" t="n">
        <v>1</v>
      </c>
      <c r="AD158" t="inlineStr">
        <is>
          <t>BANCO</t>
        </is>
      </c>
      <c r="AE158" t="n">
        <v>1</v>
      </c>
      <c r="AF158" t="inlineStr">
        <is>
          <t>BACK</t>
        </is>
      </c>
      <c r="AG158" t="n">
        <v>100101</v>
      </c>
      <c r="AH158" t="inlineStr">
        <is>
          <t>CORPORATIVO</t>
        </is>
      </c>
      <c r="AI158" t="inlineStr">
        <is>
          <t>AALVAREZS@BANCOBASE.COM</t>
        </is>
      </c>
      <c r="AJ158" s="151" t="n">
        <v>45357</v>
      </c>
      <c r="AK158" s="151" t="n"/>
      <c r="AL158" s="151" t="n"/>
    </row>
    <row r="159" hidden="1" s="150">
      <c r="A159" t="inlineStr">
        <is>
          <t>CCASTILLOL</t>
        </is>
      </c>
      <c r="B159" t="n">
        <v>3481</v>
      </c>
      <c r="C159" t="inlineStr">
        <is>
          <t>CAROLINA CASTILLO LIMON</t>
        </is>
      </c>
      <c r="D159" t="n">
        <v>9721</v>
      </c>
      <c r="E159" t="inlineStr">
        <is>
          <t>ANALISTA JURIDICO DE DICTAMINACION JR</t>
        </is>
      </c>
      <c r="F159" t="inlineStr">
        <is>
          <t>MONTERREY</t>
        </is>
      </c>
      <c r="G159" t="n">
        <v>1896</v>
      </c>
      <c r="H159" t="inlineStr">
        <is>
          <t>ARTURO SANTIAGO GONZALEZ CARRILLO</t>
        </is>
      </c>
      <c r="I159" t="n">
        <v>8124</v>
      </c>
      <c r="J159" t="inlineStr">
        <is>
          <t>GERENTE JURIDICO DE DICTAMINACION</t>
        </is>
      </c>
      <c r="K159" t="n">
        <v>1</v>
      </c>
      <c r="L159" t="inlineStr">
        <is>
          <t>PRESIDENCIA EJECUTIVA DEL CONSEJO</t>
        </is>
      </c>
      <c r="M159" t="n">
        <v>40</v>
      </c>
      <c r="N159" t="inlineStr">
        <is>
          <t>DIRECCION GENERAL BANCO BASE</t>
        </is>
      </c>
      <c r="O159" t="n">
        <v>420</v>
      </c>
      <c r="P159" t="inlineStr">
        <is>
          <t>DIRECCION ADMINISTRACION Y FINANZAS</t>
        </is>
      </c>
      <c r="Q159" t="n">
        <v>4930</v>
      </c>
      <c r="R159" t="inlineStr">
        <is>
          <t>DIRECCION DE JURIDICO</t>
        </is>
      </c>
      <c r="S159" t="n">
        <v>49330</v>
      </c>
      <c r="T159" t="inlineStr">
        <is>
          <t>SUBDIRECCION JURIDICO TRANSACCIONAL</t>
        </is>
      </c>
      <c r="U159" t="n">
        <v>493300</v>
      </c>
      <c r="V159" t="inlineStr">
        <is>
          <t>SUBDIRECCION JURIDICO TRANSACCIONAL</t>
        </is>
      </c>
      <c r="W159" t="n">
        <v>100101</v>
      </c>
      <c r="X159" t="inlineStr">
        <is>
          <t>CORPORATIVO</t>
        </is>
      </c>
      <c r="Y159" t="n">
        <v>4</v>
      </c>
      <c r="Z159" t="inlineStr">
        <is>
          <t>CORPORATIVO</t>
        </is>
      </c>
      <c r="AA159" t="n">
        <v>1</v>
      </c>
      <c r="AB159" t="inlineStr">
        <is>
          <t>NEGOCIO EN MARCHA</t>
        </is>
      </c>
      <c r="AC159" t="n">
        <v>1</v>
      </c>
      <c r="AD159" t="inlineStr">
        <is>
          <t>BANCO</t>
        </is>
      </c>
      <c r="AE159" t="n">
        <v>1</v>
      </c>
      <c r="AF159" t="inlineStr">
        <is>
          <t>BACK</t>
        </is>
      </c>
      <c r="AG159" t="n">
        <v>100101</v>
      </c>
      <c r="AH159" t="inlineStr">
        <is>
          <t>CORPORATIVO</t>
        </is>
      </c>
      <c r="AI159" t="inlineStr">
        <is>
          <t>CCASTILLOL@BANCOBASE.COM</t>
        </is>
      </c>
      <c r="AJ159" s="151" t="n">
        <v>45854</v>
      </c>
      <c r="AK159" s="151" t="n"/>
      <c r="AL159" s="151" t="n"/>
    </row>
    <row r="160" hidden="1" s="150">
      <c r="A160" t="inlineStr">
        <is>
          <t>CMARTINEV</t>
        </is>
      </c>
      <c r="B160" t="n">
        <v>2967</v>
      </c>
      <c r="C160" t="inlineStr">
        <is>
          <t>CESAR ALAN MARTINEZ VILLARREAL</t>
        </is>
      </c>
      <c r="D160" t="n">
        <v>10415</v>
      </c>
      <c r="E160" t="inlineStr">
        <is>
          <t>ANALISTA JURIDICO DE DICTAMINACION SR</t>
        </is>
      </c>
      <c r="F160" t="inlineStr">
        <is>
          <t>MONTERREY</t>
        </is>
      </c>
      <c r="G160" t="n">
        <v>1896</v>
      </c>
      <c r="H160" t="inlineStr">
        <is>
          <t>ARTURO SANTIAGO GONZALEZ CARRILLO</t>
        </is>
      </c>
      <c r="I160" t="n">
        <v>8124</v>
      </c>
      <c r="J160" t="inlineStr">
        <is>
          <t>GERENTE JURIDICO DE DICTAMINACION</t>
        </is>
      </c>
      <c r="K160" t="n">
        <v>1</v>
      </c>
      <c r="L160" t="inlineStr">
        <is>
          <t>PRESIDENCIA EJECUTIVA DEL CONSEJO</t>
        </is>
      </c>
      <c r="M160" t="n">
        <v>40</v>
      </c>
      <c r="N160" t="inlineStr">
        <is>
          <t>DIRECCION GENERAL BANCO BASE</t>
        </is>
      </c>
      <c r="O160" t="n">
        <v>420</v>
      </c>
      <c r="P160" t="inlineStr">
        <is>
          <t>DIRECCION ADMINISTRACION Y FINANZAS</t>
        </is>
      </c>
      <c r="Q160" t="n">
        <v>4930</v>
      </c>
      <c r="R160" t="inlineStr">
        <is>
          <t>DIRECCION DE JURIDICO</t>
        </is>
      </c>
      <c r="S160" t="n">
        <v>49330</v>
      </c>
      <c r="T160" t="inlineStr">
        <is>
          <t>SUBDIRECCION JURIDICO TRANSACCIONAL</t>
        </is>
      </c>
      <c r="U160" t="n">
        <v>493300</v>
      </c>
      <c r="V160" t="inlineStr">
        <is>
          <t>SUBDIRECCION JURIDICO TRANSACCIONAL</t>
        </is>
      </c>
      <c r="W160" t="n">
        <v>100101</v>
      </c>
      <c r="X160" t="inlineStr">
        <is>
          <t>CORPORATIVO</t>
        </is>
      </c>
      <c r="Y160" t="n">
        <v>4</v>
      </c>
      <c r="Z160" t="inlineStr">
        <is>
          <t>CORPORATIVO</t>
        </is>
      </c>
      <c r="AA160" t="n">
        <v>1</v>
      </c>
      <c r="AB160" t="inlineStr">
        <is>
          <t>NEGOCIO EN MARCHA</t>
        </is>
      </c>
      <c r="AC160" t="n">
        <v>1</v>
      </c>
      <c r="AD160" t="inlineStr">
        <is>
          <t>BANCO</t>
        </is>
      </c>
      <c r="AE160" t="n">
        <v>1</v>
      </c>
      <c r="AF160" t="inlineStr">
        <is>
          <t>BACK</t>
        </is>
      </c>
      <c r="AG160" t="n">
        <v>100101</v>
      </c>
      <c r="AH160" t="inlineStr">
        <is>
          <t>CORPORATIVO</t>
        </is>
      </c>
      <c r="AI160" t="inlineStr">
        <is>
          <t>CMARTINEV@BANCOBASE.COM</t>
        </is>
      </c>
      <c r="AJ160" s="151" t="n">
        <v>45201</v>
      </c>
      <c r="AK160" s="151" t="n"/>
      <c r="AL160" s="151" t="n"/>
    </row>
    <row r="161" hidden="1" s="150">
      <c r="A161" t="inlineStr">
        <is>
          <t>MBAZALDUA</t>
        </is>
      </c>
      <c r="B161" t="n">
        <v>3739</v>
      </c>
      <c r="C161" t="inlineStr">
        <is>
          <t>MIGUEL ALAN BAZALDUA BERNAL</t>
        </is>
      </c>
      <c r="D161" t="n">
        <v>8770</v>
      </c>
      <c r="E161" t="inlineStr">
        <is>
          <t>ANALISTA JURIDICO DE DICTAMINACION JR</t>
        </is>
      </c>
      <c r="F161" t="inlineStr">
        <is>
          <t>MONTERREY</t>
        </is>
      </c>
      <c r="G161" t="n">
        <v>1896</v>
      </c>
      <c r="H161" t="inlineStr">
        <is>
          <t>ARTURO SANTIAGO GONZALEZ CARRILLO</t>
        </is>
      </c>
      <c r="I161" t="n">
        <v>8124</v>
      </c>
      <c r="J161" t="inlineStr">
        <is>
          <t>GERENTE JURIDICO DE DICTAMINACION</t>
        </is>
      </c>
      <c r="K161" t="n">
        <v>1</v>
      </c>
      <c r="L161" t="inlineStr">
        <is>
          <t>PRESIDENCIA EJECUTIVA DEL CONSEJO</t>
        </is>
      </c>
      <c r="M161" t="n">
        <v>40</v>
      </c>
      <c r="N161" t="inlineStr">
        <is>
          <t>DIRECCION GENERAL BANCO BASE</t>
        </is>
      </c>
      <c r="O161" t="n">
        <v>420</v>
      </c>
      <c r="P161" t="inlineStr">
        <is>
          <t>DIRECCION ADMINISTRACION Y FINANZAS</t>
        </is>
      </c>
      <c r="Q161" t="n">
        <v>4930</v>
      </c>
      <c r="R161" t="inlineStr">
        <is>
          <t>DIRECCION DE JURIDICO</t>
        </is>
      </c>
      <c r="S161" t="n">
        <v>49330</v>
      </c>
      <c r="T161" t="inlineStr">
        <is>
          <t>SUBDIRECCION JURIDICO TRANSACCIONAL</t>
        </is>
      </c>
      <c r="U161" t="n">
        <v>493300</v>
      </c>
      <c r="V161" t="inlineStr">
        <is>
          <t>SUBDIRECCION JURIDICO TRANSACCIONAL</t>
        </is>
      </c>
      <c r="W161" t="n">
        <v>100101</v>
      </c>
      <c r="X161" t="inlineStr">
        <is>
          <t>CORPORATIVO</t>
        </is>
      </c>
      <c r="Y161" t="n">
        <v>9</v>
      </c>
      <c r="Z161" t="inlineStr">
        <is>
          <t>BANCARIO</t>
        </is>
      </c>
      <c r="AA161" t="n">
        <v>1</v>
      </c>
      <c r="AB161" t="inlineStr">
        <is>
          <t>NEGOCIO EN MARCHA</t>
        </is>
      </c>
      <c r="AC161" t="n">
        <v>1</v>
      </c>
      <c r="AD161" t="inlineStr">
        <is>
          <t>BANCO</t>
        </is>
      </c>
      <c r="AE161" t="n">
        <v>1</v>
      </c>
      <c r="AF161" t="inlineStr">
        <is>
          <t>BACK</t>
        </is>
      </c>
      <c r="AG161" t="n">
        <v>100101</v>
      </c>
      <c r="AH161" t="inlineStr">
        <is>
          <t>CORPORATIVO</t>
        </is>
      </c>
      <c r="AI161" t="inlineStr">
        <is>
          <t>MBAZALDUA@BANCOBASE.COM</t>
        </is>
      </c>
      <c r="AJ161" s="151" t="n">
        <v>46041</v>
      </c>
      <c r="AK161" s="151" t="n"/>
      <c r="AL161" s="151" t="n"/>
    </row>
    <row r="162" hidden="1" s="150">
      <c r="A162" t="inlineStr">
        <is>
          <t>SIBARRA</t>
        </is>
      </c>
      <c r="B162" t="n">
        <v>3770</v>
      </c>
      <c r="C162" t="inlineStr">
        <is>
          <t>SILOE EMMANUEL IBARRA FLORES</t>
        </is>
      </c>
      <c r="D162" t="n">
        <v>8151</v>
      </c>
      <c r="E162" t="inlineStr">
        <is>
          <t>ANALISTA JURIDICO DE DICTAMINACION JR</t>
        </is>
      </c>
      <c r="F162" t="inlineStr">
        <is>
          <t>MONTERREY</t>
        </is>
      </c>
      <c r="G162" t="n">
        <v>1896</v>
      </c>
      <c r="H162" t="inlineStr">
        <is>
          <t>ARTURO SANTIAGO GONZALEZ CARRILLO</t>
        </is>
      </c>
      <c r="I162" t="n">
        <v>8124</v>
      </c>
      <c r="J162" t="inlineStr">
        <is>
          <t>GERENTE JURIDICO DE DICTAMINACION</t>
        </is>
      </c>
      <c r="K162" t="n">
        <v>1</v>
      </c>
      <c r="L162" t="inlineStr">
        <is>
          <t>PRESIDENCIA EJECUTIVA DEL CONSEJO</t>
        </is>
      </c>
      <c r="M162" t="n">
        <v>40</v>
      </c>
      <c r="N162" t="inlineStr">
        <is>
          <t>DIRECCION GENERAL BANCO BASE</t>
        </is>
      </c>
      <c r="O162" t="n">
        <v>420</v>
      </c>
      <c r="P162" t="inlineStr">
        <is>
          <t>DIRECCION ADMINISTRACION Y FINANZAS</t>
        </is>
      </c>
      <c r="Q162" t="n">
        <v>4930</v>
      </c>
      <c r="R162" t="inlineStr">
        <is>
          <t>DIRECCION DE JURIDICO</t>
        </is>
      </c>
      <c r="S162" t="n">
        <v>49330</v>
      </c>
      <c r="T162" t="inlineStr">
        <is>
          <t>SUBDIRECCION JURIDICO TRANSACCIONAL</t>
        </is>
      </c>
      <c r="U162" t="n">
        <v>493300</v>
      </c>
      <c r="V162" t="inlineStr">
        <is>
          <t>SUBDIRECCION JURIDICO TRANSACCIONAL</t>
        </is>
      </c>
      <c r="W162" t="n">
        <v>100101</v>
      </c>
      <c r="X162" t="inlineStr">
        <is>
          <t>CORPORATIVO</t>
        </is>
      </c>
      <c r="Y162" t="n">
        <v>9</v>
      </c>
      <c r="Z162" t="inlineStr">
        <is>
          <t>BANCARIO</t>
        </is>
      </c>
      <c r="AA162" t="n">
        <v>1</v>
      </c>
      <c r="AB162" t="inlineStr">
        <is>
          <t>NEGOCIO EN MARCHA</t>
        </is>
      </c>
      <c r="AC162" t="n">
        <v>1</v>
      </c>
      <c r="AD162" t="inlineStr">
        <is>
          <t>BANCO</t>
        </is>
      </c>
      <c r="AE162" t="n">
        <v>1</v>
      </c>
      <c r="AF162" t="inlineStr">
        <is>
          <t>BACK</t>
        </is>
      </c>
      <c r="AG162" t="n">
        <v>100101</v>
      </c>
      <c r="AH162" t="inlineStr">
        <is>
          <t>CORPORATIVO</t>
        </is>
      </c>
      <c r="AI162" t="inlineStr">
        <is>
          <t>SIBARRA@BANCOBASE.COM</t>
        </is>
      </c>
      <c r="AJ162" s="151" t="n">
        <v>46082</v>
      </c>
      <c r="AK162" s="151" t="n"/>
      <c r="AL162" s="151" t="n"/>
    </row>
    <row r="163" hidden="1" s="150">
      <c r="A163" t="inlineStr">
        <is>
          <t>RAGUILARB</t>
        </is>
      </c>
      <c r="B163" t="n">
        <v>99534</v>
      </c>
      <c r="C163" t="inlineStr">
        <is>
          <t>REBECA AGUILAR BRICEÑO</t>
        </is>
      </c>
      <c r="D163" t="n">
        <v>7008</v>
      </c>
      <c r="E163" t="inlineStr">
        <is>
          <t>PRACTICANTE</t>
        </is>
      </c>
      <c r="F163" t="inlineStr">
        <is>
          <t>MONTERREY</t>
        </is>
      </c>
      <c r="G163" t="n">
        <v>1896</v>
      </c>
      <c r="H163" t="inlineStr">
        <is>
          <t>ARTURO SANTIAGO GONZALEZ CARRILLO</t>
        </is>
      </c>
      <c r="I163" t="n">
        <v>8124</v>
      </c>
      <c r="J163" t="inlineStr">
        <is>
          <t>GERENTE JURIDICO DE DICTAMINACION</t>
        </is>
      </c>
      <c r="K163" t="n">
        <v>1</v>
      </c>
      <c r="L163" t="inlineStr">
        <is>
          <t>PRESIDENCIA EJECUTIVA DEL CONSEJO</t>
        </is>
      </c>
      <c r="M163" t="n">
        <v>40</v>
      </c>
      <c r="N163" t="inlineStr">
        <is>
          <t>DIRECCION GENERAL BANCO BASE</t>
        </is>
      </c>
      <c r="O163" t="n">
        <v>420</v>
      </c>
      <c r="P163" t="inlineStr">
        <is>
          <t>DIRECCION ADMINISTRACION Y FINANZAS</t>
        </is>
      </c>
      <c r="Q163" t="n">
        <v>4930</v>
      </c>
      <c r="R163" t="inlineStr">
        <is>
          <t>DIRECCION DE JURIDICO</t>
        </is>
      </c>
      <c r="S163" t="n">
        <v>49330</v>
      </c>
      <c r="T163" t="inlineStr">
        <is>
          <t>SUBDIRECCION JURIDICO TRANSACCIONAL</t>
        </is>
      </c>
      <c r="U163" t="n">
        <v>493300</v>
      </c>
      <c r="V163" t="inlineStr">
        <is>
          <t>SUBDIRECCION JURIDICO TRANSACCIONAL</t>
        </is>
      </c>
      <c r="W163" t="n">
        <v>100101</v>
      </c>
      <c r="X163" t="inlineStr">
        <is>
          <t>CORPORATIVO</t>
        </is>
      </c>
      <c r="Y163" t="n">
        <v>4</v>
      </c>
      <c r="Z163" t="inlineStr">
        <is>
          <t>CORPORATIVO</t>
        </is>
      </c>
      <c r="AA163" t="n">
        <v>1</v>
      </c>
      <c r="AB163" t="inlineStr">
        <is>
          <t>NEGOCIO EN MARCHA</t>
        </is>
      </c>
      <c r="AC163" t="n">
        <v>1</v>
      </c>
      <c r="AD163" t="inlineStr">
        <is>
          <t>BANCO</t>
        </is>
      </c>
      <c r="AE163" t="n">
        <v>1</v>
      </c>
      <c r="AF163" t="inlineStr">
        <is>
          <t>BACK</t>
        </is>
      </c>
      <c r="AG163" t="n">
        <v>100101</v>
      </c>
      <c r="AH163" t="inlineStr">
        <is>
          <t>CORPORATIVO</t>
        </is>
      </c>
      <c r="AI163" t="inlineStr">
        <is>
          <t>RAGUILARB@BANCOBASE.COM</t>
        </is>
      </c>
      <c r="AJ163" s="151" t="n">
        <v>46118</v>
      </c>
      <c r="AK163" s="151" t="n"/>
      <c r="AL163" s="151" t="n"/>
    </row>
    <row r="164" hidden="1" s="150">
      <c r="A164" t="inlineStr">
        <is>
          <t>CCOLORADO</t>
        </is>
      </c>
      <c r="B164" t="n">
        <v>1140</v>
      </c>
      <c r="C164" t="inlineStr">
        <is>
          <t>CLAUDIA ELIZABETH COLORADO MARQUEZ</t>
        </is>
      </c>
      <c r="D164" t="n">
        <v>8123</v>
      </c>
      <c r="E164" t="inlineStr">
        <is>
          <t>GERENTE JURIDICO DE CONTRATACION Y FIDUCIARIA</t>
        </is>
      </c>
      <c r="F164" t="inlineStr">
        <is>
          <t>MONTERREY</t>
        </is>
      </c>
      <c r="G164" t="n">
        <v>923</v>
      </c>
      <c r="H164" t="inlineStr">
        <is>
          <t>IVETTE GUADALUPE GARCIA ALVAREZ</t>
        </is>
      </c>
      <c r="I164" t="n">
        <v>9341</v>
      </c>
      <c r="J164" t="inlineStr">
        <is>
          <t>SUBDIRECTOR JURIDICO TRANSACCIONAL</t>
        </is>
      </c>
      <c r="K164" t="n">
        <v>1</v>
      </c>
      <c r="L164" t="inlineStr">
        <is>
          <t>PRESIDENCIA EJECUTIVA DEL CONSEJO</t>
        </is>
      </c>
      <c r="M164" t="n">
        <v>40</v>
      </c>
      <c r="N164" t="inlineStr">
        <is>
          <t>DIRECCION GENERAL BANCO BASE</t>
        </is>
      </c>
      <c r="O164" t="n">
        <v>420</v>
      </c>
      <c r="P164" t="inlineStr">
        <is>
          <t>DIRECCION ADMINISTRACION Y FINANZAS</t>
        </is>
      </c>
      <c r="Q164" t="n">
        <v>4930</v>
      </c>
      <c r="R164" t="inlineStr">
        <is>
          <t>DIRECCION DE JURIDICO</t>
        </is>
      </c>
      <c r="S164" t="n">
        <v>49330</v>
      </c>
      <c r="T164" t="inlineStr">
        <is>
          <t>SUBDIRECCION JURIDICO TRANSACCIONAL</t>
        </is>
      </c>
      <c r="U164" t="n">
        <v>493300</v>
      </c>
      <c r="V164" t="inlineStr">
        <is>
          <t>SUBDIRECCION JURIDICO TRANSACCIONAL</t>
        </is>
      </c>
      <c r="W164" t="n">
        <v>100101</v>
      </c>
      <c r="X164" t="inlineStr">
        <is>
          <t>CORPORATIVO</t>
        </is>
      </c>
      <c r="Y164" t="n">
        <v>9</v>
      </c>
      <c r="Z164" t="inlineStr">
        <is>
          <t>BANCARIO</t>
        </is>
      </c>
      <c r="AA164" t="n">
        <v>1</v>
      </c>
      <c r="AB164" t="inlineStr">
        <is>
          <t>NEGOCIO EN MARCHA</t>
        </is>
      </c>
      <c r="AC164" t="n">
        <v>1</v>
      </c>
      <c r="AD164" t="inlineStr">
        <is>
          <t>BANCO</t>
        </is>
      </c>
      <c r="AE164" t="n">
        <v>1</v>
      </c>
      <c r="AF164" t="inlineStr">
        <is>
          <t>BACK</t>
        </is>
      </c>
      <c r="AG164" t="n">
        <v>100101</v>
      </c>
      <c r="AH164" t="inlineStr">
        <is>
          <t>CORPORATIVO</t>
        </is>
      </c>
      <c r="AI164" t="inlineStr">
        <is>
          <t>CCOLORADO@BANCOBASE.COM</t>
        </is>
      </c>
      <c r="AJ164" s="151" t="n">
        <v>41738</v>
      </c>
      <c r="AK164" s="151" t="n"/>
      <c r="AL164" s="151" t="n"/>
    </row>
    <row r="165" hidden="1" s="150">
      <c r="A165" t="inlineStr">
        <is>
          <t>OLOPEZC</t>
        </is>
      </c>
      <c r="B165" t="n">
        <v>2374</v>
      </c>
      <c r="C165" t="inlineStr">
        <is>
          <t>OSCAR SANTIAGO LOPEZ CAVAZOS</t>
        </is>
      </c>
      <c r="D165" t="n">
        <v>8335</v>
      </c>
      <c r="E165" t="inlineStr">
        <is>
          <t>ESPECIALISTA JURIDICO DE CONTRATACION</t>
        </is>
      </c>
      <c r="F165" t="inlineStr">
        <is>
          <t>MONTERREY</t>
        </is>
      </c>
      <c r="G165" t="n">
        <v>1140</v>
      </c>
      <c r="H165" t="inlineStr">
        <is>
          <t>CLAUDIA ELIZABETH COLORADO MARQUEZ</t>
        </is>
      </c>
      <c r="I165" t="n">
        <v>8123</v>
      </c>
      <c r="J165" t="inlineStr">
        <is>
          <t>GERENTE JURIDICO DE CONTRATACION Y FIDUCIARIA</t>
        </is>
      </c>
      <c r="K165" t="n">
        <v>1</v>
      </c>
      <c r="L165" t="inlineStr">
        <is>
          <t>PRESIDENCIA EJECUTIVA DEL CONSEJO</t>
        </is>
      </c>
      <c r="M165" t="n">
        <v>40</v>
      </c>
      <c r="N165" t="inlineStr">
        <is>
          <t>DIRECCION GENERAL BANCO BASE</t>
        </is>
      </c>
      <c r="O165" t="n">
        <v>420</v>
      </c>
      <c r="P165" t="inlineStr">
        <is>
          <t>DIRECCION ADMINISTRACION Y FINANZAS</t>
        </is>
      </c>
      <c r="Q165" t="n">
        <v>4930</v>
      </c>
      <c r="R165" t="inlineStr">
        <is>
          <t>DIRECCION DE JURIDICO</t>
        </is>
      </c>
      <c r="S165" t="n">
        <v>49330</v>
      </c>
      <c r="T165" t="inlineStr">
        <is>
          <t>SUBDIRECCION JURIDICO TRANSACCIONAL</t>
        </is>
      </c>
      <c r="U165" t="n">
        <v>493300</v>
      </c>
      <c r="V165" t="inlineStr">
        <is>
          <t>SUBDIRECCION JURIDICO TRANSACCIONAL</t>
        </is>
      </c>
      <c r="W165" t="n">
        <v>100101</v>
      </c>
      <c r="X165" t="inlineStr">
        <is>
          <t>CORPORATIVO</t>
        </is>
      </c>
      <c r="Y165" t="n">
        <v>9</v>
      </c>
      <c r="Z165" t="inlineStr">
        <is>
          <t>BANCARIO</t>
        </is>
      </c>
      <c r="AA165" t="n">
        <v>1</v>
      </c>
      <c r="AB165" t="inlineStr">
        <is>
          <t>NEGOCIO EN MARCHA</t>
        </is>
      </c>
      <c r="AC165" t="n">
        <v>1</v>
      </c>
      <c r="AD165" t="inlineStr">
        <is>
          <t>BANCO</t>
        </is>
      </c>
      <c r="AE165" t="n">
        <v>1</v>
      </c>
      <c r="AF165" t="inlineStr">
        <is>
          <t>BACK</t>
        </is>
      </c>
      <c r="AG165" t="n">
        <v>100101</v>
      </c>
      <c r="AH165" t="inlineStr">
        <is>
          <t>CORPORATIVO</t>
        </is>
      </c>
      <c r="AI165" t="inlineStr">
        <is>
          <t>OLOPEZC@BANCOBASE.COM</t>
        </is>
      </c>
      <c r="AJ165" s="151" t="n">
        <v>43857</v>
      </c>
      <c r="AK165" s="151" t="n"/>
      <c r="AL165" s="151" t="n"/>
    </row>
    <row r="166" hidden="1" s="150">
      <c r="A166" t="inlineStr">
        <is>
          <t>MRANGEL</t>
        </is>
      </c>
      <c r="B166" t="n">
        <v>1758</v>
      </c>
      <c r="C166" t="inlineStr">
        <is>
          <t>MICHELE ESTEPHANIA RANGEL GOMEZ</t>
        </is>
      </c>
      <c r="D166" t="n">
        <v>9521</v>
      </c>
      <c r="E166" t="inlineStr">
        <is>
          <t>ANALISTA JURIDICO DE CONTRATACION</t>
        </is>
      </c>
      <c r="F166" t="inlineStr">
        <is>
          <t>MONTERREY</t>
        </is>
      </c>
      <c r="G166" t="n">
        <v>1140</v>
      </c>
      <c r="H166" t="inlineStr">
        <is>
          <t>CLAUDIA ELIZABETH COLORADO MARQUEZ</t>
        </is>
      </c>
      <c r="I166" t="n">
        <v>8123</v>
      </c>
      <c r="J166" t="inlineStr">
        <is>
          <t>GERENTE JURIDICO DE CONTRATACION Y FIDUCIARIA</t>
        </is>
      </c>
      <c r="K166" t="n">
        <v>1</v>
      </c>
      <c r="L166" t="inlineStr">
        <is>
          <t>PRESIDENCIA EJECUTIVA DEL CONSEJO</t>
        </is>
      </c>
      <c r="M166" t="n">
        <v>40</v>
      </c>
      <c r="N166" t="inlineStr">
        <is>
          <t>DIRECCION GENERAL BANCO BASE</t>
        </is>
      </c>
      <c r="O166" t="n">
        <v>420</v>
      </c>
      <c r="P166" t="inlineStr">
        <is>
          <t>DIRECCION ADMINISTRACION Y FINANZAS</t>
        </is>
      </c>
      <c r="Q166" t="n">
        <v>4930</v>
      </c>
      <c r="R166" t="inlineStr">
        <is>
          <t>DIRECCION DE JURIDICO</t>
        </is>
      </c>
      <c r="S166" t="n">
        <v>49330</v>
      </c>
      <c r="T166" t="inlineStr">
        <is>
          <t>SUBDIRECCION JURIDICO TRANSACCIONAL</t>
        </is>
      </c>
      <c r="U166" t="n">
        <v>493300</v>
      </c>
      <c r="V166" t="inlineStr">
        <is>
          <t>SUBDIRECCION JURIDICO TRANSACCIONAL</t>
        </is>
      </c>
      <c r="W166" t="n">
        <v>100101</v>
      </c>
      <c r="X166" t="inlineStr">
        <is>
          <t>CORPORATIVO</t>
        </is>
      </c>
      <c r="Y166" t="n">
        <v>3</v>
      </c>
      <c r="Z166" t="inlineStr">
        <is>
          <t>CAMBIARIO</t>
        </is>
      </c>
      <c r="AA166" t="n">
        <v>1</v>
      </c>
      <c r="AB166" t="inlineStr">
        <is>
          <t>NEGOCIO EN MARCHA</t>
        </is>
      </c>
      <c r="AC166" t="n">
        <v>1</v>
      </c>
      <c r="AD166" t="inlineStr">
        <is>
          <t>BANCO</t>
        </is>
      </c>
      <c r="AE166" t="n">
        <v>1</v>
      </c>
      <c r="AF166" t="inlineStr">
        <is>
          <t>BACK</t>
        </is>
      </c>
      <c r="AG166" t="n">
        <v>100101</v>
      </c>
      <c r="AH166" t="inlineStr">
        <is>
          <t>CORPORATIVO</t>
        </is>
      </c>
      <c r="AI166" t="inlineStr">
        <is>
          <t>MRANGEL@BANCOBASE.COM</t>
        </is>
      </c>
      <c r="AJ166" s="151" t="n">
        <v>42863</v>
      </c>
      <c r="AK166" s="151" t="n"/>
      <c r="AL166" s="151" t="n"/>
    </row>
    <row r="167" hidden="1" s="150">
      <c r="A167" t="inlineStr">
        <is>
          <t>KBLANCO</t>
        </is>
      </c>
      <c r="B167" t="n">
        <v>3502</v>
      </c>
      <c r="C167" t="inlineStr">
        <is>
          <t>KIMBERLY ANAHI BLANCO BADILLO</t>
        </is>
      </c>
      <c r="D167" t="n">
        <v>9029</v>
      </c>
      <c r="E167" t="inlineStr">
        <is>
          <t>ANALISTA JURIDICO DE CONTRATACION</t>
        </is>
      </c>
      <c r="F167" t="inlineStr">
        <is>
          <t>MONTERREY</t>
        </is>
      </c>
      <c r="G167" t="n">
        <v>1140</v>
      </c>
      <c r="H167" t="inlineStr">
        <is>
          <t>CLAUDIA ELIZABETH COLORADO MARQUEZ</t>
        </is>
      </c>
      <c r="I167" t="n">
        <v>8123</v>
      </c>
      <c r="J167" t="inlineStr">
        <is>
          <t>GERENTE JURIDICO DE CONTRATACION Y FIDUCIARIA</t>
        </is>
      </c>
      <c r="K167" t="n">
        <v>1</v>
      </c>
      <c r="L167" t="inlineStr">
        <is>
          <t>PRESIDENCIA EJECUTIVA DEL CONSEJO</t>
        </is>
      </c>
      <c r="M167" t="n">
        <v>40</v>
      </c>
      <c r="N167" t="inlineStr">
        <is>
          <t>DIRECCION GENERAL BANCO BASE</t>
        </is>
      </c>
      <c r="O167" t="n">
        <v>420</v>
      </c>
      <c r="P167" t="inlineStr">
        <is>
          <t>DIRECCION ADMINISTRACION Y FINANZAS</t>
        </is>
      </c>
      <c r="Q167" t="n">
        <v>4930</v>
      </c>
      <c r="R167" t="inlineStr">
        <is>
          <t>DIRECCION DE JURIDICO</t>
        </is>
      </c>
      <c r="S167" t="n">
        <v>49330</v>
      </c>
      <c r="T167" t="inlineStr">
        <is>
          <t>SUBDIRECCION JURIDICO TRANSACCIONAL</t>
        </is>
      </c>
      <c r="U167" t="n">
        <v>493300</v>
      </c>
      <c r="V167" t="inlineStr">
        <is>
          <t>SUBDIRECCION JURIDICO TRANSACCIONAL</t>
        </is>
      </c>
      <c r="W167" t="n">
        <v>100101</v>
      </c>
      <c r="X167" t="inlineStr">
        <is>
          <t>CORPORATIVO</t>
        </is>
      </c>
      <c r="Y167" t="n">
        <v>9</v>
      </c>
      <c r="Z167" t="inlineStr">
        <is>
          <t>BANCARIO</t>
        </is>
      </c>
      <c r="AA167" t="n">
        <v>1</v>
      </c>
      <c r="AB167" t="inlineStr">
        <is>
          <t>NEGOCIO EN MARCHA</t>
        </is>
      </c>
      <c r="AC167" t="n">
        <v>1</v>
      </c>
      <c r="AD167" t="inlineStr">
        <is>
          <t>BANCO</t>
        </is>
      </c>
      <c r="AE167" t="n">
        <v>1</v>
      </c>
      <c r="AF167" t="inlineStr">
        <is>
          <t>BACK</t>
        </is>
      </c>
      <c r="AG167" t="n">
        <v>100101</v>
      </c>
      <c r="AH167" t="inlineStr">
        <is>
          <t>CORPORATIVO</t>
        </is>
      </c>
      <c r="AI167" t="inlineStr">
        <is>
          <t>KBLANCO@BANCOBASE.COM</t>
        </is>
      </c>
      <c r="AJ167" s="151" t="n">
        <v>45873</v>
      </c>
      <c r="AK167" s="151" t="n"/>
      <c r="AL167" s="151" t="n"/>
    </row>
    <row r="168" hidden="1" s="150">
      <c r="A168" t="inlineStr">
        <is>
          <t>HBORGHARD</t>
        </is>
      </c>
      <c r="B168" t="n">
        <v>2791</v>
      </c>
      <c r="C168" t="inlineStr">
        <is>
          <t>HANS BORGHARDT GARZA</t>
        </is>
      </c>
      <c r="D168" t="n">
        <v>8035</v>
      </c>
      <c r="E168" t="inlineStr">
        <is>
          <t>ANALISTA JURIDICO FIDUCIARIO</t>
        </is>
      </c>
      <c r="F168" t="inlineStr">
        <is>
          <t>MONTERREY</t>
        </is>
      </c>
      <c r="G168" t="n">
        <v>1140</v>
      </c>
      <c r="H168" t="inlineStr">
        <is>
          <t>CLAUDIA ELIZABETH COLORADO MARQUEZ</t>
        </is>
      </c>
      <c r="I168" t="n">
        <v>8123</v>
      </c>
      <c r="J168" t="inlineStr">
        <is>
          <t>GERENTE JURIDICO DE CONTRATACION Y FIDUCIARIA</t>
        </is>
      </c>
      <c r="K168" t="n">
        <v>1</v>
      </c>
      <c r="L168" t="inlineStr">
        <is>
          <t>PRESIDENCIA EJECUTIVA DEL CONSEJO</t>
        </is>
      </c>
      <c r="M168" t="n">
        <v>40</v>
      </c>
      <c r="N168" t="inlineStr">
        <is>
          <t>DIRECCION GENERAL BANCO BASE</t>
        </is>
      </c>
      <c r="O168" t="n">
        <v>420</v>
      </c>
      <c r="P168" t="inlineStr">
        <is>
          <t>DIRECCION ADMINISTRACION Y FINANZAS</t>
        </is>
      </c>
      <c r="Q168" t="n">
        <v>4930</v>
      </c>
      <c r="R168" t="inlineStr">
        <is>
          <t>DIRECCION DE JURIDICO</t>
        </is>
      </c>
      <c r="S168" t="n">
        <v>49330</v>
      </c>
      <c r="T168" t="inlineStr">
        <is>
          <t>SUBDIRECCION JURIDICO TRANSACCIONAL</t>
        </is>
      </c>
      <c r="U168" t="n">
        <v>493300</v>
      </c>
      <c r="V168" t="inlineStr">
        <is>
          <t>SUBDIRECCION JURIDICO TRANSACCIONAL</t>
        </is>
      </c>
      <c r="W168" t="n">
        <v>100101</v>
      </c>
      <c r="X168" t="inlineStr">
        <is>
          <t>CORPORATIVO</t>
        </is>
      </c>
      <c r="Y168" t="n">
        <v>9</v>
      </c>
      <c r="Z168" t="inlineStr">
        <is>
          <t>BANCARIO</t>
        </is>
      </c>
      <c r="AA168" t="n">
        <v>1</v>
      </c>
      <c r="AB168" t="inlineStr">
        <is>
          <t>NEGOCIO EN MARCHA</t>
        </is>
      </c>
      <c r="AC168" t="n">
        <v>1</v>
      </c>
      <c r="AD168" t="inlineStr">
        <is>
          <t>BANCO</t>
        </is>
      </c>
      <c r="AE168" t="n">
        <v>1</v>
      </c>
      <c r="AF168" t="inlineStr">
        <is>
          <t>BACK</t>
        </is>
      </c>
      <c r="AG168" t="n">
        <v>100101</v>
      </c>
      <c r="AH168" t="inlineStr">
        <is>
          <t>CORPORATIVO</t>
        </is>
      </c>
      <c r="AI168" t="inlineStr">
        <is>
          <t>HBORGHARD@BANCOBASE.COM</t>
        </is>
      </c>
      <c r="AJ168" s="151" t="n">
        <v>44896</v>
      </c>
      <c r="AK168" s="151" t="n"/>
      <c r="AL168" s="151" t="n"/>
    </row>
    <row r="169" hidden="1" s="150">
      <c r="A169" t="inlineStr">
        <is>
          <t>NMURO</t>
        </is>
      </c>
      <c r="B169" t="n">
        <v>2732</v>
      </c>
      <c r="C169" t="inlineStr">
        <is>
          <t>NANCY ELIZABETH MURO RAMIREZ</t>
        </is>
      </c>
      <c r="D169" t="n">
        <v>8395</v>
      </c>
      <c r="E169" t="inlineStr">
        <is>
          <t>ANALISTA JURIDICO FIDUCIARIO</t>
        </is>
      </c>
      <c r="F169" t="inlineStr">
        <is>
          <t>MONTERREY</t>
        </is>
      </c>
      <c r="G169" t="n">
        <v>1140</v>
      </c>
      <c r="H169" t="inlineStr">
        <is>
          <t>CLAUDIA ELIZABETH COLORADO MARQUEZ</t>
        </is>
      </c>
      <c r="I169" t="n">
        <v>8123</v>
      </c>
      <c r="J169" t="inlineStr">
        <is>
          <t>GERENTE JURIDICO DE CONTRATACION Y FIDUCIARIA</t>
        </is>
      </c>
      <c r="K169" t="n">
        <v>1</v>
      </c>
      <c r="L169" t="inlineStr">
        <is>
          <t>PRESIDENCIA EJECUTIVA DEL CONSEJO</t>
        </is>
      </c>
      <c r="M169" t="n">
        <v>40</v>
      </c>
      <c r="N169" t="inlineStr">
        <is>
          <t>DIRECCION GENERAL BANCO BASE</t>
        </is>
      </c>
      <c r="O169" t="n">
        <v>420</v>
      </c>
      <c r="P169" t="inlineStr">
        <is>
          <t>DIRECCION ADMINISTRACION Y FINANZAS</t>
        </is>
      </c>
      <c r="Q169" t="n">
        <v>4930</v>
      </c>
      <c r="R169" t="inlineStr">
        <is>
          <t>DIRECCION DE JURIDICO</t>
        </is>
      </c>
      <c r="S169" t="n">
        <v>49330</v>
      </c>
      <c r="T169" t="inlineStr">
        <is>
          <t>SUBDIRECCION JURIDICO TRANSACCIONAL</t>
        </is>
      </c>
      <c r="U169" t="n">
        <v>493300</v>
      </c>
      <c r="V169" t="inlineStr">
        <is>
          <t>SUBDIRECCION JURIDICO TRANSACCIONAL</t>
        </is>
      </c>
      <c r="W169" t="n">
        <v>100101</v>
      </c>
      <c r="X169" t="inlineStr">
        <is>
          <t>CORPORATIVO</t>
        </is>
      </c>
      <c r="Y169" t="n">
        <v>9</v>
      </c>
      <c r="Z169" t="inlineStr">
        <is>
          <t>BANCARIO</t>
        </is>
      </c>
      <c r="AA169" t="n">
        <v>1</v>
      </c>
      <c r="AB169" t="inlineStr">
        <is>
          <t>NEGOCIO EN MARCHA</t>
        </is>
      </c>
      <c r="AC169" t="n">
        <v>1</v>
      </c>
      <c r="AD169" t="inlineStr">
        <is>
          <t>BANCO</t>
        </is>
      </c>
      <c r="AE169" t="n">
        <v>1</v>
      </c>
      <c r="AF169" t="inlineStr">
        <is>
          <t>BACK</t>
        </is>
      </c>
      <c r="AG169" t="n">
        <v>100101</v>
      </c>
      <c r="AH169" t="inlineStr">
        <is>
          <t>CORPORATIVO</t>
        </is>
      </c>
      <c r="AI169" t="inlineStr">
        <is>
          <t>NMURO@BANCOBASE.COM</t>
        </is>
      </c>
      <c r="AJ169" s="151" t="n">
        <v>44823</v>
      </c>
      <c r="AK169" s="151" t="n"/>
      <c r="AL169" s="151" t="n"/>
    </row>
    <row r="170" hidden="1" s="150">
      <c r="A170" t="inlineStr">
        <is>
          <t>AMARTINECO</t>
        </is>
      </c>
      <c r="B170" t="n">
        <v>3785</v>
      </c>
      <c r="C170" t="inlineStr">
        <is>
          <t>ALEXIA SOFIA MARTINEZ CORONADO</t>
        </is>
      </c>
      <c r="D170" t="n">
        <v>10200</v>
      </c>
      <c r="E170" t="inlineStr">
        <is>
          <t>ANALISTA JURIDICO DE CONTRATACION</t>
        </is>
      </c>
      <c r="F170" t="inlineStr">
        <is>
          <t>MONTERREY</t>
        </is>
      </c>
      <c r="G170" t="n">
        <v>1140</v>
      </c>
      <c r="H170" t="inlineStr">
        <is>
          <t>CLAUDIA ELIZABETH COLORADO MARQUEZ</t>
        </is>
      </c>
      <c r="I170" t="n">
        <v>8123</v>
      </c>
      <c r="J170" t="inlineStr">
        <is>
          <t>GERENTE JURIDICO DE CONTRATACION Y FIDUCIARIA</t>
        </is>
      </c>
      <c r="K170" t="n">
        <v>1</v>
      </c>
      <c r="L170" t="inlineStr">
        <is>
          <t>PRESIDENCIA EJECUTIVA DEL CONSEJO</t>
        </is>
      </c>
      <c r="M170" t="n">
        <v>40</v>
      </c>
      <c r="N170" t="inlineStr">
        <is>
          <t>DIRECCION GENERAL BANCO BASE</t>
        </is>
      </c>
      <c r="O170" t="n">
        <v>420</v>
      </c>
      <c r="P170" t="inlineStr">
        <is>
          <t>DIRECCION ADMINISTRACION Y FINANZAS</t>
        </is>
      </c>
      <c r="Q170" t="n">
        <v>4930</v>
      </c>
      <c r="R170" t="inlineStr">
        <is>
          <t>DIRECCION DE JURIDICO</t>
        </is>
      </c>
      <c r="S170" t="n">
        <v>49330</v>
      </c>
      <c r="T170" t="inlineStr">
        <is>
          <t>SUBDIRECCION JURIDICO TRANSACCIONAL</t>
        </is>
      </c>
      <c r="U170" t="n">
        <v>493300</v>
      </c>
      <c r="V170" t="inlineStr">
        <is>
          <t>SUBDIRECCION JURIDICO TRANSACCIONAL</t>
        </is>
      </c>
      <c r="W170" t="n">
        <v>100101</v>
      </c>
      <c r="X170" t="inlineStr">
        <is>
          <t>CORPORATIVO</t>
        </is>
      </c>
      <c r="Y170" t="n">
        <v>9</v>
      </c>
      <c r="Z170" t="inlineStr">
        <is>
          <t>BANCARIO</t>
        </is>
      </c>
      <c r="AA170" t="n">
        <v>1</v>
      </c>
      <c r="AB170" t="inlineStr">
        <is>
          <t>NEGOCIO EN MARCHA</t>
        </is>
      </c>
      <c r="AC170" t="n">
        <v>1</v>
      </c>
      <c r="AD170" t="inlineStr">
        <is>
          <t>BANCO</t>
        </is>
      </c>
      <c r="AE170" t="n">
        <v>1</v>
      </c>
      <c r="AF170" t="inlineStr">
        <is>
          <t>BACK</t>
        </is>
      </c>
      <c r="AG170" t="n">
        <v>100101</v>
      </c>
      <c r="AH170" t="inlineStr">
        <is>
          <t>CORPORATIVO</t>
        </is>
      </c>
      <c r="AI170" t="inlineStr">
        <is>
          <t>AMARTINECO@BANCOBASE.COM</t>
        </is>
      </c>
      <c r="AJ170" s="151" t="n">
        <v>46098</v>
      </c>
      <c r="AK170" s="151" t="n"/>
      <c r="AL170" s="151" t="n"/>
    </row>
    <row r="171" hidden="1" s="150">
      <c r="A171" t="inlineStr">
        <is>
          <t>CLOPEZS</t>
        </is>
      </c>
      <c r="B171" t="n">
        <v>2224</v>
      </c>
      <c r="C171" t="inlineStr">
        <is>
          <t>CONNIE ELIZABETH LOPEZ SILVA</t>
        </is>
      </c>
      <c r="D171" t="n">
        <v>8127</v>
      </c>
      <c r="E171" t="inlineStr">
        <is>
          <t>GERENTE JURIDICO DE CONTRATACION</t>
        </is>
      </c>
      <c r="F171" t="inlineStr">
        <is>
          <t>GUADALAJARA</t>
        </is>
      </c>
      <c r="G171" t="n">
        <v>923</v>
      </c>
      <c r="H171" t="inlineStr">
        <is>
          <t>IVETTE GUADALUPE GARCIA ALVAREZ</t>
        </is>
      </c>
      <c r="I171" t="n">
        <v>9341</v>
      </c>
      <c r="J171" t="inlineStr">
        <is>
          <t>SUBDIRECTOR JURIDICO TRANSACCIONAL</t>
        </is>
      </c>
      <c r="K171" t="n">
        <v>1</v>
      </c>
      <c r="L171" t="inlineStr">
        <is>
          <t>PRESIDENCIA EJECUTIVA DEL CONSEJO</t>
        </is>
      </c>
      <c r="M171" t="n">
        <v>40</v>
      </c>
      <c r="N171" t="inlineStr">
        <is>
          <t>DIRECCION GENERAL BANCO BASE</t>
        </is>
      </c>
      <c r="O171" t="n">
        <v>420</v>
      </c>
      <c r="P171" t="inlineStr">
        <is>
          <t>DIRECCION ADMINISTRACION Y FINANZAS</t>
        </is>
      </c>
      <c r="Q171" t="n">
        <v>4930</v>
      </c>
      <c r="R171" t="inlineStr">
        <is>
          <t>DIRECCION DE JURIDICO</t>
        </is>
      </c>
      <c r="S171" t="n">
        <v>49330</v>
      </c>
      <c r="T171" t="inlineStr">
        <is>
          <t>SUBDIRECCION JURIDICO TRANSACCIONAL</t>
        </is>
      </c>
      <c r="U171" t="n">
        <v>493300</v>
      </c>
      <c r="V171" t="inlineStr">
        <is>
          <t>SUBDIRECCION JURIDICO TRANSACCIONAL</t>
        </is>
      </c>
      <c r="W171" t="n">
        <v>126107</v>
      </c>
      <c r="X171" t="inlineStr">
        <is>
          <t>GUADALAJARA</t>
        </is>
      </c>
      <c r="Y171" t="n">
        <v>9</v>
      </c>
      <c r="Z171" t="inlineStr">
        <is>
          <t>BANCARIO</t>
        </is>
      </c>
      <c r="AA171" t="n">
        <v>1</v>
      </c>
      <c r="AB171" t="inlineStr">
        <is>
          <t>NEGOCIO EN MARCHA</t>
        </is>
      </c>
      <c r="AC171" t="n">
        <v>1</v>
      </c>
      <c r="AD171" t="inlineStr">
        <is>
          <t>BANCO</t>
        </is>
      </c>
      <c r="AE171" t="n">
        <v>1</v>
      </c>
      <c r="AF171" t="inlineStr">
        <is>
          <t>BACK</t>
        </is>
      </c>
      <c r="AG171" t="n">
        <v>126107</v>
      </c>
      <c r="AH171" t="inlineStr">
        <is>
          <t>GUADALAJARA</t>
        </is>
      </c>
      <c r="AI171" t="inlineStr">
        <is>
          <t>CLOPEZS@BANCOBASE.COM</t>
        </is>
      </c>
      <c r="AJ171" s="151" t="n">
        <v>43563</v>
      </c>
      <c r="AK171" s="151" t="n"/>
      <c r="AL171" s="151" t="n"/>
    </row>
    <row r="172" hidden="1" s="150">
      <c r="A172" t="inlineStr">
        <is>
          <t>DGARCIAC</t>
        </is>
      </c>
      <c r="B172" t="n">
        <v>3261</v>
      </c>
      <c r="C172" t="inlineStr">
        <is>
          <t>DARINKA GARCIA DE LA CRUZ</t>
        </is>
      </c>
      <c r="D172" t="n">
        <v>10108</v>
      </c>
      <c r="E172" t="inlineStr">
        <is>
          <t>ANALISTA JURIDICO DE CONTRATACION</t>
        </is>
      </c>
      <c r="F172" t="inlineStr">
        <is>
          <t>GUADALAJARA</t>
        </is>
      </c>
      <c r="G172" t="n">
        <v>2224</v>
      </c>
      <c r="H172" t="inlineStr">
        <is>
          <t>CONNIE ELIZABETH LOPEZ SILVA</t>
        </is>
      </c>
      <c r="I172" t="n">
        <v>8127</v>
      </c>
      <c r="J172" t="inlineStr">
        <is>
          <t>GERENTE JURIDICO DE CONTRATACION</t>
        </is>
      </c>
      <c r="K172" t="n">
        <v>1</v>
      </c>
      <c r="L172" t="inlineStr">
        <is>
          <t>PRESIDENCIA EJECUTIVA DEL CONSEJO</t>
        </is>
      </c>
      <c r="M172" t="n">
        <v>40</v>
      </c>
      <c r="N172" t="inlineStr">
        <is>
          <t>DIRECCION GENERAL BANCO BASE</t>
        </is>
      </c>
      <c r="O172" t="n">
        <v>420</v>
      </c>
      <c r="P172" t="inlineStr">
        <is>
          <t>DIRECCION ADMINISTRACION Y FINANZAS</t>
        </is>
      </c>
      <c r="Q172" t="n">
        <v>4930</v>
      </c>
      <c r="R172" t="inlineStr">
        <is>
          <t>DIRECCION DE JURIDICO</t>
        </is>
      </c>
      <c r="S172" t="n">
        <v>49330</v>
      </c>
      <c r="T172" t="inlineStr">
        <is>
          <t>SUBDIRECCION JURIDICO TRANSACCIONAL</t>
        </is>
      </c>
      <c r="U172" t="n">
        <v>493300</v>
      </c>
      <c r="V172" t="inlineStr">
        <is>
          <t>SUBDIRECCION JURIDICO TRANSACCIONAL</t>
        </is>
      </c>
      <c r="W172" t="n">
        <v>126107</v>
      </c>
      <c r="X172" t="inlineStr">
        <is>
          <t>GUADALAJARA</t>
        </is>
      </c>
      <c r="Y172" t="n">
        <v>4</v>
      </c>
      <c r="Z172" t="inlineStr">
        <is>
          <t>CORPORATIVO</t>
        </is>
      </c>
      <c r="AA172" t="n">
        <v>1</v>
      </c>
      <c r="AB172" t="inlineStr">
        <is>
          <t>NEGOCIO EN MARCHA</t>
        </is>
      </c>
      <c r="AC172" t="n">
        <v>1</v>
      </c>
      <c r="AD172" t="inlineStr">
        <is>
          <t>BANCO</t>
        </is>
      </c>
      <c r="AE172" t="n">
        <v>1</v>
      </c>
      <c r="AF172" t="inlineStr">
        <is>
          <t>BACK</t>
        </is>
      </c>
      <c r="AG172" t="n">
        <v>126107</v>
      </c>
      <c r="AH172" t="inlineStr">
        <is>
          <t>GUADALAJARA</t>
        </is>
      </c>
      <c r="AI172" t="inlineStr">
        <is>
          <t>DGARCIAC@BANCOBASE.COM</t>
        </is>
      </c>
      <c r="AJ172" s="151" t="n">
        <v>45600</v>
      </c>
      <c r="AK172" s="151" t="n"/>
      <c r="AL172" s="151" t="n"/>
    </row>
    <row r="173" hidden="1" s="150">
      <c r="A173" t="inlineStr">
        <is>
          <t>DPONCES</t>
        </is>
      </c>
      <c r="B173" t="n">
        <v>1689</v>
      </c>
      <c r="C173" t="inlineStr">
        <is>
          <t>DAYANA PONCE SANTOYO</t>
        </is>
      </c>
      <c r="D173" t="n">
        <v>8128</v>
      </c>
      <c r="E173" t="inlineStr">
        <is>
          <t>GERENTE JURIDICO DE CONTRATACION</t>
        </is>
      </c>
      <c r="F173" t="inlineStr">
        <is>
          <t>MEXICO</t>
        </is>
      </c>
      <c r="G173" t="n">
        <v>923</v>
      </c>
      <c r="H173" t="inlineStr">
        <is>
          <t>IVETTE GUADALUPE GARCIA ALVAREZ</t>
        </is>
      </c>
      <c r="I173" t="n">
        <v>9341</v>
      </c>
      <c r="J173" t="inlineStr">
        <is>
          <t>SUBDIRECTOR JURIDICO TRANSACCIONAL</t>
        </is>
      </c>
      <c r="K173" t="n">
        <v>1</v>
      </c>
      <c r="L173" t="inlineStr">
        <is>
          <t>PRESIDENCIA EJECUTIVA DEL CONSEJO</t>
        </is>
      </c>
      <c r="M173" t="n">
        <v>40</v>
      </c>
      <c r="N173" t="inlineStr">
        <is>
          <t>DIRECCION GENERAL BANCO BASE</t>
        </is>
      </c>
      <c r="O173" t="n">
        <v>420</v>
      </c>
      <c r="P173" t="inlineStr">
        <is>
          <t>DIRECCION ADMINISTRACION Y FINANZAS</t>
        </is>
      </c>
      <c r="Q173" t="n">
        <v>4930</v>
      </c>
      <c r="R173" t="inlineStr">
        <is>
          <t>DIRECCION DE JURIDICO</t>
        </is>
      </c>
      <c r="S173" t="n">
        <v>49330</v>
      </c>
      <c r="T173" t="inlineStr">
        <is>
          <t>SUBDIRECCION JURIDICO TRANSACCIONAL</t>
        </is>
      </c>
      <c r="U173" t="n">
        <v>493300</v>
      </c>
      <c r="V173" t="inlineStr">
        <is>
          <t>SUBDIRECCION JURIDICO TRANSACCIONAL</t>
        </is>
      </c>
      <c r="W173" t="n">
        <v>134111</v>
      </c>
      <c r="X173" t="inlineStr">
        <is>
          <t>LOMAS</t>
        </is>
      </c>
      <c r="Y173" t="n">
        <v>9</v>
      </c>
      <c r="Z173" t="inlineStr">
        <is>
          <t>BANCARIO</t>
        </is>
      </c>
      <c r="AA173" t="n">
        <v>1</v>
      </c>
      <c r="AB173" t="inlineStr">
        <is>
          <t>NEGOCIO EN MARCHA</t>
        </is>
      </c>
      <c r="AC173" t="n">
        <v>1</v>
      </c>
      <c r="AD173" t="inlineStr">
        <is>
          <t>BANCO</t>
        </is>
      </c>
      <c r="AE173" t="n">
        <v>1</v>
      </c>
      <c r="AF173" t="inlineStr">
        <is>
          <t>BACK</t>
        </is>
      </c>
      <c r="AG173" t="n">
        <v>134111</v>
      </c>
      <c r="AH173" t="inlineStr">
        <is>
          <t>LOMAS</t>
        </is>
      </c>
      <c r="AI173" t="inlineStr">
        <is>
          <t>DPONCES@BANCOBASE.COM</t>
        </is>
      </c>
      <c r="AJ173" s="151" t="n">
        <v>42751</v>
      </c>
      <c r="AK173" s="151" t="n"/>
      <c r="AL173" s="151" t="n"/>
    </row>
    <row r="174" hidden="1" s="150">
      <c r="A174" t="inlineStr">
        <is>
          <t>CARCINIEGA</t>
        </is>
      </c>
      <c r="B174" t="n">
        <v>3278</v>
      </c>
      <c r="C174" t="inlineStr">
        <is>
          <t>CARLOS MANUEL ARCINIEGA ALVARADO</t>
        </is>
      </c>
      <c r="D174" t="n">
        <v>9791</v>
      </c>
      <c r="E174" t="inlineStr">
        <is>
          <t>ANALISTA JURIDICO DE CONTRATACION</t>
        </is>
      </c>
      <c r="F174" t="inlineStr">
        <is>
          <t>MEXICO</t>
        </is>
      </c>
      <c r="G174" t="n">
        <v>1689</v>
      </c>
      <c r="H174" t="inlineStr">
        <is>
          <t>DAYANA PONCE SANTOYO</t>
        </is>
      </c>
      <c r="I174" t="n">
        <v>8128</v>
      </c>
      <c r="J174" t="inlineStr">
        <is>
          <t>GERENTE JURIDICO DE CONTRATACION</t>
        </is>
      </c>
      <c r="K174" t="n">
        <v>1</v>
      </c>
      <c r="L174" t="inlineStr">
        <is>
          <t>PRESIDENCIA EJECUTIVA DEL CONSEJO</t>
        </is>
      </c>
      <c r="M174" t="n">
        <v>40</v>
      </c>
      <c r="N174" t="inlineStr">
        <is>
          <t>DIRECCION GENERAL BANCO BASE</t>
        </is>
      </c>
      <c r="O174" t="n">
        <v>420</v>
      </c>
      <c r="P174" t="inlineStr">
        <is>
          <t>DIRECCION ADMINISTRACION Y FINANZAS</t>
        </is>
      </c>
      <c r="Q174" t="n">
        <v>4930</v>
      </c>
      <c r="R174" t="inlineStr">
        <is>
          <t>DIRECCION DE JURIDICO</t>
        </is>
      </c>
      <c r="S174" t="n">
        <v>49330</v>
      </c>
      <c r="T174" t="inlineStr">
        <is>
          <t>SUBDIRECCION JURIDICO TRANSACCIONAL</t>
        </is>
      </c>
      <c r="U174" t="n">
        <v>493300</v>
      </c>
      <c r="V174" t="inlineStr">
        <is>
          <t>SUBDIRECCION JURIDICO TRANSACCIONAL</t>
        </is>
      </c>
      <c r="W174" t="n">
        <v>134111</v>
      </c>
      <c r="X174" t="inlineStr">
        <is>
          <t>LOMAS</t>
        </is>
      </c>
      <c r="Y174" t="n">
        <v>4</v>
      </c>
      <c r="Z174" t="inlineStr">
        <is>
          <t>CORPORATIVO</t>
        </is>
      </c>
      <c r="AA174" t="n">
        <v>1</v>
      </c>
      <c r="AB174" t="inlineStr">
        <is>
          <t>NEGOCIO EN MARCHA</t>
        </is>
      </c>
      <c r="AC174" t="n">
        <v>1</v>
      </c>
      <c r="AD174" t="inlineStr">
        <is>
          <t>BANCO</t>
        </is>
      </c>
      <c r="AE174" t="n">
        <v>1</v>
      </c>
      <c r="AF174" t="inlineStr">
        <is>
          <t>BACK</t>
        </is>
      </c>
      <c r="AG174" t="n">
        <v>134111</v>
      </c>
      <c r="AH174" t="inlineStr">
        <is>
          <t>LOMAS</t>
        </is>
      </c>
      <c r="AI174" t="inlineStr">
        <is>
          <t>CARCINIEGA@BANCOBASE.COM</t>
        </is>
      </c>
      <c r="AJ174" s="151" t="n">
        <v>45615</v>
      </c>
      <c r="AK174" s="151" t="n"/>
      <c r="AL174" s="151" t="n"/>
    </row>
    <row r="175" hidden="1" s="150">
      <c r="A175" t="inlineStr">
        <is>
          <t>JLUNAP</t>
        </is>
      </c>
      <c r="B175" t="n">
        <v>2986</v>
      </c>
      <c r="C175" t="inlineStr">
        <is>
          <t>JOSUE YOZAFAT LUNA PEREZ</t>
        </is>
      </c>
      <c r="D175" t="n">
        <v>517731</v>
      </c>
      <c r="E175" t="inlineStr">
        <is>
          <t>GERENTE JURIDICO DE NUEVOS PRODUCTOS Y NEGOCIOS</t>
        </is>
      </c>
      <c r="F175" t="inlineStr">
        <is>
          <t>MONTERREY</t>
        </is>
      </c>
      <c r="G175" t="n">
        <v>923</v>
      </c>
      <c r="H175" t="inlineStr">
        <is>
          <t>IVETTE GUADALUPE GARCIA ALVAREZ</t>
        </is>
      </c>
      <c r="I175" t="n">
        <v>9341</v>
      </c>
      <c r="J175" t="inlineStr">
        <is>
          <t>SUBDIRECTOR JURIDICO TRANSACCIONAL</t>
        </is>
      </c>
      <c r="K175" t="n">
        <v>1</v>
      </c>
      <c r="L175" t="inlineStr">
        <is>
          <t>PRESIDENCIA EJECUTIVA DEL CONSEJO</t>
        </is>
      </c>
      <c r="M175" t="n">
        <v>40</v>
      </c>
      <c r="N175" t="inlineStr">
        <is>
          <t>DIRECCION GENERAL BANCO BASE</t>
        </is>
      </c>
      <c r="O175" t="n">
        <v>420</v>
      </c>
      <c r="P175" t="inlineStr">
        <is>
          <t>DIRECCION ADMINISTRACION Y FINANZAS</t>
        </is>
      </c>
      <c r="Q175" t="n">
        <v>4930</v>
      </c>
      <c r="R175" t="inlineStr">
        <is>
          <t>DIRECCION DE JURIDICO</t>
        </is>
      </c>
      <c r="S175" t="n">
        <v>49350</v>
      </c>
      <c r="T175" t="inlineStr">
        <is>
          <t>JURIDICO DE NUEVOS PRODUCTOS Y MERCADOS FINANCIERO</t>
        </is>
      </c>
      <c r="U175" t="n">
        <v>493500</v>
      </c>
      <c r="V175" t="inlineStr">
        <is>
          <t>JURIDICO DE NUEVOS PRODUCTOS Y MERCADOS FINANCIERO</t>
        </is>
      </c>
      <c r="W175" t="n">
        <v>100101</v>
      </c>
      <c r="X175" t="inlineStr">
        <is>
          <t>CORPORATIVO</t>
        </is>
      </c>
      <c r="Y175" t="n">
        <v>4</v>
      </c>
      <c r="Z175" t="inlineStr">
        <is>
          <t>CORPORATIVO</t>
        </is>
      </c>
      <c r="AA175" t="n">
        <v>1</v>
      </c>
      <c r="AB175" t="inlineStr">
        <is>
          <t>NEGOCIO EN MARCHA</t>
        </is>
      </c>
      <c r="AC175" t="n">
        <v>1</v>
      </c>
      <c r="AD175" t="inlineStr">
        <is>
          <t>BANCO</t>
        </is>
      </c>
      <c r="AE175" t="n">
        <v>1</v>
      </c>
      <c r="AF175" t="inlineStr">
        <is>
          <t>BACK</t>
        </is>
      </c>
      <c r="AG175" t="n">
        <v>100101</v>
      </c>
      <c r="AH175" t="inlineStr">
        <is>
          <t>CORPORATIVO</t>
        </is>
      </c>
      <c r="AI175" t="inlineStr">
        <is>
          <t>JLUNAP@BANCOBASE.COM</t>
        </is>
      </c>
      <c r="AJ175" s="151" t="n">
        <v>45246</v>
      </c>
      <c r="AK175" s="151" t="n"/>
      <c r="AL175" s="151" t="n"/>
    </row>
    <row r="176" hidden="1" s="150">
      <c r="A176" t="inlineStr">
        <is>
          <t>ABOSQUE</t>
        </is>
      </c>
      <c r="B176" t="n">
        <v>2740</v>
      </c>
      <c r="C176" t="inlineStr">
        <is>
          <t>ANTONIO DEL BOSQUE FANTI</t>
        </is>
      </c>
      <c r="D176" t="n">
        <v>9720</v>
      </c>
      <c r="E176" t="inlineStr">
        <is>
          <t>ANALISTA JURIDICO SR NUEVOS NEGOCIOS</t>
        </is>
      </c>
      <c r="F176" t="inlineStr">
        <is>
          <t>MONTERREY</t>
        </is>
      </c>
      <c r="G176" t="n">
        <v>2986</v>
      </c>
      <c r="H176" t="inlineStr">
        <is>
          <t>JOSUE YOZAFAT LUNA PEREZ</t>
        </is>
      </c>
      <c r="I176" t="n">
        <v>517731</v>
      </c>
      <c r="J176" t="inlineStr">
        <is>
          <t>GERENTE JURIDICO DE NUEVOS PRODUCTOS Y NEGOCIOS</t>
        </is>
      </c>
      <c r="K176" t="n">
        <v>1</v>
      </c>
      <c r="L176" t="inlineStr">
        <is>
          <t>PRESIDENCIA EJECUTIVA DEL CONSEJO</t>
        </is>
      </c>
      <c r="M176" t="n">
        <v>40</v>
      </c>
      <c r="N176" t="inlineStr">
        <is>
          <t>DIRECCION GENERAL BANCO BASE</t>
        </is>
      </c>
      <c r="O176" t="n">
        <v>420</v>
      </c>
      <c r="P176" t="inlineStr">
        <is>
          <t>DIRECCION ADMINISTRACION Y FINANZAS</t>
        </is>
      </c>
      <c r="Q176" t="n">
        <v>4930</v>
      </c>
      <c r="R176" t="inlineStr">
        <is>
          <t>DIRECCION DE JURIDICO</t>
        </is>
      </c>
      <c r="S176" t="n">
        <v>49350</v>
      </c>
      <c r="T176" t="inlineStr">
        <is>
          <t>JURIDICO DE NUEVOS PRODUCTOS Y MERCADOS FINANCIERO</t>
        </is>
      </c>
      <c r="U176" t="n">
        <v>493500</v>
      </c>
      <c r="V176" t="inlineStr">
        <is>
          <t>JURIDICO DE NUEVOS PRODUCTOS Y MERCADOS FINANCIERO</t>
        </is>
      </c>
      <c r="W176" t="n">
        <v>100101</v>
      </c>
      <c r="X176" t="inlineStr">
        <is>
          <t>CORPORATIVO</t>
        </is>
      </c>
      <c r="Y176" t="n">
        <v>9</v>
      </c>
      <c r="Z176" t="inlineStr">
        <is>
          <t>BANCARIO</t>
        </is>
      </c>
      <c r="AA176" t="n">
        <v>1</v>
      </c>
      <c r="AB176" t="inlineStr">
        <is>
          <t>NEGOCIO EN MARCHA</t>
        </is>
      </c>
      <c r="AC176" t="n">
        <v>1</v>
      </c>
      <c r="AD176" t="inlineStr">
        <is>
          <t>BANCO</t>
        </is>
      </c>
      <c r="AE176" t="n">
        <v>1</v>
      </c>
      <c r="AF176" t="inlineStr">
        <is>
          <t>BACK</t>
        </is>
      </c>
      <c r="AG176" t="n">
        <v>100101</v>
      </c>
      <c r="AH176" t="inlineStr">
        <is>
          <t>CORPORATIVO</t>
        </is>
      </c>
      <c r="AI176" t="inlineStr">
        <is>
          <t>ABOSQUE@BANCOBASE.COM</t>
        </is>
      </c>
      <c r="AJ176" s="151" t="n">
        <v>44837</v>
      </c>
      <c r="AK176" s="151" t="n"/>
      <c r="AL176" s="151" t="n"/>
    </row>
    <row r="177" hidden="1" s="150">
      <c r="A177" t="inlineStr">
        <is>
          <t>LHERNANDEP</t>
        </is>
      </c>
      <c r="B177" t="n">
        <v>2120</v>
      </c>
      <c r="C177" t="inlineStr">
        <is>
          <t>ANA LUCIA HERNANDEZ PINEDA</t>
        </is>
      </c>
      <c r="D177" t="n">
        <v>8256</v>
      </c>
      <c r="E177" t="inlineStr">
        <is>
          <t>SUBDIRECTOR JURIDICO CORPORATIVO</t>
        </is>
      </c>
      <c r="F177" t="inlineStr">
        <is>
          <t>MONTERREY</t>
        </is>
      </c>
      <c r="I177" t="n">
        <v>177</v>
      </c>
      <c r="J177" t="inlineStr">
        <is>
          <t>DIRECTOR JURIDICO Y CUMPLIMIENTO</t>
        </is>
      </c>
      <c r="K177" t="n">
        <v>1</v>
      </c>
      <c r="L177" t="inlineStr">
        <is>
          <t>PRESIDENCIA EJECUTIVA DEL CONSEJO</t>
        </is>
      </c>
      <c r="M177" t="n">
        <v>40</v>
      </c>
      <c r="N177" t="inlineStr">
        <is>
          <t>DIRECCION GENERAL BANCO BASE</t>
        </is>
      </c>
      <c r="O177" t="n">
        <v>420</v>
      </c>
      <c r="P177" t="inlineStr">
        <is>
          <t>DIRECCION ADMINISTRACION Y FINANZAS</t>
        </is>
      </c>
      <c r="Q177" t="n">
        <v>4930</v>
      </c>
      <c r="R177" t="inlineStr">
        <is>
          <t>DIRECCION DE JURIDICO</t>
        </is>
      </c>
      <c r="S177" t="n">
        <v>49320</v>
      </c>
      <c r="T177" t="inlineStr">
        <is>
          <t>GOBIERNO CORPORATIVO</t>
        </is>
      </c>
      <c r="U177" t="n">
        <v>493200</v>
      </c>
      <c r="V177" t="inlineStr">
        <is>
          <t>GOBIERNO CORPORATIVO</t>
        </is>
      </c>
      <c r="W177" t="n">
        <v>100101</v>
      </c>
      <c r="X177" t="inlineStr">
        <is>
          <t>CORPORATIVO</t>
        </is>
      </c>
      <c r="Y177" t="n">
        <v>4</v>
      </c>
      <c r="Z177" t="inlineStr">
        <is>
          <t>CORPORATIVO</t>
        </is>
      </c>
      <c r="AA177" t="n">
        <v>1</v>
      </c>
      <c r="AB177" t="inlineStr">
        <is>
          <t>NEGOCIO EN MARCHA</t>
        </is>
      </c>
      <c r="AC177" t="n">
        <v>1</v>
      </c>
      <c r="AD177" t="inlineStr">
        <is>
          <t>BANCO</t>
        </is>
      </c>
      <c r="AE177" t="n">
        <v>1</v>
      </c>
      <c r="AF177" t="inlineStr">
        <is>
          <t>BACK</t>
        </is>
      </c>
      <c r="AG177" t="n">
        <v>100101</v>
      </c>
      <c r="AH177" t="inlineStr">
        <is>
          <t>CORPORATIVO</t>
        </is>
      </c>
      <c r="AI177" t="inlineStr">
        <is>
          <t>LHERNANDEP@BANCOBASE.COM</t>
        </is>
      </c>
      <c r="AJ177" s="151" t="n">
        <v>43389</v>
      </c>
      <c r="AK177" s="151" t="n"/>
      <c r="AL177" s="151" t="n"/>
    </row>
    <row r="178" hidden="1" s="150">
      <c r="A178" t="inlineStr">
        <is>
          <t>DVAZQUEZI</t>
        </is>
      </c>
      <c r="B178" t="n">
        <v>2333</v>
      </c>
      <c r="C178" t="inlineStr">
        <is>
          <t>DIANA CAROLINA VAZQUEZ IRIGOYEN</t>
        </is>
      </c>
      <c r="D178" t="n">
        <v>9531</v>
      </c>
      <c r="E178" t="inlineStr">
        <is>
          <t>COORDINADOR JURIDICO CORPORATIVO</t>
        </is>
      </c>
      <c r="F178" t="inlineStr">
        <is>
          <t>MONTERREY</t>
        </is>
      </c>
      <c r="G178" t="n">
        <v>2120</v>
      </c>
      <c r="H178" t="inlineStr">
        <is>
          <t>ANA LUCIA HERNANDEZ PINEDA</t>
        </is>
      </c>
      <c r="I178" t="n">
        <v>8256</v>
      </c>
      <c r="J178" t="inlineStr">
        <is>
          <t>SUBDIRECTOR JURIDICO CORPORATIVO</t>
        </is>
      </c>
      <c r="K178" t="n">
        <v>1</v>
      </c>
      <c r="L178" t="inlineStr">
        <is>
          <t>PRESIDENCIA EJECUTIVA DEL CONSEJO</t>
        </is>
      </c>
      <c r="M178" t="n">
        <v>40</v>
      </c>
      <c r="N178" t="inlineStr">
        <is>
          <t>DIRECCION GENERAL BANCO BASE</t>
        </is>
      </c>
      <c r="O178" t="n">
        <v>420</v>
      </c>
      <c r="P178" t="inlineStr">
        <is>
          <t>DIRECCION ADMINISTRACION Y FINANZAS</t>
        </is>
      </c>
      <c r="Q178" t="n">
        <v>4930</v>
      </c>
      <c r="R178" t="inlineStr">
        <is>
          <t>DIRECCION DE JURIDICO</t>
        </is>
      </c>
      <c r="S178" t="n">
        <v>49320</v>
      </c>
      <c r="T178" t="inlineStr">
        <is>
          <t>GOBIERNO CORPORATIVO</t>
        </is>
      </c>
      <c r="U178" t="n">
        <v>493200</v>
      </c>
      <c r="V178" t="inlineStr">
        <is>
          <t>GOBIERNO CORPORATIVO</t>
        </is>
      </c>
      <c r="W178" t="n">
        <v>100101</v>
      </c>
      <c r="X178" t="inlineStr">
        <is>
          <t>CORPORATIVO</t>
        </is>
      </c>
      <c r="Y178" t="n">
        <v>4</v>
      </c>
      <c r="Z178" t="inlineStr">
        <is>
          <t>CORPORATIVO</t>
        </is>
      </c>
      <c r="AA178" t="n">
        <v>1</v>
      </c>
      <c r="AB178" t="inlineStr">
        <is>
          <t>NEGOCIO EN MARCHA</t>
        </is>
      </c>
      <c r="AC178" t="n">
        <v>1</v>
      </c>
      <c r="AD178" t="inlineStr">
        <is>
          <t>BANCO</t>
        </is>
      </c>
      <c r="AE178" t="n">
        <v>1</v>
      </c>
      <c r="AF178" t="inlineStr">
        <is>
          <t>BACK</t>
        </is>
      </c>
      <c r="AG178" t="n">
        <v>100101</v>
      </c>
      <c r="AH178" t="inlineStr">
        <is>
          <t>CORPORATIVO</t>
        </is>
      </c>
      <c r="AI178" t="inlineStr">
        <is>
          <t>DVAZQUEZI@BANCOBASE.COM</t>
        </is>
      </c>
      <c r="AJ178" s="151" t="n">
        <v>43739</v>
      </c>
      <c r="AK178" s="151" t="n"/>
      <c r="AL178" s="151" t="n"/>
    </row>
    <row r="179" hidden="1" s="150">
      <c r="A179" t="inlineStr">
        <is>
          <t>AGUERREROM</t>
        </is>
      </c>
      <c r="B179" t="n">
        <v>3855</v>
      </c>
      <c r="C179" t="inlineStr">
        <is>
          <t>ANDREA GUERRERO MORALES</t>
        </is>
      </c>
      <c r="D179" t="n">
        <v>8300</v>
      </c>
      <c r="E179" t="inlineStr">
        <is>
          <t>ANALISTA JURIDICO CORPORATIVO</t>
        </is>
      </c>
      <c r="F179" t="inlineStr">
        <is>
          <t>MONTERREY</t>
        </is>
      </c>
      <c r="G179" t="n">
        <v>2333</v>
      </c>
      <c r="H179" t="inlineStr">
        <is>
          <t>DIANA CAROLINA VAZQUEZ IRIGOYEN</t>
        </is>
      </c>
      <c r="I179" t="n">
        <v>9531</v>
      </c>
      <c r="J179" t="inlineStr">
        <is>
          <t>COORDINADOR JURIDICO CORPORATIVO</t>
        </is>
      </c>
      <c r="K179" t="n">
        <v>1</v>
      </c>
      <c r="L179" t="inlineStr">
        <is>
          <t>PRESIDENCIA EJECUTIVA DEL CONSEJO</t>
        </is>
      </c>
      <c r="M179" t="n">
        <v>40</v>
      </c>
      <c r="N179" t="inlineStr">
        <is>
          <t>DIRECCION GENERAL BANCO BASE</t>
        </is>
      </c>
      <c r="O179" t="n">
        <v>420</v>
      </c>
      <c r="P179" t="inlineStr">
        <is>
          <t>DIRECCION ADMINISTRACION Y FINANZAS</t>
        </is>
      </c>
      <c r="Q179" t="n">
        <v>4930</v>
      </c>
      <c r="R179" t="inlineStr">
        <is>
          <t>DIRECCION DE JURIDICO</t>
        </is>
      </c>
      <c r="S179" t="n">
        <v>49320</v>
      </c>
      <c r="T179" t="inlineStr">
        <is>
          <t>GOBIERNO CORPORATIVO</t>
        </is>
      </c>
      <c r="U179" t="n">
        <v>493200</v>
      </c>
      <c r="V179" t="inlineStr">
        <is>
          <t>GOBIERNO CORPORATIVO</t>
        </is>
      </c>
      <c r="W179" t="n">
        <v>100101</v>
      </c>
      <c r="X179" t="inlineStr">
        <is>
          <t>CORPORATIVO</t>
        </is>
      </c>
      <c r="Y179" t="n">
        <v>4</v>
      </c>
      <c r="Z179" t="inlineStr">
        <is>
          <t>CORPORATIVO</t>
        </is>
      </c>
      <c r="AA179" t="n">
        <v>1</v>
      </c>
      <c r="AB179" t="inlineStr">
        <is>
          <t>NEGOCIO EN MARCHA</t>
        </is>
      </c>
      <c r="AC179" t="n">
        <v>1</v>
      </c>
      <c r="AD179" t="inlineStr">
        <is>
          <t>BANCO</t>
        </is>
      </c>
      <c r="AE179" t="n">
        <v>1</v>
      </c>
      <c r="AF179" t="inlineStr">
        <is>
          <t>BACK</t>
        </is>
      </c>
      <c r="AG179" t="n">
        <v>100101</v>
      </c>
      <c r="AH179" t="inlineStr">
        <is>
          <t>CORPORATIVO</t>
        </is>
      </c>
      <c r="AI179" t="inlineStr">
        <is>
          <t>AGUERREROM@BANCOBASE.COM</t>
        </is>
      </c>
      <c r="AJ179" s="151" t="n">
        <v>46146</v>
      </c>
      <c r="AK179" s="151" t="n"/>
      <c r="AL179" s="151" t="n"/>
    </row>
    <row r="180" hidden="1" s="150">
      <c r="A180" t="inlineStr">
        <is>
          <t>HCPENA</t>
        </is>
      </c>
      <c r="B180" t="n">
        <v>2687</v>
      </c>
      <c r="C180" t="inlineStr">
        <is>
          <t>HILDA YARELY DE LA CERDA PEÑA</t>
        </is>
      </c>
      <c r="D180" t="n">
        <v>8257</v>
      </c>
      <c r="E180" t="inlineStr">
        <is>
          <t>COORDINADOR DE SERVICIOS JURIDICOS</t>
        </is>
      </c>
      <c r="F180" t="inlineStr">
        <is>
          <t>MONTERREY</t>
        </is>
      </c>
      <c r="G180" t="n">
        <v>2120</v>
      </c>
      <c r="H180" t="inlineStr">
        <is>
          <t>ANA LUCIA HERNANDEZ PINEDA</t>
        </is>
      </c>
      <c r="I180" t="n">
        <v>8256</v>
      </c>
      <c r="J180" t="inlineStr">
        <is>
          <t>SUBDIRECTOR JURIDICO CORPORATIVO</t>
        </is>
      </c>
      <c r="K180" t="n">
        <v>1</v>
      </c>
      <c r="L180" t="inlineStr">
        <is>
          <t>PRESIDENCIA EJECUTIVA DEL CONSEJO</t>
        </is>
      </c>
      <c r="M180" t="n">
        <v>40</v>
      </c>
      <c r="N180" t="inlineStr">
        <is>
          <t>DIRECCION GENERAL BANCO BASE</t>
        </is>
      </c>
      <c r="O180" t="n">
        <v>420</v>
      </c>
      <c r="P180" t="inlineStr">
        <is>
          <t>DIRECCION ADMINISTRACION Y FINANZAS</t>
        </is>
      </c>
      <c r="Q180" t="n">
        <v>4930</v>
      </c>
      <c r="R180" t="inlineStr">
        <is>
          <t>DIRECCION DE JURIDICO</t>
        </is>
      </c>
      <c r="S180" t="n">
        <v>49320</v>
      </c>
      <c r="T180" t="inlineStr">
        <is>
          <t>GOBIERNO CORPORATIVO</t>
        </is>
      </c>
      <c r="U180" t="n">
        <v>493200</v>
      </c>
      <c r="V180" t="inlineStr">
        <is>
          <t>GOBIERNO CORPORATIVO</t>
        </is>
      </c>
      <c r="W180" t="n">
        <v>100101</v>
      </c>
      <c r="X180" t="inlineStr">
        <is>
          <t>CORPORATIVO</t>
        </is>
      </c>
      <c r="Y180" t="n">
        <v>4</v>
      </c>
      <c r="Z180" t="inlineStr">
        <is>
          <t>CORPORATIVO</t>
        </is>
      </c>
      <c r="AA180" t="n">
        <v>1</v>
      </c>
      <c r="AB180" t="inlineStr">
        <is>
          <t>NEGOCIO EN MARCHA</t>
        </is>
      </c>
      <c r="AC180" t="n">
        <v>1</v>
      </c>
      <c r="AD180" t="inlineStr">
        <is>
          <t>BANCO</t>
        </is>
      </c>
      <c r="AE180" t="n">
        <v>1</v>
      </c>
      <c r="AF180" t="inlineStr">
        <is>
          <t>BACK</t>
        </is>
      </c>
      <c r="AG180" t="n">
        <v>100101</v>
      </c>
      <c r="AH180" t="inlineStr">
        <is>
          <t>CORPORATIVO</t>
        </is>
      </c>
      <c r="AI180" t="inlineStr">
        <is>
          <t>HCPENA@BANCOBASE.COM</t>
        </is>
      </c>
      <c r="AJ180" s="151" t="n">
        <v>44746</v>
      </c>
      <c r="AK180" s="151" t="n"/>
      <c r="AL180" s="151" t="n"/>
    </row>
    <row r="181" hidden="1" s="150">
      <c r="A181" t="inlineStr">
        <is>
          <t>MGARZAFU</t>
        </is>
      </c>
      <c r="B181" t="n">
        <v>2987</v>
      </c>
      <c r="C181" t="inlineStr">
        <is>
          <t>MICHELLE GARZA FUENTES</t>
        </is>
      </c>
      <c r="D181" t="n">
        <v>10035</v>
      </c>
      <c r="E181" t="inlineStr">
        <is>
          <t>ANALISTA JURIDICO DE CONTRATACION DE PROVEEDORES</t>
        </is>
      </c>
      <c r="F181" t="inlineStr">
        <is>
          <t>MONTERREY</t>
        </is>
      </c>
      <c r="G181" t="n">
        <v>2687</v>
      </c>
      <c r="H181" t="inlineStr">
        <is>
          <t>HILDA YARELY DE LA CERDA PEÑA</t>
        </is>
      </c>
      <c r="I181" t="n">
        <v>8257</v>
      </c>
      <c r="J181" t="inlineStr">
        <is>
          <t>COORDINADOR DE SERVICIOS JURIDICOS</t>
        </is>
      </c>
      <c r="K181" t="n">
        <v>1</v>
      </c>
      <c r="L181" t="inlineStr">
        <is>
          <t>PRESIDENCIA EJECUTIVA DEL CONSEJO</t>
        </is>
      </c>
      <c r="M181" t="n">
        <v>40</v>
      </c>
      <c r="N181" t="inlineStr">
        <is>
          <t>DIRECCION GENERAL BANCO BASE</t>
        </is>
      </c>
      <c r="O181" t="n">
        <v>420</v>
      </c>
      <c r="P181" t="inlineStr">
        <is>
          <t>DIRECCION ADMINISTRACION Y FINANZAS</t>
        </is>
      </c>
      <c r="Q181" t="n">
        <v>4930</v>
      </c>
      <c r="R181" t="inlineStr">
        <is>
          <t>DIRECCION DE JURIDICO</t>
        </is>
      </c>
      <c r="S181" t="n">
        <v>49320</v>
      </c>
      <c r="T181" t="inlineStr">
        <is>
          <t>GOBIERNO CORPORATIVO</t>
        </is>
      </c>
      <c r="U181" t="n">
        <v>493200</v>
      </c>
      <c r="V181" t="inlineStr">
        <is>
          <t>GOBIERNO CORPORATIVO</t>
        </is>
      </c>
      <c r="W181" t="n">
        <v>100101</v>
      </c>
      <c r="X181" t="inlineStr">
        <is>
          <t>CORPORATIVO</t>
        </is>
      </c>
      <c r="Y181" t="n">
        <v>4</v>
      </c>
      <c r="Z181" t="inlineStr">
        <is>
          <t>CORPORATIVO</t>
        </is>
      </c>
      <c r="AA181" t="n">
        <v>1</v>
      </c>
      <c r="AB181" t="inlineStr">
        <is>
          <t>NEGOCIO EN MARCHA</t>
        </is>
      </c>
      <c r="AC181" t="n">
        <v>1</v>
      </c>
      <c r="AD181" t="inlineStr">
        <is>
          <t>BANCO</t>
        </is>
      </c>
      <c r="AE181" t="n">
        <v>1</v>
      </c>
      <c r="AF181" t="inlineStr">
        <is>
          <t>BACK</t>
        </is>
      </c>
      <c r="AG181" t="n">
        <v>100101</v>
      </c>
      <c r="AH181" t="inlineStr">
        <is>
          <t>CORPORATIVO</t>
        </is>
      </c>
      <c r="AI181" t="inlineStr">
        <is>
          <t>MGARZAFU@BANCOBASE.COM</t>
        </is>
      </c>
      <c r="AJ181" s="151" t="n">
        <v>45246</v>
      </c>
      <c r="AK181" s="151" t="n"/>
      <c r="AL181" s="151" t="n"/>
    </row>
    <row r="182" hidden="1" s="150">
      <c r="A182" t="inlineStr">
        <is>
          <t>AVERA</t>
        </is>
      </c>
      <c r="B182" t="n">
        <v>3574</v>
      </c>
      <c r="C182" t="inlineStr">
        <is>
          <t>ANDREA VERA FLORES</t>
        </is>
      </c>
      <c r="D182" t="n">
        <v>8111</v>
      </c>
      <c r="E182" t="inlineStr">
        <is>
          <t>ANALISTA JURIDICO DE CONTRATACION DE PROVEEDORES</t>
        </is>
      </c>
      <c r="F182" t="inlineStr">
        <is>
          <t>MONTERREY</t>
        </is>
      </c>
      <c r="G182" t="n">
        <v>2687</v>
      </c>
      <c r="H182" t="inlineStr">
        <is>
          <t>HILDA YARELY DE LA CERDA PEÑA</t>
        </is>
      </c>
      <c r="I182" t="n">
        <v>8257</v>
      </c>
      <c r="J182" t="inlineStr">
        <is>
          <t>COORDINADOR DE SERVICIOS JURIDICOS</t>
        </is>
      </c>
      <c r="K182" t="n">
        <v>1</v>
      </c>
      <c r="L182" t="inlineStr">
        <is>
          <t>PRESIDENCIA EJECUTIVA DEL CONSEJO</t>
        </is>
      </c>
      <c r="M182" t="n">
        <v>40</v>
      </c>
      <c r="N182" t="inlineStr">
        <is>
          <t>DIRECCION GENERAL BANCO BASE</t>
        </is>
      </c>
      <c r="O182" t="n">
        <v>420</v>
      </c>
      <c r="P182" t="inlineStr">
        <is>
          <t>DIRECCION ADMINISTRACION Y FINANZAS</t>
        </is>
      </c>
      <c r="Q182" t="n">
        <v>4930</v>
      </c>
      <c r="R182" t="inlineStr">
        <is>
          <t>DIRECCION DE JURIDICO</t>
        </is>
      </c>
      <c r="S182" t="n">
        <v>49320</v>
      </c>
      <c r="T182" t="inlineStr">
        <is>
          <t>GOBIERNO CORPORATIVO</t>
        </is>
      </c>
      <c r="U182" t="n">
        <v>493200</v>
      </c>
      <c r="V182" t="inlineStr">
        <is>
          <t>GOBIERNO CORPORATIVO</t>
        </is>
      </c>
      <c r="W182" t="n">
        <v>100101</v>
      </c>
      <c r="X182" t="inlineStr">
        <is>
          <t>CORPORATIVO</t>
        </is>
      </c>
      <c r="Y182" t="n">
        <v>4</v>
      </c>
      <c r="Z182" t="inlineStr">
        <is>
          <t>CORPORATIVO</t>
        </is>
      </c>
      <c r="AA182" t="n">
        <v>1</v>
      </c>
      <c r="AB182" t="inlineStr">
        <is>
          <t>NEGOCIO EN MARCHA</t>
        </is>
      </c>
      <c r="AC182" t="n">
        <v>1</v>
      </c>
      <c r="AD182" t="inlineStr">
        <is>
          <t>BANCO</t>
        </is>
      </c>
      <c r="AE182" t="n">
        <v>1</v>
      </c>
      <c r="AF182" t="inlineStr">
        <is>
          <t>BACK</t>
        </is>
      </c>
      <c r="AG182" t="n">
        <v>100101</v>
      </c>
      <c r="AH182" t="inlineStr">
        <is>
          <t>CORPORATIVO</t>
        </is>
      </c>
      <c r="AI182" t="inlineStr">
        <is>
          <t>AVERA@BANCOBASE.COM</t>
        </is>
      </c>
      <c r="AJ182" s="151" t="n">
        <v>45917</v>
      </c>
      <c r="AK182" s="151" t="n"/>
      <c r="AL182" s="151" t="n"/>
    </row>
    <row r="183" hidden="1" s="150">
      <c r="A183" t="inlineStr">
        <is>
          <t>XLOPEZ</t>
        </is>
      </c>
      <c r="B183" t="n">
        <v>1575</v>
      </c>
      <c r="C183" t="inlineStr">
        <is>
          <t>XOCHITL MAYRA LOPEZ TAPIA</t>
        </is>
      </c>
      <c r="D183" t="n">
        <v>8213</v>
      </c>
      <c r="E183" t="inlineStr">
        <is>
          <t>LIDER DE MEJORA CONTINUA, TRANSFORMACION Y LEGALTECH</t>
        </is>
      </c>
      <c r="F183" t="inlineStr">
        <is>
          <t>MONTERREY</t>
        </is>
      </c>
      <c r="I183" t="n">
        <v>177</v>
      </c>
      <c r="J183" t="inlineStr">
        <is>
          <t>DIRECTOR JURIDICO Y CUMPLIMIENTO</t>
        </is>
      </c>
      <c r="K183" t="n">
        <v>1</v>
      </c>
      <c r="L183" t="inlineStr">
        <is>
          <t>PRESIDENCIA EJECUTIVA DEL CONSEJO</t>
        </is>
      </c>
      <c r="M183" t="n">
        <v>40</v>
      </c>
      <c r="N183" t="inlineStr">
        <is>
          <t>DIRECCION GENERAL BANCO BASE</t>
        </is>
      </c>
      <c r="O183" t="n">
        <v>420</v>
      </c>
      <c r="P183" t="inlineStr">
        <is>
          <t>DIRECCION ADMINISTRACION Y FINANZAS</t>
        </is>
      </c>
      <c r="Q183" t="n">
        <v>4930</v>
      </c>
      <c r="R183" t="inlineStr">
        <is>
          <t>DIRECCION DE JURIDICO</t>
        </is>
      </c>
      <c r="S183" t="n">
        <v>49300</v>
      </c>
      <c r="T183" t="inlineStr">
        <is>
          <t>DIRECCION DE JURIDICO</t>
        </is>
      </c>
      <c r="U183" t="n">
        <v>493000</v>
      </c>
      <c r="V183" t="inlineStr">
        <is>
          <t>DIRECCION DE JURIDICO</t>
        </is>
      </c>
      <c r="W183" t="n">
        <v>100101</v>
      </c>
      <c r="X183" t="inlineStr">
        <is>
          <t>CORPORATIVO</t>
        </is>
      </c>
      <c r="Y183" t="n">
        <v>9</v>
      </c>
      <c r="Z183" t="inlineStr">
        <is>
          <t>BANCARIO</t>
        </is>
      </c>
      <c r="AA183" t="n">
        <v>1</v>
      </c>
      <c r="AB183" t="inlineStr">
        <is>
          <t>NEGOCIO EN MARCHA</t>
        </is>
      </c>
      <c r="AC183" t="n">
        <v>1</v>
      </c>
      <c r="AD183" t="inlineStr">
        <is>
          <t>BANCO</t>
        </is>
      </c>
      <c r="AE183" t="n">
        <v>1</v>
      </c>
      <c r="AF183" t="inlineStr">
        <is>
          <t>BACK</t>
        </is>
      </c>
      <c r="AG183" t="n">
        <v>100101</v>
      </c>
      <c r="AH183" t="inlineStr">
        <is>
          <t>CORPORATIVO</t>
        </is>
      </c>
      <c r="AI183" t="inlineStr">
        <is>
          <t>XLOPEZ@BANCOBASE.COM</t>
        </is>
      </c>
      <c r="AJ183" s="151" t="n">
        <v>42522</v>
      </c>
      <c r="AK183" s="151" t="n"/>
      <c r="AL183" s="151" t="n"/>
    </row>
    <row r="184" hidden="1" s="150">
      <c r="A184" t="inlineStr">
        <is>
          <t>LRAMOSA</t>
        </is>
      </c>
      <c r="B184" t="n">
        <v>2909</v>
      </c>
      <c r="C184" t="inlineStr">
        <is>
          <t>LESLY AZENETH RAMOS ALVAREZ</t>
        </is>
      </c>
      <c r="D184" t="n">
        <v>8968</v>
      </c>
      <c r="E184" t="inlineStr">
        <is>
          <t>BUSINESS PARTNER PROCUREMENT</t>
        </is>
      </c>
      <c r="F184" t="inlineStr">
        <is>
          <t>MONTERREY</t>
        </is>
      </c>
      <c r="G184" t="n">
        <v>2529</v>
      </c>
      <c r="H184" t="inlineStr">
        <is>
          <t>ENRIQUE EDUARDO GALEANA UGALDE</t>
        </is>
      </c>
      <c r="I184" t="n">
        <v>7</v>
      </c>
      <c r="J184" t="inlineStr">
        <is>
          <t>DIRECTOR DE ADMINISTRACION Y FINANZAS</t>
        </is>
      </c>
      <c r="K184" t="n">
        <v>1</v>
      </c>
      <c r="L184" t="inlineStr">
        <is>
          <t>PRESIDENCIA EJECUTIVA DEL CONSEJO</t>
        </is>
      </c>
      <c r="M184" t="n">
        <v>40</v>
      </c>
      <c r="N184" t="inlineStr">
        <is>
          <t>DIRECCION GENERAL BANCO BASE</t>
        </is>
      </c>
      <c r="O184" t="n">
        <v>420</v>
      </c>
      <c r="P184" t="inlineStr">
        <is>
          <t>DIRECCION ADMINISTRACION Y FINANZAS</t>
        </is>
      </c>
      <c r="Q184" t="n">
        <v>4200</v>
      </c>
      <c r="R184" t="inlineStr">
        <is>
          <t>DIRECCION ADMINISTRACION Y FINANZAS</t>
        </is>
      </c>
      <c r="S184" t="n">
        <v>42000</v>
      </c>
      <c r="T184" t="inlineStr">
        <is>
          <t>DIRECCION ADMINISTRACION Y FINANZAS</t>
        </is>
      </c>
      <c r="U184" t="n">
        <v>420000</v>
      </c>
      <c r="V184" t="inlineStr">
        <is>
          <t>DIRECCION ADMINISTRACION Y FINANZAS</t>
        </is>
      </c>
      <c r="W184" t="n">
        <v>100101</v>
      </c>
      <c r="X184" t="inlineStr">
        <is>
          <t>CORPORATIVO</t>
        </is>
      </c>
      <c r="Y184" t="n">
        <v>4</v>
      </c>
      <c r="Z184" t="inlineStr">
        <is>
          <t>CORPORATIVO</t>
        </is>
      </c>
      <c r="AA184" t="n">
        <v>1</v>
      </c>
      <c r="AB184" t="inlineStr">
        <is>
          <t>NEGOCIO EN MARCHA</t>
        </is>
      </c>
      <c r="AC184" t="n">
        <v>1</v>
      </c>
      <c r="AD184" t="inlineStr">
        <is>
          <t>BANCO</t>
        </is>
      </c>
      <c r="AE184" t="n">
        <v>1</v>
      </c>
      <c r="AF184" t="inlineStr">
        <is>
          <t>BACK</t>
        </is>
      </c>
      <c r="AG184" t="n">
        <v>100101</v>
      </c>
      <c r="AH184" t="inlineStr">
        <is>
          <t>CORPORATIVO</t>
        </is>
      </c>
      <c r="AI184" t="inlineStr">
        <is>
          <t>LRAMOSA@BANCOBASE.COM</t>
        </is>
      </c>
      <c r="AJ184" s="151" t="n">
        <v>45093</v>
      </c>
      <c r="AK184" s="151" t="n"/>
      <c r="AL184" s="151" t="n"/>
    </row>
    <row r="185" hidden="1" s="150">
      <c r="A185" t="inlineStr">
        <is>
          <t>SCORTES</t>
        </is>
      </c>
      <c r="B185" t="n">
        <v>989</v>
      </c>
      <c r="C185" t="inlineStr">
        <is>
          <t>SERGIO CORTES FERNANDEZ</t>
        </is>
      </c>
      <c r="D185" t="n">
        <v>1007</v>
      </c>
      <c r="E185" t="inlineStr">
        <is>
          <t>DIRECTOR DE CONTRALORIA Y PREVENCION</t>
        </is>
      </c>
      <c r="F185" t="inlineStr">
        <is>
          <t>MONTERREY</t>
        </is>
      </c>
      <c r="G185" t="n">
        <v>386</v>
      </c>
      <c r="H185" t="inlineStr">
        <is>
          <t>JULIO RICARDO ESCANDON JIMENEZ</t>
        </is>
      </c>
      <c r="I185" t="n">
        <v>10324</v>
      </c>
      <c r="J185" t="inlineStr">
        <is>
          <t>DIRECTOR GENERAL</t>
        </is>
      </c>
      <c r="K185" t="n">
        <v>1</v>
      </c>
      <c r="L185" t="inlineStr">
        <is>
          <t>PRESIDENCIA EJECUTIVA DEL CONSEJO</t>
        </is>
      </c>
      <c r="M185" t="n">
        <v>40</v>
      </c>
      <c r="N185" t="inlineStr">
        <is>
          <t>DIRECCION GENERAL BANCO BASE</t>
        </is>
      </c>
      <c r="O185" t="n">
        <v>440</v>
      </c>
      <c r="P185" t="inlineStr">
        <is>
          <t>DIRECCION DE CONTRALORIA Y PREVENCION</t>
        </is>
      </c>
      <c r="Q185" t="n">
        <v>4400</v>
      </c>
      <c r="R185" t="inlineStr">
        <is>
          <t>DIRECCION DE CONTRALORIA Y PREVENCION</t>
        </is>
      </c>
      <c r="S185" t="n">
        <v>44000</v>
      </c>
      <c r="T185" t="inlineStr">
        <is>
          <t>DIRECCION DE CONTRALORIA Y PREVENCION</t>
        </is>
      </c>
      <c r="U185" t="n">
        <v>440000</v>
      </c>
      <c r="V185" t="inlineStr">
        <is>
          <t>DIRECCION DE CONTRALORIA Y PREVENCION</t>
        </is>
      </c>
      <c r="W185" t="n">
        <v>100101</v>
      </c>
      <c r="X185" t="inlineStr">
        <is>
          <t>CORPORATIVO</t>
        </is>
      </c>
      <c r="Y185" t="n">
        <v>4</v>
      </c>
      <c r="Z185" t="inlineStr">
        <is>
          <t>CORPORATIVO</t>
        </is>
      </c>
      <c r="AA185" t="n">
        <v>1</v>
      </c>
      <c r="AB185" t="inlineStr">
        <is>
          <t>NEGOCIO EN MARCHA</t>
        </is>
      </c>
      <c r="AC185" t="n">
        <v>1</v>
      </c>
      <c r="AD185" t="inlineStr">
        <is>
          <t>BANCO</t>
        </is>
      </c>
      <c r="AE185" t="n">
        <v>1</v>
      </c>
      <c r="AF185" t="inlineStr">
        <is>
          <t>BACK</t>
        </is>
      </c>
      <c r="AG185" t="n">
        <v>100101</v>
      </c>
      <c r="AH185" t="inlineStr">
        <is>
          <t>CORPORATIVO</t>
        </is>
      </c>
      <c r="AI185" t="inlineStr">
        <is>
          <t>SCORTES@BANCOBASE.COM</t>
        </is>
      </c>
      <c r="AJ185" s="151" t="n">
        <v>41306</v>
      </c>
      <c r="AK185" s="151" t="n"/>
      <c r="AL185" s="151" t="n"/>
    </row>
    <row r="186" hidden="1" s="150">
      <c r="A186" t="inlineStr">
        <is>
          <t>NGALLEGOS</t>
        </is>
      </c>
      <c r="B186" t="n">
        <v>618</v>
      </c>
      <c r="C186" t="inlineStr">
        <is>
          <t>NANCY GALLEGOS RUIZ</t>
        </is>
      </c>
      <c r="D186" t="n">
        <v>8387</v>
      </c>
      <c r="E186" t="inlineStr">
        <is>
          <t>DIRECTOR DE OPERACIONES</t>
        </is>
      </c>
      <c r="F186" t="inlineStr">
        <is>
          <t>MONTERREY</t>
        </is>
      </c>
      <c r="G186" t="n">
        <v>989</v>
      </c>
      <c r="H186" t="inlineStr">
        <is>
          <t>SERGIO CORTES FERNANDEZ</t>
        </is>
      </c>
      <c r="I186" t="n">
        <v>1007</v>
      </c>
      <c r="J186" t="inlineStr">
        <is>
          <t>DIRECTOR DE CONTRALORIA Y PREVENCION</t>
        </is>
      </c>
      <c r="K186" t="n">
        <v>1</v>
      </c>
      <c r="L186" t="inlineStr">
        <is>
          <t>PRESIDENCIA EJECUTIVA DEL CONSEJO</t>
        </is>
      </c>
      <c r="M186" t="n">
        <v>40</v>
      </c>
      <c r="N186" t="inlineStr">
        <is>
          <t>DIRECCION GENERAL BANCO BASE</t>
        </is>
      </c>
      <c r="O186" t="n">
        <v>440</v>
      </c>
      <c r="P186" t="inlineStr">
        <is>
          <t>DIRECCION DE CONTRALORIA Y PREVENCION</t>
        </is>
      </c>
      <c r="Q186" t="n">
        <v>4430</v>
      </c>
      <c r="R186" t="inlineStr">
        <is>
          <t>DIRECCION DE OPERACIONES</t>
        </is>
      </c>
      <c r="S186" t="n">
        <v>44300</v>
      </c>
      <c r="T186" t="inlineStr">
        <is>
          <t>DIRECCION DE OPERACIONES</t>
        </is>
      </c>
      <c r="U186" t="n">
        <v>443000</v>
      </c>
      <c r="V186" t="inlineStr">
        <is>
          <t>DIRECCION DE OPERACIONES</t>
        </is>
      </c>
      <c r="W186" t="n">
        <v>100101</v>
      </c>
      <c r="X186" t="inlineStr">
        <is>
          <t>CORPORATIVO</t>
        </is>
      </c>
      <c r="Y186" t="n">
        <v>4</v>
      </c>
      <c r="Z186" t="inlineStr">
        <is>
          <t>CORPORATIVO</t>
        </is>
      </c>
      <c r="AA186" t="n">
        <v>1</v>
      </c>
      <c r="AB186" t="inlineStr">
        <is>
          <t>NEGOCIO EN MARCHA</t>
        </is>
      </c>
      <c r="AC186" t="n">
        <v>1</v>
      </c>
      <c r="AD186" t="inlineStr">
        <is>
          <t>BANCO</t>
        </is>
      </c>
      <c r="AE186" t="n">
        <v>1</v>
      </c>
      <c r="AF186" t="inlineStr">
        <is>
          <t>BACK</t>
        </is>
      </c>
      <c r="AG186" t="n">
        <v>100101</v>
      </c>
      <c r="AH186" t="inlineStr">
        <is>
          <t>CORPORATIVO</t>
        </is>
      </c>
      <c r="AI186" t="inlineStr">
        <is>
          <t>NGALLEGOS@BANCOBASE.COM</t>
        </is>
      </c>
      <c r="AJ186" s="151" t="n">
        <v>40330</v>
      </c>
      <c r="AK186" s="151" t="n"/>
      <c r="AL186" s="151" t="n"/>
    </row>
    <row r="187" hidden="1" s="150">
      <c r="A187" t="inlineStr">
        <is>
          <t>GVILLARREC</t>
        </is>
      </c>
      <c r="B187" t="n">
        <v>317</v>
      </c>
      <c r="C187" t="inlineStr">
        <is>
          <t>GERARDO ISRAEL VILLARREAL COSSIO</t>
        </is>
      </c>
      <c r="D187" t="n">
        <v>10077</v>
      </c>
      <c r="E187" t="inlineStr">
        <is>
          <t>SUBDIRECTOR DE CONCILIACIONES, EMISION Y SERVICIOS</t>
        </is>
      </c>
      <c r="F187" t="inlineStr">
        <is>
          <t>MONTERREY</t>
        </is>
      </c>
      <c r="G187" t="n">
        <v>618</v>
      </c>
      <c r="H187" t="inlineStr">
        <is>
          <t>NANCY GALLEGOS RUIZ</t>
        </is>
      </c>
      <c r="I187" t="n">
        <v>8387</v>
      </c>
      <c r="J187" t="inlineStr">
        <is>
          <t>DIRECTOR DE OPERACIONES</t>
        </is>
      </c>
      <c r="K187" t="n">
        <v>1</v>
      </c>
      <c r="L187" t="inlineStr">
        <is>
          <t>PRESIDENCIA EJECUTIVA DEL CONSEJO</t>
        </is>
      </c>
      <c r="M187" t="n">
        <v>40</v>
      </c>
      <c r="N187" t="inlineStr">
        <is>
          <t>DIRECCION GENERAL BANCO BASE</t>
        </is>
      </c>
      <c r="O187" t="n">
        <v>440</v>
      </c>
      <c r="P187" t="inlineStr">
        <is>
          <t>DIRECCION DE CONTRALORIA Y PREVENCION</t>
        </is>
      </c>
      <c r="Q187" t="n">
        <v>4430</v>
      </c>
      <c r="R187" t="inlineStr">
        <is>
          <t>DIRECCION DE OPERACIONES</t>
        </is>
      </c>
      <c r="S187" t="n">
        <v>44200</v>
      </c>
      <c r="T187" t="inlineStr">
        <is>
          <t>SUBDIRECCION CONCILIACIONES EMISION Y SERVICIOS</t>
        </is>
      </c>
      <c r="U187" t="n">
        <v>442000</v>
      </c>
      <c r="V187" t="inlineStr">
        <is>
          <t>SUBDIRECCION CONCILIACIONES EMISION Y SERVICIOS</t>
        </is>
      </c>
      <c r="W187" t="n">
        <v>100101</v>
      </c>
      <c r="X187" t="inlineStr">
        <is>
          <t>CORPORATIVO</t>
        </is>
      </c>
      <c r="Y187" t="n">
        <v>4</v>
      </c>
      <c r="Z187" t="inlineStr">
        <is>
          <t>CORPORATIVO</t>
        </is>
      </c>
      <c r="AA187" t="n">
        <v>1</v>
      </c>
      <c r="AB187" t="inlineStr">
        <is>
          <t>NEGOCIO EN MARCHA</t>
        </is>
      </c>
      <c r="AC187" t="n">
        <v>1</v>
      </c>
      <c r="AD187" t="inlineStr">
        <is>
          <t>BANCO</t>
        </is>
      </c>
      <c r="AE187" t="n">
        <v>1</v>
      </c>
      <c r="AF187" t="inlineStr">
        <is>
          <t>BACK</t>
        </is>
      </c>
      <c r="AG187" t="n">
        <v>100101</v>
      </c>
      <c r="AH187" t="inlineStr">
        <is>
          <t>CORPORATIVO</t>
        </is>
      </c>
      <c r="AI187" t="inlineStr">
        <is>
          <t>GVILLARR02@BANCOBASE.COM</t>
        </is>
      </c>
      <c r="AJ187" s="151" t="n">
        <v>38777</v>
      </c>
      <c r="AK187" s="151" t="n"/>
      <c r="AL187" s="151" t="n"/>
    </row>
    <row r="188" hidden="1" s="150">
      <c r="A188" t="inlineStr">
        <is>
          <t>PAGUILERA</t>
        </is>
      </c>
      <c r="B188" t="n">
        <v>782</v>
      </c>
      <c r="C188" t="inlineStr">
        <is>
          <t>ADRIANA PAMELA AGUILERA FLORES</t>
        </is>
      </c>
      <c r="D188" t="n">
        <v>9082</v>
      </c>
      <c r="E188" t="inlineStr">
        <is>
          <t>GERENTE BACKOFFICE DERIVADOS</t>
        </is>
      </c>
      <c r="F188" t="inlineStr">
        <is>
          <t>MONTERREY</t>
        </is>
      </c>
      <c r="G188" t="n">
        <v>317</v>
      </c>
      <c r="H188" t="inlineStr">
        <is>
          <t>GERARDO ISRAEL VILLARREAL COSSIO</t>
        </is>
      </c>
      <c r="I188" t="n">
        <v>10077</v>
      </c>
      <c r="J188" t="inlineStr">
        <is>
          <t>SUBDIRECTOR DE CONCILIACIONES, EMISION Y SERVICIOS</t>
        </is>
      </c>
      <c r="K188" t="n">
        <v>1</v>
      </c>
      <c r="L188" t="inlineStr">
        <is>
          <t>PRESIDENCIA EJECUTIVA DEL CONSEJO</t>
        </is>
      </c>
      <c r="M188" t="n">
        <v>40</v>
      </c>
      <c r="N188" t="inlineStr">
        <is>
          <t>DIRECCION GENERAL BANCO BASE</t>
        </is>
      </c>
      <c r="O188" t="n">
        <v>440</v>
      </c>
      <c r="P188" t="inlineStr">
        <is>
          <t>DIRECCION DE CONTRALORIA Y PREVENCION</t>
        </is>
      </c>
      <c r="Q188" t="n">
        <v>4430</v>
      </c>
      <c r="R188" t="inlineStr">
        <is>
          <t>DIRECCION DE OPERACIONES</t>
        </is>
      </c>
      <c r="S188" t="n">
        <v>44200</v>
      </c>
      <c r="T188" t="inlineStr">
        <is>
          <t>SUBDIRECCION CONCILIACIONES EMISION Y SERVICIOS</t>
        </is>
      </c>
      <c r="U188" t="n">
        <v>442000</v>
      </c>
      <c r="V188" t="inlineStr">
        <is>
          <t>SUBDIRECCION CONCILIACIONES EMISION Y SERVICIOS</t>
        </is>
      </c>
      <c r="W188" t="n">
        <v>100101</v>
      </c>
      <c r="X188" t="inlineStr">
        <is>
          <t>CORPORATIVO</t>
        </is>
      </c>
      <c r="Y188" t="n">
        <v>4</v>
      </c>
      <c r="Z188" t="inlineStr">
        <is>
          <t>CORPORATIVO</t>
        </is>
      </c>
      <c r="AA188" t="n">
        <v>1</v>
      </c>
      <c r="AB188" t="inlineStr">
        <is>
          <t>NEGOCIO EN MARCHA</t>
        </is>
      </c>
      <c r="AC188" t="n">
        <v>1</v>
      </c>
      <c r="AD188" t="inlineStr">
        <is>
          <t>BANCO</t>
        </is>
      </c>
      <c r="AE188" t="n">
        <v>1</v>
      </c>
      <c r="AF188" t="inlineStr">
        <is>
          <t>BACK</t>
        </is>
      </c>
      <c r="AG188" t="n">
        <v>100101</v>
      </c>
      <c r="AH188" t="inlineStr">
        <is>
          <t>CORPORATIVO</t>
        </is>
      </c>
      <c r="AI188" t="inlineStr">
        <is>
          <t>PAGUILERA@BANCOBASE.COM</t>
        </is>
      </c>
      <c r="AJ188" s="151" t="n">
        <v>40771</v>
      </c>
      <c r="AK188" s="151" t="n"/>
      <c r="AL188" s="151" t="n"/>
    </row>
    <row r="189" hidden="1" s="150">
      <c r="A189" t="inlineStr">
        <is>
          <t>EGONZALEZG</t>
        </is>
      </c>
      <c r="B189" t="n">
        <v>1603</v>
      </c>
      <c r="C189" t="inlineStr">
        <is>
          <t>ESCARLEET GONZALEZ GUTIERREZ</t>
        </is>
      </c>
      <c r="D189" t="n">
        <v>9117</v>
      </c>
      <c r="E189" t="inlineStr">
        <is>
          <t>ESPECIALISTA BACKOFFICE DERIVADOS</t>
        </is>
      </c>
      <c r="F189" t="inlineStr">
        <is>
          <t>MONTERREY</t>
        </is>
      </c>
      <c r="G189" t="n">
        <v>782</v>
      </c>
      <c r="H189" t="inlineStr">
        <is>
          <t>ADRIANA PAMELA AGUILERA FLORES</t>
        </is>
      </c>
      <c r="I189" t="n">
        <v>9082</v>
      </c>
      <c r="J189" t="inlineStr">
        <is>
          <t>GERENTE BACKOFFICE DERIVADOS</t>
        </is>
      </c>
      <c r="K189" t="n">
        <v>1</v>
      </c>
      <c r="L189" t="inlineStr">
        <is>
          <t>PRESIDENCIA EJECUTIVA DEL CONSEJO</t>
        </is>
      </c>
      <c r="M189" t="n">
        <v>40</v>
      </c>
      <c r="N189" t="inlineStr">
        <is>
          <t>DIRECCION GENERAL BANCO BASE</t>
        </is>
      </c>
      <c r="O189" t="n">
        <v>440</v>
      </c>
      <c r="P189" t="inlineStr">
        <is>
          <t>DIRECCION DE CONTRALORIA Y PREVENCION</t>
        </is>
      </c>
      <c r="Q189" t="n">
        <v>4430</v>
      </c>
      <c r="R189" t="inlineStr">
        <is>
          <t>DIRECCION DE OPERACIONES</t>
        </is>
      </c>
      <c r="S189" t="n">
        <v>44200</v>
      </c>
      <c r="T189" t="inlineStr">
        <is>
          <t>SUBDIRECCION CONCILIACIONES EMISION Y SERVICIOS</t>
        </is>
      </c>
      <c r="U189" t="n">
        <v>442000</v>
      </c>
      <c r="V189" t="inlineStr">
        <is>
          <t>SUBDIRECCION CONCILIACIONES EMISION Y SERVICIOS</t>
        </is>
      </c>
      <c r="W189" t="n">
        <v>100101</v>
      </c>
      <c r="X189" t="inlineStr">
        <is>
          <t>CORPORATIVO</t>
        </is>
      </c>
      <c r="Y189" t="n">
        <v>4</v>
      </c>
      <c r="Z189" t="inlineStr">
        <is>
          <t>CORPORATIVO</t>
        </is>
      </c>
      <c r="AA189" t="n">
        <v>1</v>
      </c>
      <c r="AB189" t="inlineStr">
        <is>
          <t>NEGOCIO EN MARCHA</t>
        </is>
      </c>
      <c r="AC189" t="n">
        <v>1</v>
      </c>
      <c r="AD189" t="inlineStr">
        <is>
          <t>BANCO</t>
        </is>
      </c>
      <c r="AE189" t="n">
        <v>1</v>
      </c>
      <c r="AF189" t="inlineStr">
        <is>
          <t>BACK</t>
        </is>
      </c>
      <c r="AG189" t="n">
        <v>100101</v>
      </c>
      <c r="AH189" t="inlineStr">
        <is>
          <t>CORPORATIVO</t>
        </is>
      </c>
      <c r="AI189" t="inlineStr">
        <is>
          <t>EGONZALEZG@BANCOBASE.COM</t>
        </is>
      </c>
      <c r="AJ189" s="151" t="n">
        <v>42583</v>
      </c>
      <c r="AK189" s="151" t="n"/>
      <c r="AL189" s="151" t="n"/>
    </row>
    <row r="190" hidden="1" s="150">
      <c r="A190" t="inlineStr">
        <is>
          <t>ASOTOG</t>
        </is>
      </c>
      <c r="B190" t="n">
        <v>3117</v>
      </c>
      <c r="C190" t="inlineStr">
        <is>
          <t>ADOLFO DE JESUS SOTO GARCIA</t>
        </is>
      </c>
      <c r="D190" t="n">
        <v>10260</v>
      </c>
      <c r="E190" t="inlineStr">
        <is>
          <t>ANALISTA DE BACKOFFICE</t>
        </is>
      </c>
      <c r="F190" t="inlineStr">
        <is>
          <t>MONTERREY</t>
        </is>
      </c>
      <c r="G190" t="n">
        <v>782</v>
      </c>
      <c r="H190" t="inlineStr">
        <is>
          <t>ADRIANA PAMELA AGUILERA FLORES</t>
        </is>
      </c>
      <c r="I190" t="n">
        <v>9082</v>
      </c>
      <c r="J190" t="inlineStr">
        <is>
          <t>GERENTE BACKOFFICE DERIVADOS</t>
        </is>
      </c>
      <c r="K190" t="n">
        <v>1</v>
      </c>
      <c r="L190" t="inlineStr">
        <is>
          <t>PRESIDENCIA EJECUTIVA DEL CONSEJO</t>
        </is>
      </c>
      <c r="M190" t="n">
        <v>40</v>
      </c>
      <c r="N190" t="inlineStr">
        <is>
          <t>DIRECCION GENERAL BANCO BASE</t>
        </is>
      </c>
      <c r="O190" t="n">
        <v>440</v>
      </c>
      <c r="P190" t="inlineStr">
        <is>
          <t>DIRECCION DE CONTRALORIA Y PREVENCION</t>
        </is>
      </c>
      <c r="Q190" t="n">
        <v>4430</v>
      </c>
      <c r="R190" t="inlineStr">
        <is>
          <t>DIRECCION DE OPERACIONES</t>
        </is>
      </c>
      <c r="S190" t="n">
        <v>44200</v>
      </c>
      <c r="T190" t="inlineStr">
        <is>
          <t>SUBDIRECCION CONCILIACIONES EMISION Y SERVICIOS</t>
        </is>
      </c>
      <c r="U190" t="n">
        <v>442000</v>
      </c>
      <c r="V190" t="inlineStr">
        <is>
          <t>SUBDIRECCION CONCILIACIONES EMISION Y SERVICIOS</t>
        </is>
      </c>
      <c r="W190" t="n">
        <v>100101</v>
      </c>
      <c r="X190" t="inlineStr">
        <is>
          <t>CORPORATIVO</t>
        </is>
      </c>
      <c r="Y190" t="n">
        <v>4</v>
      </c>
      <c r="Z190" t="inlineStr">
        <is>
          <t>CORPORATIVO</t>
        </is>
      </c>
      <c r="AA190" t="n">
        <v>1</v>
      </c>
      <c r="AB190" t="inlineStr">
        <is>
          <t>NEGOCIO EN MARCHA</t>
        </is>
      </c>
      <c r="AC190" t="n">
        <v>1</v>
      </c>
      <c r="AD190" t="inlineStr">
        <is>
          <t>BANCO</t>
        </is>
      </c>
      <c r="AE190" t="n">
        <v>1</v>
      </c>
      <c r="AF190" t="inlineStr">
        <is>
          <t>BACK</t>
        </is>
      </c>
      <c r="AG190" t="n">
        <v>100101</v>
      </c>
      <c r="AH190" t="inlineStr">
        <is>
          <t>CORPORATIVO</t>
        </is>
      </c>
      <c r="AI190" t="inlineStr">
        <is>
          <t>ASOTOG@BANCOBASE.COM</t>
        </is>
      </c>
      <c r="AJ190" s="151" t="n">
        <v>45428</v>
      </c>
      <c r="AK190" s="151" t="n"/>
      <c r="AL190" s="151" t="n"/>
    </row>
    <row r="191" hidden="1" s="150">
      <c r="A191" t="inlineStr">
        <is>
          <t>JMICHEL</t>
        </is>
      </c>
      <c r="B191" t="n">
        <v>3420</v>
      </c>
      <c r="C191" t="inlineStr">
        <is>
          <t>JUAN CARLOS MICHEL PRESAS</t>
        </is>
      </c>
      <c r="D191" t="n">
        <v>8686</v>
      </c>
      <c r="E191" t="inlineStr">
        <is>
          <t>ANALISTA DE BACKOFFICE</t>
        </is>
      </c>
      <c r="F191" t="inlineStr">
        <is>
          <t>MONTERREY</t>
        </is>
      </c>
      <c r="G191" t="n">
        <v>782</v>
      </c>
      <c r="H191" t="inlineStr">
        <is>
          <t>ADRIANA PAMELA AGUILERA FLORES</t>
        </is>
      </c>
      <c r="I191" t="n">
        <v>9082</v>
      </c>
      <c r="J191" t="inlineStr">
        <is>
          <t>GERENTE BACKOFFICE DERIVADOS</t>
        </is>
      </c>
      <c r="K191" t="n">
        <v>1</v>
      </c>
      <c r="L191" t="inlineStr">
        <is>
          <t>PRESIDENCIA EJECUTIVA DEL CONSEJO</t>
        </is>
      </c>
      <c r="M191" t="n">
        <v>40</v>
      </c>
      <c r="N191" t="inlineStr">
        <is>
          <t>DIRECCION GENERAL BANCO BASE</t>
        </is>
      </c>
      <c r="O191" t="n">
        <v>440</v>
      </c>
      <c r="P191" t="inlineStr">
        <is>
          <t>DIRECCION DE CONTRALORIA Y PREVENCION</t>
        </is>
      </c>
      <c r="Q191" t="n">
        <v>4430</v>
      </c>
      <c r="R191" t="inlineStr">
        <is>
          <t>DIRECCION DE OPERACIONES</t>
        </is>
      </c>
      <c r="S191" t="n">
        <v>44200</v>
      </c>
      <c r="T191" t="inlineStr">
        <is>
          <t>SUBDIRECCION CONCILIACIONES EMISION Y SERVICIOS</t>
        </is>
      </c>
      <c r="U191" t="n">
        <v>442000</v>
      </c>
      <c r="V191" t="inlineStr">
        <is>
          <t>SUBDIRECCION CONCILIACIONES EMISION Y SERVICIOS</t>
        </is>
      </c>
      <c r="W191" t="n">
        <v>100101</v>
      </c>
      <c r="X191" t="inlineStr">
        <is>
          <t>CORPORATIVO</t>
        </is>
      </c>
      <c r="Y191" t="n">
        <v>4</v>
      </c>
      <c r="Z191" t="inlineStr">
        <is>
          <t>CORPORATIVO</t>
        </is>
      </c>
      <c r="AA191" t="n">
        <v>1</v>
      </c>
      <c r="AB191" t="inlineStr">
        <is>
          <t>NEGOCIO EN MARCHA</t>
        </is>
      </c>
      <c r="AC191" t="n">
        <v>1</v>
      </c>
      <c r="AD191" t="inlineStr">
        <is>
          <t>BANCO</t>
        </is>
      </c>
      <c r="AE191" t="n">
        <v>1</v>
      </c>
      <c r="AF191" t="inlineStr">
        <is>
          <t>BACK</t>
        </is>
      </c>
      <c r="AG191" t="n">
        <v>100101</v>
      </c>
      <c r="AH191" t="inlineStr">
        <is>
          <t>CORPORATIVO</t>
        </is>
      </c>
      <c r="AI191" t="inlineStr">
        <is>
          <t>JMICHEL@BANCOBASE.COM</t>
        </is>
      </c>
      <c r="AJ191" s="151" t="n">
        <v>45778</v>
      </c>
      <c r="AK191" s="151" t="n"/>
      <c r="AL191" s="151" t="n"/>
    </row>
    <row r="192" hidden="1" s="150">
      <c r="A192" t="inlineStr">
        <is>
          <t>EORNELAS</t>
        </is>
      </c>
      <c r="B192" t="n">
        <v>1808</v>
      </c>
      <c r="C192" t="inlineStr">
        <is>
          <t>EDGAR ESAU ORNELAS PAREDES</t>
        </is>
      </c>
      <c r="D192" t="n">
        <v>10258</v>
      </c>
      <c r="E192" t="inlineStr">
        <is>
          <t>ESPECIALISTA BACKOFFICE BURSATIL</t>
        </is>
      </c>
      <c r="F192" t="inlineStr">
        <is>
          <t>MONTERREY</t>
        </is>
      </c>
      <c r="G192" t="n">
        <v>317</v>
      </c>
      <c r="H192" t="inlineStr">
        <is>
          <t>GERARDO ISRAEL VILLARREAL COSSIO</t>
        </is>
      </c>
      <c r="I192" t="n">
        <v>10077</v>
      </c>
      <c r="J192" t="inlineStr">
        <is>
          <t>SUBDIRECTOR DE CONCILIACIONES, EMISION Y SERVICIOS</t>
        </is>
      </c>
      <c r="K192" t="n">
        <v>1</v>
      </c>
      <c r="L192" t="inlineStr">
        <is>
          <t>PRESIDENCIA EJECUTIVA DEL CONSEJO</t>
        </is>
      </c>
      <c r="M192" t="n">
        <v>40</v>
      </c>
      <c r="N192" t="inlineStr">
        <is>
          <t>DIRECCION GENERAL BANCO BASE</t>
        </is>
      </c>
      <c r="O192" t="n">
        <v>440</v>
      </c>
      <c r="P192" t="inlineStr">
        <is>
          <t>DIRECCION DE CONTRALORIA Y PREVENCION</t>
        </is>
      </c>
      <c r="Q192" t="n">
        <v>4430</v>
      </c>
      <c r="R192" t="inlineStr">
        <is>
          <t>DIRECCION DE OPERACIONES</t>
        </is>
      </c>
      <c r="S192" t="n">
        <v>44500</v>
      </c>
      <c r="T192" t="inlineStr">
        <is>
          <t>SUBDIRECCION BACK CAPTACION Y BURSATIL</t>
        </is>
      </c>
      <c r="U192" t="n">
        <v>445000</v>
      </c>
      <c r="V192" t="inlineStr">
        <is>
          <t>SUBDIRECCION BACK CAPTACION Y BURSATIL</t>
        </is>
      </c>
      <c r="W192" t="n">
        <v>100101</v>
      </c>
      <c r="X192" t="inlineStr">
        <is>
          <t>CORPORATIVO</t>
        </is>
      </c>
      <c r="Y192" t="n">
        <v>4</v>
      </c>
      <c r="Z192" t="inlineStr">
        <is>
          <t>CORPORATIVO</t>
        </is>
      </c>
      <c r="AA192" t="n">
        <v>1</v>
      </c>
      <c r="AB192" t="inlineStr">
        <is>
          <t>NEGOCIO EN MARCHA</t>
        </is>
      </c>
      <c r="AC192" t="n">
        <v>1</v>
      </c>
      <c r="AD192" t="inlineStr">
        <is>
          <t>BANCO</t>
        </is>
      </c>
      <c r="AE192" t="n">
        <v>1</v>
      </c>
      <c r="AF192" t="inlineStr">
        <is>
          <t>BACK</t>
        </is>
      </c>
      <c r="AG192" t="n">
        <v>100101</v>
      </c>
      <c r="AH192" t="inlineStr">
        <is>
          <t>CORPORATIVO</t>
        </is>
      </c>
      <c r="AI192" t="inlineStr">
        <is>
          <t>EORNELAS@BANCOBASE.COM</t>
        </is>
      </c>
      <c r="AJ192" s="151" t="n">
        <v>42932</v>
      </c>
      <c r="AK192" s="151" t="n"/>
      <c r="AL192" s="151" t="n"/>
    </row>
    <row r="193" hidden="1" s="150">
      <c r="A193" t="inlineStr">
        <is>
          <t>GHERNANDEB</t>
        </is>
      </c>
      <c r="B193" t="n">
        <v>1339</v>
      </c>
      <c r="C193" t="inlineStr">
        <is>
          <t>GRETHA CONCEPCION HERNANDEZ BARBOSA</t>
        </is>
      </c>
      <c r="D193" t="n">
        <v>9125</v>
      </c>
      <c r="E193" t="inlineStr">
        <is>
          <t>ESPECIALISTA BACKOFFICE MD</t>
        </is>
      </c>
      <c r="F193" t="inlineStr">
        <is>
          <t>MONTERREY</t>
        </is>
      </c>
      <c r="G193" t="n">
        <v>317</v>
      </c>
      <c r="H193" t="inlineStr">
        <is>
          <t>GERARDO ISRAEL VILLARREAL COSSIO</t>
        </is>
      </c>
      <c r="I193" t="n">
        <v>10077</v>
      </c>
      <c r="J193" t="inlineStr">
        <is>
          <t>SUBDIRECTOR DE CONCILIACIONES, EMISION Y SERVICIOS</t>
        </is>
      </c>
      <c r="K193" t="n">
        <v>1</v>
      </c>
      <c r="L193" t="inlineStr">
        <is>
          <t>PRESIDENCIA EJECUTIVA DEL CONSEJO</t>
        </is>
      </c>
      <c r="M193" t="n">
        <v>40</v>
      </c>
      <c r="N193" t="inlineStr">
        <is>
          <t>DIRECCION GENERAL BANCO BASE</t>
        </is>
      </c>
      <c r="O193" t="n">
        <v>440</v>
      </c>
      <c r="P193" t="inlineStr">
        <is>
          <t>DIRECCION DE CONTRALORIA Y PREVENCION</t>
        </is>
      </c>
      <c r="Q193" t="n">
        <v>4430</v>
      </c>
      <c r="R193" t="inlineStr">
        <is>
          <t>DIRECCION DE OPERACIONES</t>
        </is>
      </c>
      <c r="S193" t="n">
        <v>44500</v>
      </c>
      <c r="T193" t="inlineStr">
        <is>
          <t>SUBDIRECCION BACK CAPTACION Y BURSATIL</t>
        </is>
      </c>
      <c r="U193" t="n">
        <v>445000</v>
      </c>
      <c r="V193" t="inlineStr">
        <is>
          <t>SUBDIRECCION BACK CAPTACION Y BURSATIL</t>
        </is>
      </c>
      <c r="W193" t="n">
        <v>100101</v>
      </c>
      <c r="X193" t="inlineStr">
        <is>
          <t>CORPORATIVO</t>
        </is>
      </c>
      <c r="Y193" t="n">
        <v>4</v>
      </c>
      <c r="Z193" t="inlineStr">
        <is>
          <t>CORPORATIVO</t>
        </is>
      </c>
      <c r="AA193" t="n">
        <v>1</v>
      </c>
      <c r="AB193" t="inlineStr">
        <is>
          <t>NEGOCIO EN MARCHA</t>
        </is>
      </c>
      <c r="AC193" t="n">
        <v>1</v>
      </c>
      <c r="AD193" t="inlineStr">
        <is>
          <t>BANCO</t>
        </is>
      </c>
      <c r="AE193" t="n">
        <v>1</v>
      </c>
      <c r="AF193" t="inlineStr">
        <is>
          <t>BACK</t>
        </is>
      </c>
      <c r="AG193" t="n">
        <v>100101</v>
      </c>
      <c r="AH193" t="inlineStr">
        <is>
          <t>CORPORATIVO</t>
        </is>
      </c>
      <c r="AI193" t="inlineStr">
        <is>
          <t>GHERNANDEB@BANCOBASE.COM</t>
        </is>
      </c>
      <c r="AJ193" s="151" t="n">
        <v>42201</v>
      </c>
      <c r="AK193" s="151" t="n"/>
      <c r="AL193" s="151" t="n"/>
    </row>
    <row r="194" hidden="1" s="150">
      <c r="A194" t="inlineStr">
        <is>
          <t>POTERO</t>
        </is>
      </c>
      <c r="B194" t="n">
        <v>3067</v>
      </c>
      <c r="C194" t="inlineStr">
        <is>
          <t>PEDRO DE JESUS OTERO MARTINEZ</t>
        </is>
      </c>
      <c r="D194" t="n">
        <v>10069</v>
      </c>
      <c r="E194" t="inlineStr">
        <is>
          <t>ANALISTA DE BACKOFFICE</t>
        </is>
      </c>
      <c r="F194" t="inlineStr">
        <is>
          <t>MONTERREY</t>
        </is>
      </c>
      <c r="G194" t="n">
        <v>317</v>
      </c>
      <c r="H194" t="inlineStr">
        <is>
          <t>GERARDO ISRAEL VILLARREAL COSSIO</t>
        </is>
      </c>
      <c r="I194" t="n">
        <v>10077</v>
      </c>
      <c r="J194" t="inlineStr">
        <is>
          <t>SUBDIRECTOR DE CONCILIACIONES, EMISION Y SERVICIOS</t>
        </is>
      </c>
      <c r="K194" t="n">
        <v>1</v>
      </c>
      <c r="L194" t="inlineStr">
        <is>
          <t>PRESIDENCIA EJECUTIVA DEL CONSEJO</t>
        </is>
      </c>
      <c r="M194" t="n">
        <v>40</v>
      </c>
      <c r="N194" t="inlineStr">
        <is>
          <t>DIRECCION GENERAL BANCO BASE</t>
        </is>
      </c>
      <c r="O194" t="n">
        <v>440</v>
      </c>
      <c r="P194" t="inlineStr">
        <is>
          <t>DIRECCION DE CONTRALORIA Y PREVENCION</t>
        </is>
      </c>
      <c r="Q194" t="n">
        <v>4430</v>
      </c>
      <c r="R194" t="inlineStr">
        <is>
          <t>DIRECCION DE OPERACIONES</t>
        </is>
      </c>
      <c r="S194" t="n">
        <v>44500</v>
      </c>
      <c r="T194" t="inlineStr">
        <is>
          <t>SUBDIRECCION BACK CAPTACION Y BURSATIL</t>
        </is>
      </c>
      <c r="U194" t="n">
        <v>445000</v>
      </c>
      <c r="V194" t="inlineStr">
        <is>
          <t>SUBDIRECCION BACK CAPTACION Y BURSATIL</t>
        </is>
      </c>
      <c r="W194" t="n">
        <v>100101</v>
      </c>
      <c r="X194" t="inlineStr">
        <is>
          <t>CORPORATIVO</t>
        </is>
      </c>
      <c r="Y194" t="n">
        <v>4</v>
      </c>
      <c r="Z194" t="inlineStr">
        <is>
          <t>CORPORATIVO</t>
        </is>
      </c>
      <c r="AA194" t="n">
        <v>1</v>
      </c>
      <c r="AB194" t="inlineStr">
        <is>
          <t>NEGOCIO EN MARCHA</t>
        </is>
      </c>
      <c r="AC194" t="n">
        <v>1</v>
      </c>
      <c r="AD194" t="inlineStr">
        <is>
          <t>BANCO</t>
        </is>
      </c>
      <c r="AE194" t="n">
        <v>1</v>
      </c>
      <c r="AF194" t="inlineStr">
        <is>
          <t>BACK</t>
        </is>
      </c>
      <c r="AG194" t="n">
        <v>100101</v>
      </c>
      <c r="AH194" t="inlineStr">
        <is>
          <t>CORPORATIVO</t>
        </is>
      </c>
      <c r="AI194" t="inlineStr">
        <is>
          <t>POTERO@BANCOBASE.COM</t>
        </is>
      </c>
      <c r="AJ194" s="151" t="n">
        <v>45383</v>
      </c>
      <c r="AK194" s="151" t="n"/>
      <c r="AL194" s="151" t="n"/>
    </row>
    <row r="195" hidden="1" s="150">
      <c r="A195" t="inlineStr">
        <is>
          <t>DQUINTERO</t>
        </is>
      </c>
      <c r="B195" t="n">
        <v>2623</v>
      </c>
      <c r="C195" t="inlineStr">
        <is>
          <t>DANIELA SOFIA QUINTERO LOPEZ</t>
        </is>
      </c>
      <c r="D195" t="n">
        <v>9786</v>
      </c>
      <c r="E195" t="inlineStr">
        <is>
          <t>COORDINADOR DE BACKOFICE PREVISION SOCIAL</t>
        </is>
      </c>
      <c r="F195" t="inlineStr">
        <is>
          <t>MONTERREY</t>
        </is>
      </c>
      <c r="G195" t="n">
        <v>317</v>
      </c>
      <c r="H195" t="inlineStr">
        <is>
          <t>GERARDO ISRAEL VILLARREAL COSSIO</t>
        </is>
      </c>
      <c r="I195" t="n">
        <v>10077</v>
      </c>
      <c r="J195" t="inlineStr">
        <is>
          <t>SUBDIRECTOR DE CONCILIACIONES, EMISION Y SERVICIOS</t>
        </is>
      </c>
      <c r="K195" t="n">
        <v>1</v>
      </c>
      <c r="L195" t="inlineStr">
        <is>
          <t>PRESIDENCIA EJECUTIVA DEL CONSEJO</t>
        </is>
      </c>
      <c r="M195" t="n">
        <v>40</v>
      </c>
      <c r="N195" t="inlineStr">
        <is>
          <t>DIRECCION GENERAL BANCO BASE</t>
        </is>
      </c>
      <c r="O195" t="n">
        <v>440</v>
      </c>
      <c r="P195" t="inlineStr">
        <is>
          <t>DIRECCION DE CONTRALORIA Y PREVENCION</t>
        </is>
      </c>
      <c r="Q195" t="n">
        <v>4430</v>
      </c>
      <c r="R195" t="inlineStr">
        <is>
          <t>DIRECCION DE OPERACIONES</t>
        </is>
      </c>
      <c r="S195" t="n">
        <v>44500</v>
      </c>
      <c r="T195" t="inlineStr">
        <is>
          <t>SUBDIRECCION BACK CAPTACION Y BURSATIL</t>
        </is>
      </c>
      <c r="U195" t="n">
        <v>445000</v>
      </c>
      <c r="V195" t="inlineStr">
        <is>
          <t>SUBDIRECCION BACK CAPTACION Y BURSATIL</t>
        </is>
      </c>
      <c r="W195" t="n">
        <v>100101</v>
      </c>
      <c r="X195" t="inlineStr">
        <is>
          <t>CORPORATIVO</t>
        </is>
      </c>
      <c r="Y195" t="n">
        <v>4</v>
      </c>
      <c r="Z195" t="inlineStr">
        <is>
          <t>CORPORATIVO</t>
        </is>
      </c>
      <c r="AA195" t="n">
        <v>1</v>
      </c>
      <c r="AB195" t="inlineStr">
        <is>
          <t>NEGOCIO EN MARCHA</t>
        </is>
      </c>
      <c r="AC195" t="n">
        <v>1</v>
      </c>
      <c r="AD195" t="inlineStr">
        <is>
          <t>BANCO</t>
        </is>
      </c>
      <c r="AE195" t="n">
        <v>1</v>
      </c>
      <c r="AF195" t="inlineStr">
        <is>
          <t>BACK</t>
        </is>
      </c>
      <c r="AG195" t="n">
        <v>100101</v>
      </c>
      <c r="AH195" t="inlineStr">
        <is>
          <t>CORPORATIVO</t>
        </is>
      </c>
      <c r="AI195" t="inlineStr">
        <is>
          <t>DQUINTERO@BANCOBASE.COM</t>
        </is>
      </c>
      <c r="AJ195" s="151" t="n">
        <v>44621</v>
      </c>
      <c r="AK195" s="151" t="n"/>
      <c r="AL195" s="151" t="n"/>
    </row>
    <row r="196" hidden="1" s="150">
      <c r="A196" t="inlineStr">
        <is>
          <t>ADELACRUZ</t>
        </is>
      </c>
      <c r="B196" t="n">
        <v>2587</v>
      </c>
      <c r="C196" t="inlineStr">
        <is>
          <t>ANDREA DENISSE DE LA CRUZ MUÑIZ</t>
        </is>
      </c>
      <c r="D196" t="n">
        <v>9902</v>
      </c>
      <c r="E196" t="inlineStr">
        <is>
          <t>ANALISTA DE OPERACIONES DE CAPTACION</t>
        </is>
      </c>
      <c r="F196" t="inlineStr">
        <is>
          <t>MONTERREY</t>
        </is>
      </c>
      <c r="G196" t="n">
        <v>317</v>
      </c>
      <c r="H196" t="inlineStr">
        <is>
          <t>GERARDO ISRAEL VILLARREAL COSSIO</t>
        </is>
      </c>
      <c r="I196" t="n">
        <v>10077</v>
      </c>
      <c r="J196" t="inlineStr">
        <is>
          <t>SUBDIRECTOR DE CONCILIACIONES, EMISION Y SERVICIOS</t>
        </is>
      </c>
      <c r="K196" t="n">
        <v>1</v>
      </c>
      <c r="L196" t="inlineStr">
        <is>
          <t>PRESIDENCIA EJECUTIVA DEL CONSEJO</t>
        </is>
      </c>
      <c r="M196" t="n">
        <v>40</v>
      </c>
      <c r="N196" t="inlineStr">
        <is>
          <t>DIRECCION GENERAL BANCO BASE</t>
        </is>
      </c>
      <c r="O196" t="n">
        <v>440</v>
      </c>
      <c r="P196" t="inlineStr">
        <is>
          <t>DIRECCION DE CONTRALORIA Y PREVENCION</t>
        </is>
      </c>
      <c r="Q196" t="n">
        <v>4430</v>
      </c>
      <c r="R196" t="inlineStr">
        <is>
          <t>DIRECCION DE OPERACIONES</t>
        </is>
      </c>
      <c r="S196" t="n">
        <v>44500</v>
      </c>
      <c r="T196" t="inlineStr">
        <is>
          <t>SUBDIRECCION BACK CAPTACION Y BURSATIL</t>
        </is>
      </c>
      <c r="U196" t="n">
        <v>445000</v>
      </c>
      <c r="V196" t="inlineStr">
        <is>
          <t>SUBDIRECCION BACK CAPTACION Y BURSATIL</t>
        </is>
      </c>
      <c r="W196" t="n">
        <v>100101</v>
      </c>
      <c r="X196" t="inlineStr">
        <is>
          <t>CORPORATIVO</t>
        </is>
      </c>
      <c r="Y196" t="n">
        <v>4</v>
      </c>
      <c r="Z196" t="inlineStr">
        <is>
          <t>CORPORATIVO</t>
        </is>
      </c>
      <c r="AA196" t="n">
        <v>1</v>
      </c>
      <c r="AB196" t="inlineStr">
        <is>
          <t>NEGOCIO EN MARCHA</t>
        </is>
      </c>
      <c r="AC196" t="n">
        <v>1</v>
      </c>
      <c r="AD196" t="inlineStr">
        <is>
          <t>BANCO</t>
        </is>
      </c>
      <c r="AE196" t="n">
        <v>1</v>
      </c>
      <c r="AF196" t="inlineStr">
        <is>
          <t>BACK</t>
        </is>
      </c>
      <c r="AG196" t="n">
        <v>100101</v>
      </c>
      <c r="AH196" t="inlineStr">
        <is>
          <t>CORPORATIVO</t>
        </is>
      </c>
      <c r="AI196" t="inlineStr">
        <is>
          <t>ADELACRUZ@BANCOBASE.COM</t>
        </is>
      </c>
      <c r="AJ196" s="151" t="n">
        <v>44531</v>
      </c>
      <c r="AK196" s="151" t="n"/>
      <c r="AL196" s="151" t="n"/>
    </row>
    <row r="197" hidden="1" s="150">
      <c r="A197" t="inlineStr">
        <is>
          <t>JTORRESL</t>
        </is>
      </c>
      <c r="B197" t="n">
        <v>1243</v>
      </c>
      <c r="C197" t="inlineStr">
        <is>
          <t>JORGE ENRIQUE TORRES LOZANO</t>
        </is>
      </c>
      <c r="D197" t="n">
        <v>8113</v>
      </c>
      <c r="E197" t="inlineStr">
        <is>
          <t>LIDER DE CONCILIACIONES, EMISION DE INFORMACION Y BACKOFFICE</t>
        </is>
      </c>
      <c r="F197" t="inlineStr">
        <is>
          <t>MONTERREY</t>
        </is>
      </c>
      <c r="G197" t="n">
        <v>317</v>
      </c>
      <c r="H197" t="inlineStr">
        <is>
          <t>GERARDO ISRAEL VILLARREAL COSSIO</t>
        </is>
      </c>
      <c r="I197" t="n">
        <v>10077</v>
      </c>
      <c r="J197" t="inlineStr">
        <is>
          <t>SUBDIRECTOR DE CONCILIACIONES, EMISION Y SERVICIOS</t>
        </is>
      </c>
      <c r="K197" t="n">
        <v>1</v>
      </c>
      <c r="L197" t="inlineStr">
        <is>
          <t>PRESIDENCIA EJECUTIVA DEL CONSEJO</t>
        </is>
      </c>
      <c r="M197" t="n">
        <v>40</v>
      </c>
      <c r="N197" t="inlineStr">
        <is>
          <t>DIRECCION GENERAL BANCO BASE</t>
        </is>
      </c>
      <c r="O197" t="n">
        <v>440</v>
      </c>
      <c r="P197" t="inlineStr">
        <is>
          <t>DIRECCION DE CONTRALORIA Y PREVENCION</t>
        </is>
      </c>
      <c r="Q197" t="n">
        <v>4430</v>
      </c>
      <c r="R197" t="inlineStr">
        <is>
          <t>DIRECCION DE OPERACIONES</t>
        </is>
      </c>
      <c r="S197" t="n">
        <v>44200</v>
      </c>
      <c r="T197" t="inlineStr">
        <is>
          <t>SUBDIRECCION CONCILIACIONES EMISION Y SERVICIOS</t>
        </is>
      </c>
      <c r="U197" t="n">
        <v>442000</v>
      </c>
      <c r="V197" t="inlineStr">
        <is>
          <t>SUBDIRECCION CONCILIACIONES EMISION Y SERVICIOS</t>
        </is>
      </c>
      <c r="W197" t="n">
        <v>100101</v>
      </c>
      <c r="X197" t="inlineStr">
        <is>
          <t>CORPORATIVO</t>
        </is>
      </c>
      <c r="Y197" t="n">
        <v>4</v>
      </c>
      <c r="Z197" t="inlineStr">
        <is>
          <t>CORPORATIVO</t>
        </is>
      </c>
      <c r="AA197" t="n">
        <v>1</v>
      </c>
      <c r="AB197" t="inlineStr">
        <is>
          <t>NEGOCIO EN MARCHA</t>
        </is>
      </c>
      <c r="AC197" t="n">
        <v>1</v>
      </c>
      <c r="AD197" t="inlineStr">
        <is>
          <t>BANCO</t>
        </is>
      </c>
      <c r="AE197" t="n">
        <v>1</v>
      </c>
      <c r="AF197" t="inlineStr">
        <is>
          <t>BACK</t>
        </is>
      </c>
      <c r="AG197" t="n">
        <v>100101</v>
      </c>
      <c r="AH197" t="inlineStr">
        <is>
          <t>CORPORATIVO</t>
        </is>
      </c>
      <c r="AI197" t="inlineStr">
        <is>
          <t>JTORRESL@BANCOBASE.COM</t>
        </is>
      </c>
      <c r="AJ197" s="151" t="n">
        <v>41989</v>
      </c>
      <c r="AK197" s="151" t="n"/>
      <c r="AL197" s="151" t="n"/>
    </row>
    <row r="198" hidden="1" s="150">
      <c r="A198" t="inlineStr">
        <is>
          <t>ESEPULVED</t>
        </is>
      </c>
      <c r="B198" t="n">
        <v>2250</v>
      </c>
      <c r="C198" t="inlineStr">
        <is>
          <t>ERICK OSWALDO SEPULVEDA CERVANTES</t>
        </is>
      </c>
      <c r="D198" t="n">
        <v>9297</v>
      </c>
      <c r="E198" t="inlineStr">
        <is>
          <t>COORDINADOR DE EMISION DE INFORMACION</t>
        </is>
      </c>
      <c r="F198" t="inlineStr">
        <is>
          <t>MONTERREY</t>
        </is>
      </c>
      <c r="G198" t="n">
        <v>1243</v>
      </c>
      <c r="H198" t="inlineStr">
        <is>
          <t>JORGE ENRIQUE TORRES LOZANO</t>
        </is>
      </c>
      <c r="I198" t="n">
        <v>8113</v>
      </c>
      <c r="J198" t="inlineStr">
        <is>
          <t>LIDER DE CONCILIACIONES, EMISION DE INFORMACION Y BACKOFFICE</t>
        </is>
      </c>
      <c r="K198" t="n">
        <v>1</v>
      </c>
      <c r="L198" t="inlineStr">
        <is>
          <t>PRESIDENCIA EJECUTIVA DEL CONSEJO</t>
        </is>
      </c>
      <c r="M198" t="n">
        <v>40</v>
      </c>
      <c r="N198" t="inlineStr">
        <is>
          <t>DIRECCION GENERAL BANCO BASE</t>
        </is>
      </c>
      <c r="O198" t="n">
        <v>440</v>
      </c>
      <c r="P198" t="inlineStr">
        <is>
          <t>DIRECCION DE CONTRALORIA Y PREVENCION</t>
        </is>
      </c>
      <c r="Q198" t="n">
        <v>4430</v>
      </c>
      <c r="R198" t="inlineStr">
        <is>
          <t>DIRECCION DE OPERACIONES</t>
        </is>
      </c>
      <c r="S198" t="n">
        <v>44200</v>
      </c>
      <c r="T198" t="inlineStr">
        <is>
          <t>SUBDIRECCION CONCILIACIONES EMISION Y SERVICIOS</t>
        </is>
      </c>
      <c r="U198" t="n">
        <v>442000</v>
      </c>
      <c r="V198" t="inlineStr">
        <is>
          <t>SUBDIRECCION CONCILIACIONES EMISION Y SERVICIOS</t>
        </is>
      </c>
      <c r="W198" t="n">
        <v>100101</v>
      </c>
      <c r="X198" t="inlineStr">
        <is>
          <t>CORPORATIVO</t>
        </is>
      </c>
      <c r="Y198" t="n">
        <v>4</v>
      </c>
      <c r="Z198" t="inlineStr">
        <is>
          <t>CORPORATIVO</t>
        </is>
      </c>
      <c r="AA198" t="n">
        <v>1</v>
      </c>
      <c r="AB198" t="inlineStr">
        <is>
          <t>NEGOCIO EN MARCHA</t>
        </is>
      </c>
      <c r="AC198" t="n">
        <v>1</v>
      </c>
      <c r="AD198" t="inlineStr">
        <is>
          <t>BANCO</t>
        </is>
      </c>
      <c r="AE198" t="n">
        <v>1</v>
      </c>
      <c r="AF198" t="inlineStr">
        <is>
          <t>BACK</t>
        </is>
      </c>
      <c r="AG198" t="n">
        <v>100101</v>
      </c>
      <c r="AH198" t="inlineStr">
        <is>
          <t>CORPORATIVO</t>
        </is>
      </c>
      <c r="AI198" t="inlineStr">
        <is>
          <t>ESEPULVED@BANCOBASE.COM</t>
        </is>
      </c>
      <c r="AJ198" s="151" t="n">
        <v>43601</v>
      </c>
      <c r="AK198" s="151" t="n"/>
      <c r="AL198" s="151" t="n"/>
    </row>
    <row r="199" hidden="1" s="150">
      <c r="A199" t="inlineStr">
        <is>
          <t>CCASTANEDA</t>
        </is>
      </c>
      <c r="B199" t="n">
        <v>2744</v>
      </c>
      <c r="C199" t="inlineStr">
        <is>
          <t>CESAR CASTAÑEDA CASAS</t>
        </is>
      </c>
      <c r="D199" t="n">
        <v>9110</v>
      </c>
      <c r="E199" t="inlineStr">
        <is>
          <t>ANALISTA DE EMISION DE INFORMACION</t>
        </is>
      </c>
      <c r="F199" t="inlineStr">
        <is>
          <t>MONTERREY</t>
        </is>
      </c>
      <c r="G199" t="n">
        <v>2250</v>
      </c>
      <c r="H199" t="inlineStr">
        <is>
          <t>ERICK OSWALDO SEPULVEDA CERVANTES</t>
        </is>
      </c>
      <c r="I199" t="n">
        <v>9297</v>
      </c>
      <c r="J199" t="inlineStr">
        <is>
          <t>COORDINADOR DE EMISION DE INFORMACION</t>
        </is>
      </c>
      <c r="K199" t="n">
        <v>1</v>
      </c>
      <c r="L199" t="inlineStr">
        <is>
          <t>PRESIDENCIA EJECUTIVA DEL CONSEJO</t>
        </is>
      </c>
      <c r="M199" t="n">
        <v>40</v>
      </c>
      <c r="N199" t="inlineStr">
        <is>
          <t>DIRECCION GENERAL BANCO BASE</t>
        </is>
      </c>
      <c r="O199" t="n">
        <v>440</v>
      </c>
      <c r="P199" t="inlineStr">
        <is>
          <t>DIRECCION DE CONTRALORIA Y PREVENCION</t>
        </is>
      </c>
      <c r="Q199" t="n">
        <v>4430</v>
      </c>
      <c r="R199" t="inlineStr">
        <is>
          <t>DIRECCION DE OPERACIONES</t>
        </is>
      </c>
      <c r="S199" t="n">
        <v>44200</v>
      </c>
      <c r="T199" t="inlineStr">
        <is>
          <t>SUBDIRECCION CONCILIACIONES EMISION Y SERVICIOS</t>
        </is>
      </c>
      <c r="U199" t="n">
        <v>442000</v>
      </c>
      <c r="V199" t="inlineStr">
        <is>
          <t>SUBDIRECCION CONCILIACIONES EMISION Y SERVICIOS</t>
        </is>
      </c>
      <c r="W199" t="n">
        <v>100101</v>
      </c>
      <c r="X199" t="inlineStr">
        <is>
          <t>CORPORATIVO</t>
        </is>
      </c>
      <c r="Y199" t="n">
        <v>4</v>
      </c>
      <c r="Z199" t="inlineStr">
        <is>
          <t>CORPORATIVO</t>
        </is>
      </c>
      <c r="AA199" t="n">
        <v>1</v>
      </c>
      <c r="AB199" t="inlineStr">
        <is>
          <t>NEGOCIO EN MARCHA</t>
        </is>
      </c>
      <c r="AC199" t="n">
        <v>1</v>
      </c>
      <c r="AD199" t="inlineStr">
        <is>
          <t>BANCO</t>
        </is>
      </c>
      <c r="AE199" t="n">
        <v>1</v>
      </c>
      <c r="AF199" t="inlineStr">
        <is>
          <t>BACK</t>
        </is>
      </c>
      <c r="AG199" t="n">
        <v>100101</v>
      </c>
      <c r="AH199" t="inlineStr">
        <is>
          <t>CORPORATIVO</t>
        </is>
      </c>
      <c r="AI199" t="inlineStr">
        <is>
          <t>CCASTANEDA@BANCOBASE.COM</t>
        </is>
      </c>
      <c r="AJ199" s="151" t="n">
        <v>44837</v>
      </c>
      <c r="AK199" s="151" t="n"/>
      <c r="AL199" s="151" t="n"/>
    </row>
    <row r="200" hidden="1" s="150">
      <c r="A200" t="inlineStr">
        <is>
          <t>IMEJORADO</t>
        </is>
      </c>
      <c r="B200" t="n">
        <v>3701</v>
      </c>
      <c r="C200" t="inlineStr">
        <is>
          <t>IVAN ALEJANDRO MEJORADO GARCIA</t>
        </is>
      </c>
      <c r="D200" t="n">
        <v>9068</v>
      </c>
      <c r="E200" t="inlineStr">
        <is>
          <t>ANALISTA DE EMISION DE INFORMACION</t>
        </is>
      </c>
      <c r="F200" t="inlineStr">
        <is>
          <t>MONTERREY</t>
        </is>
      </c>
      <c r="G200" t="n">
        <v>2250</v>
      </c>
      <c r="H200" t="inlineStr">
        <is>
          <t>ERICK OSWALDO SEPULVEDA CERVANTES</t>
        </is>
      </c>
      <c r="I200" t="n">
        <v>9297</v>
      </c>
      <c r="J200" t="inlineStr">
        <is>
          <t>COORDINADOR DE EMISION DE INFORMACION</t>
        </is>
      </c>
      <c r="K200" t="n">
        <v>1</v>
      </c>
      <c r="L200" t="inlineStr">
        <is>
          <t>PRESIDENCIA EJECUTIVA DEL CONSEJO</t>
        </is>
      </c>
      <c r="M200" t="n">
        <v>40</v>
      </c>
      <c r="N200" t="inlineStr">
        <is>
          <t>DIRECCION GENERAL BANCO BASE</t>
        </is>
      </c>
      <c r="O200" t="n">
        <v>440</v>
      </c>
      <c r="P200" t="inlineStr">
        <is>
          <t>DIRECCION DE CONTRALORIA Y PREVENCION</t>
        </is>
      </c>
      <c r="Q200" t="n">
        <v>4430</v>
      </c>
      <c r="R200" t="inlineStr">
        <is>
          <t>DIRECCION DE OPERACIONES</t>
        </is>
      </c>
      <c r="S200" t="n">
        <v>44200</v>
      </c>
      <c r="T200" t="inlineStr">
        <is>
          <t>SUBDIRECCION CONCILIACIONES EMISION Y SERVICIOS</t>
        </is>
      </c>
      <c r="U200" t="n">
        <v>442000</v>
      </c>
      <c r="V200" t="inlineStr">
        <is>
          <t>SUBDIRECCION CONCILIACIONES EMISION Y SERVICIOS</t>
        </is>
      </c>
      <c r="W200" t="n">
        <v>100101</v>
      </c>
      <c r="X200" t="inlineStr">
        <is>
          <t>CORPORATIVO</t>
        </is>
      </c>
      <c r="Y200" t="n">
        <v>4</v>
      </c>
      <c r="Z200" t="inlineStr">
        <is>
          <t>CORPORATIVO</t>
        </is>
      </c>
      <c r="AA200" t="n">
        <v>1</v>
      </c>
      <c r="AB200" t="inlineStr">
        <is>
          <t>NEGOCIO EN MARCHA</t>
        </is>
      </c>
      <c r="AC200" t="n">
        <v>1</v>
      </c>
      <c r="AD200" t="inlineStr">
        <is>
          <t>BANCO</t>
        </is>
      </c>
      <c r="AE200" t="n">
        <v>1</v>
      </c>
      <c r="AF200" t="inlineStr">
        <is>
          <t>BACK</t>
        </is>
      </c>
      <c r="AG200" t="n">
        <v>100101</v>
      </c>
      <c r="AH200" t="inlineStr">
        <is>
          <t>CORPORATIVO</t>
        </is>
      </c>
      <c r="AI200" t="inlineStr">
        <is>
          <t>IMEJORADO@BANCOBASE.COM</t>
        </is>
      </c>
      <c r="AJ200" s="151" t="n">
        <v>45992</v>
      </c>
      <c r="AK200" s="151" t="n"/>
      <c r="AL200" s="151" t="n"/>
    </row>
    <row r="201" hidden="1" s="150">
      <c r="A201" t="inlineStr">
        <is>
          <t>SRAMOS</t>
        </is>
      </c>
      <c r="B201" t="n">
        <v>2568</v>
      </c>
      <c r="C201" t="inlineStr">
        <is>
          <t>SILVIA RAMOS DE LA FUENTE</t>
        </is>
      </c>
      <c r="D201" t="n">
        <v>10320</v>
      </c>
      <c r="E201" t="inlineStr">
        <is>
          <t>ANALISTA DE EMISION DE INFORMACION SR</t>
        </is>
      </c>
      <c r="F201" t="inlineStr">
        <is>
          <t>MONTERREY</t>
        </is>
      </c>
      <c r="G201" t="n">
        <v>2250</v>
      </c>
      <c r="H201" t="inlineStr">
        <is>
          <t>ERICK OSWALDO SEPULVEDA CERVANTES</t>
        </is>
      </c>
      <c r="I201" t="n">
        <v>9297</v>
      </c>
      <c r="J201" t="inlineStr">
        <is>
          <t>COORDINADOR DE EMISION DE INFORMACION</t>
        </is>
      </c>
      <c r="K201" t="n">
        <v>1</v>
      </c>
      <c r="L201" t="inlineStr">
        <is>
          <t>PRESIDENCIA EJECUTIVA DEL CONSEJO</t>
        </is>
      </c>
      <c r="M201" t="n">
        <v>40</v>
      </c>
      <c r="N201" t="inlineStr">
        <is>
          <t>DIRECCION GENERAL BANCO BASE</t>
        </is>
      </c>
      <c r="O201" t="n">
        <v>440</v>
      </c>
      <c r="P201" t="inlineStr">
        <is>
          <t>DIRECCION DE CONTRALORIA Y PREVENCION</t>
        </is>
      </c>
      <c r="Q201" t="n">
        <v>4430</v>
      </c>
      <c r="R201" t="inlineStr">
        <is>
          <t>DIRECCION DE OPERACIONES</t>
        </is>
      </c>
      <c r="S201" t="n">
        <v>44200</v>
      </c>
      <c r="T201" t="inlineStr">
        <is>
          <t>SUBDIRECCION CONCILIACIONES EMISION Y SERVICIOS</t>
        </is>
      </c>
      <c r="U201" t="n">
        <v>442000</v>
      </c>
      <c r="V201" t="inlineStr">
        <is>
          <t>SUBDIRECCION CONCILIACIONES EMISION Y SERVICIOS</t>
        </is>
      </c>
      <c r="W201" t="n">
        <v>100101</v>
      </c>
      <c r="X201" t="inlineStr">
        <is>
          <t>CORPORATIVO</t>
        </is>
      </c>
      <c r="Y201" t="n">
        <v>4</v>
      </c>
      <c r="Z201" t="inlineStr">
        <is>
          <t>CORPORATIVO</t>
        </is>
      </c>
      <c r="AA201" t="n">
        <v>1</v>
      </c>
      <c r="AB201" t="inlineStr">
        <is>
          <t>NEGOCIO EN MARCHA</t>
        </is>
      </c>
      <c r="AC201" t="n">
        <v>1</v>
      </c>
      <c r="AD201" t="inlineStr">
        <is>
          <t>BANCO</t>
        </is>
      </c>
      <c r="AE201" t="n">
        <v>1</v>
      </c>
      <c r="AF201" t="inlineStr">
        <is>
          <t>BACK</t>
        </is>
      </c>
      <c r="AG201" t="n">
        <v>100101</v>
      </c>
      <c r="AH201" t="inlineStr">
        <is>
          <t>CORPORATIVO</t>
        </is>
      </c>
      <c r="AI201" t="inlineStr">
        <is>
          <t>SRAMOS@BANCOBASE.COM</t>
        </is>
      </c>
      <c r="AJ201" s="151" t="n">
        <v>44503</v>
      </c>
      <c r="AK201" s="151" t="n"/>
      <c r="AL201" s="151" t="n"/>
    </row>
    <row r="202" hidden="1" s="150">
      <c r="A202" t="inlineStr">
        <is>
          <t>SVAZQUEZ</t>
        </is>
      </c>
      <c r="B202" t="n">
        <v>2258</v>
      </c>
      <c r="C202" t="inlineStr">
        <is>
          <t>SERGIO ALAN VAZQUEZ IPIÑA</t>
        </is>
      </c>
      <c r="D202" t="n">
        <v>10348</v>
      </c>
      <c r="E202" t="inlineStr">
        <is>
          <t>COORDINADOR DE CONCILIACIONES</t>
        </is>
      </c>
      <c r="F202" t="inlineStr">
        <is>
          <t>MONTERREY</t>
        </is>
      </c>
      <c r="G202" t="n">
        <v>1243</v>
      </c>
      <c r="H202" t="inlineStr">
        <is>
          <t>JORGE ENRIQUE TORRES LOZANO</t>
        </is>
      </c>
      <c r="I202" t="n">
        <v>8113</v>
      </c>
      <c r="J202" t="inlineStr">
        <is>
          <t>LIDER DE CONCILIACIONES, EMISION DE INFORMACION Y BACKOFFICE</t>
        </is>
      </c>
      <c r="K202" t="n">
        <v>1</v>
      </c>
      <c r="L202" t="inlineStr">
        <is>
          <t>PRESIDENCIA EJECUTIVA DEL CONSEJO</t>
        </is>
      </c>
      <c r="M202" t="n">
        <v>40</v>
      </c>
      <c r="N202" t="inlineStr">
        <is>
          <t>DIRECCION GENERAL BANCO BASE</t>
        </is>
      </c>
      <c r="O202" t="n">
        <v>440</v>
      </c>
      <c r="P202" t="inlineStr">
        <is>
          <t>DIRECCION DE CONTRALORIA Y PREVENCION</t>
        </is>
      </c>
      <c r="Q202" t="n">
        <v>4430</v>
      </c>
      <c r="R202" t="inlineStr">
        <is>
          <t>DIRECCION DE OPERACIONES</t>
        </is>
      </c>
      <c r="S202" t="n">
        <v>44200</v>
      </c>
      <c r="T202" t="inlineStr">
        <is>
          <t>SUBDIRECCION CONCILIACIONES EMISION Y SERVICIOS</t>
        </is>
      </c>
      <c r="U202" t="n">
        <v>442000</v>
      </c>
      <c r="V202" t="inlineStr">
        <is>
          <t>SUBDIRECCION CONCILIACIONES EMISION Y SERVICIOS</t>
        </is>
      </c>
      <c r="W202" t="n">
        <v>100101</v>
      </c>
      <c r="X202" t="inlineStr">
        <is>
          <t>CORPORATIVO</t>
        </is>
      </c>
      <c r="Y202" t="n">
        <v>4</v>
      </c>
      <c r="Z202" t="inlineStr">
        <is>
          <t>CORPORATIVO</t>
        </is>
      </c>
      <c r="AA202" t="n">
        <v>1</v>
      </c>
      <c r="AB202" t="inlineStr">
        <is>
          <t>NEGOCIO EN MARCHA</t>
        </is>
      </c>
      <c r="AC202" t="n">
        <v>1</v>
      </c>
      <c r="AD202" t="inlineStr">
        <is>
          <t>BANCO</t>
        </is>
      </c>
      <c r="AE202" t="n">
        <v>1</v>
      </c>
      <c r="AF202" t="inlineStr">
        <is>
          <t>BACK</t>
        </is>
      </c>
      <c r="AG202" t="n">
        <v>100101</v>
      </c>
      <c r="AH202" t="inlineStr">
        <is>
          <t>CORPORATIVO</t>
        </is>
      </c>
      <c r="AI202" t="inlineStr">
        <is>
          <t>SVAZQUEZ@BANCOBASE.COM</t>
        </is>
      </c>
      <c r="AJ202" s="151" t="n">
        <v>43617</v>
      </c>
      <c r="AK202" s="151" t="n"/>
      <c r="AL202" s="151" t="n"/>
    </row>
    <row r="203" hidden="1" s="150">
      <c r="A203" t="inlineStr">
        <is>
          <t>BDELGADO</t>
        </is>
      </c>
      <c r="B203" t="n">
        <v>3996</v>
      </c>
      <c r="C203" t="inlineStr">
        <is>
          <t>BRENDA LILIANA DELGADO CASARES</t>
        </is>
      </c>
      <c r="D203" t="n">
        <v>10161</v>
      </c>
      <c r="E203" t="inlineStr">
        <is>
          <t>ANALISTA DE CONCILIACIONES</t>
        </is>
      </c>
      <c r="F203" t="inlineStr">
        <is>
          <t>MONTERREY</t>
        </is>
      </c>
      <c r="G203" t="n">
        <v>2258</v>
      </c>
      <c r="H203" t="inlineStr">
        <is>
          <t>SERGIO ALAN VAZQUEZ IPIÑA</t>
        </is>
      </c>
      <c r="I203" t="n">
        <v>10348</v>
      </c>
      <c r="J203" t="inlineStr">
        <is>
          <t>COORDINADOR DE CONCILIACIONES</t>
        </is>
      </c>
      <c r="K203" t="n">
        <v>1</v>
      </c>
      <c r="L203" t="inlineStr">
        <is>
          <t>PRESIDENCIA EJECUTIVA DEL CONSEJO</t>
        </is>
      </c>
      <c r="M203" t="n">
        <v>40</v>
      </c>
      <c r="N203" t="inlineStr">
        <is>
          <t>DIRECCION GENERAL BANCO BASE</t>
        </is>
      </c>
      <c r="O203" t="n">
        <v>440</v>
      </c>
      <c r="P203" t="inlineStr">
        <is>
          <t>DIRECCION DE CONTRALORIA Y PREVENCION</t>
        </is>
      </c>
      <c r="Q203" t="n">
        <v>4430</v>
      </c>
      <c r="R203" t="inlineStr">
        <is>
          <t>DIRECCION DE OPERACIONES</t>
        </is>
      </c>
      <c r="S203" t="n">
        <v>44200</v>
      </c>
      <c r="T203" t="inlineStr">
        <is>
          <t>SUBDIRECCION CONCILIACIONES EMISION Y SERVICIOS</t>
        </is>
      </c>
      <c r="U203" t="n">
        <v>442000</v>
      </c>
      <c r="V203" t="inlineStr">
        <is>
          <t>SUBDIRECCION CONCILIACIONES EMISION Y SERVICIOS</t>
        </is>
      </c>
      <c r="W203" t="n">
        <v>100101</v>
      </c>
      <c r="X203" t="inlineStr">
        <is>
          <t>CORPORATIVO</t>
        </is>
      </c>
      <c r="Y203" t="n">
        <v>4</v>
      </c>
      <c r="Z203" t="inlineStr">
        <is>
          <t>CORPORATIVO</t>
        </is>
      </c>
      <c r="AA203" t="n">
        <v>1</v>
      </c>
      <c r="AB203" t="inlineStr">
        <is>
          <t>NEGOCIO EN MARCHA</t>
        </is>
      </c>
      <c r="AC203" t="n">
        <v>1</v>
      </c>
      <c r="AD203" t="inlineStr">
        <is>
          <t>BANCO</t>
        </is>
      </c>
      <c r="AE203" t="n">
        <v>1</v>
      </c>
      <c r="AF203" t="inlineStr">
        <is>
          <t>BACK</t>
        </is>
      </c>
      <c r="AG203" t="n">
        <v>100101</v>
      </c>
      <c r="AH203" t="inlineStr">
        <is>
          <t>CORPORATIVO</t>
        </is>
      </c>
      <c r="AI203" t="inlineStr">
        <is>
          <t>BDELGADO@BANCOBASE.COM</t>
        </is>
      </c>
      <c r="AJ203" s="151" t="n">
        <v>46251</v>
      </c>
      <c r="AK203" s="151" t="n"/>
      <c r="AL203" s="151" t="n"/>
    </row>
    <row r="204" hidden="1" s="150">
      <c r="A204" t="inlineStr">
        <is>
          <t>RRODRIGUEG</t>
        </is>
      </c>
      <c r="B204" t="n">
        <v>2347</v>
      </c>
      <c r="C204" t="inlineStr">
        <is>
          <t>ROBERT ANTONY RODRIGUEZ GAMBOA</t>
        </is>
      </c>
      <c r="D204" t="n">
        <v>9105</v>
      </c>
      <c r="E204" t="inlineStr">
        <is>
          <t>ANALISTA DE CONCILIACIONES</t>
        </is>
      </c>
      <c r="F204" t="inlineStr">
        <is>
          <t>MONTERREY</t>
        </is>
      </c>
      <c r="G204" t="n">
        <v>2258</v>
      </c>
      <c r="H204" t="inlineStr">
        <is>
          <t>SERGIO ALAN VAZQUEZ IPIÑA</t>
        </is>
      </c>
      <c r="I204" t="n">
        <v>10348</v>
      </c>
      <c r="J204" t="inlineStr">
        <is>
          <t>COORDINADOR DE CONCILIACIONES</t>
        </is>
      </c>
      <c r="K204" t="n">
        <v>1</v>
      </c>
      <c r="L204" t="inlineStr">
        <is>
          <t>PRESIDENCIA EJECUTIVA DEL CONSEJO</t>
        </is>
      </c>
      <c r="M204" t="n">
        <v>40</v>
      </c>
      <c r="N204" t="inlineStr">
        <is>
          <t>DIRECCION GENERAL BANCO BASE</t>
        </is>
      </c>
      <c r="O204" t="n">
        <v>440</v>
      </c>
      <c r="P204" t="inlineStr">
        <is>
          <t>DIRECCION DE CONTRALORIA Y PREVENCION</t>
        </is>
      </c>
      <c r="Q204" t="n">
        <v>4430</v>
      </c>
      <c r="R204" t="inlineStr">
        <is>
          <t>DIRECCION DE OPERACIONES</t>
        </is>
      </c>
      <c r="S204" t="n">
        <v>44200</v>
      </c>
      <c r="T204" t="inlineStr">
        <is>
          <t>SUBDIRECCION CONCILIACIONES EMISION Y SERVICIOS</t>
        </is>
      </c>
      <c r="U204" t="n">
        <v>442000</v>
      </c>
      <c r="V204" t="inlineStr">
        <is>
          <t>SUBDIRECCION CONCILIACIONES EMISION Y SERVICIOS</t>
        </is>
      </c>
      <c r="W204" t="n">
        <v>100101</v>
      </c>
      <c r="X204" t="inlineStr">
        <is>
          <t>CORPORATIVO</t>
        </is>
      </c>
      <c r="Y204" t="n">
        <v>4</v>
      </c>
      <c r="Z204" t="inlineStr">
        <is>
          <t>CORPORATIVO</t>
        </is>
      </c>
      <c r="AA204" t="n">
        <v>1</v>
      </c>
      <c r="AB204" t="inlineStr">
        <is>
          <t>NEGOCIO EN MARCHA</t>
        </is>
      </c>
      <c r="AC204" t="n">
        <v>1</v>
      </c>
      <c r="AD204" t="inlineStr">
        <is>
          <t>BANCO</t>
        </is>
      </c>
      <c r="AE204" t="n">
        <v>1</v>
      </c>
      <c r="AF204" t="inlineStr">
        <is>
          <t>BACK</t>
        </is>
      </c>
      <c r="AG204" t="n">
        <v>100101</v>
      </c>
      <c r="AH204" t="inlineStr">
        <is>
          <t>CORPORATIVO</t>
        </is>
      </c>
      <c r="AI204" t="inlineStr">
        <is>
          <t>RRODRIGUEG@BANCOBASE.COM</t>
        </is>
      </c>
      <c r="AJ204" s="151" t="n">
        <v>43788</v>
      </c>
      <c r="AK204" s="151" t="n"/>
      <c r="AL204" s="151" t="n"/>
    </row>
    <row r="205" hidden="1" s="150">
      <c r="A205" t="inlineStr">
        <is>
          <t>SVILLANUEV</t>
        </is>
      </c>
      <c r="B205" t="n">
        <v>3591</v>
      </c>
      <c r="C205" t="inlineStr">
        <is>
          <t>STEFANY YAHAIRA VILLANUEVA SALAZAR</t>
        </is>
      </c>
      <c r="D205" t="n">
        <v>10160</v>
      </c>
      <c r="E205" t="inlineStr">
        <is>
          <t>ANALISTA DE CONCILIACIONES</t>
        </is>
      </c>
      <c r="F205" t="inlineStr">
        <is>
          <t>MONTERREY</t>
        </is>
      </c>
      <c r="G205" t="n">
        <v>2258</v>
      </c>
      <c r="H205" t="inlineStr">
        <is>
          <t>SERGIO ALAN VAZQUEZ IPIÑA</t>
        </is>
      </c>
      <c r="I205" t="n">
        <v>10348</v>
      </c>
      <c r="J205" t="inlineStr">
        <is>
          <t>COORDINADOR DE CONCILIACIONES</t>
        </is>
      </c>
      <c r="K205" t="n">
        <v>1</v>
      </c>
      <c r="L205" t="inlineStr">
        <is>
          <t>PRESIDENCIA EJECUTIVA DEL CONSEJO</t>
        </is>
      </c>
      <c r="M205" t="n">
        <v>40</v>
      </c>
      <c r="N205" t="inlineStr">
        <is>
          <t>DIRECCION GENERAL BANCO BASE</t>
        </is>
      </c>
      <c r="O205" t="n">
        <v>440</v>
      </c>
      <c r="P205" t="inlineStr">
        <is>
          <t>DIRECCION DE CONTRALORIA Y PREVENCION</t>
        </is>
      </c>
      <c r="Q205" t="n">
        <v>4430</v>
      </c>
      <c r="R205" t="inlineStr">
        <is>
          <t>DIRECCION DE OPERACIONES</t>
        </is>
      </c>
      <c r="S205" t="n">
        <v>44200</v>
      </c>
      <c r="T205" t="inlineStr">
        <is>
          <t>SUBDIRECCION CONCILIACIONES EMISION Y SERVICIOS</t>
        </is>
      </c>
      <c r="U205" t="n">
        <v>442000</v>
      </c>
      <c r="V205" t="inlineStr">
        <is>
          <t>SUBDIRECCION CONCILIACIONES EMISION Y SERVICIOS</t>
        </is>
      </c>
      <c r="W205" t="n">
        <v>100101</v>
      </c>
      <c r="X205" t="inlineStr">
        <is>
          <t>CORPORATIVO</t>
        </is>
      </c>
      <c r="Y205" t="n">
        <v>4</v>
      </c>
      <c r="Z205" t="inlineStr">
        <is>
          <t>CORPORATIVO</t>
        </is>
      </c>
      <c r="AA205" t="n">
        <v>1</v>
      </c>
      <c r="AB205" t="inlineStr">
        <is>
          <t>NEGOCIO EN MARCHA</t>
        </is>
      </c>
      <c r="AC205" t="n">
        <v>1</v>
      </c>
      <c r="AD205" t="inlineStr">
        <is>
          <t>BANCO</t>
        </is>
      </c>
      <c r="AE205" t="n">
        <v>1</v>
      </c>
      <c r="AF205" t="inlineStr">
        <is>
          <t>BACK</t>
        </is>
      </c>
      <c r="AG205" t="n">
        <v>100101</v>
      </c>
      <c r="AH205" t="inlineStr">
        <is>
          <t>CORPORATIVO</t>
        </is>
      </c>
      <c r="AI205" t="inlineStr">
        <is>
          <t>SVILLANUEV@BANCOBASE.COM</t>
        </is>
      </c>
      <c r="AJ205" s="151" t="n">
        <v>45931</v>
      </c>
      <c r="AK205" s="151" t="n"/>
      <c r="AL205" s="151" t="n"/>
    </row>
    <row r="206" hidden="1" s="150">
      <c r="A206" t="inlineStr">
        <is>
          <t>JMALACARA</t>
        </is>
      </c>
      <c r="B206" t="n">
        <v>1027</v>
      </c>
      <c r="C206" t="inlineStr">
        <is>
          <t>JOHANA LIZBETH MALACARA ARREDONDO</t>
        </is>
      </c>
      <c r="D206" t="n">
        <v>9075</v>
      </c>
      <c r="E206" t="inlineStr">
        <is>
          <t>GERENTE DE OPERACIONES DE CAPTACION</t>
        </is>
      </c>
      <c r="F206" t="inlineStr">
        <is>
          <t>MONTERREY</t>
        </is>
      </c>
      <c r="G206" t="n">
        <v>1243</v>
      </c>
      <c r="H206" t="inlineStr">
        <is>
          <t>JORGE ENRIQUE TORRES LOZANO</t>
        </is>
      </c>
      <c r="I206" t="n">
        <v>8113</v>
      </c>
      <c r="J206" t="inlineStr">
        <is>
          <t>LIDER DE CONCILIACIONES, EMISION DE INFORMACION Y BACKOFFICE</t>
        </is>
      </c>
      <c r="K206" t="n">
        <v>1</v>
      </c>
      <c r="L206" t="inlineStr">
        <is>
          <t>PRESIDENCIA EJECUTIVA DEL CONSEJO</t>
        </is>
      </c>
      <c r="M206" t="n">
        <v>40</v>
      </c>
      <c r="N206" t="inlineStr">
        <is>
          <t>DIRECCION GENERAL BANCO BASE</t>
        </is>
      </c>
      <c r="O206" t="n">
        <v>440</v>
      </c>
      <c r="P206" t="inlineStr">
        <is>
          <t>DIRECCION DE CONTRALORIA Y PREVENCION</t>
        </is>
      </c>
      <c r="Q206" t="n">
        <v>4430</v>
      </c>
      <c r="R206" t="inlineStr">
        <is>
          <t>DIRECCION DE OPERACIONES</t>
        </is>
      </c>
      <c r="S206" t="n">
        <v>44500</v>
      </c>
      <c r="T206" t="inlineStr">
        <is>
          <t>SUBDIRECCION BACK CAPTACION Y BURSATIL</t>
        </is>
      </c>
      <c r="U206" t="n">
        <v>445000</v>
      </c>
      <c r="V206" t="inlineStr">
        <is>
          <t>SUBDIRECCION BACK CAPTACION Y BURSATIL</t>
        </is>
      </c>
      <c r="W206" t="n">
        <v>100101</v>
      </c>
      <c r="X206" t="inlineStr">
        <is>
          <t>CORPORATIVO</t>
        </is>
      </c>
      <c r="Y206" t="n">
        <v>4</v>
      </c>
      <c r="Z206" t="inlineStr">
        <is>
          <t>CORPORATIVO</t>
        </is>
      </c>
      <c r="AA206" t="n">
        <v>1</v>
      </c>
      <c r="AB206" t="inlineStr">
        <is>
          <t>NEGOCIO EN MARCHA</t>
        </is>
      </c>
      <c r="AC206" t="n">
        <v>1</v>
      </c>
      <c r="AD206" t="inlineStr">
        <is>
          <t>BANCO</t>
        </is>
      </c>
      <c r="AE206" t="n">
        <v>1</v>
      </c>
      <c r="AF206" t="inlineStr">
        <is>
          <t>BACK</t>
        </is>
      </c>
      <c r="AG206" t="n">
        <v>100101</v>
      </c>
      <c r="AH206" t="inlineStr">
        <is>
          <t>CORPORATIVO</t>
        </is>
      </c>
      <c r="AI206" t="inlineStr">
        <is>
          <t>JMALACARA@BANCOBASE.COM</t>
        </is>
      </c>
      <c r="AJ206" s="151" t="n">
        <v>41410</v>
      </c>
      <c r="AK206" s="151" t="n"/>
      <c r="AL206" s="151" t="n"/>
    </row>
    <row r="207" hidden="1" s="150">
      <c r="A207" t="inlineStr">
        <is>
          <t>MVIACOBO</t>
        </is>
      </c>
      <c r="B207" t="n">
        <v>2274</v>
      </c>
      <c r="C207" t="inlineStr">
        <is>
          <t>MOISES MISSAEL VIACOBO CARRANZA</t>
        </is>
      </c>
      <c r="D207" t="n">
        <v>10376</v>
      </c>
      <c r="E207" t="inlineStr">
        <is>
          <t>ESPECIALISTA DE OPERACIONES DE CAPTACION</t>
        </is>
      </c>
      <c r="F207" t="inlineStr">
        <is>
          <t>MONTERREY</t>
        </is>
      </c>
      <c r="G207" t="n">
        <v>1027</v>
      </c>
      <c r="H207" t="inlineStr">
        <is>
          <t>JOHANA LIZBETH MALACARA ARREDONDO</t>
        </is>
      </c>
      <c r="I207" t="n">
        <v>9075</v>
      </c>
      <c r="J207" t="inlineStr">
        <is>
          <t>GERENTE DE OPERACIONES DE CAPTACION</t>
        </is>
      </c>
      <c r="K207" t="n">
        <v>1</v>
      </c>
      <c r="L207" t="inlineStr">
        <is>
          <t>PRESIDENCIA EJECUTIVA DEL CONSEJO</t>
        </is>
      </c>
      <c r="M207" t="n">
        <v>40</v>
      </c>
      <c r="N207" t="inlineStr">
        <is>
          <t>DIRECCION GENERAL BANCO BASE</t>
        </is>
      </c>
      <c r="O207" t="n">
        <v>440</v>
      </c>
      <c r="P207" t="inlineStr">
        <is>
          <t>DIRECCION DE CONTRALORIA Y PREVENCION</t>
        </is>
      </c>
      <c r="Q207" t="n">
        <v>4430</v>
      </c>
      <c r="R207" t="inlineStr">
        <is>
          <t>DIRECCION DE OPERACIONES</t>
        </is>
      </c>
      <c r="S207" t="n">
        <v>44500</v>
      </c>
      <c r="T207" t="inlineStr">
        <is>
          <t>SUBDIRECCION BACK CAPTACION Y BURSATIL</t>
        </is>
      </c>
      <c r="U207" t="n">
        <v>445000</v>
      </c>
      <c r="V207" t="inlineStr">
        <is>
          <t>SUBDIRECCION BACK CAPTACION Y BURSATIL</t>
        </is>
      </c>
      <c r="W207" t="n">
        <v>100101</v>
      </c>
      <c r="X207" t="inlineStr">
        <is>
          <t>CORPORATIVO</t>
        </is>
      </c>
      <c r="Y207" t="n">
        <v>4</v>
      </c>
      <c r="Z207" t="inlineStr">
        <is>
          <t>CORPORATIVO</t>
        </is>
      </c>
      <c r="AA207" t="n">
        <v>1</v>
      </c>
      <c r="AB207" t="inlineStr">
        <is>
          <t>NEGOCIO EN MARCHA</t>
        </is>
      </c>
      <c r="AC207" t="n">
        <v>1</v>
      </c>
      <c r="AD207" t="inlineStr">
        <is>
          <t>BANCO</t>
        </is>
      </c>
      <c r="AE207" t="n">
        <v>1</v>
      </c>
      <c r="AF207" t="inlineStr">
        <is>
          <t>BACK</t>
        </is>
      </c>
      <c r="AG207" t="n">
        <v>100101</v>
      </c>
      <c r="AH207" t="inlineStr">
        <is>
          <t>CORPORATIVO</t>
        </is>
      </c>
      <c r="AI207" t="inlineStr">
        <is>
          <t>MVIACOBO@BANCOBASE.COM</t>
        </is>
      </c>
      <c r="AJ207" s="151" t="n">
        <v>43649</v>
      </c>
      <c r="AK207" s="151" t="n"/>
      <c r="AL207" s="151" t="n"/>
    </row>
    <row r="208" hidden="1" s="150">
      <c r="A208" t="inlineStr">
        <is>
          <t>CHERNANDER</t>
        </is>
      </c>
      <c r="B208" t="n">
        <v>3480</v>
      </c>
      <c r="C208" t="inlineStr">
        <is>
          <t>CESAR EDUARDO HERNANDEZ REYES</t>
        </is>
      </c>
      <c r="D208" t="n">
        <v>8690</v>
      </c>
      <c r="E208" t="inlineStr">
        <is>
          <t>ANALISTA DE OPERACIONES DE CAPTACION</t>
        </is>
      </c>
      <c r="F208" t="inlineStr">
        <is>
          <t>MONTERREY</t>
        </is>
      </c>
      <c r="G208" t="n">
        <v>1027</v>
      </c>
      <c r="H208" t="inlineStr">
        <is>
          <t>JOHANA LIZBETH MALACARA ARREDONDO</t>
        </is>
      </c>
      <c r="I208" t="n">
        <v>9075</v>
      </c>
      <c r="J208" t="inlineStr">
        <is>
          <t>GERENTE DE OPERACIONES DE CAPTACION</t>
        </is>
      </c>
      <c r="K208" t="n">
        <v>1</v>
      </c>
      <c r="L208" t="inlineStr">
        <is>
          <t>PRESIDENCIA EJECUTIVA DEL CONSEJO</t>
        </is>
      </c>
      <c r="M208" t="n">
        <v>40</v>
      </c>
      <c r="N208" t="inlineStr">
        <is>
          <t>DIRECCION GENERAL BANCO BASE</t>
        </is>
      </c>
      <c r="O208" t="n">
        <v>440</v>
      </c>
      <c r="P208" t="inlineStr">
        <is>
          <t>DIRECCION DE CONTRALORIA Y PREVENCION</t>
        </is>
      </c>
      <c r="Q208" t="n">
        <v>4430</v>
      </c>
      <c r="R208" t="inlineStr">
        <is>
          <t>DIRECCION DE OPERACIONES</t>
        </is>
      </c>
      <c r="S208" t="n">
        <v>44500</v>
      </c>
      <c r="T208" t="inlineStr">
        <is>
          <t>SUBDIRECCION BACK CAPTACION Y BURSATIL</t>
        </is>
      </c>
      <c r="U208" t="n">
        <v>445000</v>
      </c>
      <c r="V208" t="inlineStr">
        <is>
          <t>SUBDIRECCION BACK CAPTACION Y BURSATIL</t>
        </is>
      </c>
      <c r="W208" t="n">
        <v>100101</v>
      </c>
      <c r="X208" t="inlineStr">
        <is>
          <t>CORPORATIVO</t>
        </is>
      </c>
      <c r="Y208" t="n">
        <v>4</v>
      </c>
      <c r="Z208" t="inlineStr">
        <is>
          <t>CORPORATIVO</t>
        </is>
      </c>
      <c r="AA208" t="n">
        <v>1</v>
      </c>
      <c r="AB208" t="inlineStr">
        <is>
          <t>NEGOCIO EN MARCHA</t>
        </is>
      </c>
      <c r="AC208" t="n">
        <v>1</v>
      </c>
      <c r="AD208" t="inlineStr">
        <is>
          <t>BANCO</t>
        </is>
      </c>
      <c r="AE208" t="n">
        <v>1</v>
      </c>
      <c r="AF208" t="inlineStr">
        <is>
          <t>BACK</t>
        </is>
      </c>
      <c r="AG208" t="n">
        <v>100101</v>
      </c>
      <c r="AH208" t="inlineStr">
        <is>
          <t>CORPORATIVO</t>
        </is>
      </c>
      <c r="AI208" t="inlineStr">
        <is>
          <t>CHERNANDER@BANCOBASE.COM</t>
        </is>
      </c>
      <c r="AJ208" s="151" t="n">
        <v>45854</v>
      </c>
      <c r="AK208" s="151" t="n"/>
      <c r="AL208" s="151" t="n"/>
    </row>
    <row r="209" hidden="1" s="150">
      <c r="A209" t="inlineStr">
        <is>
          <t>SVALEROT</t>
        </is>
      </c>
      <c r="B209" t="n">
        <v>2223</v>
      </c>
      <c r="C209" t="inlineStr">
        <is>
          <t>SERGIO VALERO TORRES</t>
        </is>
      </c>
      <c r="D209" t="n">
        <v>10317</v>
      </c>
      <c r="E209" t="inlineStr">
        <is>
          <t>GERENTE DE CAMARA DE COMPENSACIONES</t>
        </is>
      </c>
      <c r="F209" t="inlineStr">
        <is>
          <t>MONTERREY</t>
        </is>
      </c>
      <c r="G209" t="n">
        <v>1243</v>
      </c>
      <c r="H209" t="inlineStr">
        <is>
          <t>JORGE ENRIQUE TORRES LOZANO</t>
        </is>
      </c>
      <c r="I209" t="n">
        <v>8113</v>
      </c>
      <c r="J209" t="inlineStr">
        <is>
          <t>LIDER DE CONCILIACIONES, EMISION DE INFORMACION Y BACKOFFICE</t>
        </is>
      </c>
      <c r="K209" t="n">
        <v>1</v>
      </c>
      <c r="L209" t="inlineStr">
        <is>
          <t>PRESIDENCIA EJECUTIVA DEL CONSEJO</t>
        </is>
      </c>
      <c r="M209" t="n">
        <v>40</v>
      </c>
      <c r="N209" t="inlineStr">
        <is>
          <t>DIRECCION GENERAL BANCO BASE</t>
        </is>
      </c>
      <c r="O209" t="n">
        <v>440</v>
      </c>
      <c r="P209" t="inlineStr">
        <is>
          <t>DIRECCION DE CONTRALORIA Y PREVENCION</t>
        </is>
      </c>
      <c r="Q209" t="n">
        <v>4430</v>
      </c>
      <c r="R209" t="inlineStr">
        <is>
          <t>DIRECCION DE OPERACIONES</t>
        </is>
      </c>
      <c r="S209" t="n">
        <v>44500</v>
      </c>
      <c r="T209" t="inlineStr">
        <is>
          <t>SUBDIRECCION BACK CAPTACION Y BURSATIL</t>
        </is>
      </c>
      <c r="U209" t="n">
        <v>445000</v>
      </c>
      <c r="V209" t="inlineStr">
        <is>
          <t>SUBDIRECCION BACK CAPTACION Y BURSATIL</t>
        </is>
      </c>
      <c r="W209" t="n">
        <v>100101</v>
      </c>
      <c r="X209" t="inlineStr">
        <is>
          <t>CORPORATIVO</t>
        </is>
      </c>
      <c r="Y209" t="n">
        <v>4</v>
      </c>
      <c r="Z209" t="inlineStr">
        <is>
          <t>CORPORATIVO</t>
        </is>
      </c>
      <c r="AA209" t="n">
        <v>1</v>
      </c>
      <c r="AB209" t="inlineStr">
        <is>
          <t>NEGOCIO EN MARCHA</t>
        </is>
      </c>
      <c r="AC209" t="n">
        <v>1</v>
      </c>
      <c r="AD209" t="inlineStr">
        <is>
          <t>BANCO</t>
        </is>
      </c>
      <c r="AE209" t="n">
        <v>1</v>
      </c>
      <c r="AF209" t="inlineStr">
        <is>
          <t>BACK</t>
        </is>
      </c>
      <c r="AG209" t="n">
        <v>100101</v>
      </c>
      <c r="AH209" t="inlineStr">
        <is>
          <t>CORPORATIVO</t>
        </is>
      </c>
      <c r="AI209" t="inlineStr">
        <is>
          <t>SVALEROT@BANCOBASE.COM</t>
        </is>
      </c>
      <c r="AJ209" s="151" t="n">
        <v>43563</v>
      </c>
      <c r="AK209" s="151" t="n"/>
      <c r="AL209" s="151" t="n"/>
    </row>
    <row r="210" hidden="1" s="150">
      <c r="A210" t="inlineStr">
        <is>
          <t>JMORALEST</t>
        </is>
      </c>
      <c r="B210" t="n">
        <v>3830</v>
      </c>
      <c r="C210" t="inlineStr">
        <is>
          <t>JOSE FRANCISCO MORALES TORRES</t>
        </is>
      </c>
      <c r="D210" t="n">
        <v>10340</v>
      </c>
      <c r="E210" t="inlineStr">
        <is>
          <t>ANALISTA DE SERVICIOS Y COMPENSACIONES</t>
        </is>
      </c>
      <c r="F210" t="inlineStr">
        <is>
          <t>MONTERREY</t>
        </is>
      </c>
      <c r="G210" t="n">
        <v>2223</v>
      </c>
      <c r="H210" t="inlineStr">
        <is>
          <t>SERGIO VALERO TORRES</t>
        </is>
      </c>
      <c r="I210" t="n">
        <v>10317</v>
      </c>
      <c r="J210" t="inlineStr">
        <is>
          <t>GERENTE DE CAMARA DE COMPENSACIONES</t>
        </is>
      </c>
      <c r="K210" t="n">
        <v>1</v>
      </c>
      <c r="L210" t="inlineStr">
        <is>
          <t>PRESIDENCIA EJECUTIVA DEL CONSEJO</t>
        </is>
      </c>
      <c r="M210" t="n">
        <v>40</v>
      </c>
      <c r="N210" t="inlineStr">
        <is>
          <t>DIRECCION GENERAL BANCO BASE</t>
        </is>
      </c>
      <c r="O210" t="n">
        <v>440</v>
      </c>
      <c r="P210" t="inlineStr">
        <is>
          <t>DIRECCION DE CONTRALORIA Y PREVENCION</t>
        </is>
      </c>
      <c r="Q210" t="n">
        <v>4430</v>
      </c>
      <c r="R210" t="inlineStr">
        <is>
          <t>DIRECCION DE OPERACIONES</t>
        </is>
      </c>
      <c r="S210" t="n">
        <v>44500</v>
      </c>
      <c r="T210" t="inlineStr">
        <is>
          <t>SUBDIRECCION BACK CAPTACION Y BURSATIL</t>
        </is>
      </c>
      <c r="U210" t="n">
        <v>445000</v>
      </c>
      <c r="V210" t="inlineStr">
        <is>
          <t>SUBDIRECCION BACK CAPTACION Y BURSATIL</t>
        </is>
      </c>
      <c r="W210" t="n">
        <v>100101</v>
      </c>
      <c r="X210" t="inlineStr">
        <is>
          <t>CORPORATIVO</t>
        </is>
      </c>
      <c r="Y210" t="n">
        <v>4</v>
      </c>
      <c r="Z210" t="inlineStr">
        <is>
          <t>CORPORATIVO</t>
        </is>
      </c>
      <c r="AA210" t="n">
        <v>1</v>
      </c>
      <c r="AB210" t="inlineStr">
        <is>
          <t>NEGOCIO EN MARCHA</t>
        </is>
      </c>
      <c r="AC210" t="n">
        <v>1</v>
      </c>
      <c r="AD210" t="inlineStr">
        <is>
          <t>BANCO</t>
        </is>
      </c>
      <c r="AE210" t="n">
        <v>1</v>
      </c>
      <c r="AF210" t="inlineStr">
        <is>
          <t>BACK</t>
        </is>
      </c>
      <c r="AG210" t="n">
        <v>100101</v>
      </c>
      <c r="AH210" t="inlineStr">
        <is>
          <t>CORPORATIVO</t>
        </is>
      </c>
      <c r="AI210" t="inlineStr">
        <is>
          <t>JMORALEST@BANCOBASE.COM</t>
        </is>
      </c>
      <c r="AJ210" s="151" t="n">
        <v>46128</v>
      </c>
      <c r="AK210" s="151" t="n"/>
      <c r="AL210" s="151" t="n"/>
    </row>
    <row r="211" hidden="1" s="150">
      <c r="A211" t="inlineStr">
        <is>
          <t>AMARTINEAL</t>
        </is>
      </c>
      <c r="B211" t="n">
        <v>1410</v>
      </c>
      <c r="C211" t="inlineStr">
        <is>
          <t>ANTONIO MARTINEZ ALVAREZ</t>
        </is>
      </c>
      <c r="D211" t="n">
        <v>9072</v>
      </c>
      <c r="E211" t="inlineStr">
        <is>
          <t>COORDINADOR DE CAJAS</t>
        </is>
      </c>
      <c r="F211" t="inlineStr">
        <is>
          <t>MONTERREY</t>
        </is>
      </c>
      <c r="G211" t="n">
        <v>1243</v>
      </c>
      <c r="H211" t="inlineStr">
        <is>
          <t>JORGE ENRIQUE TORRES LOZANO</t>
        </is>
      </c>
      <c r="I211" t="n">
        <v>8113</v>
      </c>
      <c r="J211" t="inlineStr">
        <is>
          <t>LIDER DE CONCILIACIONES, EMISION DE INFORMACION Y BACKOFFICE</t>
        </is>
      </c>
      <c r="K211" t="n">
        <v>1</v>
      </c>
      <c r="L211" t="inlineStr">
        <is>
          <t>PRESIDENCIA EJECUTIVA DEL CONSEJO</t>
        </is>
      </c>
      <c r="M211" t="n">
        <v>40</v>
      </c>
      <c r="N211" t="inlineStr">
        <is>
          <t>DIRECCION GENERAL BANCO BASE</t>
        </is>
      </c>
      <c r="O211" t="n">
        <v>440</v>
      </c>
      <c r="P211" t="inlineStr">
        <is>
          <t>DIRECCION DE CONTRALORIA Y PREVENCION</t>
        </is>
      </c>
      <c r="Q211" t="n">
        <v>4430</v>
      </c>
      <c r="R211" t="inlineStr">
        <is>
          <t>DIRECCION DE OPERACIONES</t>
        </is>
      </c>
      <c r="S211" t="n">
        <v>44500</v>
      </c>
      <c r="T211" t="inlineStr">
        <is>
          <t>SUBDIRECCION BACK CAPTACION Y BURSATIL</t>
        </is>
      </c>
      <c r="U211" t="n">
        <v>445000</v>
      </c>
      <c r="V211" t="inlineStr">
        <is>
          <t>SUBDIRECCION BACK CAPTACION Y BURSATIL</t>
        </is>
      </c>
      <c r="W211" t="n">
        <v>100101</v>
      </c>
      <c r="X211" t="inlineStr">
        <is>
          <t>CORPORATIVO</t>
        </is>
      </c>
      <c r="Y211" t="n">
        <v>4</v>
      </c>
      <c r="Z211" t="inlineStr">
        <is>
          <t>CORPORATIVO</t>
        </is>
      </c>
      <c r="AA211" t="n">
        <v>1</v>
      </c>
      <c r="AB211" t="inlineStr">
        <is>
          <t>NEGOCIO EN MARCHA</t>
        </is>
      </c>
      <c r="AC211" t="n">
        <v>1</v>
      </c>
      <c r="AD211" t="inlineStr">
        <is>
          <t>BANCO</t>
        </is>
      </c>
      <c r="AE211" t="n">
        <v>1</v>
      </c>
      <c r="AF211" t="inlineStr">
        <is>
          <t>BACK</t>
        </is>
      </c>
      <c r="AG211" t="n">
        <v>100101</v>
      </c>
      <c r="AH211" t="inlineStr">
        <is>
          <t>CORPORATIVO</t>
        </is>
      </c>
      <c r="AI211" t="inlineStr">
        <is>
          <t>AMARTINEAL@BANCOBASE.COM</t>
        </is>
      </c>
      <c r="AJ211" s="151" t="n">
        <v>42339</v>
      </c>
      <c r="AK211" s="151" t="n"/>
      <c r="AL211" s="151" t="n"/>
    </row>
    <row r="212" hidden="1" s="150">
      <c r="A212" t="inlineStr">
        <is>
          <t>JTORRES</t>
        </is>
      </c>
      <c r="B212" t="n">
        <v>136</v>
      </c>
      <c r="C212" t="inlineStr">
        <is>
          <t>JAIME TORRES GUZMAN</t>
        </is>
      </c>
      <c r="D212" t="n">
        <v>50</v>
      </c>
      <c r="E212" t="inlineStr">
        <is>
          <t>COORDINADOR DE OPERACIONES</t>
        </is>
      </c>
      <c r="F212" t="inlineStr">
        <is>
          <t>MEXICO</t>
        </is>
      </c>
      <c r="G212" t="n">
        <v>1410</v>
      </c>
      <c r="H212" t="inlineStr">
        <is>
          <t>ANTONIO MARTINEZ ALVAREZ</t>
        </is>
      </c>
      <c r="I212" t="n">
        <v>9072</v>
      </c>
      <c r="J212" t="inlineStr">
        <is>
          <t>COORDINADOR DE CAJAS</t>
        </is>
      </c>
      <c r="K212" t="n">
        <v>1</v>
      </c>
      <c r="L212" t="inlineStr">
        <is>
          <t>PRESIDENCIA EJECUTIVA DEL CONSEJO</t>
        </is>
      </c>
      <c r="M212" t="n">
        <v>40</v>
      </c>
      <c r="N212" t="inlineStr">
        <is>
          <t>DIRECCION GENERAL BANCO BASE</t>
        </is>
      </c>
      <c r="O212" t="n">
        <v>440</v>
      </c>
      <c r="P212" t="inlineStr">
        <is>
          <t>DIRECCION DE CONTRALORIA Y PREVENCION</t>
        </is>
      </c>
      <c r="Q212" t="n">
        <v>4430</v>
      </c>
      <c r="R212" t="inlineStr">
        <is>
          <t>DIRECCION DE OPERACIONES</t>
        </is>
      </c>
      <c r="S212" t="n">
        <v>44500</v>
      </c>
      <c r="T212" t="inlineStr">
        <is>
          <t>SUBDIRECCION BACK CAPTACION Y BURSATIL</t>
        </is>
      </c>
      <c r="U212" t="n">
        <v>445000</v>
      </c>
      <c r="V212" t="inlineStr">
        <is>
          <t>SUBDIRECCION BACK CAPTACION Y BURSATIL</t>
        </is>
      </c>
      <c r="W212" t="n">
        <v>134111</v>
      </c>
      <c r="X212" t="inlineStr">
        <is>
          <t>LOMAS</t>
        </is>
      </c>
      <c r="Y212" t="n">
        <v>4</v>
      </c>
      <c r="Z212" t="inlineStr">
        <is>
          <t>CORPORATIVO</t>
        </is>
      </c>
      <c r="AA212" t="n">
        <v>1</v>
      </c>
      <c r="AB212" t="inlineStr">
        <is>
          <t>NEGOCIO EN MARCHA</t>
        </is>
      </c>
      <c r="AC212" t="n">
        <v>1</v>
      </c>
      <c r="AD212" t="inlineStr">
        <is>
          <t>BANCO</t>
        </is>
      </c>
      <c r="AE212" t="n">
        <v>1</v>
      </c>
      <c r="AF212" t="inlineStr">
        <is>
          <t>BACK</t>
        </is>
      </c>
      <c r="AG212" t="n">
        <v>134111</v>
      </c>
      <c r="AH212" t="inlineStr">
        <is>
          <t>LOMAS</t>
        </is>
      </c>
      <c r="AI212" t="inlineStr">
        <is>
          <t>JTORRES@BANCOBASE.COM</t>
        </is>
      </c>
      <c r="AJ212" s="151" t="n">
        <v>36373</v>
      </c>
      <c r="AK212" s="151" t="n"/>
      <c r="AL212" s="151" t="n"/>
    </row>
    <row r="213" hidden="1" s="150">
      <c r="A213" t="inlineStr">
        <is>
          <t>IMEDINAR</t>
        </is>
      </c>
      <c r="B213" t="n">
        <v>3396</v>
      </c>
      <c r="C213" t="inlineStr">
        <is>
          <t>ISMAEL MEDINA ROBLEDO</t>
        </is>
      </c>
      <c r="D213" t="n">
        <v>9122</v>
      </c>
      <c r="E213" t="inlineStr">
        <is>
          <t>CAJERO</t>
        </is>
      </c>
      <c r="F213" t="inlineStr">
        <is>
          <t>MONTERREY</t>
        </is>
      </c>
      <c r="G213" t="n">
        <v>1410</v>
      </c>
      <c r="H213" t="inlineStr">
        <is>
          <t>ANTONIO MARTINEZ ALVAREZ</t>
        </is>
      </c>
      <c r="I213" t="n">
        <v>9072</v>
      </c>
      <c r="J213" t="inlineStr">
        <is>
          <t>COORDINADOR DE CAJAS</t>
        </is>
      </c>
      <c r="K213" t="n">
        <v>1</v>
      </c>
      <c r="L213" t="inlineStr">
        <is>
          <t>PRESIDENCIA EJECUTIVA DEL CONSEJO</t>
        </is>
      </c>
      <c r="M213" t="n">
        <v>40</v>
      </c>
      <c r="N213" t="inlineStr">
        <is>
          <t>DIRECCION GENERAL BANCO BASE</t>
        </is>
      </c>
      <c r="O213" t="n">
        <v>440</v>
      </c>
      <c r="P213" t="inlineStr">
        <is>
          <t>DIRECCION DE CONTRALORIA Y PREVENCION</t>
        </is>
      </c>
      <c r="Q213" t="n">
        <v>4430</v>
      </c>
      <c r="R213" t="inlineStr">
        <is>
          <t>DIRECCION DE OPERACIONES</t>
        </is>
      </c>
      <c r="S213" t="n">
        <v>44500</v>
      </c>
      <c r="T213" t="inlineStr">
        <is>
          <t>SUBDIRECCION BACK CAPTACION Y BURSATIL</t>
        </is>
      </c>
      <c r="U213" t="n">
        <v>445000</v>
      </c>
      <c r="V213" t="inlineStr">
        <is>
          <t>SUBDIRECCION BACK CAPTACION Y BURSATIL</t>
        </is>
      </c>
      <c r="W213" t="n">
        <v>100101</v>
      </c>
      <c r="X213" t="inlineStr">
        <is>
          <t>CORPORATIVO</t>
        </is>
      </c>
      <c r="Y213" t="n">
        <v>4</v>
      </c>
      <c r="Z213" t="inlineStr">
        <is>
          <t>CORPORATIVO</t>
        </is>
      </c>
      <c r="AA213" t="n">
        <v>1</v>
      </c>
      <c r="AB213" t="inlineStr">
        <is>
          <t>NEGOCIO EN MARCHA</t>
        </is>
      </c>
      <c r="AC213" t="n">
        <v>1</v>
      </c>
      <c r="AD213" t="inlineStr">
        <is>
          <t>BANCO</t>
        </is>
      </c>
      <c r="AE213" t="n">
        <v>1</v>
      </c>
      <c r="AF213" t="inlineStr">
        <is>
          <t>BACK</t>
        </is>
      </c>
      <c r="AG213" t="n">
        <v>100101</v>
      </c>
      <c r="AH213" t="inlineStr">
        <is>
          <t>CORPORATIVO</t>
        </is>
      </c>
      <c r="AI213" t="inlineStr">
        <is>
          <t>IMEDINAR@BANCOBASE.COM</t>
        </is>
      </c>
      <c r="AJ213" s="151" t="n">
        <v>45768</v>
      </c>
      <c r="AK213" s="151" t="n"/>
      <c r="AL213" s="151" t="n"/>
    </row>
    <row r="214" hidden="1" s="150">
      <c r="A214" t="inlineStr">
        <is>
          <t>MRAMOS</t>
        </is>
      </c>
      <c r="B214" t="n">
        <v>263</v>
      </c>
      <c r="C214" t="inlineStr">
        <is>
          <t>MARTHA RAMOS RODRIGUEZ</t>
        </is>
      </c>
      <c r="D214" t="n">
        <v>9834</v>
      </c>
      <c r="E214" t="inlineStr">
        <is>
          <t>CAJERO</t>
        </is>
      </c>
      <c r="F214" t="inlineStr">
        <is>
          <t>MEXICO</t>
        </is>
      </c>
      <c r="G214" t="n">
        <v>1410</v>
      </c>
      <c r="H214" t="inlineStr">
        <is>
          <t>ANTONIO MARTINEZ ALVAREZ</t>
        </is>
      </c>
      <c r="I214" t="n">
        <v>9072</v>
      </c>
      <c r="J214" t="inlineStr">
        <is>
          <t>COORDINADOR DE CAJAS</t>
        </is>
      </c>
      <c r="K214" t="n">
        <v>1</v>
      </c>
      <c r="L214" t="inlineStr">
        <is>
          <t>PRESIDENCIA EJECUTIVA DEL CONSEJO</t>
        </is>
      </c>
      <c r="M214" t="n">
        <v>40</v>
      </c>
      <c r="N214" t="inlineStr">
        <is>
          <t>DIRECCION GENERAL BANCO BASE</t>
        </is>
      </c>
      <c r="O214" t="n">
        <v>440</v>
      </c>
      <c r="P214" t="inlineStr">
        <is>
          <t>DIRECCION DE CONTRALORIA Y PREVENCION</t>
        </is>
      </c>
      <c r="Q214" t="n">
        <v>4430</v>
      </c>
      <c r="R214" t="inlineStr">
        <is>
          <t>DIRECCION DE OPERACIONES</t>
        </is>
      </c>
      <c r="S214" t="n">
        <v>44500</v>
      </c>
      <c r="T214" t="inlineStr">
        <is>
          <t>SUBDIRECCION BACK CAPTACION Y BURSATIL</t>
        </is>
      </c>
      <c r="U214" t="n">
        <v>445000</v>
      </c>
      <c r="V214" t="inlineStr">
        <is>
          <t>SUBDIRECCION BACK CAPTACION Y BURSATIL</t>
        </is>
      </c>
      <c r="W214" t="n">
        <v>134111</v>
      </c>
      <c r="X214" t="inlineStr">
        <is>
          <t>LOMAS</t>
        </is>
      </c>
      <c r="Y214" t="n">
        <v>4</v>
      </c>
      <c r="Z214" t="inlineStr">
        <is>
          <t>CORPORATIVO</t>
        </is>
      </c>
      <c r="AA214" t="n">
        <v>1</v>
      </c>
      <c r="AB214" t="inlineStr">
        <is>
          <t>NEGOCIO EN MARCHA</t>
        </is>
      </c>
      <c r="AC214" t="n">
        <v>1</v>
      </c>
      <c r="AD214" t="inlineStr">
        <is>
          <t>BANCO</t>
        </is>
      </c>
      <c r="AE214" t="n">
        <v>1</v>
      </c>
      <c r="AF214" t="inlineStr">
        <is>
          <t>BACK</t>
        </is>
      </c>
      <c r="AG214" t="n">
        <v>134111</v>
      </c>
      <c r="AH214" t="inlineStr">
        <is>
          <t>LOMAS</t>
        </is>
      </c>
      <c r="AI214" t="inlineStr">
        <is>
          <t>MRAMOS@BANCOBASE.COM</t>
        </is>
      </c>
      <c r="AJ214" s="151" t="n">
        <v>38200</v>
      </c>
      <c r="AK214" s="151" t="n"/>
      <c r="AL214" s="151" t="n"/>
    </row>
    <row r="215" hidden="1" s="150">
      <c r="A215" t="inlineStr">
        <is>
          <t>NMEDINA</t>
        </is>
      </c>
      <c r="B215" t="n">
        <v>3076</v>
      </c>
      <c r="C215" t="inlineStr">
        <is>
          <t>NITZA MEDINA AGUILERA</t>
        </is>
      </c>
      <c r="D215" t="n">
        <v>9124</v>
      </c>
      <c r="E215" t="inlineStr">
        <is>
          <t>CAJERO</t>
        </is>
      </c>
      <c r="F215" t="inlineStr">
        <is>
          <t>MONTERREY</t>
        </is>
      </c>
      <c r="G215" t="n">
        <v>1410</v>
      </c>
      <c r="H215" t="inlineStr">
        <is>
          <t>ANTONIO MARTINEZ ALVAREZ</t>
        </is>
      </c>
      <c r="I215" t="n">
        <v>9072</v>
      </c>
      <c r="J215" t="inlineStr">
        <is>
          <t>COORDINADOR DE CAJAS</t>
        </is>
      </c>
      <c r="K215" t="n">
        <v>1</v>
      </c>
      <c r="L215" t="inlineStr">
        <is>
          <t>PRESIDENCIA EJECUTIVA DEL CONSEJO</t>
        </is>
      </c>
      <c r="M215" t="n">
        <v>40</v>
      </c>
      <c r="N215" t="inlineStr">
        <is>
          <t>DIRECCION GENERAL BANCO BASE</t>
        </is>
      </c>
      <c r="O215" t="n">
        <v>440</v>
      </c>
      <c r="P215" t="inlineStr">
        <is>
          <t>DIRECCION DE CONTRALORIA Y PREVENCION</t>
        </is>
      </c>
      <c r="Q215" t="n">
        <v>4430</v>
      </c>
      <c r="R215" t="inlineStr">
        <is>
          <t>DIRECCION DE OPERACIONES</t>
        </is>
      </c>
      <c r="S215" t="n">
        <v>44500</v>
      </c>
      <c r="T215" t="inlineStr">
        <is>
          <t>SUBDIRECCION BACK CAPTACION Y BURSATIL</t>
        </is>
      </c>
      <c r="U215" t="n">
        <v>445000</v>
      </c>
      <c r="V215" t="inlineStr">
        <is>
          <t>SUBDIRECCION BACK CAPTACION Y BURSATIL</t>
        </is>
      </c>
      <c r="W215" t="n">
        <v>100101</v>
      </c>
      <c r="X215" t="inlineStr">
        <is>
          <t>CORPORATIVO</t>
        </is>
      </c>
      <c r="Y215" t="n">
        <v>4</v>
      </c>
      <c r="Z215" t="inlineStr">
        <is>
          <t>CORPORATIVO</t>
        </is>
      </c>
      <c r="AA215" t="n">
        <v>1</v>
      </c>
      <c r="AB215" t="inlineStr">
        <is>
          <t>NEGOCIO EN MARCHA</t>
        </is>
      </c>
      <c r="AC215" t="n">
        <v>1</v>
      </c>
      <c r="AD215" t="inlineStr">
        <is>
          <t>BANCO</t>
        </is>
      </c>
      <c r="AE215" t="n">
        <v>1</v>
      </c>
      <c r="AF215" t="inlineStr">
        <is>
          <t>BACK</t>
        </is>
      </c>
      <c r="AG215" t="n">
        <v>100101</v>
      </c>
      <c r="AH215" t="inlineStr">
        <is>
          <t>CORPORATIVO</t>
        </is>
      </c>
      <c r="AI215" t="inlineStr">
        <is>
          <t>NMEDINA@BANCOBASE.COM</t>
        </is>
      </c>
      <c r="AJ215" s="151" t="n">
        <v>45398</v>
      </c>
      <c r="AK215" s="151" t="n"/>
      <c r="AL215" s="151" t="n"/>
    </row>
    <row r="216" hidden="1" s="150">
      <c r="A216" t="inlineStr">
        <is>
          <t>RELIZONDOA</t>
        </is>
      </c>
      <c r="B216" t="n">
        <v>2351</v>
      </c>
      <c r="C216" t="inlineStr">
        <is>
          <t>RAUL SERGIO ELIZONDO ARRIAGA</t>
        </is>
      </c>
      <c r="D216" t="n">
        <v>10379</v>
      </c>
      <c r="E216" t="inlineStr">
        <is>
          <t>CAJERO</t>
        </is>
      </c>
      <c r="F216" t="inlineStr">
        <is>
          <t>QUERETARO</t>
        </is>
      </c>
      <c r="G216" t="n">
        <v>1410</v>
      </c>
      <c r="H216" t="inlineStr">
        <is>
          <t>ANTONIO MARTINEZ ALVAREZ</t>
        </is>
      </c>
      <c r="I216" t="n">
        <v>9072</v>
      </c>
      <c r="J216" t="inlineStr">
        <is>
          <t>COORDINADOR DE CAJAS</t>
        </is>
      </c>
      <c r="K216" t="n">
        <v>1</v>
      </c>
      <c r="L216" t="inlineStr">
        <is>
          <t>PRESIDENCIA EJECUTIVA DEL CONSEJO</t>
        </is>
      </c>
      <c r="M216" t="n">
        <v>40</v>
      </c>
      <c r="N216" t="inlineStr">
        <is>
          <t>DIRECCION GENERAL BANCO BASE</t>
        </is>
      </c>
      <c r="O216" t="n">
        <v>440</v>
      </c>
      <c r="P216" t="inlineStr">
        <is>
          <t>DIRECCION DE CONTRALORIA Y PREVENCION</t>
        </is>
      </c>
      <c r="Q216" t="n">
        <v>4430</v>
      </c>
      <c r="R216" t="inlineStr">
        <is>
          <t>DIRECCION DE OPERACIONES</t>
        </is>
      </c>
      <c r="S216" t="n">
        <v>44500</v>
      </c>
      <c r="T216" t="inlineStr">
        <is>
          <t>SUBDIRECCION BACK CAPTACION Y BURSATIL</t>
        </is>
      </c>
      <c r="U216" t="n">
        <v>445000</v>
      </c>
      <c r="V216" t="inlineStr">
        <is>
          <t>SUBDIRECCION BACK CAPTACION Y BURSATIL</t>
        </is>
      </c>
      <c r="W216" t="n">
        <v>126112</v>
      </c>
      <c r="X216" t="inlineStr">
        <is>
          <t>QUERETARO</t>
        </is>
      </c>
      <c r="Y216" t="n">
        <v>4</v>
      </c>
      <c r="Z216" t="inlineStr">
        <is>
          <t>CORPORATIVO</t>
        </is>
      </c>
      <c r="AA216" t="n">
        <v>1</v>
      </c>
      <c r="AB216" t="inlineStr">
        <is>
          <t>NEGOCIO EN MARCHA</t>
        </is>
      </c>
      <c r="AC216" t="n">
        <v>1</v>
      </c>
      <c r="AD216" t="inlineStr">
        <is>
          <t>BANCO</t>
        </is>
      </c>
      <c r="AE216" t="n">
        <v>1</v>
      </c>
      <c r="AF216" t="inlineStr">
        <is>
          <t>BACK</t>
        </is>
      </c>
      <c r="AG216" t="n">
        <v>126112</v>
      </c>
      <c r="AH216" t="inlineStr">
        <is>
          <t>QUERETARO</t>
        </is>
      </c>
      <c r="AI216" t="inlineStr">
        <is>
          <t>RELIZONDOA@BANCOBASE.COM</t>
        </is>
      </c>
      <c r="AJ216" s="151" t="n">
        <v>43794</v>
      </c>
      <c r="AK216" s="151" t="n"/>
      <c r="AL216" s="151" t="n"/>
    </row>
    <row r="217" hidden="1" s="150">
      <c r="A217" t="inlineStr">
        <is>
          <t>CRAMIREZCO</t>
        </is>
      </c>
      <c r="B217" t="n">
        <v>3959</v>
      </c>
      <c r="C217" t="inlineStr">
        <is>
          <t>CITLALLI RAMIREZ COMPARAN</t>
        </is>
      </c>
      <c r="D217" t="n">
        <v>9229</v>
      </c>
      <c r="E217" t="inlineStr">
        <is>
          <t>CAJERO</t>
        </is>
      </c>
      <c r="F217" t="inlineStr">
        <is>
          <t>GUADALAJARA</t>
        </is>
      </c>
      <c r="G217" t="n">
        <v>1410</v>
      </c>
      <c r="H217" t="inlineStr">
        <is>
          <t>ANTONIO MARTINEZ ALVAREZ</t>
        </is>
      </c>
      <c r="I217" t="n">
        <v>9072</v>
      </c>
      <c r="J217" t="inlineStr">
        <is>
          <t>COORDINADOR DE CAJAS</t>
        </is>
      </c>
      <c r="K217" t="n">
        <v>1</v>
      </c>
      <c r="L217" t="inlineStr">
        <is>
          <t>PRESIDENCIA EJECUTIVA DEL CONSEJO</t>
        </is>
      </c>
      <c r="M217" t="n">
        <v>40</v>
      </c>
      <c r="N217" t="inlineStr">
        <is>
          <t>DIRECCION GENERAL BANCO BASE</t>
        </is>
      </c>
      <c r="O217" t="n">
        <v>440</v>
      </c>
      <c r="P217" t="inlineStr">
        <is>
          <t>DIRECCION DE CONTRALORIA Y PREVENCION</t>
        </is>
      </c>
      <c r="Q217" t="n">
        <v>4430</v>
      </c>
      <c r="R217" t="inlineStr">
        <is>
          <t>DIRECCION DE OPERACIONES</t>
        </is>
      </c>
      <c r="S217" t="n">
        <v>44500</v>
      </c>
      <c r="T217" t="inlineStr">
        <is>
          <t>SUBDIRECCION BACK CAPTACION Y BURSATIL</t>
        </is>
      </c>
      <c r="U217" t="n">
        <v>445000</v>
      </c>
      <c r="V217" t="inlineStr">
        <is>
          <t>SUBDIRECCION BACK CAPTACION Y BURSATIL</t>
        </is>
      </c>
      <c r="W217" t="n">
        <v>126107</v>
      </c>
      <c r="X217" t="inlineStr">
        <is>
          <t>GUADALAJARA</t>
        </is>
      </c>
      <c r="Y217" t="n">
        <v>4</v>
      </c>
      <c r="Z217" t="inlineStr">
        <is>
          <t>CORPORATIVO</t>
        </is>
      </c>
      <c r="AA217" t="n">
        <v>1</v>
      </c>
      <c r="AB217" t="inlineStr">
        <is>
          <t>NEGOCIO EN MARCHA</t>
        </is>
      </c>
      <c r="AC217" t="n">
        <v>1</v>
      </c>
      <c r="AD217" t="inlineStr">
        <is>
          <t>BANCO</t>
        </is>
      </c>
      <c r="AE217" t="n">
        <v>1</v>
      </c>
      <c r="AF217" t="inlineStr">
        <is>
          <t>BACK</t>
        </is>
      </c>
      <c r="AG217" t="n">
        <v>126107</v>
      </c>
      <c r="AH217" t="inlineStr">
        <is>
          <t>GUADALAJARA</t>
        </is>
      </c>
      <c r="AI217" t="inlineStr">
        <is>
          <t>CRAMIREZCO@BANCOBASE.COM</t>
        </is>
      </c>
      <c r="AJ217" s="151" t="n">
        <v>46237</v>
      </c>
      <c r="AK217" s="151" t="n"/>
      <c r="AL217" s="151" t="n"/>
    </row>
    <row r="218" hidden="1" s="150">
      <c r="A218" t="inlineStr">
        <is>
          <t>DTREVINO</t>
        </is>
      </c>
      <c r="B218" t="n">
        <v>1244</v>
      </c>
      <c r="C218" t="inlineStr">
        <is>
          <t>DIANA ALEJANDRA TREVIÑO GONGORA</t>
        </is>
      </c>
      <c r="D218" t="n">
        <v>10000</v>
      </c>
      <c r="E218" t="inlineStr">
        <is>
          <t>SUBDIRECTOR DE MEDIOS DE PAGO</t>
        </is>
      </c>
      <c r="F218" t="inlineStr">
        <is>
          <t>MONTERREY</t>
        </is>
      </c>
      <c r="G218" t="n">
        <v>618</v>
      </c>
      <c r="H218" t="inlineStr">
        <is>
          <t>NANCY GALLEGOS RUIZ</t>
        </is>
      </c>
      <c r="I218" t="n">
        <v>8387</v>
      </c>
      <c r="J218" t="inlineStr">
        <is>
          <t>DIRECTOR DE OPERACIONES</t>
        </is>
      </c>
      <c r="K218" t="n">
        <v>1</v>
      </c>
      <c r="L218" t="inlineStr">
        <is>
          <t>PRESIDENCIA EJECUTIVA DEL CONSEJO</t>
        </is>
      </c>
      <c r="M218" t="n">
        <v>40</v>
      </c>
      <c r="N218" t="inlineStr">
        <is>
          <t>DIRECCION GENERAL BANCO BASE</t>
        </is>
      </c>
      <c r="O218" t="n">
        <v>440</v>
      </c>
      <c r="P218" t="inlineStr">
        <is>
          <t>DIRECCION DE CONTRALORIA Y PREVENCION</t>
        </is>
      </c>
      <c r="Q218" t="n">
        <v>4430</v>
      </c>
      <c r="R218" t="inlineStr">
        <is>
          <t>DIRECCION DE OPERACIONES</t>
        </is>
      </c>
      <c r="S218" t="n">
        <v>44350</v>
      </c>
      <c r="T218" t="inlineStr">
        <is>
          <t>MEDIOS DE PAGO</t>
        </is>
      </c>
      <c r="U218" t="n">
        <v>443500</v>
      </c>
      <c r="V218" t="inlineStr">
        <is>
          <t>MEDIOS DE PAGO</t>
        </is>
      </c>
      <c r="W218" t="n">
        <v>100101</v>
      </c>
      <c r="X218" t="inlineStr">
        <is>
          <t>CORPORATIVO</t>
        </is>
      </c>
      <c r="Y218" t="n">
        <v>4</v>
      </c>
      <c r="Z218" t="inlineStr">
        <is>
          <t>CORPORATIVO</t>
        </is>
      </c>
      <c r="AA218" t="n">
        <v>1</v>
      </c>
      <c r="AB218" t="inlineStr">
        <is>
          <t>NEGOCIO EN MARCHA</t>
        </is>
      </c>
      <c r="AC218" t="n">
        <v>1</v>
      </c>
      <c r="AD218" t="inlineStr">
        <is>
          <t>BANCO</t>
        </is>
      </c>
      <c r="AE218" t="n">
        <v>1</v>
      </c>
      <c r="AF218" t="inlineStr">
        <is>
          <t>BACK</t>
        </is>
      </c>
      <c r="AG218" t="n">
        <v>100101</v>
      </c>
      <c r="AH218" t="inlineStr">
        <is>
          <t>CORPORATIVO</t>
        </is>
      </c>
      <c r="AI218" t="inlineStr">
        <is>
          <t>DTREVINO@BANCOBASE.COM</t>
        </is>
      </c>
      <c r="AJ218" s="151" t="n">
        <v>41990</v>
      </c>
      <c r="AK218" s="151" t="n"/>
      <c r="AL218" s="151" t="n"/>
    </row>
    <row r="219" hidden="1" s="150">
      <c r="A219" t="inlineStr">
        <is>
          <t>HMARTINEZS</t>
        </is>
      </c>
      <c r="B219" t="n">
        <v>2564</v>
      </c>
      <c r="C219" t="inlineStr">
        <is>
          <t>HECTOR NOE MARTINEZ SALDAÑA</t>
        </is>
      </c>
      <c r="D219" t="n">
        <v>5056</v>
      </c>
      <c r="E219" t="inlineStr">
        <is>
          <t>ESPECIALISTA DE LIQUIDACIONES</t>
        </is>
      </c>
      <c r="F219" t="inlineStr">
        <is>
          <t>MONTERREY</t>
        </is>
      </c>
      <c r="I219" t="n">
        <v>8388</v>
      </c>
      <c r="J219" t="inlineStr">
        <is>
          <t>GERENTE DE CONFIRMACIONES Y LIQUIDACIONES</t>
        </is>
      </c>
      <c r="K219" t="n">
        <v>1</v>
      </c>
      <c r="L219" t="inlineStr">
        <is>
          <t>PRESIDENCIA EJECUTIVA DEL CONSEJO</t>
        </is>
      </c>
      <c r="M219" t="n">
        <v>40</v>
      </c>
      <c r="N219" t="inlineStr">
        <is>
          <t>DIRECCION GENERAL BANCO BASE</t>
        </is>
      </c>
      <c r="O219" t="n">
        <v>440</v>
      </c>
      <c r="P219" t="inlineStr">
        <is>
          <t>DIRECCION DE CONTRALORIA Y PREVENCION</t>
        </is>
      </c>
      <c r="Q219" t="n">
        <v>4430</v>
      </c>
      <c r="R219" t="inlineStr">
        <is>
          <t>DIRECCION DE OPERACIONES</t>
        </is>
      </c>
      <c r="S219" t="n">
        <v>44350</v>
      </c>
      <c r="T219" t="inlineStr">
        <is>
          <t>MEDIOS DE PAGO</t>
        </is>
      </c>
      <c r="U219" t="n">
        <v>443510</v>
      </c>
      <c r="V219" t="inlineStr">
        <is>
          <t>CONFIRMACIONES Y LIQUIDACIONES</t>
        </is>
      </c>
      <c r="W219" t="n">
        <v>100101</v>
      </c>
      <c r="X219" t="inlineStr">
        <is>
          <t>CORPORATIVO</t>
        </is>
      </c>
      <c r="Y219" t="n">
        <v>4</v>
      </c>
      <c r="Z219" t="inlineStr">
        <is>
          <t>CORPORATIVO</t>
        </is>
      </c>
      <c r="AA219" t="n">
        <v>1</v>
      </c>
      <c r="AB219" t="inlineStr">
        <is>
          <t>NEGOCIO EN MARCHA</t>
        </is>
      </c>
      <c r="AC219" t="n">
        <v>1</v>
      </c>
      <c r="AD219" t="inlineStr">
        <is>
          <t>BANCO</t>
        </is>
      </c>
      <c r="AE219" t="n">
        <v>1</v>
      </c>
      <c r="AF219" t="inlineStr">
        <is>
          <t>BACK</t>
        </is>
      </c>
      <c r="AG219" t="n">
        <v>100101</v>
      </c>
      <c r="AH219" t="inlineStr">
        <is>
          <t>CORPORATIVO</t>
        </is>
      </c>
      <c r="AI219" t="inlineStr">
        <is>
          <t>HMARTINEZS@BANCOBASE.COM</t>
        </is>
      </c>
      <c r="AJ219" s="151" t="n">
        <v>44485</v>
      </c>
      <c r="AK219" s="151" t="n"/>
      <c r="AL219" s="151" t="n"/>
    </row>
    <row r="220" hidden="1" s="150">
      <c r="A220" t="inlineStr">
        <is>
          <t>SPRADO</t>
        </is>
      </c>
      <c r="B220" t="n">
        <v>1888</v>
      </c>
      <c r="C220" t="inlineStr">
        <is>
          <t>SERGIO ALBERTO PRADO RODRIGUEZ</t>
        </is>
      </c>
      <c r="D220" t="n">
        <v>8700</v>
      </c>
      <c r="E220" t="inlineStr">
        <is>
          <t>ANALISTA DE CONFIRMACIONES Y LIQUIDACIONES</t>
        </is>
      </c>
      <c r="F220" t="inlineStr">
        <is>
          <t>MONTERREY</t>
        </is>
      </c>
      <c r="G220" t="n">
        <v>1244</v>
      </c>
      <c r="H220" t="inlineStr">
        <is>
          <t>DIANA ALEJANDRA TREVIÑO GONGORA</t>
        </is>
      </c>
      <c r="I220" t="n">
        <v>10000</v>
      </c>
      <c r="J220" t="inlineStr">
        <is>
          <t>SUBDIRECTOR DE MEDIOS DE PAGO</t>
        </is>
      </c>
      <c r="K220" t="n">
        <v>1</v>
      </c>
      <c r="L220" t="inlineStr">
        <is>
          <t>PRESIDENCIA EJECUTIVA DEL CONSEJO</t>
        </is>
      </c>
      <c r="M220" t="n">
        <v>40</v>
      </c>
      <c r="N220" t="inlineStr">
        <is>
          <t>DIRECCION GENERAL BANCO BASE</t>
        </is>
      </c>
      <c r="O220" t="n">
        <v>440</v>
      </c>
      <c r="P220" t="inlineStr">
        <is>
          <t>DIRECCION DE CONTRALORIA Y PREVENCION</t>
        </is>
      </c>
      <c r="Q220" t="n">
        <v>4430</v>
      </c>
      <c r="R220" t="inlineStr">
        <is>
          <t>DIRECCION DE OPERACIONES</t>
        </is>
      </c>
      <c r="S220" t="n">
        <v>44350</v>
      </c>
      <c r="T220" t="inlineStr">
        <is>
          <t>MEDIOS DE PAGO</t>
        </is>
      </c>
      <c r="U220" t="n">
        <v>443510</v>
      </c>
      <c r="V220" t="inlineStr">
        <is>
          <t>CONFIRMACIONES Y LIQUIDACIONES</t>
        </is>
      </c>
      <c r="W220" t="n">
        <v>100101</v>
      </c>
      <c r="X220" t="inlineStr">
        <is>
          <t>CORPORATIVO</t>
        </is>
      </c>
      <c r="Y220" t="n">
        <v>4</v>
      </c>
      <c r="Z220" t="inlineStr">
        <is>
          <t>CORPORATIVO</t>
        </is>
      </c>
      <c r="AA220" t="n">
        <v>1</v>
      </c>
      <c r="AB220" t="inlineStr">
        <is>
          <t>NEGOCIO EN MARCHA</t>
        </is>
      </c>
      <c r="AC220" t="n">
        <v>1</v>
      </c>
      <c r="AD220" t="inlineStr">
        <is>
          <t>BANCO</t>
        </is>
      </c>
      <c r="AE220" t="n">
        <v>1</v>
      </c>
      <c r="AF220" t="inlineStr">
        <is>
          <t>BACK</t>
        </is>
      </c>
      <c r="AG220" t="n">
        <v>100101</v>
      </c>
      <c r="AH220" t="inlineStr">
        <is>
          <t>CORPORATIVO</t>
        </is>
      </c>
      <c r="AI220" t="inlineStr">
        <is>
          <t>SPRADO@BANCOBASE.COM</t>
        </is>
      </c>
      <c r="AJ220" s="151" t="n">
        <v>43055</v>
      </c>
      <c r="AK220" s="151" t="n"/>
      <c r="AL220" s="151" t="n"/>
    </row>
    <row r="221" hidden="1" s="150">
      <c r="A221" t="inlineStr">
        <is>
          <t>NPEREZ</t>
        </is>
      </c>
      <c r="B221" t="n">
        <v>2678</v>
      </c>
      <c r="C221" t="inlineStr">
        <is>
          <t>NALLELY SARAHI PEREZ RAMIREZ</t>
        </is>
      </c>
      <c r="D221" t="n">
        <v>8142</v>
      </c>
      <c r="E221" t="inlineStr">
        <is>
          <t>ANALISTA DE LIQUIDACIONES</t>
        </is>
      </c>
      <c r="F221" t="inlineStr">
        <is>
          <t>MONTERREY</t>
        </is>
      </c>
      <c r="I221" t="n">
        <v>8388</v>
      </c>
      <c r="J221" t="inlineStr">
        <is>
          <t>GERENTE DE CONFIRMACIONES Y LIQUIDACIONES</t>
        </is>
      </c>
      <c r="K221" t="n">
        <v>1</v>
      </c>
      <c r="L221" t="inlineStr">
        <is>
          <t>PRESIDENCIA EJECUTIVA DEL CONSEJO</t>
        </is>
      </c>
      <c r="M221" t="n">
        <v>40</v>
      </c>
      <c r="N221" t="inlineStr">
        <is>
          <t>DIRECCION GENERAL BANCO BASE</t>
        </is>
      </c>
      <c r="O221" t="n">
        <v>440</v>
      </c>
      <c r="P221" t="inlineStr">
        <is>
          <t>DIRECCION DE CONTRALORIA Y PREVENCION</t>
        </is>
      </c>
      <c r="Q221" t="n">
        <v>4430</v>
      </c>
      <c r="R221" t="inlineStr">
        <is>
          <t>DIRECCION DE OPERACIONES</t>
        </is>
      </c>
      <c r="S221" t="n">
        <v>44350</v>
      </c>
      <c r="T221" t="inlineStr">
        <is>
          <t>MEDIOS DE PAGO</t>
        </is>
      </c>
      <c r="U221" t="n">
        <v>443510</v>
      </c>
      <c r="V221" t="inlineStr">
        <is>
          <t>CONFIRMACIONES Y LIQUIDACIONES</t>
        </is>
      </c>
      <c r="W221" t="n">
        <v>100101</v>
      </c>
      <c r="X221" t="inlineStr">
        <is>
          <t>CORPORATIVO</t>
        </is>
      </c>
      <c r="Y221" t="n">
        <v>4</v>
      </c>
      <c r="Z221" t="inlineStr">
        <is>
          <t>CORPORATIVO</t>
        </is>
      </c>
      <c r="AA221" t="n">
        <v>1</v>
      </c>
      <c r="AB221" t="inlineStr">
        <is>
          <t>NEGOCIO EN MARCHA</t>
        </is>
      </c>
      <c r="AC221" t="n">
        <v>1</v>
      </c>
      <c r="AD221" t="inlineStr">
        <is>
          <t>BANCO</t>
        </is>
      </c>
      <c r="AE221" t="n">
        <v>1</v>
      </c>
      <c r="AF221" t="inlineStr">
        <is>
          <t>BACK</t>
        </is>
      </c>
      <c r="AG221" t="n">
        <v>100101</v>
      </c>
      <c r="AH221" t="inlineStr">
        <is>
          <t>CORPORATIVO</t>
        </is>
      </c>
      <c r="AI221" t="inlineStr">
        <is>
          <t>NPEREZ@BANCOBASE.COM</t>
        </is>
      </c>
      <c r="AJ221" s="151" t="n">
        <v>44728</v>
      </c>
      <c r="AK221" s="151" t="n"/>
      <c r="AL221" s="151" t="n"/>
    </row>
    <row r="222" hidden="1" s="150">
      <c r="A222" t="inlineStr">
        <is>
          <t>JFLORESG</t>
        </is>
      </c>
      <c r="B222" t="n">
        <v>1204</v>
      </c>
      <c r="C222" t="inlineStr">
        <is>
          <t>JONATHAN EDGAR FLORES GONZALEZ</t>
        </is>
      </c>
      <c r="D222" t="n">
        <v>9084</v>
      </c>
      <c r="E222" t="inlineStr">
        <is>
          <t>ANALISTA DE LIQUIDACIONES</t>
        </is>
      </c>
      <c r="F222" t="inlineStr">
        <is>
          <t>MONTERREY</t>
        </is>
      </c>
      <c r="I222" t="n">
        <v>8388</v>
      </c>
      <c r="J222" t="inlineStr">
        <is>
          <t>GERENTE DE CONFIRMACIONES Y LIQUIDACIONES</t>
        </is>
      </c>
      <c r="K222" t="n">
        <v>1</v>
      </c>
      <c r="L222" t="inlineStr">
        <is>
          <t>PRESIDENCIA EJECUTIVA DEL CONSEJO</t>
        </is>
      </c>
      <c r="M222" t="n">
        <v>40</v>
      </c>
      <c r="N222" t="inlineStr">
        <is>
          <t>DIRECCION GENERAL BANCO BASE</t>
        </is>
      </c>
      <c r="O222" t="n">
        <v>440</v>
      </c>
      <c r="P222" t="inlineStr">
        <is>
          <t>DIRECCION DE CONTRALORIA Y PREVENCION</t>
        </is>
      </c>
      <c r="Q222" t="n">
        <v>4430</v>
      </c>
      <c r="R222" t="inlineStr">
        <is>
          <t>DIRECCION DE OPERACIONES</t>
        </is>
      </c>
      <c r="S222" t="n">
        <v>44350</v>
      </c>
      <c r="T222" t="inlineStr">
        <is>
          <t>MEDIOS DE PAGO</t>
        </is>
      </c>
      <c r="U222" t="n">
        <v>443510</v>
      </c>
      <c r="V222" t="inlineStr">
        <is>
          <t>CONFIRMACIONES Y LIQUIDACIONES</t>
        </is>
      </c>
      <c r="W222" t="n">
        <v>100101</v>
      </c>
      <c r="X222" t="inlineStr">
        <is>
          <t>CORPORATIVO</t>
        </is>
      </c>
      <c r="Y222" t="n">
        <v>4</v>
      </c>
      <c r="Z222" t="inlineStr">
        <is>
          <t>CORPORATIVO</t>
        </is>
      </c>
      <c r="AA222" t="n">
        <v>1</v>
      </c>
      <c r="AB222" t="inlineStr">
        <is>
          <t>NEGOCIO EN MARCHA</t>
        </is>
      </c>
      <c r="AC222" t="n">
        <v>1</v>
      </c>
      <c r="AD222" t="inlineStr">
        <is>
          <t>BANCO</t>
        </is>
      </c>
      <c r="AE222" t="n">
        <v>1</v>
      </c>
      <c r="AF222" t="inlineStr">
        <is>
          <t>BACK</t>
        </is>
      </c>
      <c r="AG222" t="n">
        <v>100101</v>
      </c>
      <c r="AH222" t="inlineStr">
        <is>
          <t>CORPORATIVO</t>
        </is>
      </c>
      <c r="AI222" t="inlineStr">
        <is>
          <t>JFLORESG@BANCOBASE.COM</t>
        </is>
      </c>
      <c r="AJ222" s="151" t="n">
        <v>41913</v>
      </c>
      <c r="AK222" s="151" t="n"/>
      <c r="AL222" s="151" t="n"/>
    </row>
    <row r="223" hidden="1" s="150">
      <c r="A223" t="inlineStr">
        <is>
          <t>JAGUILARI</t>
        </is>
      </c>
      <c r="B223" t="n">
        <v>2643</v>
      </c>
      <c r="C223" t="inlineStr">
        <is>
          <t>JOSE ANTONIO AGUILAR IRACHETA</t>
        </is>
      </c>
      <c r="D223" t="n">
        <v>9085</v>
      </c>
      <c r="E223" t="inlineStr">
        <is>
          <t>ANALISTA DE LIQUIDACIONES</t>
        </is>
      </c>
      <c r="F223" t="inlineStr">
        <is>
          <t>MONTERREY</t>
        </is>
      </c>
      <c r="I223" t="n">
        <v>8388</v>
      </c>
      <c r="J223" t="inlineStr">
        <is>
          <t>GERENTE DE CONFIRMACIONES Y LIQUIDACIONES</t>
        </is>
      </c>
      <c r="K223" t="n">
        <v>1</v>
      </c>
      <c r="L223" t="inlineStr">
        <is>
          <t>PRESIDENCIA EJECUTIVA DEL CONSEJO</t>
        </is>
      </c>
      <c r="M223" t="n">
        <v>40</v>
      </c>
      <c r="N223" t="inlineStr">
        <is>
          <t>DIRECCION GENERAL BANCO BASE</t>
        </is>
      </c>
      <c r="O223" t="n">
        <v>440</v>
      </c>
      <c r="P223" t="inlineStr">
        <is>
          <t>DIRECCION DE CONTRALORIA Y PREVENCION</t>
        </is>
      </c>
      <c r="Q223" t="n">
        <v>4430</v>
      </c>
      <c r="R223" t="inlineStr">
        <is>
          <t>DIRECCION DE OPERACIONES</t>
        </is>
      </c>
      <c r="S223" t="n">
        <v>44350</v>
      </c>
      <c r="T223" t="inlineStr">
        <is>
          <t>MEDIOS DE PAGO</t>
        </is>
      </c>
      <c r="U223" t="n">
        <v>443510</v>
      </c>
      <c r="V223" t="inlineStr">
        <is>
          <t>CONFIRMACIONES Y LIQUIDACIONES</t>
        </is>
      </c>
      <c r="W223" t="n">
        <v>100101</v>
      </c>
      <c r="X223" t="inlineStr">
        <is>
          <t>CORPORATIVO</t>
        </is>
      </c>
      <c r="Y223" t="n">
        <v>4</v>
      </c>
      <c r="Z223" t="inlineStr">
        <is>
          <t>CORPORATIVO</t>
        </is>
      </c>
      <c r="AA223" t="n">
        <v>1</v>
      </c>
      <c r="AB223" t="inlineStr">
        <is>
          <t>NEGOCIO EN MARCHA</t>
        </is>
      </c>
      <c r="AC223" t="n">
        <v>1</v>
      </c>
      <c r="AD223" t="inlineStr">
        <is>
          <t>BANCO</t>
        </is>
      </c>
      <c r="AE223" t="n">
        <v>1</v>
      </c>
      <c r="AF223" t="inlineStr">
        <is>
          <t>BACK</t>
        </is>
      </c>
      <c r="AG223" t="n">
        <v>100101</v>
      </c>
      <c r="AH223" t="inlineStr">
        <is>
          <t>CORPORATIVO</t>
        </is>
      </c>
      <c r="AI223" t="inlineStr">
        <is>
          <t>JAGUILARI@BANCOBASE.COM</t>
        </is>
      </c>
      <c r="AJ223" s="151" t="n">
        <v>44682</v>
      </c>
      <c r="AK223" s="151" t="n"/>
      <c r="AL223" s="151" t="n"/>
    </row>
    <row r="224" hidden="1" s="150">
      <c r="A224" t="inlineStr">
        <is>
          <t>KIBARRA</t>
        </is>
      </c>
      <c r="B224" t="n">
        <v>3456</v>
      </c>
      <c r="C224" t="inlineStr">
        <is>
          <t>KASSANDRA XIOMARA IBARRA LARA</t>
        </is>
      </c>
      <c r="D224" t="n">
        <v>9043</v>
      </c>
      <c r="E224" t="inlineStr">
        <is>
          <t>ANALISTA DE LIQUIDACIONES</t>
        </is>
      </c>
      <c r="F224" t="inlineStr">
        <is>
          <t>MONTERREY</t>
        </is>
      </c>
      <c r="I224" t="n">
        <v>8388</v>
      </c>
      <c r="J224" t="inlineStr">
        <is>
          <t>GERENTE DE CONFIRMACIONES Y LIQUIDACIONES</t>
        </is>
      </c>
      <c r="K224" t="n">
        <v>1</v>
      </c>
      <c r="L224" t="inlineStr">
        <is>
          <t>PRESIDENCIA EJECUTIVA DEL CONSEJO</t>
        </is>
      </c>
      <c r="M224" t="n">
        <v>40</v>
      </c>
      <c r="N224" t="inlineStr">
        <is>
          <t>DIRECCION GENERAL BANCO BASE</t>
        </is>
      </c>
      <c r="O224" t="n">
        <v>440</v>
      </c>
      <c r="P224" t="inlineStr">
        <is>
          <t>DIRECCION DE CONTRALORIA Y PREVENCION</t>
        </is>
      </c>
      <c r="Q224" t="n">
        <v>4430</v>
      </c>
      <c r="R224" t="inlineStr">
        <is>
          <t>DIRECCION DE OPERACIONES</t>
        </is>
      </c>
      <c r="S224" t="n">
        <v>44350</v>
      </c>
      <c r="T224" t="inlineStr">
        <is>
          <t>MEDIOS DE PAGO</t>
        </is>
      </c>
      <c r="U224" t="n">
        <v>443510</v>
      </c>
      <c r="V224" t="inlineStr">
        <is>
          <t>CONFIRMACIONES Y LIQUIDACIONES</t>
        </is>
      </c>
      <c r="W224" t="n">
        <v>100101</v>
      </c>
      <c r="X224" t="inlineStr">
        <is>
          <t>CORPORATIVO</t>
        </is>
      </c>
      <c r="Y224" t="n">
        <v>4</v>
      </c>
      <c r="Z224" t="inlineStr">
        <is>
          <t>CORPORATIVO</t>
        </is>
      </c>
      <c r="AA224" t="n">
        <v>1</v>
      </c>
      <c r="AB224" t="inlineStr">
        <is>
          <t>NEGOCIO EN MARCHA</t>
        </is>
      </c>
      <c r="AC224" t="n">
        <v>1</v>
      </c>
      <c r="AD224" t="inlineStr">
        <is>
          <t>BANCO</t>
        </is>
      </c>
      <c r="AE224" t="n">
        <v>1</v>
      </c>
      <c r="AF224" t="inlineStr">
        <is>
          <t>BACK</t>
        </is>
      </c>
      <c r="AG224" t="n">
        <v>100101</v>
      </c>
      <c r="AH224" t="inlineStr">
        <is>
          <t>CORPORATIVO</t>
        </is>
      </c>
      <c r="AI224" t="inlineStr">
        <is>
          <t>KIBARRA@BANCOBASE.COM</t>
        </is>
      </c>
      <c r="AJ224" s="151" t="n">
        <v>45824</v>
      </c>
      <c r="AK224" s="151" t="n"/>
      <c r="AL224" s="151" t="n"/>
    </row>
    <row r="225" hidden="1" s="150">
      <c r="A225" t="inlineStr">
        <is>
          <t>JJALOMO</t>
        </is>
      </c>
      <c r="B225" t="n">
        <v>3681</v>
      </c>
      <c r="C225" t="inlineStr">
        <is>
          <t>JAVIER JALOMO ALANIS</t>
        </is>
      </c>
      <c r="D225" t="n">
        <v>9101</v>
      </c>
      <c r="E225" t="inlineStr">
        <is>
          <t>ANALISTA DE CONFIRMACIONES</t>
        </is>
      </c>
      <c r="F225" t="inlineStr">
        <is>
          <t>MONTERREY</t>
        </is>
      </c>
      <c r="I225" t="n">
        <v>8388</v>
      </c>
      <c r="J225" t="inlineStr">
        <is>
          <t>GERENTE DE CONFIRMACIONES Y LIQUIDACIONES</t>
        </is>
      </c>
      <c r="K225" t="n">
        <v>1</v>
      </c>
      <c r="L225" t="inlineStr">
        <is>
          <t>PRESIDENCIA EJECUTIVA DEL CONSEJO</t>
        </is>
      </c>
      <c r="M225" t="n">
        <v>40</v>
      </c>
      <c r="N225" t="inlineStr">
        <is>
          <t>DIRECCION GENERAL BANCO BASE</t>
        </is>
      </c>
      <c r="O225" t="n">
        <v>440</v>
      </c>
      <c r="P225" t="inlineStr">
        <is>
          <t>DIRECCION DE CONTRALORIA Y PREVENCION</t>
        </is>
      </c>
      <c r="Q225" t="n">
        <v>4430</v>
      </c>
      <c r="R225" t="inlineStr">
        <is>
          <t>DIRECCION DE OPERACIONES</t>
        </is>
      </c>
      <c r="S225" t="n">
        <v>44350</v>
      </c>
      <c r="T225" t="inlineStr">
        <is>
          <t>MEDIOS DE PAGO</t>
        </is>
      </c>
      <c r="U225" t="n">
        <v>443510</v>
      </c>
      <c r="V225" t="inlineStr">
        <is>
          <t>CONFIRMACIONES Y LIQUIDACIONES</t>
        </is>
      </c>
      <c r="W225" t="n">
        <v>100101</v>
      </c>
      <c r="X225" t="inlineStr">
        <is>
          <t>CORPORATIVO</t>
        </is>
      </c>
      <c r="Y225" t="n">
        <v>4</v>
      </c>
      <c r="Z225" t="inlineStr">
        <is>
          <t>CORPORATIVO</t>
        </is>
      </c>
      <c r="AA225" t="n">
        <v>1</v>
      </c>
      <c r="AB225" t="inlineStr">
        <is>
          <t>NEGOCIO EN MARCHA</t>
        </is>
      </c>
      <c r="AC225" t="n">
        <v>1</v>
      </c>
      <c r="AD225" t="inlineStr">
        <is>
          <t>BANCO</t>
        </is>
      </c>
      <c r="AE225" t="n">
        <v>1</v>
      </c>
      <c r="AF225" t="inlineStr">
        <is>
          <t>BACK</t>
        </is>
      </c>
      <c r="AG225" t="n">
        <v>100101</v>
      </c>
      <c r="AH225" t="inlineStr">
        <is>
          <t>CORPORATIVO</t>
        </is>
      </c>
      <c r="AI225" t="inlineStr">
        <is>
          <t>JJALOMO@BANCOBASE.COM</t>
        </is>
      </c>
      <c r="AJ225" s="151" t="n">
        <v>45979</v>
      </c>
      <c r="AK225" s="151" t="n"/>
      <c r="AL225" s="151" t="n"/>
    </row>
    <row r="226" hidden="1" s="150">
      <c r="A226" t="inlineStr">
        <is>
          <t>DRAMIREZO</t>
        </is>
      </c>
      <c r="B226" t="n">
        <v>3023</v>
      </c>
      <c r="C226" t="inlineStr">
        <is>
          <t>DEVANNY ARLETTE RAMIREZ OLVERA</t>
        </is>
      </c>
      <c r="D226" t="n">
        <v>9089</v>
      </c>
      <c r="E226" t="inlineStr">
        <is>
          <t>ANALISTA DE LIQUIDACIONES</t>
        </is>
      </c>
      <c r="F226" t="inlineStr">
        <is>
          <t>MONTERREY</t>
        </is>
      </c>
      <c r="I226" t="n">
        <v>8388</v>
      </c>
      <c r="J226" t="inlineStr">
        <is>
          <t>GERENTE DE CONFIRMACIONES Y LIQUIDACIONES</t>
        </is>
      </c>
      <c r="K226" t="n">
        <v>1</v>
      </c>
      <c r="L226" t="inlineStr">
        <is>
          <t>PRESIDENCIA EJECUTIVA DEL CONSEJO</t>
        </is>
      </c>
      <c r="M226" t="n">
        <v>40</v>
      </c>
      <c r="N226" t="inlineStr">
        <is>
          <t>DIRECCION GENERAL BANCO BASE</t>
        </is>
      </c>
      <c r="O226" t="n">
        <v>440</v>
      </c>
      <c r="P226" t="inlineStr">
        <is>
          <t>DIRECCION DE CONTRALORIA Y PREVENCION</t>
        </is>
      </c>
      <c r="Q226" t="n">
        <v>4430</v>
      </c>
      <c r="R226" t="inlineStr">
        <is>
          <t>DIRECCION DE OPERACIONES</t>
        </is>
      </c>
      <c r="S226" t="n">
        <v>44350</v>
      </c>
      <c r="T226" t="inlineStr">
        <is>
          <t>MEDIOS DE PAGO</t>
        </is>
      </c>
      <c r="U226" t="n">
        <v>443510</v>
      </c>
      <c r="V226" t="inlineStr">
        <is>
          <t>CONFIRMACIONES Y LIQUIDACIONES</t>
        </is>
      </c>
      <c r="W226" t="n">
        <v>100101</v>
      </c>
      <c r="X226" t="inlineStr">
        <is>
          <t>CORPORATIVO</t>
        </is>
      </c>
      <c r="Y226" t="n">
        <v>4</v>
      </c>
      <c r="Z226" t="inlineStr">
        <is>
          <t>CORPORATIVO</t>
        </is>
      </c>
      <c r="AA226" t="n">
        <v>1</v>
      </c>
      <c r="AB226" t="inlineStr">
        <is>
          <t>NEGOCIO EN MARCHA</t>
        </is>
      </c>
      <c r="AC226" t="n">
        <v>1</v>
      </c>
      <c r="AD226" t="inlineStr">
        <is>
          <t>BANCO</t>
        </is>
      </c>
      <c r="AE226" t="n">
        <v>1</v>
      </c>
      <c r="AF226" t="inlineStr">
        <is>
          <t>BACK</t>
        </is>
      </c>
      <c r="AG226" t="n">
        <v>100101</v>
      </c>
      <c r="AH226" t="inlineStr">
        <is>
          <t>CORPORATIVO</t>
        </is>
      </c>
      <c r="AI226" t="inlineStr">
        <is>
          <t>DRAMIREZO@BANCOBASE.COM</t>
        </is>
      </c>
      <c r="AJ226" s="151" t="n">
        <v>45323</v>
      </c>
      <c r="AK226" s="151" t="n"/>
      <c r="AL226" s="151" t="n"/>
    </row>
    <row r="227" hidden="1" s="150">
      <c r="A227" t="inlineStr">
        <is>
          <t>AARANDA</t>
        </is>
      </c>
      <c r="B227" t="n">
        <v>3910</v>
      </c>
      <c r="C227" t="inlineStr">
        <is>
          <t>ANGEL ISAI ARANDA AGUILAR</t>
        </is>
      </c>
      <c r="D227" t="n">
        <v>10313</v>
      </c>
      <c r="E227" t="inlineStr">
        <is>
          <t>ANALISTA DE CONFIRMACIONES</t>
        </is>
      </c>
      <c r="F227" t="inlineStr">
        <is>
          <t>MONTERREY</t>
        </is>
      </c>
      <c r="I227" t="n">
        <v>8388</v>
      </c>
      <c r="J227" t="inlineStr">
        <is>
          <t>GERENTE DE CONFIRMACIONES Y LIQUIDACIONES</t>
        </is>
      </c>
      <c r="K227" t="n">
        <v>1</v>
      </c>
      <c r="L227" t="inlineStr">
        <is>
          <t>PRESIDENCIA EJECUTIVA DEL CONSEJO</t>
        </is>
      </c>
      <c r="M227" t="n">
        <v>40</v>
      </c>
      <c r="N227" t="inlineStr">
        <is>
          <t>DIRECCION GENERAL BANCO BASE</t>
        </is>
      </c>
      <c r="O227" t="n">
        <v>440</v>
      </c>
      <c r="P227" t="inlineStr">
        <is>
          <t>DIRECCION DE CONTRALORIA Y PREVENCION</t>
        </is>
      </c>
      <c r="Q227" t="n">
        <v>4430</v>
      </c>
      <c r="R227" t="inlineStr">
        <is>
          <t>DIRECCION DE OPERACIONES</t>
        </is>
      </c>
      <c r="S227" t="n">
        <v>44350</v>
      </c>
      <c r="T227" t="inlineStr">
        <is>
          <t>MEDIOS DE PAGO</t>
        </is>
      </c>
      <c r="U227" t="n">
        <v>443510</v>
      </c>
      <c r="V227" t="inlineStr">
        <is>
          <t>CONFIRMACIONES Y LIQUIDACIONES</t>
        </is>
      </c>
      <c r="W227" t="n">
        <v>100101</v>
      </c>
      <c r="X227" t="inlineStr">
        <is>
          <t>CORPORATIVO</t>
        </is>
      </c>
      <c r="Y227" t="n">
        <v>4</v>
      </c>
      <c r="Z227" t="inlineStr">
        <is>
          <t>CORPORATIVO</t>
        </is>
      </c>
      <c r="AA227" t="n">
        <v>1</v>
      </c>
      <c r="AB227" t="inlineStr">
        <is>
          <t>NEGOCIO EN MARCHA</t>
        </is>
      </c>
      <c r="AC227" t="n">
        <v>1</v>
      </c>
      <c r="AD227" t="inlineStr">
        <is>
          <t>BANCO</t>
        </is>
      </c>
      <c r="AE227" t="n">
        <v>1</v>
      </c>
      <c r="AF227" t="inlineStr">
        <is>
          <t>BACK</t>
        </is>
      </c>
      <c r="AG227" t="n">
        <v>100101</v>
      </c>
      <c r="AH227" t="inlineStr">
        <is>
          <t>CORPORATIVO</t>
        </is>
      </c>
      <c r="AI227" t="inlineStr">
        <is>
          <t>AARANDA@BANCOBASE.COM</t>
        </is>
      </c>
      <c r="AJ227" s="151" t="n">
        <v>46189</v>
      </c>
      <c r="AK227" s="151" t="n"/>
      <c r="AL227" s="151" t="n"/>
    </row>
    <row r="228" hidden="1" s="150">
      <c r="A228" t="inlineStr">
        <is>
          <t>DMARTINEG</t>
        </is>
      </c>
      <c r="B228" t="n">
        <v>3471</v>
      </c>
      <c r="C228" t="inlineStr">
        <is>
          <t>DEBANY MICHEL MARTINEZ GUAJARDO</t>
        </is>
      </c>
      <c r="D228" t="n">
        <v>9126</v>
      </c>
      <c r="E228" t="inlineStr">
        <is>
          <t>ANALISTA DE LIQUIDACIONES</t>
        </is>
      </c>
      <c r="F228" t="inlineStr">
        <is>
          <t>MONTERREY</t>
        </is>
      </c>
      <c r="I228" t="n">
        <v>8388</v>
      </c>
      <c r="J228" t="inlineStr">
        <is>
          <t>GERENTE DE CONFIRMACIONES Y LIQUIDACIONES</t>
        </is>
      </c>
      <c r="K228" t="n">
        <v>1</v>
      </c>
      <c r="L228" t="inlineStr">
        <is>
          <t>PRESIDENCIA EJECUTIVA DEL CONSEJO</t>
        </is>
      </c>
      <c r="M228" t="n">
        <v>40</v>
      </c>
      <c r="N228" t="inlineStr">
        <is>
          <t>DIRECCION GENERAL BANCO BASE</t>
        </is>
      </c>
      <c r="O228" t="n">
        <v>440</v>
      </c>
      <c r="P228" t="inlineStr">
        <is>
          <t>DIRECCION DE CONTRALORIA Y PREVENCION</t>
        </is>
      </c>
      <c r="Q228" t="n">
        <v>4430</v>
      </c>
      <c r="R228" t="inlineStr">
        <is>
          <t>DIRECCION DE OPERACIONES</t>
        </is>
      </c>
      <c r="S228" t="n">
        <v>44350</v>
      </c>
      <c r="T228" t="inlineStr">
        <is>
          <t>MEDIOS DE PAGO</t>
        </is>
      </c>
      <c r="U228" t="n">
        <v>443510</v>
      </c>
      <c r="V228" t="inlineStr">
        <is>
          <t>CONFIRMACIONES Y LIQUIDACIONES</t>
        </is>
      </c>
      <c r="W228" t="n">
        <v>100101</v>
      </c>
      <c r="X228" t="inlineStr">
        <is>
          <t>CORPORATIVO</t>
        </is>
      </c>
      <c r="Y228" t="n">
        <v>4</v>
      </c>
      <c r="Z228" t="inlineStr">
        <is>
          <t>CORPORATIVO</t>
        </is>
      </c>
      <c r="AA228" t="n">
        <v>1</v>
      </c>
      <c r="AB228" t="inlineStr">
        <is>
          <t>NEGOCIO EN MARCHA</t>
        </is>
      </c>
      <c r="AC228" t="n">
        <v>1</v>
      </c>
      <c r="AD228" t="inlineStr">
        <is>
          <t>BANCO</t>
        </is>
      </c>
      <c r="AE228" t="n">
        <v>1</v>
      </c>
      <c r="AF228" t="inlineStr">
        <is>
          <t>BACK</t>
        </is>
      </c>
      <c r="AG228" t="n">
        <v>100101</v>
      </c>
      <c r="AH228" t="inlineStr">
        <is>
          <t>CORPORATIVO</t>
        </is>
      </c>
      <c r="AI228" t="inlineStr">
        <is>
          <t>DMARTINEG@BANCOBASE.COM</t>
        </is>
      </c>
      <c r="AJ228" s="151" t="n">
        <v>45839</v>
      </c>
      <c r="AK228" s="151" t="n"/>
      <c r="AL228" s="151" t="n"/>
    </row>
    <row r="229" hidden="1" s="150">
      <c r="A229" t="inlineStr">
        <is>
          <t>FCORTINA</t>
        </is>
      </c>
      <c r="B229" t="n">
        <v>1298</v>
      </c>
      <c r="C229" t="inlineStr">
        <is>
          <t>FERNANDO CORTINA GARZA</t>
        </is>
      </c>
      <c r="D229" t="n">
        <v>8244</v>
      </c>
      <c r="E229" t="inlineStr">
        <is>
          <t>GERENTE DE CORRESPONSALIAS Y CUSTOMER SERVICES</t>
        </is>
      </c>
      <c r="F229" t="inlineStr">
        <is>
          <t>MONTERREY</t>
        </is>
      </c>
      <c r="G229" t="n">
        <v>1244</v>
      </c>
      <c r="H229" t="inlineStr">
        <is>
          <t>DIANA ALEJANDRA TREVIÑO GONGORA</t>
        </is>
      </c>
      <c r="I229" t="n">
        <v>10000</v>
      </c>
      <c r="J229" t="inlineStr">
        <is>
          <t>SUBDIRECTOR DE MEDIOS DE PAGO</t>
        </is>
      </c>
      <c r="K229" t="n">
        <v>1</v>
      </c>
      <c r="L229" t="inlineStr">
        <is>
          <t>PRESIDENCIA EJECUTIVA DEL CONSEJO</t>
        </is>
      </c>
      <c r="M229" t="n">
        <v>40</v>
      </c>
      <c r="N229" t="inlineStr">
        <is>
          <t>DIRECCION GENERAL BANCO BASE</t>
        </is>
      </c>
      <c r="O229" t="n">
        <v>440</v>
      </c>
      <c r="P229" t="inlineStr">
        <is>
          <t>DIRECCION DE CONTRALORIA Y PREVENCION</t>
        </is>
      </c>
      <c r="Q229" t="n">
        <v>4430</v>
      </c>
      <c r="R229" t="inlineStr">
        <is>
          <t>DIRECCION DE OPERACIONES</t>
        </is>
      </c>
      <c r="S229" t="n">
        <v>44350</v>
      </c>
      <c r="T229" t="inlineStr">
        <is>
          <t>MEDIOS DE PAGO</t>
        </is>
      </c>
      <c r="U229" t="n">
        <v>443300</v>
      </c>
      <c r="V229" t="inlineStr">
        <is>
          <t>GERENCIA CONTACT CENTER</t>
        </is>
      </c>
      <c r="W229" t="n">
        <v>100101</v>
      </c>
      <c r="X229" t="inlineStr">
        <is>
          <t>CORPORATIVO</t>
        </is>
      </c>
      <c r="Y229" t="n">
        <v>4</v>
      </c>
      <c r="Z229" t="inlineStr">
        <is>
          <t>CORPORATIVO</t>
        </is>
      </c>
      <c r="AA229" t="n">
        <v>1</v>
      </c>
      <c r="AB229" t="inlineStr">
        <is>
          <t>NEGOCIO EN MARCHA</t>
        </is>
      </c>
      <c r="AC229" t="n">
        <v>1</v>
      </c>
      <c r="AD229" t="inlineStr">
        <is>
          <t>BANCO</t>
        </is>
      </c>
      <c r="AE229" t="n">
        <v>1</v>
      </c>
      <c r="AF229" t="inlineStr">
        <is>
          <t>BACK</t>
        </is>
      </c>
      <c r="AG229" t="n">
        <v>100101</v>
      </c>
      <c r="AH229" t="inlineStr">
        <is>
          <t>CORPORATIVO</t>
        </is>
      </c>
      <c r="AI229" t="inlineStr">
        <is>
          <t>FCORTINA@BANCOBASE.COM</t>
        </is>
      </c>
      <c r="AJ229" s="151" t="n">
        <v>42125</v>
      </c>
      <c r="AK229" s="151" t="n"/>
      <c r="AL229" s="151" t="n"/>
    </row>
    <row r="230" hidden="1" s="150">
      <c r="A230" t="inlineStr">
        <is>
          <t>KZAMARRON</t>
        </is>
      </c>
      <c r="B230" t="n">
        <v>760</v>
      </c>
      <c r="C230" t="inlineStr">
        <is>
          <t>KARLA MAGALY ZAMARRON TREVIÑO</t>
        </is>
      </c>
      <c r="D230" t="n">
        <v>9078</v>
      </c>
      <c r="E230" t="inlineStr">
        <is>
          <t>COORDINADOR ACLARACION Y SERVICIO</t>
        </is>
      </c>
      <c r="F230" t="inlineStr">
        <is>
          <t>MONTERREY</t>
        </is>
      </c>
      <c r="G230" t="n">
        <v>1298</v>
      </c>
      <c r="H230" t="inlineStr">
        <is>
          <t>FERNANDO CORTINA GARZA</t>
        </is>
      </c>
      <c r="I230" t="n">
        <v>8244</v>
      </c>
      <c r="J230" t="inlineStr">
        <is>
          <t>GERENTE DE CORRESPONSALIAS Y CUSTOMER SERVICES</t>
        </is>
      </c>
      <c r="K230" t="n">
        <v>1</v>
      </c>
      <c r="L230" t="inlineStr">
        <is>
          <t>PRESIDENCIA EJECUTIVA DEL CONSEJO</t>
        </is>
      </c>
      <c r="M230" t="n">
        <v>40</v>
      </c>
      <c r="N230" t="inlineStr">
        <is>
          <t>DIRECCION GENERAL BANCO BASE</t>
        </is>
      </c>
      <c r="O230" t="n">
        <v>440</v>
      </c>
      <c r="P230" t="inlineStr">
        <is>
          <t>DIRECCION DE CONTRALORIA Y PREVENCION</t>
        </is>
      </c>
      <c r="Q230" t="n">
        <v>4430</v>
      </c>
      <c r="R230" t="inlineStr">
        <is>
          <t>DIRECCION DE OPERACIONES</t>
        </is>
      </c>
      <c r="S230" t="n">
        <v>44350</v>
      </c>
      <c r="T230" t="inlineStr">
        <is>
          <t>MEDIOS DE PAGO</t>
        </is>
      </c>
      <c r="U230" t="n">
        <v>443300</v>
      </c>
      <c r="V230" t="inlineStr">
        <is>
          <t>GERENCIA CONTACT CENTER</t>
        </is>
      </c>
      <c r="W230" t="n">
        <v>100101</v>
      </c>
      <c r="X230" t="inlineStr">
        <is>
          <t>CORPORATIVO</t>
        </is>
      </c>
      <c r="Y230" t="n">
        <v>4</v>
      </c>
      <c r="Z230" t="inlineStr">
        <is>
          <t>CORPORATIVO</t>
        </is>
      </c>
      <c r="AA230" t="n">
        <v>1</v>
      </c>
      <c r="AB230" t="inlineStr">
        <is>
          <t>NEGOCIO EN MARCHA</t>
        </is>
      </c>
      <c r="AC230" t="n">
        <v>1</v>
      </c>
      <c r="AD230" t="inlineStr">
        <is>
          <t>BANCO</t>
        </is>
      </c>
      <c r="AE230" t="n">
        <v>1</v>
      </c>
      <c r="AF230" t="inlineStr">
        <is>
          <t>BACK</t>
        </is>
      </c>
      <c r="AG230" t="n">
        <v>100101</v>
      </c>
      <c r="AH230" t="inlineStr">
        <is>
          <t>CORPORATIVO</t>
        </is>
      </c>
      <c r="AI230" t="inlineStr">
        <is>
          <t>KZAMARRON@BANCOBASE.COM</t>
        </is>
      </c>
      <c r="AJ230" s="151" t="n">
        <v>40728</v>
      </c>
      <c r="AK230" s="151" t="n"/>
      <c r="AL230" s="151" t="n"/>
    </row>
    <row r="231" hidden="1" s="150">
      <c r="A231" t="inlineStr">
        <is>
          <t>ACAMARILLO</t>
        </is>
      </c>
      <c r="B231" t="n">
        <v>3395</v>
      </c>
      <c r="C231" t="inlineStr">
        <is>
          <t>ANTONIO SEBASTIAN CAMARILLO SALINAS</t>
        </is>
      </c>
      <c r="D231" t="n">
        <v>9113</v>
      </c>
      <c r="E231" t="inlineStr">
        <is>
          <t>EJECUTIVO ACLARACION Y SERVICIO</t>
        </is>
      </c>
      <c r="F231" t="inlineStr">
        <is>
          <t>MONTERREY</t>
        </is>
      </c>
      <c r="G231" t="n">
        <v>760</v>
      </c>
      <c r="H231" t="inlineStr">
        <is>
          <t>KARLA MAGALY ZAMARRON TREVIÑO</t>
        </is>
      </c>
      <c r="I231" t="n">
        <v>9078</v>
      </c>
      <c r="J231" t="inlineStr">
        <is>
          <t>COORDINADOR ACLARACION Y SERVICIO</t>
        </is>
      </c>
      <c r="K231" t="n">
        <v>1</v>
      </c>
      <c r="L231" t="inlineStr">
        <is>
          <t>PRESIDENCIA EJECUTIVA DEL CONSEJO</t>
        </is>
      </c>
      <c r="M231" t="n">
        <v>40</v>
      </c>
      <c r="N231" t="inlineStr">
        <is>
          <t>DIRECCION GENERAL BANCO BASE</t>
        </is>
      </c>
      <c r="O231" t="n">
        <v>440</v>
      </c>
      <c r="P231" t="inlineStr">
        <is>
          <t>DIRECCION DE CONTRALORIA Y PREVENCION</t>
        </is>
      </c>
      <c r="Q231" t="n">
        <v>4430</v>
      </c>
      <c r="R231" t="inlineStr">
        <is>
          <t>DIRECCION DE OPERACIONES</t>
        </is>
      </c>
      <c r="S231" t="n">
        <v>44350</v>
      </c>
      <c r="T231" t="inlineStr">
        <is>
          <t>MEDIOS DE PAGO</t>
        </is>
      </c>
      <c r="U231" t="n">
        <v>443300</v>
      </c>
      <c r="V231" t="inlineStr">
        <is>
          <t>GERENCIA CONTACT CENTER</t>
        </is>
      </c>
      <c r="W231" t="n">
        <v>100101</v>
      </c>
      <c r="X231" t="inlineStr">
        <is>
          <t>CORPORATIVO</t>
        </is>
      </c>
      <c r="Y231" t="n">
        <v>4</v>
      </c>
      <c r="Z231" t="inlineStr">
        <is>
          <t>CORPORATIVO</t>
        </is>
      </c>
      <c r="AA231" t="n">
        <v>1</v>
      </c>
      <c r="AB231" t="inlineStr">
        <is>
          <t>NEGOCIO EN MARCHA</t>
        </is>
      </c>
      <c r="AC231" t="n">
        <v>1</v>
      </c>
      <c r="AD231" t="inlineStr">
        <is>
          <t>BANCO</t>
        </is>
      </c>
      <c r="AE231" t="n">
        <v>1</v>
      </c>
      <c r="AF231" t="inlineStr">
        <is>
          <t>BACK</t>
        </is>
      </c>
      <c r="AG231" t="n">
        <v>100101</v>
      </c>
      <c r="AH231" t="inlineStr">
        <is>
          <t>CORPORATIVO</t>
        </is>
      </c>
      <c r="AI231" t="inlineStr">
        <is>
          <t>ACAMARILLO@BANCOBASE.COM</t>
        </is>
      </c>
      <c r="AJ231" s="151" t="n">
        <v>45768</v>
      </c>
      <c r="AK231" s="151" t="n"/>
      <c r="AL231" s="151" t="n"/>
    </row>
    <row r="232" hidden="1" s="150">
      <c r="A232" t="inlineStr">
        <is>
          <t>YRODRIGUEZ</t>
        </is>
      </c>
      <c r="B232" t="n">
        <v>3307</v>
      </c>
      <c r="C232" t="inlineStr">
        <is>
          <t>YERALDIN LIZETH RODRIGUEZ AGUILAR</t>
        </is>
      </c>
      <c r="D232" t="n">
        <v>9121</v>
      </c>
      <c r="E232" t="inlineStr">
        <is>
          <t>EJECUTIVO ACLARACION Y SERVICIO</t>
        </is>
      </c>
      <c r="F232" t="inlineStr">
        <is>
          <t>MONTERREY</t>
        </is>
      </c>
      <c r="G232" t="n">
        <v>760</v>
      </c>
      <c r="H232" t="inlineStr">
        <is>
          <t>KARLA MAGALY ZAMARRON TREVIÑO</t>
        </is>
      </c>
      <c r="I232" t="n">
        <v>9078</v>
      </c>
      <c r="J232" t="inlineStr">
        <is>
          <t>COORDINADOR ACLARACION Y SERVICIO</t>
        </is>
      </c>
      <c r="K232" t="n">
        <v>1</v>
      </c>
      <c r="L232" t="inlineStr">
        <is>
          <t>PRESIDENCIA EJECUTIVA DEL CONSEJO</t>
        </is>
      </c>
      <c r="M232" t="n">
        <v>40</v>
      </c>
      <c r="N232" t="inlineStr">
        <is>
          <t>DIRECCION GENERAL BANCO BASE</t>
        </is>
      </c>
      <c r="O232" t="n">
        <v>440</v>
      </c>
      <c r="P232" t="inlineStr">
        <is>
          <t>DIRECCION DE CONTRALORIA Y PREVENCION</t>
        </is>
      </c>
      <c r="Q232" t="n">
        <v>4430</v>
      </c>
      <c r="R232" t="inlineStr">
        <is>
          <t>DIRECCION DE OPERACIONES</t>
        </is>
      </c>
      <c r="S232" t="n">
        <v>44350</v>
      </c>
      <c r="T232" t="inlineStr">
        <is>
          <t>MEDIOS DE PAGO</t>
        </is>
      </c>
      <c r="U232" t="n">
        <v>443300</v>
      </c>
      <c r="V232" t="inlineStr">
        <is>
          <t>GERENCIA CONTACT CENTER</t>
        </is>
      </c>
      <c r="W232" t="n">
        <v>100101</v>
      </c>
      <c r="X232" t="inlineStr">
        <is>
          <t>CORPORATIVO</t>
        </is>
      </c>
      <c r="Y232" t="n">
        <v>4</v>
      </c>
      <c r="Z232" t="inlineStr">
        <is>
          <t>CORPORATIVO</t>
        </is>
      </c>
      <c r="AA232" t="n">
        <v>1</v>
      </c>
      <c r="AB232" t="inlineStr">
        <is>
          <t>NEGOCIO EN MARCHA</t>
        </is>
      </c>
      <c r="AC232" t="n">
        <v>1</v>
      </c>
      <c r="AD232" t="inlineStr">
        <is>
          <t>BANCO</t>
        </is>
      </c>
      <c r="AE232" t="n">
        <v>1</v>
      </c>
      <c r="AF232" t="inlineStr">
        <is>
          <t>BACK</t>
        </is>
      </c>
      <c r="AG232" t="n">
        <v>100101</v>
      </c>
      <c r="AH232" t="inlineStr">
        <is>
          <t>CORPORATIVO</t>
        </is>
      </c>
      <c r="AI232" t="inlineStr">
        <is>
          <t>YRODRIGUEZ@BANCOBASE.COM</t>
        </is>
      </c>
      <c r="AJ232" s="151" t="n">
        <v>45663</v>
      </c>
      <c r="AK232" s="151" t="n"/>
      <c r="AL232" s="151" t="n"/>
    </row>
    <row r="233" hidden="1" s="150">
      <c r="A233" t="inlineStr">
        <is>
          <t>SFLORESG</t>
        </is>
      </c>
      <c r="B233" t="n">
        <v>3442</v>
      </c>
      <c r="C233" t="inlineStr">
        <is>
          <t>SAMANTHA PAULINA FLORES GARCIA</t>
        </is>
      </c>
      <c r="D233" t="n">
        <v>8693</v>
      </c>
      <c r="E233" t="inlineStr">
        <is>
          <t>EJECUTIVO ACLARACION Y SERVICIO</t>
        </is>
      </c>
      <c r="F233" t="inlineStr">
        <is>
          <t>MONTERREY</t>
        </is>
      </c>
      <c r="G233" t="n">
        <v>760</v>
      </c>
      <c r="H233" t="inlineStr">
        <is>
          <t>KARLA MAGALY ZAMARRON TREVIÑO</t>
        </is>
      </c>
      <c r="I233" t="n">
        <v>9078</v>
      </c>
      <c r="J233" t="inlineStr">
        <is>
          <t>COORDINADOR ACLARACION Y SERVICIO</t>
        </is>
      </c>
      <c r="K233" t="n">
        <v>1</v>
      </c>
      <c r="L233" t="inlineStr">
        <is>
          <t>PRESIDENCIA EJECUTIVA DEL CONSEJO</t>
        </is>
      </c>
      <c r="M233" t="n">
        <v>40</v>
      </c>
      <c r="N233" t="inlineStr">
        <is>
          <t>DIRECCION GENERAL BANCO BASE</t>
        </is>
      </c>
      <c r="O233" t="n">
        <v>440</v>
      </c>
      <c r="P233" t="inlineStr">
        <is>
          <t>DIRECCION DE CONTRALORIA Y PREVENCION</t>
        </is>
      </c>
      <c r="Q233" t="n">
        <v>4430</v>
      </c>
      <c r="R233" t="inlineStr">
        <is>
          <t>DIRECCION DE OPERACIONES</t>
        </is>
      </c>
      <c r="S233" t="n">
        <v>44350</v>
      </c>
      <c r="T233" t="inlineStr">
        <is>
          <t>MEDIOS DE PAGO</t>
        </is>
      </c>
      <c r="U233" t="n">
        <v>443300</v>
      </c>
      <c r="V233" t="inlineStr">
        <is>
          <t>GERENCIA CONTACT CENTER</t>
        </is>
      </c>
      <c r="W233" t="n">
        <v>100101</v>
      </c>
      <c r="X233" t="inlineStr">
        <is>
          <t>CORPORATIVO</t>
        </is>
      </c>
      <c r="Y233" t="n">
        <v>4</v>
      </c>
      <c r="Z233" t="inlineStr">
        <is>
          <t>CORPORATIVO</t>
        </is>
      </c>
      <c r="AA233" t="n">
        <v>1</v>
      </c>
      <c r="AB233" t="inlineStr">
        <is>
          <t>NEGOCIO EN MARCHA</t>
        </is>
      </c>
      <c r="AC233" t="n">
        <v>1</v>
      </c>
      <c r="AD233" t="inlineStr">
        <is>
          <t>BANCO</t>
        </is>
      </c>
      <c r="AE233" t="n">
        <v>1</v>
      </c>
      <c r="AF233" t="inlineStr">
        <is>
          <t>BACK</t>
        </is>
      </c>
      <c r="AG233" t="n">
        <v>100101</v>
      </c>
      <c r="AH233" t="inlineStr">
        <is>
          <t>CORPORATIVO</t>
        </is>
      </c>
      <c r="AI233" t="inlineStr">
        <is>
          <t>SFLORESG@BANCOBASE.COM</t>
        </is>
      </c>
      <c r="AJ233" s="151" t="n">
        <v>45810</v>
      </c>
      <c r="AK233" s="151" t="n"/>
      <c r="AL233" s="151" t="n"/>
    </row>
    <row r="234" hidden="1" s="150">
      <c r="A234" t="inlineStr">
        <is>
          <t>MTREVINON</t>
        </is>
      </c>
      <c r="B234" t="n">
        <v>3571</v>
      </c>
      <c r="C234" t="inlineStr">
        <is>
          <t>MELISSA TREVINO NEGRETE</t>
        </is>
      </c>
      <c r="D234" t="n">
        <v>9127</v>
      </c>
      <c r="E234" t="inlineStr">
        <is>
          <t>EJECUTIVO ACLARACION Y SERVICIO</t>
        </is>
      </c>
      <c r="F234" t="inlineStr">
        <is>
          <t>MONTERREY</t>
        </is>
      </c>
      <c r="G234" t="n">
        <v>760</v>
      </c>
      <c r="H234" t="inlineStr">
        <is>
          <t>KARLA MAGALY ZAMARRON TREVIÑO</t>
        </is>
      </c>
      <c r="I234" t="n">
        <v>9078</v>
      </c>
      <c r="J234" t="inlineStr">
        <is>
          <t>COORDINADOR ACLARACION Y SERVICIO</t>
        </is>
      </c>
      <c r="K234" t="n">
        <v>1</v>
      </c>
      <c r="L234" t="inlineStr">
        <is>
          <t>PRESIDENCIA EJECUTIVA DEL CONSEJO</t>
        </is>
      </c>
      <c r="M234" t="n">
        <v>40</v>
      </c>
      <c r="N234" t="inlineStr">
        <is>
          <t>DIRECCION GENERAL BANCO BASE</t>
        </is>
      </c>
      <c r="O234" t="n">
        <v>440</v>
      </c>
      <c r="P234" t="inlineStr">
        <is>
          <t>DIRECCION DE CONTRALORIA Y PREVENCION</t>
        </is>
      </c>
      <c r="Q234" t="n">
        <v>4430</v>
      </c>
      <c r="R234" t="inlineStr">
        <is>
          <t>DIRECCION DE OPERACIONES</t>
        </is>
      </c>
      <c r="S234" t="n">
        <v>44350</v>
      </c>
      <c r="T234" t="inlineStr">
        <is>
          <t>MEDIOS DE PAGO</t>
        </is>
      </c>
      <c r="U234" t="n">
        <v>443300</v>
      </c>
      <c r="V234" t="inlineStr">
        <is>
          <t>GERENCIA CONTACT CENTER</t>
        </is>
      </c>
      <c r="W234" t="n">
        <v>100101</v>
      </c>
      <c r="X234" t="inlineStr">
        <is>
          <t>CORPORATIVO</t>
        </is>
      </c>
      <c r="Y234" t="n">
        <v>4</v>
      </c>
      <c r="Z234" t="inlineStr">
        <is>
          <t>CORPORATIVO</t>
        </is>
      </c>
      <c r="AA234" t="n">
        <v>6</v>
      </c>
      <c r="AB234" t="inlineStr">
        <is>
          <t>PROYECTO REGULATORIOS</t>
        </is>
      </c>
      <c r="AC234" t="n">
        <v>1</v>
      </c>
      <c r="AD234" t="inlineStr">
        <is>
          <t>BANCO</t>
        </is>
      </c>
      <c r="AE234" t="n">
        <v>1</v>
      </c>
      <c r="AF234" t="inlineStr">
        <is>
          <t>BACK</t>
        </is>
      </c>
      <c r="AG234" t="n">
        <v>100101</v>
      </c>
      <c r="AH234" t="inlineStr">
        <is>
          <t>CORPORATIVO</t>
        </is>
      </c>
      <c r="AI234" t="inlineStr">
        <is>
          <t>MTREVINON@BANCOBASE.COM</t>
        </is>
      </c>
      <c r="AJ234" s="151" t="n">
        <v>45917</v>
      </c>
      <c r="AK234" s="151" t="n"/>
      <c r="AL234" s="151" t="n"/>
    </row>
    <row r="235" hidden="1" s="150">
      <c r="A235" t="inlineStr">
        <is>
          <t>ILARA</t>
        </is>
      </c>
      <c r="B235" t="n">
        <v>3680</v>
      </c>
      <c r="C235" t="inlineStr">
        <is>
          <t>ILEANA MICHELLE LARA ALDABA</t>
        </is>
      </c>
      <c r="D235" t="n">
        <v>8714</v>
      </c>
      <c r="E235" t="inlineStr">
        <is>
          <t>EJECUTIVO ACLARACION Y SERVICIO</t>
        </is>
      </c>
      <c r="F235" t="inlineStr">
        <is>
          <t>MONTERREY</t>
        </is>
      </c>
      <c r="G235" t="n">
        <v>760</v>
      </c>
      <c r="H235" t="inlineStr">
        <is>
          <t>KARLA MAGALY ZAMARRON TREVIÑO</t>
        </is>
      </c>
      <c r="I235" t="n">
        <v>9078</v>
      </c>
      <c r="J235" t="inlineStr">
        <is>
          <t>COORDINADOR ACLARACION Y SERVICIO</t>
        </is>
      </c>
      <c r="K235" t="n">
        <v>1</v>
      </c>
      <c r="L235" t="inlineStr">
        <is>
          <t>PRESIDENCIA EJECUTIVA DEL CONSEJO</t>
        </is>
      </c>
      <c r="M235" t="n">
        <v>40</v>
      </c>
      <c r="N235" t="inlineStr">
        <is>
          <t>DIRECCION GENERAL BANCO BASE</t>
        </is>
      </c>
      <c r="O235" t="n">
        <v>440</v>
      </c>
      <c r="P235" t="inlineStr">
        <is>
          <t>DIRECCION DE CONTRALORIA Y PREVENCION</t>
        </is>
      </c>
      <c r="Q235" t="n">
        <v>4430</v>
      </c>
      <c r="R235" t="inlineStr">
        <is>
          <t>DIRECCION DE OPERACIONES</t>
        </is>
      </c>
      <c r="S235" t="n">
        <v>44350</v>
      </c>
      <c r="T235" t="inlineStr">
        <is>
          <t>MEDIOS DE PAGO</t>
        </is>
      </c>
      <c r="U235" t="n">
        <v>443300</v>
      </c>
      <c r="V235" t="inlineStr">
        <is>
          <t>GERENCIA CONTACT CENTER</t>
        </is>
      </c>
      <c r="W235" t="n">
        <v>100101</v>
      </c>
      <c r="X235" t="inlineStr">
        <is>
          <t>CORPORATIVO</t>
        </is>
      </c>
      <c r="Y235" t="n">
        <v>4</v>
      </c>
      <c r="Z235" t="inlineStr">
        <is>
          <t>CORPORATIVO</t>
        </is>
      </c>
      <c r="AA235" t="n">
        <v>6</v>
      </c>
      <c r="AB235" t="inlineStr">
        <is>
          <t>PROYECTO REGULATORIOS</t>
        </is>
      </c>
      <c r="AC235" t="n">
        <v>1</v>
      </c>
      <c r="AD235" t="inlineStr">
        <is>
          <t>BANCO</t>
        </is>
      </c>
      <c r="AE235" t="n">
        <v>1</v>
      </c>
      <c r="AF235" t="inlineStr">
        <is>
          <t>BACK</t>
        </is>
      </c>
      <c r="AG235" t="n">
        <v>100101</v>
      </c>
      <c r="AH235" t="inlineStr">
        <is>
          <t>CORPORATIVO</t>
        </is>
      </c>
      <c r="AI235" t="inlineStr">
        <is>
          <t>ILARA@BANCOBASE.COM</t>
        </is>
      </c>
      <c r="AJ235" s="151" t="n">
        <v>45979</v>
      </c>
      <c r="AK235" s="151" t="n"/>
      <c r="AL235" s="151" t="n"/>
    </row>
    <row r="236" hidden="1" s="150">
      <c r="A236" t="inlineStr">
        <is>
          <t>YRUIZD</t>
        </is>
      </c>
      <c r="B236" t="n">
        <v>3721</v>
      </c>
      <c r="C236" t="inlineStr">
        <is>
          <t>YAZMIN RUIZ DE LEON</t>
        </is>
      </c>
      <c r="D236" t="n">
        <v>8715</v>
      </c>
      <c r="E236" t="inlineStr">
        <is>
          <t>EJECUTIVO ACLARACION Y SERVICIO</t>
        </is>
      </c>
      <c r="F236" t="inlineStr">
        <is>
          <t>MONTERREY</t>
        </is>
      </c>
      <c r="G236" t="n">
        <v>760</v>
      </c>
      <c r="H236" t="inlineStr">
        <is>
          <t>KARLA MAGALY ZAMARRON TREVIÑO</t>
        </is>
      </c>
      <c r="I236" t="n">
        <v>9078</v>
      </c>
      <c r="J236" t="inlineStr">
        <is>
          <t>COORDINADOR ACLARACION Y SERVICIO</t>
        </is>
      </c>
      <c r="K236" t="n">
        <v>1</v>
      </c>
      <c r="L236" t="inlineStr">
        <is>
          <t>PRESIDENCIA EJECUTIVA DEL CONSEJO</t>
        </is>
      </c>
      <c r="M236" t="n">
        <v>40</v>
      </c>
      <c r="N236" t="inlineStr">
        <is>
          <t>DIRECCION GENERAL BANCO BASE</t>
        </is>
      </c>
      <c r="O236" t="n">
        <v>440</v>
      </c>
      <c r="P236" t="inlineStr">
        <is>
          <t>DIRECCION DE CONTRALORIA Y PREVENCION</t>
        </is>
      </c>
      <c r="Q236" t="n">
        <v>4430</v>
      </c>
      <c r="R236" t="inlineStr">
        <is>
          <t>DIRECCION DE OPERACIONES</t>
        </is>
      </c>
      <c r="S236" t="n">
        <v>44350</v>
      </c>
      <c r="T236" t="inlineStr">
        <is>
          <t>MEDIOS DE PAGO</t>
        </is>
      </c>
      <c r="U236" t="n">
        <v>443300</v>
      </c>
      <c r="V236" t="inlineStr">
        <is>
          <t>GERENCIA CONTACT CENTER</t>
        </is>
      </c>
      <c r="W236" t="n">
        <v>100101</v>
      </c>
      <c r="X236" t="inlineStr">
        <is>
          <t>CORPORATIVO</t>
        </is>
      </c>
      <c r="Y236" t="n">
        <v>4</v>
      </c>
      <c r="Z236" t="inlineStr">
        <is>
          <t>CORPORATIVO</t>
        </is>
      </c>
      <c r="AA236" t="n">
        <v>6</v>
      </c>
      <c r="AB236" t="inlineStr">
        <is>
          <t>PROYECTO REGULATORIOS</t>
        </is>
      </c>
      <c r="AC236" t="n">
        <v>1</v>
      </c>
      <c r="AD236" t="inlineStr">
        <is>
          <t>BANCO</t>
        </is>
      </c>
      <c r="AE236" t="n">
        <v>1</v>
      </c>
      <c r="AF236" t="inlineStr">
        <is>
          <t>BACK</t>
        </is>
      </c>
      <c r="AG236" t="n">
        <v>100101</v>
      </c>
      <c r="AH236" t="inlineStr">
        <is>
          <t>CORPORATIVO</t>
        </is>
      </c>
      <c r="AI236" t="inlineStr">
        <is>
          <t>YRUIZD@BANCOBASE.COM</t>
        </is>
      </c>
      <c r="AJ236" s="151" t="n">
        <v>46027</v>
      </c>
      <c r="AK236" s="151" t="n"/>
      <c r="AL236" s="151" t="n"/>
    </row>
    <row r="237" hidden="1" s="150">
      <c r="A237" t="inlineStr">
        <is>
          <t>PPOSADAS</t>
        </is>
      </c>
      <c r="B237" t="n">
        <v>3748</v>
      </c>
      <c r="C237" t="inlineStr">
        <is>
          <t>PABLO POSADAS CRUZ</t>
        </is>
      </c>
      <c r="D237" t="n">
        <v>10159</v>
      </c>
      <c r="E237" t="inlineStr">
        <is>
          <t>EJECUTIVO ACLARACION Y SERVICIO</t>
        </is>
      </c>
      <c r="F237" t="inlineStr">
        <is>
          <t>MONTERREY</t>
        </is>
      </c>
      <c r="G237" t="n">
        <v>760</v>
      </c>
      <c r="H237" t="inlineStr">
        <is>
          <t>KARLA MAGALY ZAMARRON TREVIÑO</t>
        </is>
      </c>
      <c r="I237" t="n">
        <v>9078</v>
      </c>
      <c r="J237" t="inlineStr">
        <is>
          <t>COORDINADOR ACLARACION Y SERVICIO</t>
        </is>
      </c>
      <c r="K237" t="n">
        <v>1</v>
      </c>
      <c r="L237" t="inlineStr">
        <is>
          <t>PRESIDENCIA EJECUTIVA DEL CONSEJO</t>
        </is>
      </c>
      <c r="M237" t="n">
        <v>40</v>
      </c>
      <c r="N237" t="inlineStr">
        <is>
          <t>DIRECCION GENERAL BANCO BASE</t>
        </is>
      </c>
      <c r="O237" t="n">
        <v>440</v>
      </c>
      <c r="P237" t="inlineStr">
        <is>
          <t>DIRECCION DE CONTRALORIA Y PREVENCION</t>
        </is>
      </c>
      <c r="Q237" t="n">
        <v>4430</v>
      </c>
      <c r="R237" t="inlineStr">
        <is>
          <t>DIRECCION DE OPERACIONES</t>
        </is>
      </c>
      <c r="S237" t="n">
        <v>44350</v>
      </c>
      <c r="T237" t="inlineStr">
        <is>
          <t>MEDIOS DE PAGO</t>
        </is>
      </c>
      <c r="U237" t="n">
        <v>443300</v>
      </c>
      <c r="V237" t="inlineStr">
        <is>
          <t>GERENCIA CONTACT CENTER</t>
        </is>
      </c>
      <c r="W237" t="n">
        <v>100101</v>
      </c>
      <c r="X237" t="inlineStr">
        <is>
          <t>CORPORATIVO</t>
        </is>
      </c>
      <c r="Y237" t="n">
        <v>4</v>
      </c>
      <c r="Z237" t="inlineStr">
        <is>
          <t>CORPORATIVO</t>
        </is>
      </c>
      <c r="AA237" t="n">
        <v>1</v>
      </c>
      <c r="AB237" t="inlineStr">
        <is>
          <t>NEGOCIO EN MARCHA</t>
        </is>
      </c>
      <c r="AC237" t="n">
        <v>1</v>
      </c>
      <c r="AD237" t="inlineStr">
        <is>
          <t>BANCO</t>
        </is>
      </c>
      <c r="AE237" t="n">
        <v>1</v>
      </c>
      <c r="AF237" t="inlineStr">
        <is>
          <t>BACK</t>
        </is>
      </c>
      <c r="AG237" t="n">
        <v>100101</v>
      </c>
      <c r="AH237" t="inlineStr">
        <is>
          <t>CORPORATIVO</t>
        </is>
      </c>
      <c r="AI237" t="inlineStr">
        <is>
          <t>PPOSADAS@BANCOBASE.COM</t>
        </is>
      </c>
      <c r="AJ237" s="151" t="n">
        <v>46056</v>
      </c>
      <c r="AK237" s="151" t="n"/>
      <c r="AL237" s="151" t="n"/>
    </row>
    <row r="238" hidden="1" s="150">
      <c r="A238" t="inlineStr">
        <is>
          <t>ZGARZA</t>
        </is>
      </c>
      <c r="B238" t="n">
        <v>3751</v>
      </c>
      <c r="C238" t="inlineStr">
        <is>
          <t>ZAIDA LETICIA GARZA DOMINGUEZ</t>
        </is>
      </c>
      <c r="D238" t="n">
        <v>10218</v>
      </c>
      <c r="E238" t="inlineStr">
        <is>
          <t>EJECUTIVO ACLARACION Y SERVICIO</t>
        </is>
      </c>
      <c r="F238" t="inlineStr">
        <is>
          <t>MONTERREY</t>
        </is>
      </c>
      <c r="G238" t="n">
        <v>760</v>
      </c>
      <c r="H238" t="inlineStr">
        <is>
          <t>KARLA MAGALY ZAMARRON TREVIÑO</t>
        </is>
      </c>
      <c r="I238" t="n">
        <v>9078</v>
      </c>
      <c r="J238" t="inlineStr">
        <is>
          <t>COORDINADOR ACLARACION Y SERVICIO</t>
        </is>
      </c>
      <c r="K238" t="n">
        <v>1</v>
      </c>
      <c r="L238" t="inlineStr">
        <is>
          <t>PRESIDENCIA EJECUTIVA DEL CONSEJO</t>
        </is>
      </c>
      <c r="M238" t="n">
        <v>40</v>
      </c>
      <c r="N238" t="inlineStr">
        <is>
          <t>DIRECCION GENERAL BANCO BASE</t>
        </is>
      </c>
      <c r="O238" t="n">
        <v>440</v>
      </c>
      <c r="P238" t="inlineStr">
        <is>
          <t>DIRECCION DE CONTRALORIA Y PREVENCION</t>
        </is>
      </c>
      <c r="Q238" t="n">
        <v>4430</v>
      </c>
      <c r="R238" t="inlineStr">
        <is>
          <t>DIRECCION DE OPERACIONES</t>
        </is>
      </c>
      <c r="S238" t="n">
        <v>44350</v>
      </c>
      <c r="T238" t="inlineStr">
        <is>
          <t>MEDIOS DE PAGO</t>
        </is>
      </c>
      <c r="U238" t="n">
        <v>443300</v>
      </c>
      <c r="V238" t="inlineStr">
        <is>
          <t>GERENCIA CONTACT CENTER</t>
        </is>
      </c>
      <c r="W238" t="n">
        <v>100101</v>
      </c>
      <c r="X238" t="inlineStr">
        <is>
          <t>CORPORATIVO</t>
        </is>
      </c>
      <c r="Y238" t="n">
        <v>4</v>
      </c>
      <c r="Z238" t="inlineStr">
        <is>
          <t>CORPORATIVO</t>
        </is>
      </c>
      <c r="AA238" t="n">
        <v>1</v>
      </c>
      <c r="AB238" t="inlineStr">
        <is>
          <t>NEGOCIO EN MARCHA</t>
        </is>
      </c>
      <c r="AC238" t="n">
        <v>1</v>
      </c>
      <c r="AD238" t="inlineStr">
        <is>
          <t>BANCO</t>
        </is>
      </c>
      <c r="AE238" t="n">
        <v>1</v>
      </c>
      <c r="AF238" t="inlineStr">
        <is>
          <t>BACK</t>
        </is>
      </c>
      <c r="AG238" t="n">
        <v>100101</v>
      </c>
      <c r="AH238" t="inlineStr">
        <is>
          <t>CORPORATIVO</t>
        </is>
      </c>
      <c r="AI238" t="inlineStr">
        <is>
          <t>ZGARZA@BANCOBASE.COM</t>
        </is>
      </c>
      <c r="AJ238" s="151" t="n">
        <v>46056</v>
      </c>
      <c r="AK238" s="151" t="n"/>
      <c r="AL238" s="151" t="n"/>
    </row>
    <row r="239" hidden="1" s="150">
      <c r="A239" t="inlineStr">
        <is>
          <t>SSALAZARA</t>
        </is>
      </c>
      <c r="B239" t="n">
        <v>3782</v>
      </c>
      <c r="C239" t="inlineStr">
        <is>
          <t>STEPHANIE SALAZAR ARAUJO</t>
        </is>
      </c>
      <c r="D239" t="n">
        <v>8143</v>
      </c>
      <c r="E239" t="inlineStr">
        <is>
          <t>EJECUTIVO ACLARACION Y SERVICIO</t>
        </is>
      </c>
      <c r="F239" t="inlineStr">
        <is>
          <t>MONTERREY</t>
        </is>
      </c>
      <c r="G239" t="n">
        <v>760</v>
      </c>
      <c r="H239" t="inlineStr">
        <is>
          <t>KARLA MAGALY ZAMARRON TREVIÑO</t>
        </is>
      </c>
      <c r="I239" t="n">
        <v>9078</v>
      </c>
      <c r="J239" t="inlineStr">
        <is>
          <t>COORDINADOR ACLARACION Y SERVICIO</t>
        </is>
      </c>
      <c r="K239" t="n">
        <v>1</v>
      </c>
      <c r="L239" t="inlineStr">
        <is>
          <t>PRESIDENCIA EJECUTIVA DEL CONSEJO</t>
        </is>
      </c>
      <c r="M239" t="n">
        <v>40</v>
      </c>
      <c r="N239" t="inlineStr">
        <is>
          <t>DIRECCION GENERAL BANCO BASE</t>
        </is>
      </c>
      <c r="O239" t="n">
        <v>440</v>
      </c>
      <c r="P239" t="inlineStr">
        <is>
          <t>DIRECCION DE CONTRALORIA Y PREVENCION</t>
        </is>
      </c>
      <c r="Q239" t="n">
        <v>4430</v>
      </c>
      <c r="R239" t="inlineStr">
        <is>
          <t>DIRECCION DE OPERACIONES</t>
        </is>
      </c>
      <c r="S239" t="n">
        <v>44350</v>
      </c>
      <c r="T239" t="inlineStr">
        <is>
          <t>MEDIOS DE PAGO</t>
        </is>
      </c>
      <c r="U239" t="n">
        <v>443300</v>
      </c>
      <c r="V239" t="inlineStr">
        <is>
          <t>GERENCIA CONTACT CENTER</t>
        </is>
      </c>
      <c r="W239" t="n">
        <v>100101</v>
      </c>
      <c r="X239" t="inlineStr">
        <is>
          <t>CORPORATIVO</t>
        </is>
      </c>
      <c r="Y239" t="n">
        <v>4</v>
      </c>
      <c r="Z239" t="inlineStr">
        <is>
          <t>CORPORATIVO</t>
        </is>
      </c>
      <c r="AA239" t="n">
        <v>1</v>
      </c>
      <c r="AB239" t="inlineStr">
        <is>
          <t>NEGOCIO EN MARCHA</t>
        </is>
      </c>
      <c r="AC239" t="n">
        <v>1</v>
      </c>
      <c r="AD239" t="inlineStr">
        <is>
          <t>BANCO</t>
        </is>
      </c>
      <c r="AE239" t="n">
        <v>1</v>
      </c>
      <c r="AF239" t="inlineStr">
        <is>
          <t>BACK</t>
        </is>
      </c>
      <c r="AG239" t="n">
        <v>100101</v>
      </c>
      <c r="AH239" t="inlineStr">
        <is>
          <t>CORPORATIVO</t>
        </is>
      </c>
      <c r="AI239" t="inlineStr">
        <is>
          <t>SSALAZARA@BANCOBASE.COM</t>
        </is>
      </c>
      <c r="AJ239" s="151" t="n">
        <v>46098</v>
      </c>
      <c r="AK239" s="151" t="n"/>
      <c r="AL239" s="151" t="n"/>
    </row>
    <row r="240" hidden="1" s="150">
      <c r="A240" t="inlineStr">
        <is>
          <t>VCRUZ</t>
        </is>
      </c>
      <c r="B240" t="n">
        <v>3393</v>
      </c>
      <c r="C240" t="inlineStr">
        <is>
          <t>VALERIA ELIZABETH CRUZ LIRA</t>
        </is>
      </c>
      <c r="D240" t="n">
        <v>9114</v>
      </c>
      <c r="E240" t="inlineStr">
        <is>
          <t>ANALISTA DE CALIDAD Y SERVICIO</t>
        </is>
      </c>
      <c r="F240" t="inlineStr">
        <is>
          <t>MONTERREY</t>
        </is>
      </c>
      <c r="G240" t="n">
        <v>760</v>
      </c>
      <c r="H240" t="inlineStr">
        <is>
          <t>KARLA MAGALY ZAMARRON TREVIÑO</t>
        </is>
      </c>
      <c r="I240" t="n">
        <v>9078</v>
      </c>
      <c r="J240" t="inlineStr">
        <is>
          <t>COORDINADOR ACLARACION Y SERVICIO</t>
        </is>
      </c>
      <c r="K240" t="n">
        <v>1</v>
      </c>
      <c r="L240" t="inlineStr">
        <is>
          <t>PRESIDENCIA EJECUTIVA DEL CONSEJO</t>
        </is>
      </c>
      <c r="M240" t="n">
        <v>40</v>
      </c>
      <c r="N240" t="inlineStr">
        <is>
          <t>DIRECCION GENERAL BANCO BASE</t>
        </is>
      </c>
      <c r="O240" t="n">
        <v>440</v>
      </c>
      <c r="P240" t="inlineStr">
        <is>
          <t>DIRECCION DE CONTRALORIA Y PREVENCION</t>
        </is>
      </c>
      <c r="Q240" t="n">
        <v>4430</v>
      </c>
      <c r="R240" t="inlineStr">
        <is>
          <t>DIRECCION DE OPERACIONES</t>
        </is>
      </c>
      <c r="S240" t="n">
        <v>44350</v>
      </c>
      <c r="T240" t="inlineStr">
        <is>
          <t>MEDIOS DE PAGO</t>
        </is>
      </c>
      <c r="U240" t="n">
        <v>443300</v>
      </c>
      <c r="V240" t="inlineStr">
        <is>
          <t>GERENCIA CONTACT CENTER</t>
        </is>
      </c>
      <c r="W240" t="n">
        <v>100101</v>
      </c>
      <c r="X240" t="inlineStr">
        <is>
          <t>CORPORATIVO</t>
        </is>
      </c>
      <c r="Y240" t="n">
        <v>4</v>
      </c>
      <c r="Z240" t="inlineStr">
        <is>
          <t>CORPORATIVO</t>
        </is>
      </c>
      <c r="AA240" t="n">
        <v>1</v>
      </c>
      <c r="AB240" t="inlineStr">
        <is>
          <t>NEGOCIO EN MARCHA</t>
        </is>
      </c>
      <c r="AC240" t="n">
        <v>1</v>
      </c>
      <c r="AD240" t="inlineStr">
        <is>
          <t>BANCO</t>
        </is>
      </c>
      <c r="AE240" t="n">
        <v>1</v>
      </c>
      <c r="AF240" t="inlineStr">
        <is>
          <t>BACK</t>
        </is>
      </c>
      <c r="AG240" t="n">
        <v>100101</v>
      </c>
      <c r="AH240" t="inlineStr">
        <is>
          <t>CORPORATIVO</t>
        </is>
      </c>
      <c r="AI240" t="inlineStr">
        <is>
          <t>VCRUZ@BANCOBASE.COM</t>
        </is>
      </c>
      <c r="AJ240" s="151" t="n">
        <v>45768</v>
      </c>
      <c r="AK240" s="151" t="n"/>
      <c r="AL240" s="151" t="n"/>
    </row>
    <row r="241" hidden="1" s="150">
      <c r="A241" t="inlineStr">
        <is>
          <t>ARAMONESE</t>
        </is>
      </c>
      <c r="B241" t="n">
        <v>3888</v>
      </c>
      <c r="C241" t="inlineStr">
        <is>
          <t>AZALEA AILISEC RAMONES ESPINOZA</t>
        </is>
      </c>
      <c r="D241" t="n">
        <v>9248</v>
      </c>
      <c r="E241" t="inlineStr">
        <is>
          <t>EJECUTIVO ACLARACION Y SERVICIO</t>
        </is>
      </c>
      <c r="F241" t="inlineStr">
        <is>
          <t>MONTERREY</t>
        </is>
      </c>
      <c r="G241" t="n">
        <v>760</v>
      </c>
      <c r="H241" t="inlineStr">
        <is>
          <t>KARLA MAGALY ZAMARRON TREVIÑO</t>
        </is>
      </c>
      <c r="I241" t="n">
        <v>9078</v>
      </c>
      <c r="J241" t="inlineStr">
        <is>
          <t>COORDINADOR ACLARACION Y SERVICIO</t>
        </is>
      </c>
      <c r="K241" t="n">
        <v>1</v>
      </c>
      <c r="L241" t="inlineStr">
        <is>
          <t>PRESIDENCIA EJECUTIVA DEL CONSEJO</t>
        </is>
      </c>
      <c r="M241" t="n">
        <v>40</v>
      </c>
      <c r="N241" t="inlineStr">
        <is>
          <t>DIRECCION GENERAL BANCO BASE</t>
        </is>
      </c>
      <c r="O241" t="n">
        <v>440</v>
      </c>
      <c r="P241" t="inlineStr">
        <is>
          <t>DIRECCION DE CONTRALORIA Y PREVENCION</t>
        </is>
      </c>
      <c r="Q241" t="n">
        <v>4430</v>
      </c>
      <c r="R241" t="inlineStr">
        <is>
          <t>DIRECCION DE OPERACIONES</t>
        </is>
      </c>
      <c r="S241" t="n">
        <v>44350</v>
      </c>
      <c r="T241" t="inlineStr">
        <is>
          <t>MEDIOS DE PAGO</t>
        </is>
      </c>
      <c r="U241" t="n">
        <v>443300</v>
      </c>
      <c r="V241" t="inlineStr">
        <is>
          <t>GERENCIA CONTACT CENTER</t>
        </is>
      </c>
      <c r="W241" t="n">
        <v>100101</v>
      </c>
      <c r="X241" t="inlineStr">
        <is>
          <t>CORPORATIVO</t>
        </is>
      </c>
      <c r="Y241" t="n">
        <v>4</v>
      </c>
      <c r="Z241" t="inlineStr">
        <is>
          <t>CORPORATIVO</t>
        </is>
      </c>
      <c r="AA241" t="n">
        <v>1</v>
      </c>
      <c r="AB241" t="inlineStr">
        <is>
          <t>NEGOCIO EN MARCHA</t>
        </is>
      </c>
      <c r="AC241" t="n">
        <v>1</v>
      </c>
      <c r="AD241" t="inlineStr">
        <is>
          <t>BANCO</t>
        </is>
      </c>
      <c r="AE241" t="n">
        <v>1</v>
      </c>
      <c r="AF241" t="inlineStr">
        <is>
          <t>BACK</t>
        </is>
      </c>
      <c r="AG241" t="n">
        <v>100101</v>
      </c>
      <c r="AH241" t="inlineStr">
        <is>
          <t>CORPORATIVO</t>
        </is>
      </c>
      <c r="AI241" t="inlineStr">
        <is>
          <t>ARAMONESE@BANCOBASE.COM</t>
        </is>
      </c>
      <c r="AJ241" s="151" t="n">
        <v>46174</v>
      </c>
      <c r="AK241" s="151" t="n"/>
      <c r="AL241" s="151" t="n"/>
    </row>
    <row r="242" hidden="1" s="150">
      <c r="A242" t="inlineStr">
        <is>
          <t>AALMAGUER</t>
        </is>
      </c>
      <c r="B242" t="n">
        <v>2119</v>
      </c>
      <c r="C242" t="inlineStr">
        <is>
          <t>ADRIEL ALMAGUER ESTRADA</t>
        </is>
      </c>
      <c r="D242" t="n">
        <v>8245</v>
      </c>
      <c r="E242" t="inlineStr">
        <is>
          <t>ANALISTA RELACIONES CON CORRESPONSALES</t>
        </is>
      </c>
      <c r="F242" t="inlineStr">
        <is>
          <t>MONTERREY</t>
        </is>
      </c>
      <c r="G242" t="n">
        <v>1298</v>
      </c>
      <c r="H242" t="inlineStr">
        <is>
          <t>FERNANDO CORTINA GARZA</t>
        </is>
      </c>
      <c r="I242" t="n">
        <v>8244</v>
      </c>
      <c r="J242" t="inlineStr">
        <is>
          <t>GERENTE DE CORRESPONSALIAS Y CUSTOMER SERVICES</t>
        </is>
      </c>
      <c r="K242" t="n">
        <v>1</v>
      </c>
      <c r="L242" t="inlineStr">
        <is>
          <t>PRESIDENCIA EJECUTIVA DEL CONSEJO</t>
        </is>
      </c>
      <c r="M242" t="n">
        <v>40</v>
      </c>
      <c r="N242" t="inlineStr">
        <is>
          <t>DIRECCION GENERAL BANCO BASE</t>
        </is>
      </c>
      <c r="O242" t="n">
        <v>440</v>
      </c>
      <c r="P242" t="inlineStr">
        <is>
          <t>DIRECCION DE CONTRALORIA Y PREVENCION</t>
        </is>
      </c>
      <c r="Q242" t="n">
        <v>4430</v>
      </c>
      <c r="R242" t="inlineStr">
        <is>
          <t>DIRECCION DE OPERACIONES</t>
        </is>
      </c>
      <c r="S242" t="n">
        <v>44350</v>
      </c>
      <c r="T242" t="inlineStr">
        <is>
          <t>MEDIOS DE PAGO</t>
        </is>
      </c>
      <c r="U242" t="n">
        <v>443300</v>
      </c>
      <c r="V242" t="inlineStr">
        <is>
          <t>GERENCIA CONTACT CENTER</t>
        </is>
      </c>
      <c r="W242" t="n">
        <v>100101</v>
      </c>
      <c r="X242" t="inlineStr">
        <is>
          <t>CORPORATIVO</t>
        </is>
      </c>
      <c r="Y242" t="n">
        <v>4</v>
      </c>
      <c r="Z242" t="inlineStr">
        <is>
          <t>CORPORATIVO</t>
        </is>
      </c>
      <c r="AA242" t="n">
        <v>1</v>
      </c>
      <c r="AB242" t="inlineStr">
        <is>
          <t>NEGOCIO EN MARCHA</t>
        </is>
      </c>
      <c r="AC242" t="n">
        <v>1</v>
      </c>
      <c r="AD242" t="inlineStr">
        <is>
          <t>BANCO</t>
        </is>
      </c>
      <c r="AE242" t="n">
        <v>1</v>
      </c>
      <c r="AF242" t="inlineStr">
        <is>
          <t>BACK</t>
        </is>
      </c>
      <c r="AG242" t="n">
        <v>100101</v>
      </c>
      <c r="AH242" t="inlineStr">
        <is>
          <t>CORPORATIVO</t>
        </is>
      </c>
      <c r="AI242" t="inlineStr">
        <is>
          <t>AALMAGUER@BANCOBASE.COM</t>
        </is>
      </c>
      <c r="AJ242" s="151" t="n">
        <v>43389</v>
      </c>
      <c r="AK242" s="151" t="n"/>
      <c r="AL242" s="151" t="n"/>
    </row>
    <row r="243" hidden="1" s="150">
      <c r="A243" t="inlineStr">
        <is>
          <t>CROBLEDOM</t>
        </is>
      </c>
      <c r="B243" t="n">
        <v>2889</v>
      </c>
      <c r="C243" t="inlineStr">
        <is>
          <t>CLARA PAOLA ROBLEDO MARTINEZ</t>
        </is>
      </c>
      <c r="D243" t="n">
        <v>8246</v>
      </c>
      <c r="E243" t="inlineStr">
        <is>
          <t>ANALISTA RELACIONES CON CORRESPONSALES</t>
        </is>
      </c>
      <c r="F243" t="inlineStr">
        <is>
          <t>MONTERREY</t>
        </is>
      </c>
      <c r="G243" t="n">
        <v>1298</v>
      </c>
      <c r="H243" t="inlineStr">
        <is>
          <t>FERNANDO CORTINA GARZA</t>
        </is>
      </c>
      <c r="I243" t="n">
        <v>8244</v>
      </c>
      <c r="J243" t="inlineStr">
        <is>
          <t>GERENTE DE CORRESPONSALIAS Y CUSTOMER SERVICES</t>
        </is>
      </c>
      <c r="K243" t="n">
        <v>1</v>
      </c>
      <c r="L243" t="inlineStr">
        <is>
          <t>PRESIDENCIA EJECUTIVA DEL CONSEJO</t>
        </is>
      </c>
      <c r="M243" t="n">
        <v>40</v>
      </c>
      <c r="N243" t="inlineStr">
        <is>
          <t>DIRECCION GENERAL BANCO BASE</t>
        </is>
      </c>
      <c r="O243" t="n">
        <v>440</v>
      </c>
      <c r="P243" t="inlineStr">
        <is>
          <t>DIRECCION DE CONTRALORIA Y PREVENCION</t>
        </is>
      </c>
      <c r="Q243" t="n">
        <v>4430</v>
      </c>
      <c r="R243" t="inlineStr">
        <is>
          <t>DIRECCION DE OPERACIONES</t>
        </is>
      </c>
      <c r="S243" t="n">
        <v>44350</v>
      </c>
      <c r="T243" t="inlineStr">
        <is>
          <t>MEDIOS DE PAGO</t>
        </is>
      </c>
      <c r="U243" t="n">
        <v>443300</v>
      </c>
      <c r="V243" t="inlineStr">
        <is>
          <t>GERENCIA CONTACT CENTER</t>
        </is>
      </c>
      <c r="W243" t="n">
        <v>100101</v>
      </c>
      <c r="X243" t="inlineStr">
        <is>
          <t>CORPORATIVO</t>
        </is>
      </c>
      <c r="Y243" t="n">
        <v>4</v>
      </c>
      <c r="Z243" t="inlineStr">
        <is>
          <t>CORPORATIVO</t>
        </is>
      </c>
      <c r="AA243" t="n">
        <v>1</v>
      </c>
      <c r="AB243" t="inlineStr">
        <is>
          <t>NEGOCIO EN MARCHA</t>
        </is>
      </c>
      <c r="AC243" t="n">
        <v>1</v>
      </c>
      <c r="AD243" t="inlineStr">
        <is>
          <t>BANCO</t>
        </is>
      </c>
      <c r="AE243" t="n">
        <v>1</v>
      </c>
      <c r="AF243" t="inlineStr">
        <is>
          <t>BACK</t>
        </is>
      </c>
      <c r="AG243" t="n">
        <v>100101</v>
      </c>
      <c r="AH243" t="inlineStr">
        <is>
          <t>CORPORATIVO</t>
        </is>
      </c>
      <c r="AI243" t="inlineStr">
        <is>
          <t>CROBLEDOM@BANCOBASE.COM</t>
        </is>
      </c>
      <c r="AJ243" s="151" t="n">
        <v>45062</v>
      </c>
      <c r="AK243" s="151" t="n"/>
      <c r="AL243" s="151" t="n"/>
    </row>
    <row r="244" hidden="1" s="150">
      <c r="A244" t="inlineStr">
        <is>
          <t>AGARCIA</t>
        </is>
      </c>
      <c r="B244" t="n">
        <v>3037</v>
      </c>
      <c r="C244" t="inlineStr">
        <is>
          <t>ANDREA GARCIA MUÑIZ</t>
        </is>
      </c>
      <c r="D244" t="n">
        <v>8635</v>
      </c>
      <c r="E244" t="inlineStr">
        <is>
          <t>ANALISTA RELACIONES CON CORRESPONSALES</t>
        </is>
      </c>
      <c r="F244" t="inlineStr">
        <is>
          <t>MONTERREY</t>
        </is>
      </c>
      <c r="G244" t="n">
        <v>1298</v>
      </c>
      <c r="H244" t="inlineStr">
        <is>
          <t>FERNANDO CORTINA GARZA</t>
        </is>
      </c>
      <c r="I244" t="n">
        <v>8244</v>
      </c>
      <c r="J244" t="inlineStr">
        <is>
          <t>GERENTE DE CORRESPONSALIAS Y CUSTOMER SERVICES</t>
        </is>
      </c>
      <c r="K244" t="n">
        <v>1</v>
      </c>
      <c r="L244" t="inlineStr">
        <is>
          <t>PRESIDENCIA EJECUTIVA DEL CONSEJO</t>
        </is>
      </c>
      <c r="M244" t="n">
        <v>40</v>
      </c>
      <c r="N244" t="inlineStr">
        <is>
          <t>DIRECCION GENERAL BANCO BASE</t>
        </is>
      </c>
      <c r="O244" t="n">
        <v>440</v>
      </c>
      <c r="P244" t="inlineStr">
        <is>
          <t>DIRECCION DE CONTRALORIA Y PREVENCION</t>
        </is>
      </c>
      <c r="Q244" t="n">
        <v>4430</v>
      </c>
      <c r="R244" t="inlineStr">
        <is>
          <t>DIRECCION DE OPERACIONES</t>
        </is>
      </c>
      <c r="S244" t="n">
        <v>44350</v>
      </c>
      <c r="T244" t="inlineStr">
        <is>
          <t>MEDIOS DE PAGO</t>
        </is>
      </c>
      <c r="U244" t="n">
        <v>443300</v>
      </c>
      <c r="V244" t="inlineStr">
        <is>
          <t>GERENCIA CONTACT CENTER</t>
        </is>
      </c>
      <c r="W244" t="n">
        <v>100101</v>
      </c>
      <c r="X244" t="inlineStr">
        <is>
          <t>CORPORATIVO</t>
        </is>
      </c>
      <c r="Y244" t="n">
        <v>4</v>
      </c>
      <c r="Z244" t="inlineStr">
        <is>
          <t>CORPORATIVO</t>
        </is>
      </c>
      <c r="AA244" t="n">
        <v>1</v>
      </c>
      <c r="AB244" t="inlineStr">
        <is>
          <t>NEGOCIO EN MARCHA</t>
        </is>
      </c>
      <c r="AC244" t="n">
        <v>1</v>
      </c>
      <c r="AD244" t="inlineStr">
        <is>
          <t>BANCO</t>
        </is>
      </c>
      <c r="AE244" t="n">
        <v>1</v>
      </c>
      <c r="AF244" t="inlineStr">
        <is>
          <t>BACK</t>
        </is>
      </c>
      <c r="AG244" t="n">
        <v>100101</v>
      </c>
      <c r="AH244" t="inlineStr">
        <is>
          <t>CORPORATIVO</t>
        </is>
      </c>
      <c r="AI244" t="inlineStr">
        <is>
          <t>AGARCIA@BANCOBASE.COM</t>
        </is>
      </c>
      <c r="AJ244" s="151" t="n">
        <v>45338</v>
      </c>
      <c r="AK244" s="151" t="n"/>
      <c r="AL244" s="151" t="n"/>
    </row>
    <row r="245" hidden="1" s="150">
      <c r="A245" t="inlineStr">
        <is>
          <t>GSALAS</t>
        </is>
      </c>
      <c r="B245" t="n">
        <v>1761</v>
      </c>
      <c r="C245" t="inlineStr">
        <is>
          <t>JOSE GERARDO SALAS RODRIGUEZ</t>
        </is>
      </c>
      <c r="D245" t="n">
        <v>9083</v>
      </c>
      <c r="E245" t="inlineStr">
        <is>
          <t>COORDINADOR DE MENSAJERIA</t>
        </is>
      </c>
      <c r="F245" t="inlineStr">
        <is>
          <t>MONTERREY</t>
        </is>
      </c>
      <c r="G245" t="n">
        <v>1244</v>
      </c>
      <c r="H245" t="inlineStr">
        <is>
          <t>DIANA ALEJANDRA TREVIÑO GONGORA</t>
        </is>
      </c>
      <c r="I245" t="n">
        <v>10000</v>
      </c>
      <c r="J245" t="inlineStr">
        <is>
          <t>SUBDIRECTOR DE MEDIOS DE PAGO</t>
        </is>
      </c>
      <c r="K245" t="n">
        <v>1</v>
      </c>
      <c r="L245" t="inlineStr">
        <is>
          <t>PRESIDENCIA EJECUTIVA DEL CONSEJO</t>
        </is>
      </c>
      <c r="M245" t="n">
        <v>40</v>
      </c>
      <c r="N245" t="inlineStr">
        <is>
          <t>DIRECCION GENERAL BANCO BASE</t>
        </is>
      </c>
      <c r="O245" t="n">
        <v>440</v>
      </c>
      <c r="P245" t="inlineStr">
        <is>
          <t>DIRECCION DE CONTRALORIA Y PREVENCION</t>
        </is>
      </c>
      <c r="Q245" t="n">
        <v>4430</v>
      </c>
      <c r="R245" t="inlineStr">
        <is>
          <t>DIRECCION DE OPERACIONES</t>
        </is>
      </c>
      <c r="S245" t="n">
        <v>44350</v>
      </c>
      <c r="T245" t="inlineStr">
        <is>
          <t>MEDIOS DE PAGO</t>
        </is>
      </c>
      <c r="U245" t="n">
        <v>443500</v>
      </c>
      <c r="V245" t="inlineStr">
        <is>
          <t>MEDIOS DE PAGO</t>
        </is>
      </c>
      <c r="W245" t="n">
        <v>100101</v>
      </c>
      <c r="X245" t="inlineStr">
        <is>
          <t>CORPORATIVO</t>
        </is>
      </c>
      <c r="Y245" t="n">
        <v>4</v>
      </c>
      <c r="Z245" t="inlineStr">
        <is>
          <t>CORPORATIVO</t>
        </is>
      </c>
      <c r="AA245" t="n">
        <v>1</v>
      </c>
      <c r="AB245" t="inlineStr">
        <is>
          <t>NEGOCIO EN MARCHA</t>
        </is>
      </c>
      <c r="AC245" t="n">
        <v>1</v>
      </c>
      <c r="AD245" t="inlineStr">
        <is>
          <t>BANCO</t>
        </is>
      </c>
      <c r="AE245" t="n">
        <v>1</v>
      </c>
      <c r="AF245" t="inlineStr">
        <is>
          <t>BACK</t>
        </is>
      </c>
      <c r="AG245" t="n">
        <v>100101</v>
      </c>
      <c r="AH245" t="inlineStr">
        <is>
          <t>CORPORATIVO</t>
        </is>
      </c>
      <c r="AI245" t="inlineStr">
        <is>
          <t>GSALAS@BANCOBASE.COM</t>
        </is>
      </c>
      <c r="AJ245" s="151" t="n">
        <v>42871</v>
      </c>
      <c r="AK245" s="151" t="n"/>
      <c r="AL245" s="151" t="n"/>
    </row>
    <row r="246" hidden="1" s="150">
      <c r="A246" t="inlineStr">
        <is>
          <t>PROJAS</t>
        </is>
      </c>
      <c r="B246" t="n">
        <v>2446</v>
      </c>
      <c r="C246" t="inlineStr">
        <is>
          <t>PEDRO ALBERTO ROJAS CAVAZOS</t>
        </is>
      </c>
      <c r="D246" t="n">
        <v>8377</v>
      </c>
      <c r="E246" t="inlineStr">
        <is>
          <t>ANALISTA DE MENSAJERIA</t>
        </is>
      </c>
      <c r="F246" t="inlineStr">
        <is>
          <t>MONTERREY</t>
        </is>
      </c>
      <c r="G246" t="n">
        <v>1761</v>
      </c>
      <c r="H246" t="inlineStr">
        <is>
          <t>JOSE GERARDO SALAS RODRIGUEZ</t>
        </is>
      </c>
      <c r="I246" t="n">
        <v>9083</v>
      </c>
      <c r="J246" t="inlineStr">
        <is>
          <t>COORDINADOR DE MENSAJERIA</t>
        </is>
      </c>
      <c r="K246" t="n">
        <v>1</v>
      </c>
      <c r="L246" t="inlineStr">
        <is>
          <t>PRESIDENCIA EJECUTIVA DEL CONSEJO</t>
        </is>
      </c>
      <c r="M246" t="n">
        <v>40</v>
      </c>
      <c r="N246" t="inlineStr">
        <is>
          <t>DIRECCION GENERAL BANCO BASE</t>
        </is>
      </c>
      <c r="O246" t="n">
        <v>440</v>
      </c>
      <c r="P246" t="inlineStr">
        <is>
          <t>DIRECCION DE CONTRALORIA Y PREVENCION</t>
        </is>
      </c>
      <c r="Q246" t="n">
        <v>4430</v>
      </c>
      <c r="R246" t="inlineStr">
        <is>
          <t>DIRECCION DE OPERACIONES</t>
        </is>
      </c>
      <c r="S246" t="n">
        <v>44350</v>
      </c>
      <c r="T246" t="inlineStr">
        <is>
          <t>MEDIOS DE PAGO</t>
        </is>
      </c>
      <c r="U246" t="n">
        <v>443500</v>
      </c>
      <c r="V246" t="inlineStr">
        <is>
          <t>MEDIOS DE PAGO</t>
        </is>
      </c>
      <c r="W246" t="n">
        <v>100101</v>
      </c>
      <c r="X246" t="inlineStr">
        <is>
          <t>CORPORATIVO</t>
        </is>
      </c>
      <c r="Y246" t="n">
        <v>4</v>
      </c>
      <c r="Z246" t="inlineStr">
        <is>
          <t>CORPORATIVO</t>
        </is>
      </c>
      <c r="AA246" t="n">
        <v>1</v>
      </c>
      <c r="AB246" t="inlineStr">
        <is>
          <t>NEGOCIO EN MARCHA</t>
        </is>
      </c>
      <c r="AC246" t="n">
        <v>1</v>
      </c>
      <c r="AD246" t="inlineStr">
        <is>
          <t>BANCO</t>
        </is>
      </c>
      <c r="AE246" t="n">
        <v>1</v>
      </c>
      <c r="AF246" t="inlineStr">
        <is>
          <t>BACK</t>
        </is>
      </c>
      <c r="AG246" t="n">
        <v>100101</v>
      </c>
      <c r="AH246" t="inlineStr">
        <is>
          <t>CORPORATIVO</t>
        </is>
      </c>
      <c r="AI246" t="inlineStr">
        <is>
          <t>PROJAS@BANCOBASE.COM</t>
        </is>
      </c>
      <c r="AJ246" s="151" t="n">
        <v>44145</v>
      </c>
      <c r="AK246" s="151" t="n"/>
      <c r="AL246" s="151" t="n"/>
    </row>
    <row r="247" hidden="1" s="150">
      <c r="A247" t="inlineStr">
        <is>
          <t>ACRISOSTOM</t>
        </is>
      </c>
      <c r="B247" t="n">
        <v>241</v>
      </c>
      <c r="C247" t="inlineStr">
        <is>
          <t>ALFREDO CRISOSTOMO HERNANDEZ</t>
        </is>
      </c>
      <c r="D247" t="n">
        <v>9095</v>
      </c>
      <c r="E247" t="inlineStr">
        <is>
          <t>ANALISTA DE MENSAJERIA</t>
        </is>
      </c>
      <c r="F247" t="inlineStr">
        <is>
          <t>MEXICO</t>
        </is>
      </c>
      <c r="G247" t="n">
        <v>1761</v>
      </c>
      <c r="H247" t="inlineStr">
        <is>
          <t>JOSE GERARDO SALAS RODRIGUEZ</t>
        </is>
      </c>
      <c r="I247" t="n">
        <v>9083</v>
      </c>
      <c r="J247" t="inlineStr">
        <is>
          <t>COORDINADOR DE MENSAJERIA</t>
        </is>
      </c>
      <c r="K247" t="n">
        <v>1</v>
      </c>
      <c r="L247" t="inlineStr">
        <is>
          <t>PRESIDENCIA EJECUTIVA DEL CONSEJO</t>
        </is>
      </c>
      <c r="M247" t="n">
        <v>40</v>
      </c>
      <c r="N247" t="inlineStr">
        <is>
          <t>DIRECCION GENERAL BANCO BASE</t>
        </is>
      </c>
      <c r="O247" t="n">
        <v>440</v>
      </c>
      <c r="P247" t="inlineStr">
        <is>
          <t>DIRECCION DE CONTRALORIA Y PREVENCION</t>
        </is>
      </c>
      <c r="Q247" t="n">
        <v>4430</v>
      </c>
      <c r="R247" t="inlineStr">
        <is>
          <t>DIRECCION DE OPERACIONES</t>
        </is>
      </c>
      <c r="S247" t="n">
        <v>44350</v>
      </c>
      <c r="T247" t="inlineStr">
        <is>
          <t>MEDIOS DE PAGO</t>
        </is>
      </c>
      <c r="U247" t="n">
        <v>443500</v>
      </c>
      <c r="V247" t="inlineStr">
        <is>
          <t>MEDIOS DE PAGO</t>
        </is>
      </c>
      <c r="W247" t="n">
        <v>134111</v>
      </c>
      <c r="X247" t="inlineStr">
        <is>
          <t>LOMAS</t>
        </is>
      </c>
      <c r="Y247" t="n">
        <v>4</v>
      </c>
      <c r="Z247" t="inlineStr">
        <is>
          <t>CORPORATIVO</t>
        </is>
      </c>
      <c r="AA247" t="n">
        <v>1</v>
      </c>
      <c r="AB247" t="inlineStr">
        <is>
          <t>NEGOCIO EN MARCHA</t>
        </is>
      </c>
      <c r="AC247" t="n">
        <v>1</v>
      </c>
      <c r="AD247" t="inlineStr">
        <is>
          <t>BANCO</t>
        </is>
      </c>
      <c r="AE247" t="n">
        <v>1</v>
      </c>
      <c r="AF247" t="inlineStr">
        <is>
          <t>BACK</t>
        </is>
      </c>
      <c r="AG247" t="n">
        <v>134111</v>
      </c>
      <c r="AH247" t="inlineStr">
        <is>
          <t>LOMAS</t>
        </is>
      </c>
      <c r="AI247" t="inlineStr">
        <is>
          <t>ACRISOSTOM@BANCOBASE.COM</t>
        </is>
      </c>
      <c r="AJ247" s="151" t="n">
        <v>37895</v>
      </c>
      <c r="AK247" s="151" t="n"/>
      <c r="AL247" s="151" t="n"/>
    </row>
    <row r="248" hidden="1" s="150">
      <c r="A248" t="inlineStr">
        <is>
          <t>ARAMONES</t>
        </is>
      </c>
      <c r="B248" t="n">
        <v>1077</v>
      </c>
      <c r="C248" t="inlineStr">
        <is>
          <t>AZAEL ISCOATL RAMONES ALVARADO</t>
        </is>
      </c>
      <c r="D248" t="n">
        <v>9100</v>
      </c>
      <c r="E248" t="inlineStr">
        <is>
          <t>ANALISTA DE MENSAJERIA</t>
        </is>
      </c>
      <c r="F248" t="inlineStr">
        <is>
          <t>MONTERREY</t>
        </is>
      </c>
      <c r="G248" t="n">
        <v>1761</v>
      </c>
      <c r="H248" t="inlineStr">
        <is>
          <t>JOSE GERARDO SALAS RODRIGUEZ</t>
        </is>
      </c>
      <c r="I248" t="n">
        <v>9083</v>
      </c>
      <c r="J248" t="inlineStr">
        <is>
          <t>COORDINADOR DE MENSAJERIA</t>
        </is>
      </c>
      <c r="K248" t="n">
        <v>1</v>
      </c>
      <c r="L248" t="inlineStr">
        <is>
          <t>PRESIDENCIA EJECUTIVA DEL CONSEJO</t>
        </is>
      </c>
      <c r="M248" t="n">
        <v>40</v>
      </c>
      <c r="N248" t="inlineStr">
        <is>
          <t>DIRECCION GENERAL BANCO BASE</t>
        </is>
      </c>
      <c r="O248" t="n">
        <v>440</v>
      </c>
      <c r="P248" t="inlineStr">
        <is>
          <t>DIRECCION DE CONTRALORIA Y PREVENCION</t>
        </is>
      </c>
      <c r="Q248" t="n">
        <v>4430</v>
      </c>
      <c r="R248" t="inlineStr">
        <is>
          <t>DIRECCION DE OPERACIONES</t>
        </is>
      </c>
      <c r="S248" t="n">
        <v>44350</v>
      </c>
      <c r="T248" t="inlineStr">
        <is>
          <t>MEDIOS DE PAGO</t>
        </is>
      </c>
      <c r="U248" t="n">
        <v>443500</v>
      </c>
      <c r="V248" t="inlineStr">
        <is>
          <t>MEDIOS DE PAGO</t>
        </is>
      </c>
      <c r="W248" t="n">
        <v>100101</v>
      </c>
      <c r="X248" t="inlineStr">
        <is>
          <t>CORPORATIVO</t>
        </is>
      </c>
      <c r="Y248" t="n">
        <v>4</v>
      </c>
      <c r="Z248" t="inlineStr">
        <is>
          <t>CORPORATIVO</t>
        </is>
      </c>
      <c r="AA248" t="n">
        <v>1</v>
      </c>
      <c r="AB248" t="inlineStr">
        <is>
          <t>NEGOCIO EN MARCHA</t>
        </is>
      </c>
      <c r="AC248" t="n">
        <v>1</v>
      </c>
      <c r="AD248" t="inlineStr">
        <is>
          <t>BANCO</t>
        </is>
      </c>
      <c r="AE248" t="n">
        <v>1</v>
      </c>
      <c r="AF248" t="inlineStr">
        <is>
          <t>BACK</t>
        </is>
      </c>
      <c r="AG248" t="n">
        <v>100101</v>
      </c>
      <c r="AH248" t="inlineStr">
        <is>
          <t>CORPORATIVO</t>
        </is>
      </c>
      <c r="AI248" t="inlineStr">
        <is>
          <t>ARAMONES@BANCOBASE.COM</t>
        </is>
      </c>
      <c r="AJ248" s="151" t="n">
        <v>41582</v>
      </c>
      <c r="AK248" s="151" t="n"/>
      <c r="AL248" s="151" t="n"/>
    </row>
    <row r="249" hidden="1" s="150">
      <c r="A249" t="inlineStr">
        <is>
          <t>AACEVES</t>
        </is>
      </c>
      <c r="B249" t="n">
        <v>1381</v>
      </c>
      <c r="C249" t="inlineStr">
        <is>
          <t>ALEJANDRO ACEVES SANCHEZ</t>
        </is>
      </c>
      <c r="D249" t="n">
        <v>9327</v>
      </c>
      <c r="E249" t="inlineStr">
        <is>
          <t>MENSAJERO</t>
        </is>
      </c>
      <c r="F249" t="inlineStr">
        <is>
          <t>GUADALAJARA</t>
        </is>
      </c>
      <c r="G249" t="n">
        <v>1761</v>
      </c>
      <c r="H249" t="inlineStr">
        <is>
          <t>JOSE GERARDO SALAS RODRIGUEZ</t>
        </is>
      </c>
      <c r="I249" t="n">
        <v>9083</v>
      </c>
      <c r="J249" t="inlineStr">
        <is>
          <t>COORDINADOR DE MENSAJERIA</t>
        </is>
      </c>
      <c r="K249" t="n">
        <v>1</v>
      </c>
      <c r="L249" t="inlineStr">
        <is>
          <t>PRESIDENCIA EJECUTIVA DEL CONSEJO</t>
        </is>
      </c>
      <c r="M249" t="n">
        <v>40</v>
      </c>
      <c r="N249" t="inlineStr">
        <is>
          <t>DIRECCION GENERAL BANCO BASE</t>
        </is>
      </c>
      <c r="O249" t="n">
        <v>440</v>
      </c>
      <c r="P249" t="inlineStr">
        <is>
          <t>DIRECCION DE CONTRALORIA Y PREVENCION</t>
        </is>
      </c>
      <c r="Q249" t="n">
        <v>4430</v>
      </c>
      <c r="R249" t="inlineStr">
        <is>
          <t>DIRECCION DE OPERACIONES</t>
        </is>
      </c>
      <c r="S249" t="n">
        <v>44350</v>
      </c>
      <c r="T249" t="inlineStr">
        <is>
          <t>MEDIOS DE PAGO</t>
        </is>
      </c>
      <c r="U249" t="n">
        <v>443500</v>
      </c>
      <c r="V249" t="inlineStr">
        <is>
          <t>MEDIOS DE PAGO</t>
        </is>
      </c>
      <c r="W249" t="n">
        <v>126107</v>
      </c>
      <c r="X249" t="inlineStr">
        <is>
          <t>GUADALAJARA</t>
        </is>
      </c>
      <c r="Y249" t="n">
        <v>4</v>
      </c>
      <c r="Z249" t="inlineStr">
        <is>
          <t>CORPORATIVO</t>
        </is>
      </c>
      <c r="AA249" t="n">
        <v>1</v>
      </c>
      <c r="AB249" t="inlineStr">
        <is>
          <t>NEGOCIO EN MARCHA</t>
        </is>
      </c>
      <c r="AC249" t="n">
        <v>1</v>
      </c>
      <c r="AD249" t="inlineStr">
        <is>
          <t>BANCO</t>
        </is>
      </c>
      <c r="AE249" t="n">
        <v>1</v>
      </c>
      <c r="AF249" t="inlineStr">
        <is>
          <t>BACK</t>
        </is>
      </c>
      <c r="AG249" t="n">
        <v>126107</v>
      </c>
      <c r="AH249" t="inlineStr">
        <is>
          <t>GUADALAJARA</t>
        </is>
      </c>
      <c r="AI249" t="inlineStr">
        <is>
          <t>AACEVES@BANCOBASE.COM</t>
        </is>
      </c>
      <c r="AJ249" s="151" t="n">
        <v>42293</v>
      </c>
      <c r="AK249" s="151" t="n"/>
      <c r="AL249" s="151" t="n"/>
    </row>
    <row r="250" hidden="1" s="150">
      <c r="A250" t="inlineStr">
        <is>
          <t>DALVAREZ</t>
        </is>
      </c>
      <c r="B250" t="n">
        <v>2553</v>
      </c>
      <c r="C250" t="inlineStr">
        <is>
          <t>DIEGO ALBERTO ALVAREZ CHAVEZ</t>
        </is>
      </c>
      <c r="D250" t="n">
        <v>9329</v>
      </c>
      <c r="E250" t="inlineStr">
        <is>
          <t>MENSAJERO</t>
        </is>
      </c>
      <c r="F250" t="inlineStr">
        <is>
          <t>QUERETARO</t>
        </is>
      </c>
      <c r="G250" t="n">
        <v>1761</v>
      </c>
      <c r="H250" t="inlineStr">
        <is>
          <t>JOSE GERARDO SALAS RODRIGUEZ</t>
        </is>
      </c>
      <c r="I250" t="n">
        <v>9083</v>
      </c>
      <c r="J250" t="inlineStr">
        <is>
          <t>COORDINADOR DE MENSAJERIA</t>
        </is>
      </c>
      <c r="K250" t="n">
        <v>1</v>
      </c>
      <c r="L250" t="inlineStr">
        <is>
          <t>PRESIDENCIA EJECUTIVA DEL CONSEJO</t>
        </is>
      </c>
      <c r="M250" t="n">
        <v>40</v>
      </c>
      <c r="N250" t="inlineStr">
        <is>
          <t>DIRECCION GENERAL BANCO BASE</t>
        </is>
      </c>
      <c r="O250" t="n">
        <v>440</v>
      </c>
      <c r="P250" t="inlineStr">
        <is>
          <t>DIRECCION DE CONTRALORIA Y PREVENCION</t>
        </is>
      </c>
      <c r="Q250" t="n">
        <v>4430</v>
      </c>
      <c r="R250" t="inlineStr">
        <is>
          <t>DIRECCION DE OPERACIONES</t>
        </is>
      </c>
      <c r="S250" t="n">
        <v>44350</v>
      </c>
      <c r="T250" t="inlineStr">
        <is>
          <t>MEDIOS DE PAGO</t>
        </is>
      </c>
      <c r="U250" t="n">
        <v>443500</v>
      </c>
      <c r="V250" t="inlineStr">
        <is>
          <t>MEDIOS DE PAGO</t>
        </is>
      </c>
      <c r="W250" t="n">
        <v>126112</v>
      </c>
      <c r="X250" t="inlineStr">
        <is>
          <t>QUERETARO</t>
        </is>
      </c>
      <c r="Y250" t="n">
        <v>4</v>
      </c>
      <c r="Z250" t="inlineStr">
        <is>
          <t>CORPORATIVO</t>
        </is>
      </c>
      <c r="AA250" t="n">
        <v>1</v>
      </c>
      <c r="AB250" t="inlineStr">
        <is>
          <t>NEGOCIO EN MARCHA</t>
        </is>
      </c>
      <c r="AC250" t="n">
        <v>1</v>
      </c>
      <c r="AD250" t="inlineStr">
        <is>
          <t>BANCO</t>
        </is>
      </c>
      <c r="AE250" t="n">
        <v>1</v>
      </c>
      <c r="AF250" t="inlineStr">
        <is>
          <t>BACK</t>
        </is>
      </c>
      <c r="AG250" t="n">
        <v>126112</v>
      </c>
      <c r="AH250" t="inlineStr">
        <is>
          <t>QUERETARO</t>
        </is>
      </c>
      <c r="AI250" t="inlineStr">
        <is>
          <t>DALVAREZ@BANCOBASE.COM</t>
        </is>
      </c>
      <c r="AJ250" s="151" t="n">
        <v>44470</v>
      </c>
      <c r="AK250" s="151" t="n"/>
      <c r="AL250" s="151" t="n"/>
    </row>
    <row r="251" hidden="1" s="150">
      <c r="A251" t="inlineStr">
        <is>
          <t>ECEPEDA</t>
        </is>
      </c>
      <c r="B251" t="n">
        <v>370</v>
      </c>
      <c r="C251" t="inlineStr">
        <is>
          <t>EDGAR CIPRIANO CEPEDA HATEM</t>
        </is>
      </c>
      <c r="D251" t="n">
        <v>9092</v>
      </c>
      <c r="E251" t="inlineStr">
        <is>
          <t>MENSAJERO</t>
        </is>
      </c>
      <c r="F251" t="inlineStr">
        <is>
          <t>MONTERREY</t>
        </is>
      </c>
      <c r="G251" t="n">
        <v>1761</v>
      </c>
      <c r="H251" t="inlineStr">
        <is>
          <t>JOSE GERARDO SALAS RODRIGUEZ</t>
        </is>
      </c>
      <c r="I251" t="n">
        <v>9083</v>
      </c>
      <c r="J251" t="inlineStr">
        <is>
          <t>COORDINADOR DE MENSAJERIA</t>
        </is>
      </c>
      <c r="K251" t="n">
        <v>1</v>
      </c>
      <c r="L251" t="inlineStr">
        <is>
          <t>PRESIDENCIA EJECUTIVA DEL CONSEJO</t>
        </is>
      </c>
      <c r="M251" t="n">
        <v>40</v>
      </c>
      <c r="N251" t="inlineStr">
        <is>
          <t>DIRECCION GENERAL BANCO BASE</t>
        </is>
      </c>
      <c r="O251" t="n">
        <v>440</v>
      </c>
      <c r="P251" t="inlineStr">
        <is>
          <t>DIRECCION DE CONTRALORIA Y PREVENCION</t>
        </is>
      </c>
      <c r="Q251" t="n">
        <v>4430</v>
      </c>
      <c r="R251" t="inlineStr">
        <is>
          <t>DIRECCION DE OPERACIONES</t>
        </is>
      </c>
      <c r="S251" t="n">
        <v>44350</v>
      </c>
      <c r="T251" t="inlineStr">
        <is>
          <t>MEDIOS DE PAGO</t>
        </is>
      </c>
      <c r="U251" t="n">
        <v>443500</v>
      </c>
      <c r="V251" t="inlineStr">
        <is>
          <t>MEDIOS DE PAGO</t>
        </is>
      </c>
      <c r="W251" t="n">
        <v>100101</v>
      </c>
      <c r="X251" t="inlineStr">
        <is>
          <t>CORPORATIVO</t>
        </is>
      </c>
      <c r="Y251" t="n">
        <v>4</v>
      </c>
      <c r="Z251" t="inlineStr">
        <is>
          <t>CORPORATIVO</t>
        </is>
      </c>
      <c r="AA251" t="n">
        <v>1</v>
      </c>
      <c r="AB251" t="inlineStr">
        <is>
          <t>NEGOCIO EN MARCHA</t>
        </is>
      </c>
      <c r="AC251" t="n">
        <v>1</v>
      </c>
      <c r="AD251" t="inlineStr">
        <is>
          <t>BANCO</t>
        </is>
      </c>
      <c r="AE251" t="n">
        <v>1</v>
      </c>
      <c r="AF251" t="inlineStr">
        <is>
          <t>BACK</t>
        </is>
      </c>
      <c r="AG251" t="n">
        <v>100101</v>
      </c>
      <c r="AH251" t="inlineStr">
        <is>
          <t>CORPORATIVO</t>
        </is>
      </c>
      <c r="AI251" t="inlineStr">
        <is>
          <t>ECEPEDA@BANCOBASE.COM</t>
        </is>
      </c>
      <c r="AJ251" s="151" t="n">
        <v>39083</v>
      </c>
      <c r="AK251" s="151" t="n"/>
      <c r="AL251" s="151" t="n"/>
    </row>
    <row r="252" hidden="1" s="150">
      <c r="A252" t="inlineStr">
        <is>
          <t>EPEREZGU</t>
        </is>
      </c>
      <c r="B252" t="n">
        <v>3281</v>
      </c>
      <c r="C252" t="inlineStr">
        <is>
          <t>ERIC EDGAR PEREZ GUZMAN</t>
        </is>
      </c>
      <c r="D252" t="n">
        <v>9094</v>
      </c>
      <c r="E252" t="inlineStr">
        <is>
          <t>MENSAJERO</t>
        </is>
      </c>
      <c r="F252" t="inlineStr">
        <is>
          <t>MEXICO</t>
        </is>
      </c>
      <c r="G252" t="n">
        <v>1761</v>
      </c>
      <c r="H252" t="inlineStr">
        <is>
          <t>JOSE GERARDO SALAS RODRIGUEZ</t>
        </is>
      </c>
      <c r="I252" t="n">
        <v>9083</v>
      </c>
      <c r="J252" t="inlineStr">
        <is>
          <t>COORDINADOR DE MENSAJERIA</t>
        </is>
      </c>
      <c r="K252" t="n">
        <v>1</v>
      </c>
      <c r="L252" t="inlineStr">
        <is>
          <t>PRESIDENCIA EJECUTIVA DEL CONSEJO</t>
        </is>
      </c>
      <c r="M252" t="n">
        <v>40</v>
      </c>
      <c r="N252" t="inlineStr">
        <is>
          <t>DIRECCION GENERAL BANCO BASE</t>
        </is>
      </c>
      <c r="O252" t="n">
        <v>440</v>
      </c>
      <c r="P252" t="inlineStr">
        <is>
          <t>DIRECCION DE CONTRALORIA Y PREVENCION</t>
        </is>
      </c>
      <c r="Q252" t="n">
        <v>4430</v>
      </c>
      <c r="R252" t="inlineStr">
        <is>
          <t>DIRECCION DE OPERACIONES</t>
        </is>
      </c>
      <c r="S252" t="n">
        <v>44350</v>
      </c>
      <c r="T252" t="inlineStr">
        <is>
          <t>MEDIOS DE PAGO</t>
        </is>
      </c>
      <c r="U252" t="n">
        <v>443500</v>
      </c>
      <c r="V252" t="inlineStr">
        <is>
          <t>MEDIOS DE PAGO</t>
        </is>
      </c>
      <c r="W252" t="n">
        <v>134111</v>
      </c>
      <c r="X252" t="inlineStr">
        <is>
          <t>LOMAS</t>
        </is>
      </c>
      <c r="Y252" t="n">
        <v>4</v>
      </c>
      <c r="Z252" t="inlineStr">
        <is>
          <t>CORPORATIVO</t>
        </is>
      </c>
      <c r="AA252" t="n">
        <v>1</v>
      </c>
      <c r="AB252" t="inlineStr">
        <is>
          <t>NEGOCIO EN MARCHA</t>
        </is>
      </c>
      <c r="AC252" t="n">
        <v>1</v>
      </c>
      <c r="AD252" t="inlineStr">
        <is>
          <t>BANCO</t>
        </is>
      </c>
      <c r="AE252" t="n">
        <v>1</v>
      </c>
      <c r="AF252" t="inlineStr">
        <is>
          <t>BACK</t>
        </is>
      </c>
      <c r="AG252" t="n">
        <v>134111</v>
      </c>
      <c r="AH252" t="inlineStr">
        <is>
          <t>LOMAS</t>
        </is>
      </c>
      <c r="AI252" t="inlineStr">
        <is>
          <t>EPEREZGU@BANCOBASE.COM</t>
        </is>
      </c>
      <c r="AJ252" s="151" t="n">
        <v>45628</v>
      </c>
      <c r="AK252" s="151" t="n"/>
      <c r="AL252" s="151" t="n"/>
    </row>
    <row r="253" hidden="1" s="150">
      <c r="A253" t="inlineStr">
        <is>
          <t>FMORALES</t>
        </is>
      </c>
      <c r="B253" t="n">
        <v>715</v>
      </c>
      <c r="C253" t="inlineStr">
        <is>
          <t>FELIPE MORALES RODRIGUEZ</t>
        </is>
      </c>
      <c r="D253" t="n">
        <v>9326</v>
      </c>
      <c r="E253" t="inlineStr">
        <is>
          <t>MENSAJERO</t>
        </is>
      </c>
      <c r="F253" t="inlineStr">
        <is>
          <t>GUADALAJARA</t>
        </is>
      </c>
      <c r="G253" t="n">
        <v>1761</v>
      </c>
      <c r="H253" t="inlineStr">
        <is>
          <t>JOSE GERARDO SALAS RODRIGUEZ</t>
        </is>
      </c>
      <c r="I253" t="n">
        <v>9083</v>
      </c>
      <c r="J253" t="inlineStr">
        <is>
          <t>COORDINADOR DE MENSAJERIA</t>
        </is>
      </c>
      <c r="K253" t="n">
        <v>1</v>
      </c>
      <c r="L253" t="inlineStr">
        <is>
          <t>PRESIDENCIA EJECUTIVA DEL CONSEJO</t>
        </is>
      </c>
      <c r="M253" t="n">
        <v>40</v>
      </c>
      <c r="N253" t="inlineStr">
        <is>
          <t>DIRECCION GENERAL BANCO BASE</t>
        </is>
      </c>
      <c r="O253" t="n">
        <v>440</v>
      </c>
      <c r="P253" t="inlineStr">
        <is>
          <t>DIRECCION DE CONTRALORIA Y PREVENCION</t>
        </is>
      </c>
      <c r="Q253" t="n">
        <v>4430</v>
      </c>
      <c r="R253" t="inlineStr">
        <is>
          <t>DIRECCION DE OPERACIONES</t>
        </is>
      </c>
      <c r="S253" t="n">
        <v>44350</v>
      </c>
      <c r="T253" t="inlineStr">
        <is>
          <t>MEDIOS DE PAGO</t>
        </is>
      </c>
      <c r="U253" t="n">
        <v>443500</v>
      </c>
      <c r="V253" t="inlineStr">
        <is>
          <t>MEDIOS DE PAGO</t>
        </is>
      </c>
      <c r="W253" t="n">
        <v>126107</v>
      </c>
      <c r="X253" t="inlineStr">
        <is>
          <t>GUADALAJARA</t>
        </is>
      </c>
      <c r="Y253" t="n">
        <v>4</v>
      </c>
      <c r="Z253" t="inlineStr">
        <is>
          <t>CORPORATIVO</t>
        </is>
      </c>
      <c r="AA253" t="n">
        <v>1</v>
      </c>
      <c r="AB253" t="inlineStr">
        <is>
          <t>NEGOCIO EN MARCHA</t>
        </is>
      </c>
      <c r="AC253" t="n">
        <v>1</v>
      </c>
      <c r="AD253" t="inlineStr">
        <is>
          <t>BANCO</t>
        </is>
      </c>
      <c r="AE253" t="n">
        <v>1</v>
      </c>
      <c r="AF253" t="inlineStr">
        <is>
          <t>BACK</t>
        </is>
      </c>
      <c r="AG253" t="n">
        <v>126107</v>
      </c>
      <c r="AH253" t="inlineStr">
        <is>
          <t>GUADALAJARA</t>
        </is>
      </c>
      <c r="AI253" t="inlineStr">
        <is>
          <t>FMORALES@BANCOBASE.COM</t>
        </is>
      </c>
      <c r="AJ253" s="151" t="n">
        <v>40604</v>
      </c>
      <c r="AK253" s="151" t="n"/>
      <c r="AL253" s="151" t="n"/>
    </row>
    <row r="254" hidden="1" s="150">
      <c r="A254" t="inlineStr">
        <is>
          <t>JACOSTAI</t>
        </is>
      </c>
      <c r="B254" t="n">
        <v>2161</v>
      </c>
      <c r="C254" t="inlineStr">
        <is>
          <t>JOSE ANDRES ACOSTA IBARRA</t>
        </is>
      </c>
      <c r="D254" t="n">
        <v>9099</v>
      </c>
      <c r="E254" t="inlineStr">
        <is>
          <t>MENSAJERO</t>
        </is>
      </c>
      <c r="F254" t="inlineStr">
        <is>
          <t>MONTERREY</t>
        </is>
      </c>
      <c r="G254" t="n">
        <v>1761</v>
      </c>
      <c r="H254" t="inlineStr">
        <is>
          <t>JOSE GERARDO SALAS RODRIGUEZ</t>
        </is>
      </c>
      <c r="I254" t="n">
        <v>9083</v>
      </c>
      <c r="J254" t="inlineStr">
        <is>
          <t>COORDINADOR DE MENSAJERIA</t>
        </is>
      </c>
      <c r="K254" t="n">
        <v>1</v>
      </c>
      <c r="L254" t="inlineStr">
        <is>
          <t>PRESIDENCIA EJECUTIVA DEL CONSEJO</t>
        </is>
      </c>
      <c r="M254" t="n">
        <v>40</v>
      </c>
      <c r="N254" t="inlineStr">
        <is>
          <t>DIRECCION GENERAL BANCO BASE</t>
        </is>
      </c>
      <c r="O254" t="n">
        <v>440</v>
      </c>
      <c r="P254" t="inlineStr">
        <is>
          <t>DIRECCION DE CONTRALORIA Y PREVENCION</t>
        </is>
      </c>
      <c r="Q254" t="n">
        <v>4430</v>
      </c>
      <c r="R254" t="inlineStr">
        <is>
          <t>DIRECCION DE OPERACIONES</t>
        </is>
      </c>
      <c r="S254" t="n">
        <v>44350</v>
      </c>
      <c r="T254" t="inlineStr">
        <is>
          <t>MEDIOS DE PAGO</t>
        </is>
      </c>
      <c r="U254" t="n">
        <v>443500</v>
      </c>
      <c r="V254" t="inlineStr">
        <is>
          <t>MEDIOS DE PAGO</t>
        </is>
      </c>
      <c r="W254" t="n">
        <v>100101</v>
      </c>
      <c r="X254" t="inlineStr">
        <is>
          <t>CORPORATIVO</t>
        </is>
      </c>
      <c r="Y254" t="n">
        <v>4</v>
      </c>
      <c r="Z254" t="inlineStr">
        <is>
          <t>CORPORATIVO</t>
        </is>
      </c>
      <c r="AA254" t="n">
        <v>1</v>
      </c>
      <c r="AB254" t="inlineStr">
        <is>
          <t>NEGOCIO EN MARCHA</t>
        </is>
      </c>
      <c r="AC254" t="n">
        <v>1</v>
      </c>
      <c r="AD254" t="inlineStr">
        <is>
          <t>BANCO</t>
        </is>
      </c>
      <c r="AE254" t="n">
        <v>1</v>
      </c>
      <c r="AF254" t="inlineStr">
        <is>
          <t>BACK</t>
        </is>
      </c>
      <c r="AG254" t="n">
        <v>100101</v>
      </c>
      <c r="AH254" t="inlineStr">
        <is>
          <t>CORPORATIVO</t>
        </is>
      </c>
      <c r="AI254" t="inlineStr">
        <is>
          <t>JACOSTAI@BANCOBASE.COM</t>
        </is>
      </c>
      <c r="AJ254" s="151" t="n">
        <v>43451</v>
      </c>
      <c r="AK254" s="151" t="n"/>
      <c r="AL254" s="151" t="n"/>
    </row>
    <row r="255" hidden="1" s="150">
      <c r="A255" t="inlineStr">
        <is>
          <t>JGAMROD</t>
        </is>
      </c>
      <c r="B255" t="n">
        <v>2684</v>
      </c>
      <c r="C255" t="inlineStr">
        <is>
          <t>JOSE ANGEL GAMBOA RODRIGUEZ</t>
        </is>
      </c>
      <c r="D255" t="n">
        <v>1182167</v>
      </c>
      <c r="E255" t="inlineStr">
        <is>
          <t>MENSAJERO</t>
        </is>
      </c>
      <c r="F255" t="inlineStr">
        <is>
          <t>AGUASCALIENTES</t>
        </is>
      </c>
      <c r="G255" t="n">
        <v>1761</v>
      </c>
      <c r="H255" t="inlineStr">
        <is>
          <t>JOSE GERARDO SALAS RODRIGUEZ</t>
        </is>
      </c>
      <c r="I255" t="n">
        <v>9083</v>
      </c>
      <c r="J255" t="inlineStr">
        <is>
          <t>COORDINADOR DE MENSAJERIA</t>
        </is>
      </c>
      <c r="K255" t="n">
        <v>1</v>
      </c>
      <c r="L255" t="inlineStr">
        <is>
          <t>PRESIDENCIA EJECUTIVA DEL CONSEJO</t>
        </is>
      </c>
      <c r="M255" t="n">
        <v>40</v>
      </c>
      <c r="N255" t="inlineStr">
        <is>
          <t>DIRECCION GENERAL BANCO BASE</t>
        </is>
      </c>
      <c r="O255" t="n">
        <v>440</v>
      </c>
      <c r="P255" t="inlineStr">
        <is>
          <t>DIRECCION DE CONTRALORIA Y PREVENCION</t>
        </is>
      </c>
      <c r="Q255" t="n">
        <v>4430</v>
      </c>
      <c r="R255" t="inlineStr">
        <is>
          <t>DIRECCION DE OPERACIONES</t>
        </is>
      </c>
      <c r="S255" t="n">
        <v>44350</v>
      </c>
      <c r="T255" t="inlineStr">
        <is>
          <t>MEDIOS DE PAGO</t>
        </is>
      </c>
      <c r="U255" t="n">
        <v>443500</v>
      </c>
      <c r="V255" t="inlineStr">
        <is>
          <t>MEDIOS DE PAGO</t>
        </is>
      </c>
      <c r="W255" t="n">
        <v>126103</v>
      </c>
      <c r="X255" t="inlineStr">
        <is>
          <t>AGUASCALIENTES</t>
        </is>
      </c>
      <c r="Y255" t="n">
        <v>4</v>
      </c>
      <c r="Z255" t="inlineStr">
        <is>
          <t>CORPORATIVO</t>
        </is>
      </c>
      <c r="AA255" t="n">
        <v>1</v>
      </c>
      <c r="AB255" t="inlineStr">
        <is>
          <t>NEGOCIO EN MARCHA</t>
        </is>
      </c>
      <c r="AC255" t="n">
        <v>1</v>
      </c>
      <c r="AD255" t="inlineStr">
        <is>
          <t>BANCO</t>
        </is>
      </c>
      <c r="AE255" t="n">
        <v>1</v>
      </c>
      <c r="AF255" t="inlineStr">
        <is>
          <t>BACK</t>
        </is>
      </c>
      <c r="AG255" t="n">
        <v>126103</v>
      </c>
      <c r="AH255" t="inlineStr">
        <is>
          <t>AGUASCALIENTES</t>
        </is>
      </c>
      <c r="AI255" t="inlineStr">
        <is>
          <t>JGAMROD@BANCOBASE.COM</t>
        </is>
      </c>
      <c r="AJ255" s="151" t="n">
        <v>44743</v>
      </c>
      <c r="AK255" s="151" t="n"/>
      <c r="AL255" s="151" t="n"/>
    </row>
    <row r="256" hidden="1" s="150">
      <c r="A256" t="inlineStr">
        <is>
          <t>JGARZAR</t>
        </is>
      </c>
      <c r="B256" t="n">
        <v>3069</v>
      </c>
      <c r="C256" t="inlineStr">
        <is>
          <t>JOSE JUAN GARZA ROSALES</t>
        </is>
      </c>
      <c r="D256" t="n">
        <v>8023</v>
      </c>
      <c r="E256" t="inlineStr">
        <is>
          <t>MENSAJERO</t>
        </is>
      </c>
      <c r="F256" t="inlineStr">
        <is>
          <t>MONTERREY</t>
        </is>
      </c>
      <c r="G256" t="n">
        <v>1761</v>
      </c>
      <c r="H256" t="inlineStr">
        <is>
          <t>JOSE GERARDO SALAS RODRIGUEZ</t>
        </is>
      </c>
      <c r="I256" t="n">
        <v>9083</v>
      </c>
      <c r="J256" t="inlineStr">
        <is>
          <t>COORDINADOR DE MENSAJERIA</t>
        </is>
      </c>
      <c r="K256" t="n">
        <v>1</v>
      </c>
      <c r="L256" t="inlineStr">
        <is>
          <t>PRESIDENCIA EJECUTIVA DEL CONSEJO</t>
        </is>
      </c>
      <c r="M256" t="n">
        <v>40</v>
      </c>
      <c r="N256" t="inlineStr">
        <is>
          <t>DIRECCION GENERAL BANCO BASE</t>
        </is>
      </c>
      <c r="O256" t="n">
        <v>440</v>
      </c>
      <c r="P256" t="inlineStr">
        <is>
          <t>DIRECCION DE CONTRALORIA Y PREVENCION</t>
        </is>
      </c>
      <c r="Q256" t="n">
        <v>4430</v>
      </c>
      <c r="R256" t="inlineStr">
        <is>
          <t>DIRECCION DE OPERACIONES</t>
        </is>
      </c>
      <c r="S256" t="n">
        <v>44350</v>
      </c>
      <c r="T256" t="inlineStr">
        <is>
          <t>MEDIOS DE PAGO</t>
        </is>
      </c>
      <c r="U256" t="n">
        <v>443500</v>
      </c>
      <c r="V256" t="inlineStr">
        <is>
          <t>MEDIOS DE PAGO</t>
        </is>
      </c>
      <c r="W256" t="n">
        <v>100101</v>
      </c>
      <c r="X256" t="inlineStr">
        <is>
          <t>CORPORATIVO</t>
        </is>
      </c>
      <c r="Y256" t="n">
        <v>4</v>
      </c>
      <c r="Z256" t="inlineStr">
        <is>
          <t>CORPORATIVO</t>
        </is>
      </c>
      <c r="AA256" t="n">
        <v>1</v>
      </c>
      <c r="AB256" t="inlineStr">
        <is>
          <t>NEGOCIO EN MARCHA</t>
        </is>
      </c>
      <c r="AC256" t="n">
        <v>1</v>
      </c>
      <c r="AD256" t="inlineStr">
        <is>
          <t>BANCO</t>
        </is>
      </c>
      <c r="AE256" t="n">
        <v>1</v>
      </c>
      <c r="AF256" t="inlineStr">
        <is>
          <t>BACK</t>
        </is>
      </c>
      <c r="AG256" t="n">
        <v>100101</v>
      </c>
      <c r="AH256" t="inlineStr">
        <is>
          <t>CORPORATIVO</t>
        </is>
      </c>
      <c r="AI256" t="inlineStr">
        <is>
          <t>JGARZAR@BANCOBASE.COM</t>
        </is>
      </c>
      <c r="AJ256" s="151" t="n">
        <v>45383</v>
      </c>
      <c r="AK256" s="151" t="n"/>
      <c r="AL256" s="151" t="n"/>
    </row>
    <row r="257" hidden="1" s="150">
      <c r="A257" t="inlineStr">
        <is>
          <t>JHENRIQUEZ</t>
        </is>
      </c>
      <c r="B257" t="n">
        <v>2599</v>
      </c>
      <c r="C257" t="inlineStr">
        <is>
          <t>JOSE RICARDO HENRIQUEZ PALOMINO</t>
        </is>
      </c>
      <c r="D257" t="n">
        <v>9335</v>
      </c>
      <c r="E257" t="inlineStr">
        <is>
          <t>MENSAJERO</t>
        </is>
      </c>
      <c r="F257" t="inlineStr">
        <is>
          <t>MEXICO</t>
        </is>
      </c>
      <c r="G257" t="n">
        <v>1761</v>
      </c>
      <c r="H257" t="inlineStr">
        <is>
          <t>JOSE GERARDO SALAS RODRIGUEZ</t>
        </is>
      </c>
      <c r="I257" t="n">
        <v>9083</v>
      </c>
      <c r="J257" t="inlineStr">
        <is>
          <t>COORDINADOR DE MENSAJERIA</t>
        </is>
      </c>
      <c r="K257" t="n">
        <v>1</v>
      </c>
      <c r="L257" t="inlineStr">
        <is>
          <t>PRESIDENCIA EJECUTIVA DEL CONSEJO</t>
        </is>
      </c>
      <c r="M257" t="n">
        <v>40</v>
      </c>
      <c r="N257" t="inlineStr">
        <is>
          <t>DIRECCION GENERAL BANCO BASE</t>
        </is>
      </c>
      <c r="O257" t="n">
        <v>440</v>
      </c>
      <c r="P257" t="inlineStr">
        <is>
          <t>DIRECCION DE CONTRALORIA Y PREVENCION</t>
        </is>
      </c>
      <c r="Q257" t="n">
        <v>4430</v>
      </c>
      <c r="R257" t="inlineStr">
        <is>
          <t>DIRECCION DE OPERACIONES</t>
        </is>
      </c>
      <c r="S257" t="n">
        <v>44350</v>
      </c>
      <c r="T257" t="inlineStr">
        <is>
          <t>MEDIOS DE PAGO</t>
        </is>
      </c>
      <c r="U257" t="n">
        <v>443500</v>
      </c>
      <c r="V257" t="inlineStr">
        <is>
          <t>MEDIOS DE PAGO</t>
        </is>
      </c>
      <c r="W257" t="n">
        <v>134111</v>
      </c>
      <c r="X257" t="inlineStr">
        <is>
          <t>LOMAS</t>
        </is>
      </c>
      <c r="Y257" t="n">
        <v>4</v>
      </c>
      <c r="Z257" t="inlineStr">
        <is>
          <t>CORPORATIVO</t>
        </is>
      </c>
      <c r="AA257" t="n">
        <v>1</v>
      </c>
      <c r="AB257" t="inlineStr">
        <is>
          <t>NEGOCIO EN MARCHA</t>
        </is>
      </c>
      <c r="AC257" t="n">
        <v>1</v>
      </c>
      <c r="AD257" t="inlineStr">
        <is>
          <t>BANCO</t>
        </is>
      </c>
      <c r="AE257" t="n">
        <v>1</v>
      </c>
      <c r="AF257" t="inlineStr">
        <is>
          <t>BACK</t>
        </is>
      </c>
      <c r="AG257" t="n">
        <v>134111</v>
      </c>
      <c r="AH257" t="inlineStr">
        <is>
          <t>LOMAS</t>
        </is>
      </c>
      <c r="AI257" t="inlineStr">
        <is>
          <t>JHENRIQUEZ@BANCOBASE.COM</t>
        </is>
      </c>
      <c r="AJ257" s="151" t="n">
        <v>44571</v>
      </c>
      <c r="AK257" s="151" t="n"/>
      <c r="AL257" s="151" t="n"/>
    </row>
    <row r="258" hidden="1" s="150">
      <c r="A258" t="inlineStr">
        <is>
          <t>MJIMENEZT</t>
        </is>
      </c>
      <c r="B258" t="n">
        <v>2876</v>
      </c>
      <c r="C258" t="inlineStr">
        <is>
          <t>MARCO ANTONIO JIMENEZ TREJO</t>
        </is>
      </c>
      <c r="D258" t="n">
        <v>9330</v>
      </c>
      <c r="E258" t="inlineStr">
        <is>
          <t>MENSAJERO</t>
        </is>
      </c>
      <c r="F258" t="inlineStr">
        <is>
          <t>QUERETARO</t>
        </is>
      </c>
      <c r="G258" t="n">
        <v>1761</v>
      </c>
      <c r="H258" t="inlineStr">
        <is>
          <t>JOSE GERARDO SALAS RODRIGUEZ</t>
        </is>
      </c>
      <c r="I258" t="n">
        <v>9083</v>
      </c>
      <c r="J258" t="inlineStr">
        <is>
          <t>COORDINADOR DE MENSAJERIA</t>
        </is>
      </c>
      <c r="K258" t="n">
        <v>1</v>
      </c>
      <c r="L258" t="inlineStr">
        <is>
          <t>PRESIDENCIA EJECUTIVA DEL CONSEJO</t>
        </is>
      </c>
      <c r="M258" t="n">
        <v>40</v>
      </c>
      <c r="N258" t="inlineStr">
        <is>
          <t>DIRECCION GENERAL BANCO BASE</t>
        </is>
      </c>
      <c r="O258" t="n">
        <v>440</v>
      </c>
      <c r="P258" t="inlineStr">
        <is>
          <t>DIRECCION DE CONTRALORIA Y PREVENCION</t>
        </is>
      </c>
      <c r="Q258" t="n">
        <v>4430</v>
      </c>
      <c r="R258" t="inlineStr">
        <is>
          <t>DIRECCION DE OPERACIONES</t>
        </is>
      </c>
      <c r="S258" t="n">
        <v>44350</v>
      </c>
      <c r="T258" t="inlineStr">
        <is>
          <t>MEDIOS DE PAGO</t>
        </is>
      </c>
      <c r="U258" t="n">
        <v>443500</v>
      </c>
      <c r="V258" t="inlineStr">
        <is>
          <t>MEDIOS DE PAGO</t>
        </is>
      </c>
      <c r="W258" t="n">
        <v>126112</v>
      </c>
      <c r="X258" t="inlineStr">
        <is>
          <t>QUERETARO</t>
        </is>
      </c>
      <c r="Y258" t="n">
        <v>4</v>
      </c>
      <c r="Z258" t="inlineStr">
        <is>
          <t>CORPORATIVO</t>
        </is>
      </c>
      <c r="AA258" t="n">
        <v>1</v>
      </c>
      <c r="AB258" t="inlineStr">
        <is>
          <t>NEGOCIO EN MARCHA</t>
        </is>
      </c>
      <c r="AC258" t="n">
        <v>1</v>
      </c>
      <c r="AD258" t="inlineStr">
        <is>
          <t>BANCO</t>
        </is>
      </c>
      <c r="AE258" t="n">
        <v>1</v>
      </c>
      <c r="AF258" t="inlineStr">
        <is>
          <t>BACK</t>
        </is>
      </c>
      <c r="AG258" t="n">
        <v>126112</v>
      </c>
      <c r="AH258" t="inlineStr">
        <is>
          <t>QUERETARO</t>
        </is>
      </c>
      <c r="AI258" t="inlineStr">
        <is>
          <t>MJIMENEZT@BANCOBASE.COM</t>
        </is>
      </c>
      <c r="AJ258" s="151" t="n">
        <v>45019</v>
      </c>
      <c r="AK258" s="151" t="n"/>
      <c r="AL258" s="151" t="n"/>
    </row>
    <row r="259" hidden="1" s="150">
      <c r="A259" t="inlineStr">
        <is>
          <t>OSALDIVAR</t>
        </is>
      </c>
      <c r="B259" t="n">
        <v>2585</v>
      </c>
      <c r="C259" t="inlineStr">
        <is>
          <t>OMAR SALDIVAR DE LA SANCHA</t>
        </is>
      </c>
      <c r="D259" t="n">
        <v>9888</v>
      </c>
      <c r="E259" t="inlineStr">
        <is>
          <t>MENSAJERO</t>
        </is>
      </c>
      <c r="F259" t="inlineStr">
        <is>
          <t>MEXICO</t>
        </is>
      </c>
      <c r="G259" t="n">
        <v>1761</v>
      </c>
      <c r="H259" t="inlineStr">
        <is>
          <t>JOSE GERARDO SALAS RODRIGUEZ</t>
        </is>
      </c>
      <c r="I259" t="n">
        <v>9083</v>
      </c>
      <c r="J259" t="inlineStr">
        <is>
          <t>COORDINADOR DE MENSAJERIA</t>
        </is>
      </c>
      <c r="K259" t="n">
        <v>1</v>
      </c>
      <c r="L259" t="inlineStr">
        <is>
          <t>PRESIDENCIA EJECUTIVA DEL CONSEJO</t>
        </is>
      </c>
      <c r="M259" t="n">
        <v>40</v>
      </c>
      <c r="N259" t="inlineStr">
        <is>
          <t>DIRECCION GENERAL BANCO BASE</t>
        </is>
      </c>
      <c r="O259" t="n">
        <v>440</v>
      </c>
      <c r="P259" t="inlineStr">
        <is>
          <t>DIRECCION DE CONTRALORIA Y PREVENCION</t>
        </is>
      </c>
      <c r="Q259" t="n">
        <v>4430</v>
      </c>
      <c r="R259" t="inlineStr">
        <is>
          <t>DIRECCION DE OPERACIONES</t>
        </is>
      </c>
      <c r="S259" t="n">
        <v>44350</v>
      </c>
      <c r="T259" t="inlineStr">
        <is>
          <t>MEDIOS DE PAGO</t>
        </is>
      </c>
      <c r="U259" t="n">
        <v>443500</v>
      </c>
      <c r="V259" t="inlineStr">
        <is>
          <t>MEDIOS DE PAGO</t>
        </is>
      </c>
      <c r="W259" t="n">
        <v>134111</v>
      </c>
      <c r="X259" t="inlineStr">
        <is>
          <t>LOMAS</t>
        </is>
      </c>
      <c r="Y259" t="n">
        <v>4</v>
      </c>
      <c r="Z259" t="inlineStr">
        <is>
          <t>CORPORATIVO</t>
        </is>
      </c>
      <c r="AA259" t="n">
        <v>1</v>
      </c>
      <c r="AB259" t="inlineStr">
        <is>
          <t>NEGOCIO EN MARCHA</t>
        </is>
      </c>
      <c r="AC259" t="n">
        <v>1</v>
      </c>
      <c r="AD259" t="inlineStr">
        <is>
          <t>BANCO</t>
        </is>
      </c>
      <c r="AE259" t="n">
        <v>1</v>
      </c>
      <c r="AF259" t="inlineStr">
        <is>
          <t>BACK</t>
        </is>
      </c>
      <c r="AG259" t="n">
        <v>134111</v>
      </c>
      <c r="AH259" t="inlineStr">
        <is>
          <t>LOMAS</t>
        </is>
      </c>
      <c r="AI259" t="inlineStr">
        <is>
          <t>OSALDIVAR@BANCOBASE.COM</t>
        </is>
      </c>
      <c r="AJ259" s="151" t="n">
        <v>44531</v>
      </c>
      <c r="AK259" s="151" t="n"/>
      <c r="AL259" s="151" t="n"/>
    </row>
    <row r="260" hidden="1" s="150">
      <c r="A260" t="inlineStr">
        <is>
          <t>VOJEDA</t>
        </is>
      </c>
      <c r="B260" t="n">
        <v>2584</v>
      </c>
      <c r="C260" t="inlineStr">
        <is>
          <t>VICTOR MANUEL OJEDA MEMBRILLO</t>
        </is>
      </c>
      <c r="D260" t="n">
        <v>9332</v>
      </c>
      <c r="E260" t="inlineStr">
        <is>
          <t>MENSAJERO</t>
        </is>
      </c>
      <c r="F260" t="inlineStr">
        <is>
          <t>MEXICO</t>
        </is>
      </c>
      <c r="G260" t="n">
        <v>1761</v>
      </c>
      <c r="H260" t="inlineStr">
        <is>
          <t>JOSE GERARDO SALAS RODRIGUEZ</t>
        </is>
      </c>
      <c r="I260" t="n">
        <v>9083</v>
      </c>
      <c r="J260" t="inlineStr">
        <is>
          <t>COORDINADOR DE MENSAJERIA</t>
        </is>
      </c>
      <c r="K260" t="n">
        <v>1</v>
      </c>
      <c r="L260" t="inlineStr">
        <is>
          <t>PRESIDENCIA EJECUTIVA DEL CONSEJO</t>
        </is>
      </c>
      <c r="M260" t="n">
        <v>40</v>
      </c>
      <c r="N260" t="inlineStr">
        <is>
          <t>DIRECCION GENERAL BANCO BASE</t>
        </is>
      </c>
      <c r="O260" t="n">
        <v>440</v>
      </c>
      <c r="P260" t="inlineStr">
        <is>
          <t>DIRECCION DE CONTRALORIA Y PREVENCION</t>
        </is>
      </c>
      <c r="Q260" t="n">
        <v>4430</v>
      </c>
      <c r="R260" t="inlineStr">
        <is>
          <t>DIRECCION DE OPERACIONES</t>
        </is>
      </c>
      <c r="S260" t="n">
        <v>44350</v>
      </c>
      <c r="T260" t="inlineStr">
        <is>
          <t>MEDIOS DE PAGO</t>
        </is>
      </c>
      <c r="U260" t="n">
        <v>443500</v>
      </c>
      <c r="V260" t="inlineStr">
        <is>
          <t>MEDIOS DE PAGO</t>
        </is>
      </c>
      <c r="W260" t="n">
        <v>134111</v>
      </c>
      <c r="X260" t="inlineStr">
        <is>
          <t>LOMAS</t>
        </is>
      </c>
      <c r="Y260" t="n">
        <v>4</v>
      </c>
      <c r="Z260" t="inlineStr">
        <is>
          <t>CORPORATIVO</t>
        </is>
      </c>
      <c r="AA260" t="n">
        <v>1</v>
      </c>
      <c r="AB260" t="inlineStr">
        <is>
          <t>NEGOCIO EN MARCHA</t>
        </is>
      </c>
      <c r="AC260" t="n">
        <v>1</v>
      </c>
      <c r="AD260" t="inlineStr">
        <is>
          <t>BANCO</t>
        </is>
      </c>
      <c r="AE260" t="n">
        <v>1</v>
      </c>
      <c r="AF260" t="inlineStr">
        <is>
          <t>BACK</t>
        </is>
      </c>
      <c r="AG260" t="n">
        <v>134111</v>
      </c>
      <c r="AH260" t="inlineStr">
        <is>
          <t>LOMAS</t>
        </is>
      </c>
      <c r="AI260" t="inlineStr">
        <is>
          <t>VOJEDA@BANCOBASE.COM</t>
        </is>
      </c>
      <c r="AJ260" s="151" t="n">
        <v>44531</v>
      </c>
      <c r="AK260" s="151" t="n"/>
      <c r="AL260" s="151" t="n"/>
    </row>
    <row r="261" hidden="1" s="150">
      <c r="A261" t="inlineStr">
        <is>
          <t>MNAJAR</t>
        </is>
      </c>
      <c r="B261" t="n">
        <v>1683</v>
      </c>
      <c r="C261" t="inlineStr">
        <is>
          <t>MARIO ALBERTO NAJAR ULLOA</t>
        </is>
      </c>
      <c r="D261" t="n">
        <v>9872</v>
      </c>
      <c r="E261" t="inlineStr">
        <is>
          <t>MENSAJERO</t>
        </is>
      </c>
      <c r="F261" t="inlineStr">
        <is>
          <t>LEON</t>
        </is>
      </c>
      <c r="G261" t="n">
        <v>1761</v>
      </c>
      <c r="H261" t="inlineStr">
        <is>
          <t>JOSE GERARDO SALAS RODRIGUEZ</t>
        </is>
      </c>
      <c r="I261" t="n">
        <v>9083</v>
      </c>
      <c r="J261" t="inlineStr">
        <is>
          <t>COORDINADOR DE MENSAJERIA</t>
        </is>
      </c>
      <c r="K261" t="n">
        <v>1</v>
      </c>
      <c r="L261" t="inlineStr">
        <is>
          <t>PRESIDENCIA EJECUTIVA DEL CONSEJO</t>
        </is>
      </c>
      <c r="M261" t="n">
        <v>40</v>
      </c>
      <c r="N261" t="inlineStr">
        <is>
          <t>DIRECCION GENERAL BANCO BASE</t>
        </is>
      </c>
      <c r="O261" t="n">
        <v>440</v>
      </c>
      <c r="P261" t="inlineStr">
        <is>
          <t>DIRECCION DE CONTRALORIA Y PREVENCION</t>
        </is>
      </c>
      <c r="Q261" t="n">
        <v>4430</v>
      </c>
      <c r="R261" t="inlineStr">
        <is>
          <t>DIRECCION DE OPERACIONES</t>
        </is>
      </c>
      <c r="S261" t="n">
        <v>44350</v>
      </c>
      <c r="T261" t="inlineStr">
        <is>
          <t>MEDIOS DE PAGO</t>
        </is>
      </c>
      <c r="U261" t="n">
        <v>443500</v>
      </c>
      <c r="V261" t="inlineStr">
        <is>
          <t>MEDIOS DE PAGO</t>
        </is>
      </c>
      <c r="W261" t="n">
        <v>126128</v>
      </c>
      <c r="X261" t="inlineStr">
        <is>
          <t>LEON</t>
        </is>
      </c>
      <c r="Y261" t="n">
        <v>4</v>
      </c>
      <c r="Z261" t="inlineStr">
        <is>
          <t>CORPORATIVO</t>
        </is>
      </c>
      <c r="AA261" t="n">
        <v>1</v>
      </c>
      <c r="AB261" t="inlineStr">
        <is>
          <t>NEGOCIO EN MARCHA</t>
        </is>
      </c>
      <c r="AC261" t="n">
        <v>1</v>
      </c>
      <c r="AD261" t="inlineStr">
        <is>
          <t>BANCO</t>
        </is>
      </c>
      <c r="AE261" t="n">
        <v>1</v>
      </c>
      <c r="AF261" t="inlineStr">
        <is>
          <t>BACK</t>
        </is>
      </c>
      <c r="AG261" t="n">
        <v>126128</v>
      </c>
      <c r="AH261" t="inlineStr">
        <is>
          <t>LEON</t>
        </is>
      </c>
      <c r="AI261" t="inlineStr">
        <is>
          <t>MNAJAR@BANCOBASE.COM</t>
        </is>
      </c>
      <c r="AJ261" s="151" t="n">
        <v>42738</v>
      </c>
      <c r="AK261" s="151" t="n"/>
      <c r="AL261" s="151" t="n"/>
    </row>
    <row r="262" hidden="1" s="150">
      <c r="A262" t="inlineStr">
        <is>
          <t>FANAYA</t>
        </is>
      </c>
      <c r="B262" t="n">
        <v>3659</v>
      </c>
      <c r="C262" t="inlineStr">
        <is>
          <t>FRANCISCO ANTONIO ANAYA GONZALEZ</t>
        </is>
      </c>
      <c r="D262" t="n">
        <v>9334</v>
      </c>
      <c r="E262" t="inlineStr">
        <is>
          <t>MENSAJERO</t>
        </is>
      </c>
      <c r="F262" t="inlineStr">
        <is>
          <t>MONTERREY</t>
        </is>
      </c>
      <c r="G262" t="n">
        <v>1761</v>
      </c>
      <c r="H262" t="inlineStr">
        <is>
          <t>JOSE GERARDO SALAS RODRIGUEZ</t>
        </is>
      </c>
      <c r="I262" t="n">
        <v>9083</v>
      </c>
      <c r="J262" t="inlineStr">
        <is>
          <t>COORDINADOR DE MENSAJERIA</t>
        </is>
      </c>
      <c r="K262" t="n">
        <v>1</v>
      </c>
      <c r="L262" t="inlineStr">
        <is>
          <t>PRESIDENCIA EJECUTIVA DEL CONSEJO</t>
        </is>
      </c>
      <c r="M262" t="n">
        <v>40</v>
      </c>
      <c r="N262" t="inlineStr">
        <is>
          <t>DIRECCION GENERAL BANCO BASE</t>
        </is>
      </c>
      <c r="O262" t="n">
        <v>440</v>
      </c>
      <c r="P262" t="inlineStr">
        <is>
          <t>DIRECCION DE CONTRALORIA Y PREVENCION</t>
        </is>
      </c>
      <c r="Q262" t="n">
        <v>4430</v>
      </c>
      <c r="R262" t="inlineStr">
        <is>
          <t>DIRECCION DE OPERACIONES</t>
        </is>
      </c>
      <c r="S262" t="n">
        <v>44350</v>
      </c>
      <c r="T262" t="inlineStr">
        <is>
          <t>MEDIOS DE PAGO</t>
        </is>
      </c>
      <c r="U262" t="n">
        <v>443500</v>
      </c>
      <c r="V262" t="inlineStr">
        <is>
          <t>MEDIOS DE PAGO</t>
        </is>
      </c>
      <c r="W262" t="n">
        <v>100101</v>
      </c>
      <c r="X262" t="inlineStr">
        <is>
          <t>CORPORATIVO</t>
        </is>
      </c>
      <c r="Y262" t="n">
        <v>4</v>
      </c>
      <c r="Z262" t="inlineStr">
        <is>
          <t>CORPORATIVO</t>
        </is>
      </c>
      <c r="AA262" t="n">
        <v>1</v>
      </c>
      <c r="AB262" t="inlineStr">
        <is>
          <t>NEGOCIO EN MARCHA</t>
        </is>
      </c>
      <c r="AC262" t="n">
        <v>1</v>
      </c>
      <c r="AD262" t="inlineStr">
        <is>
          <t>BANCO</t>
        </is>
      </c>
      <c r="AE262" t="n">
        <v>1</v>
      </c>
      <c r="AF262" t="inlineStr">
        <is>
          <t>BACK</t>
        </is>
      </c>
      <c r="AG262" t="n">
        <v>100101</v>
      </c>
      <c r="AH262" t="inlineStr">
        <is>
          <t>CORPORATIVO</t>
        </is>
      </c>
      <c r="AI262" t="inlineStr">
        <is>
          <t>FANAYA@BANCOBASE.COM</t>
        </is>
      </c>
      <c r="AJ262" s="151" t="n">
        <v>45964</v>
      </c>
      <c r="AK262" s="151" t="n"/>
      <c r="AL262" s="151" t="n"/>
    </row>
    <row r="263" hidden="1" s="150">
      <c r="A263" t="inlineStr">
        <is>
          <t>RRUBIO</t>
        </is>
      </c>
      <c r="B263" t="n">
        <v>3750</v>
      </c>
      <c r="C263" t="inlineStr">
        <is>
          <t>RAFAEL RUBIO RAMOS</t>
        </is>
      </c>
      <c r="D263" t="n">
        <v>8728</v>
      </c>
      <c r="E263" t="inlineStr">
        <is>
          <t>MENSAJERO</t>
        </is>
      </c>
      <c r="F263" t="inlineStr">
        <is>
          <t>TIJUANA</t>
        </is>
      </c>
      <c r="G263" t="n">
        <v>1761</v>
      </c>
      <c r="H263" t="inlineStr">
        <is>
          <t>JOSE GERARDO SALAS RODRIGUEZ</t>
        </is>
      </c>
      <c r="I263" t="n">
        <v>9083</v>
      </c>
      <c r="J263" t="inlineStr">
        <is>
          <t>COORDINADOR DE MENSAJERIA</t>
        </is>
      </c>
      <c r="K263" t="n">
        <v>1</v>
      </c>
      <c r="L263" t="inlineStr">
        <is>
          <t>PRESIDENCIA EJECUTIVA DEL CONSEJO</t>
        </is>
      </c>
      <c r="M263" t="n">
        <v>40</v>
      </c>
      <c r="N263" t="inlineStr">
        <is>
          <t>DIRECCION GENERAL BANCO BASE</t>
        </is>
      </c>
      <c r="O263" t="n">
        <v>440</v>
      </c>
      <c r="P263" t="inlineStr">
        <is>
          <t>DIRECCION DE CONTRALORIA Y PREVENCION</t>
        </is>
      </c>
      <c r="Q263" t="n">
        <v>4430</v>
      </c>
      <c r="R263" t="inlineStr">
        <is>
          <t>DIRECCION DE OPERACIONES</t>
        </is>
      </c>
      <c r="S263" t="n">
        <v>44350</v>
      </c>
      <c r="T263" t="inlineStr">
        <is>
          <t>MEDIOS DE PAGO</t>
        </is>
      </c>
      <c r="U263" t="n">
        <v>443500</v>
      </c>
      <c r="V263" t="inlineStr">
        <is>
          <t>MEDIOS DE PAGO</t>
        </is>
      </c>
      <c r="W263" t="n">
        <v>126114</v>
      </c>
      <c r="X263" t="inlineStr">
        <is>
          <t>TIJUANA</t>
        </is>
      </c>
      <c r="Y263" t="n">
        <v>4</v>
      </c>
      <c r="Z263" t="inlineStr">
        <is>
          <t>CORPORATIVO</t>
        </is>
      </c>
      <c r="AA263" t="n">
        <v>1</v>
      </c>
      <c r="AB263" t="inlineStr">
        <is>
          <t>NEGOCIO EN MARCHA</t>
        </is>
      </c>
      <c r="AC263" t="n">
        <v>1</v>
      </c>
      <c r="AD263" t="inlineStr">
        <is>
          <t>BANCO</t>
        </is>
      </c>
      <c r="AE263" t="n">
        <v>1</v>
      </c>
      <c r="AF263" t="inlineStr">
        <is>
          <t>BACK</t>
        </is>
      </c>
      <c r="AG263" t="n">
        <v>126114</v>
      </c>
      <c r="AH263" t="inlineStr">
        <is>
          <t>TIJUANA</t>
        </is>
      </c>
      <c r="AI263" t="inlineStr">
        <is>
          <t>RRUBIO@BANCOBASE.COM</t>
        </is>
      </c>
      <c r="AJ263" s="151" t="n">
        <v>46056</v>
      </c>
      <c r="AK263" s="151" t="n"/>
      <c r="AL263" s="151" t="n"/>
    </row>
    <row r="264" hidden="1" s="150">
      <c r="A264" t="inlineStr">
        <is>
          <t>MPALACIOS</t>
        </is>
      </c>
      <c r="B264" t="n">
        <v>1121</v>
      </c>
      <c r="C264" t="inlineStr">
        <is>
          <t>MONICA LIZETH PALACIOS GLORIA</t>
        </is>
      </c>
      <c r="D264" t="n">
        <v>5101</v>
      </c>
      <c r="E264" t="inlineStr">
        <is>
          <t>LIDER DE OPERACIONES DE CARTERA</t>
        </is>
      </c>
      <c r="F264" t="inlineStr">
        <is>
          <t>MONTERREY</t>
        </is>
      </c>
      <c r="G264" t="n">
        <v>618</v>
      </c>
      <c r="H264" t="inlineStr">
        <is>
          <t>NANCY GALLEGOS RUIZ</t>
        </is>
      </c>
      <c r="I264" t="n">
        <v>8387</v>
      </c>
      <c r="J264" t="inlineStr">
        <is>
          <t>DIRECTOR DE OPERACIONES</t>
        </is>
      </c>
      <c r="K264" t="n">
        <v>1</v>
      </c>
      <c r="L264" t="inlineStr">
        <is>
          <t>PRESIDENCIA EJECUTIVA DEL CONSEJO</t>
        </is>
      </c>
      <c r="M264" t="n">
        <v>40</v>
      </c>
      <c r="N264" t="inlineStr">
        <is>
          <t>DIRECCION GENERAL BANCO BASE</t>
        </is>
      </c>
      <c r="O264" t="n">
        <v>440</v>
      </c>
      <c r="P264" t="inlineStr">
        <is>
          <t>DIRECCION DE CONTRALORIA Y PREVENCION</t>
        </is>
      </c>
      <c r="Q264" t="n">
        <v>4410</v>
      </c>
      <c r="R264" t="inlineStr">
        <is>
          <t>SUBDIRECCION OPERACIONES DE CARTERA</t>
        </is>
      </c>
      <c r="S264" t="n">
        <v>44100</v>
      </c>
      <c r="T264" t="inlineStr">
        <is>
          <t>SUBDIRECCION OPERACIONES DE CARTERA</t>
        </is>
      </c>
      <c r="U264" t="n">
        <v>441000</v>
      </c>
      <c r="V264" t="inlineStr">
        <is>
          <t>SUBDIRECCION OPERACIONES DE CARTERA</t>
        </is>
      </c>
      <c r="W264" t="n">
        <v>100101</v>
      </c>
      <c r="X264" t="inlineStr">
        <is>
          <t>CORPORATIVO</t>
        </is>
      </c>
      <c r="Y264" t="n">
        <v>9</v>
      </c>
      <c r="Z264" t="inlineStr">
        <is>
          <t>BANCARIO</t>
        </is>
      </c>
      <c r="AA264" t="n">
        <v>1</v>
      </c>
      <c r="AB264" t="inlineStr">
        <is>
          <t>NEGOCIO EN MARCHA</t>
        </is>
      </c>
      <c r="AC264" t="n">
        <v>1</v>
      </c>
      <c r="AD264" t="inlineStr">
        <is>
          <t>BANCO</t>
        </is>
      </c>
      <c r="AE264" t="n">
        <v>1</v>
      </c>
      <c r="AF264" t="inlineStr">
        <is>
          <t>BACK</t>
        </is>
      </c>
      <c r="AG264" t="n">
        <v>100101</v>
      </c>
      <c r="AH264" t="inlineStr">
        <is>
          <t>CORPORATIVO</t>
        </is>
      </c>
      <c r="AI264" t="inlineStr">
        <is>
          <t>MPALACIOS@BANCOBASE.COM</t>
        </is>
      </c>
      <c r="AJ264" s="151" t="n">
        <v>41701</v>
      </c>
      <c r="AK264" s="151" t="n"/>
      <c r="AL264" s="151" t="n"/>
    </row>
    <row r="265" hidden="1" s="150">
      <c r="A265" t="inlineStr">
        <is>
          <t>CLARAC</t>
        </is>
      </c>
      <c r="B265" t="n">
        <v>2261</v>
      </c>
      <c r="C265" t="inlineStr">
        <is>
          <t>CYNTHIA IRASEMA LARA CORONADO</t>
        </is>
      </c>
      <c r="D265" t="n">
        <v>9132</v>
      </c>
      <c r="E265" t="inlineStr">
        <is>
          <t>ANALISTA OPERACIONES DE CARTERA SR</t>
        </is>
      </c>
      <c r="F265" t="inlineStr">
        <is>
          <t>MONTERREY</t>
        </is>
      </c>
      <c r="G265" t="n">
        <v>1121</v>
      </c>
      <c r="H265" t="inlineStr">
        <is>
          <t>MONICA LIZETH PALACIOS GLORIA</t>
        </is>
      </c>
      <c r="I265" t="n">
        <v>5101</v>
      </c>
      <c r="J265" t="inlineStr">
        <is>
          <t>LIDER DE OPERACIONES DE CARTERA</t>
        </is>
      </c>
      <c r="K265" t="n">
        <v>1</v>
      </c>
      <c r="L265" t="inlineStr">
        <is>
          <t>PRESIDENCIA EJECUTIVA DEL CONSEJO</t>
        </is>
      </c>
      <c r="M265" t="n">
        <v>40</v>
      </c>
      <c r="N265" t="inlineStr">
        <is>
          <t>DIRECCION GENERAL BANCO BASE</t>
        </is>
      </c>
      <c r="O265" t="n">
        <v>440</v>
      </c>
      <c r="P265" t="inlineStr">
        <is>
          <t>DIRECCION DE CONTRALORIA Y PREVENCION</t>
        </is>
      </c>
      <c r="Q265" t="n">
        <v>4410</v>
      </c>
      <c r="R265" t="inlineStr">
        <is>
          <t>SUBDIRECCION OPERACIONES DE CARTERA</t>
        </is>
      </c>
      <c r="S265" t="n">
        <v>44100</v>
      </c>
      <c r="T265" t="inlineStr">
        <is>
          <t>SUBDIRECCION OPERACIONES DE CARTERA</t>
        </is>
      </c>
      <c r="U265" t="n">
        <v>441000</v>
      </c>
      <c r="V265" t="inlineStr">
        <is>
          <t>SUBDIRECCION OPERACIONES DE CARTERA</t>
        </is>
      </c>
      <c r="W265" t="n">
        <v>100101</v>
      </c>
      <c r="X265" t="inlineStr">
        <is>
          <t>CORPORATIVO</t>
        </is>
      </c>
      <c r="Y265" t="n">
        <v>4</v>
      </c>
      <c r="Z265" t="inlineStr">
        <is>
          <t>CORPORATIVO</t>
        </is>
      </c>
      <c r="AA265" t="n">
        <v>1</v>
      </c>
      <c r="AB265" t="inlineStr">
        <is>
          <t>NEGOCIO EN MARCHA</t>
        </is>
      </c>
      <c r="AC265" t="n">
        <v>1</v>
      </c>
      <c r="AD265" t="inlineStr">
        <is>
          <t>BANCO</t>
        </is>
      </c>
      <c r="AE265" t="n">
        <v>1</v>
      </c>
      <c r="AF265" t="inlineStr">
        <is>
          <t>BACK</t>
        </is>
      </c>
      <c r="AG265" t="n">
        <v>100101</v>
      </c>
      <c r="AH265" t="inlineStr">
        <is>
          <t>CORPORATIVO</t>
        </is>
      </c>
      <c r="AI265" t="inlineStr">
        <is>
          <t>CLARAC@BANCOBASE.COM</t>
        </is>
      </c>
      <c r="AJ265" s="151" t="n">
        <v>43617</v>
      </c>
      <c r="AK265" s="151" t="n"/>
      <c r="AL265" s="151" t="n"/>
    </row>
    <row r="266" hidden="1" s="150">
      <c r="A266" t="inlineStr">
        <is>
          <t>NZAMORA</t>
        </is>
      </c>
      <c r="B266" t="n">
        <v>2491</v>
      </c>
      <c r="C266" t="inlineStr">
        <is>
          <t>NAYELI ZAMORA MARTINEZ</t>
        </is>
      </c>
      <c r="D266" t="n">
        <v>10090</v>
      </c>
      <c r="E266" t="inlineStr">
        <is>
          <t>ANALISTA OPERACIONES DE CARTERA</t>
        </is>
      </c>
      <c r="F266" t="inlineStr">
        <is>
          <t>MONTERREY</t>
        </is>
      </c>
      <c r="G266" t="n">
        <v>1121</v>
      </c>
      <c r="H266" t="inlineStr">
        <is>
          <t>MONICA LIZETH PALACIOS GLORIA</t>
        </is>
      </c>
      <c r="I266" t="n">
        <v>5101</v>
      </c>
      <c r="J266" t="inlineStr">
        <is>
          <t>LIDER DE OPERACIONES DE CARTERA</t>
        </is>
      </c>
      <c r="K266" t="n">
        <v>1</v>
      </c>
      <c r="L266" t="inlineStr">
        <is>
          <t>PRESIDENCIA EJECUTIVA DEL CONSEJO</t>
        </is>
      </c>
      <c r="M266" t="n">
        <v>40</v>
      </c>
      <c r="N266" t="inlineStr">
        <is>
          <t>DIRECCION GENERAL BANCO BASE</t>
        </is>
      </c>
      <c r="O266" t="n">
        <v>440</v>
      </c>
      <c r="P266" t="inlineStr">
        <is>
          <t>DIRECCION DE CONTRALORIA Y PREVENCION</t>
        </is>
      </c>
      <c r="Q266" t="n">
        <v>4410</v>
      </c>
      <c r="R266" t="inlineStr">
        <is>
          <t>SUBDIRECCION OPERACIONES DE CARTERA</t>
        </is>
      </c>
      <c r="S266" t="n">
        <v>44100</v>
      </c>
      <c r="T266" t="inlineStr">
        <is>
          <t>SUBDIRECCION OPERACIONES DE CARTERA</t>
        </is>
      </c>
      <c r="U266" t="n">
        <v>441000</v>
      </c>
      <c r="V266" t="inlineStr">
        <is>
          <t>SUBDIRECCION OPERACIONES DE CARTERA</t>
        </is>
      </c>
      <c r="W266" t="n">
        <v>100101</v>
      </c>
      <c r="X266" t="inlineStr">
        <is>
          <t>CORPORATIVO</t>
        </is>
      </c>
      <c r="Y266" t="n">
        <v>4</v>
      </c>
      <c r="Z266" t="inlineStr">
        <is>
          <t>CORPORATIVO</t>
        </is>
      </c>
      <c r="AA266" t="n">
        <v>1</v>
      </c>
      <c r="AB266" t="inlineStr">
        <is>
          <t>NEGOCIO EN MARCHA</t>
        </is>
      </c>
      <c r="AC266" t="n">
        <v>1</v>
      </c>
      <c r="AD266" t="inlineStr">
        <is>
          <t>BANCO</t>
        </is>
      </c>
      <c r="AE266" t="n">
        <v>1</v>
      </c>
      <c r="AF266" t="inlineStr">
        <is>
          <t>BACK</t>
        </is>
      </c>
      <c r="AG266" t="n">
        <v>100101</v>
      </c>
      <c r="AH266" t="inlineStr">
        <is>
          <t>CORPORATIVO</t>
        </is>
      </c>
      <c r="AI266" t="inlineStr">
        <is>
          <t>NZAMORA@BANCOBASE.COM</t>
        </is>
      </c>
      <c r="AJ266" s="151" t="n">
        <v>44302</v>
      </c>
      <c r="AK266" s="151" t="n"/>
      <c r="AL266" s="151" t="n"/>
    </row>
    <row r="267" hidden="1" s="150">
      <c r="A267" t="inlineStr">
        <is>
          <t>ECORNEJO</t>
        </is>
      </c>
      <c r="B267" t="n">
        <v>1239</v>
      </c>
      <c r="C267" t="inlineStr">
        <is>
          <t>ELVIRA GUILLERMINA CORNEJO GONZALEZ</t>
        </is>
      </c>
      <c r="D267" t="n">
        <v>10078</v>
      </c>
      <c r="E267" t="inlineStr">
        <is>
          <t>DIRECTOR DE CONTRALORIA</t>
        </is>
      </c>
      <c r="F267" t="inlineStr">
        <is>
          <t>MONTERREY</t>
        </is>
      </c>
      <c r="G267" t="n">
        <v>989</v>
      </c>
      <c r="H267" t="inlineStr">
        <is>
          <t>SERGIO CORTES FERNANDEZ</t>
        </is>
      </c>
      <c r="I267" t="n">
        <v>1007</v>
      </c>
      <c r="J267" t="inlineStr">
        <is>
          <t>DIRECTOR DE CONTRALORIA Y PREVENCION</t>
        </is>
      </c>
      <c r="K267" t="n">
        <v>1</v>
      </c>
      <c r="L267" t="inlineStr">
        <is>
          <t>PRESIDENCIA EJECUTIVA DEL CONSEJO</t>
        </is>
      </c>
      <c r="M267" t="n">
        <v>40</v>
      </c>
      <c r="N267" t="inlineStr">
        <is>
          <t>DIRECCION GENERAL BANCO BASE</t>
        </is>
      </c>
      <c r="O267" t="n">
        <v>440</v>
      </c>
      <c r="P267" t="inlineStr">
        <is>
          <t>DIRECCION DE CONTRALORIA Y PREVENCION</t>
        </is>
      </c>
      <c r="Q267" t="n">
        <v>4460</v>
      </c>
      <c r="R267" t="inlineStr">
        <is>
          <t>DIRECCION DE CONTRALORIA</t>
        </is>
      </c>
      <c r="S267" t="n">
        <v>44600</v>
      </c>
      <c r="T267" t="inlineStr">
        <is>
          <t>DIRECCION DE CONTRALORIA</t>
        </is>
      </c>
      <c r="U267" t="n">
        <v>446000</v>
      </c>
      <c r="V267" t="inlineStr">
        <is>
          <t>DIRECCION DE CONTRALORIA</t>
        </is>
      </c>
      <c r="W267" t="n">
        <v>100101</v>
      </c>
      <c r="X267" t="inlineStr">
        <is>
          <t>CORPORATIVO</t>
        </is>
      </c>
      <c r="Y267" t="n">
        <v>4</v>
      </c>
      <c r="Z267" t="inlineStr">
        <is>
          <t>CORPORATIVO</t>
        </is>
      </c>
      <c r="AA267" t="n">
        <v>1</v>
      </c>
      <c r="AB267" t="inlineStr">
        <is>
          <t>NEGOCIO EN MARCHA</t>
        </is>
      </c>
      <c r="AC267" t="n">
        <v>1</v>
      </c>
      <c r="AD267" t="inlineStr">
        <is>
          <t>BANCO</t>
        </is>
      </c>
      <c r="AE267" t="n">
        <v>1</v>
      </c>
      <c r="AF267" t="inlineStr">
        <is>
          <t>BACK</t>
        </is>
      </c>
      <c r="AG267" t="n">
        <v>100101</v>
      </c>
      <c r="AH267" t="inlineStr">
        <is>
          <t>CORPORATIVO</t>
        </is>
      </c>
      <c r="AI267" t="inlineStr">
        <is>
          <t>ECORNEJO@BANCOBASE.COM</t>
        </is>
      </c>
      <c r="AJ267" s="151" t="n">
        <v>41981</v>
      </c>
      <c r="AK267" s="151" t="n"/>
      <c r="AL267" s="151" t="n"/>
    </row>
    <row r="268" hidden="1" s="150">
      <c r="A268" t="inlineStr">
        <is>
          <t>MBAEZ</t>
        </is>
      </c>
      <c r="B268" t="n">
        <v>284</v>
      </c>
      <c r="C268" t="inlineStr">
        <is>
          <t>MERCED MAGDALENA BAEZ SALAZAR</t>
        </is>
      </c>
      <c r="D268" t="n">
        <v>8236</v>
      </c>
      <c r="E268" t="inlineStr">
        <is>
          <t>SUBDIRECTOR DE CONTROL DE DATOS</t>
        </is>
      </c>
      <c r="F268" t="inlineStr">
        <is>
          <t>MONTERREY</t>
        </is>
      </c>
      <c r="G268" t="n">
        <v>1239</v>
      </c>
      <c r="H268" t="inlineStr">
        <is>
          <t>ELVIRA GUILLERMINA CORNEJO GONZALEZ</t>
        </is>
      </c>
      <c r="I268" t="n">
        <v>10078</v>
      </c>
      <c r="J268" t="inlineStr">
        <is>
          <t>DIRECTOR DE CONTRALORIA</t>
        </is>
      </c>
      <c r="K268" t="n">
        <v>1</v>
      </c>
      <c r="L268" t="inlineStr">
        <is>
          <t>PRESIDENCIA EJECUTIVA DEL CONSEJO</t>
        </is>
      </c>
      <c r="M268" t="n">
        <v>40</v>
      </c>
      <c r="N268" t="inlineStr">
        <is>
          <t>DIRECCION GENERAL BANCO BASE</t>
        </is>
      </c>
      <c r="O268" t="n">
        <v>440</v>
      </c>
      <c r="P268" t="inlineStr">
        <is>
          <t>DIRECCION DE CONTRALORIA Y PREVENCION</t>
        </is>
      </c>
      <c r="Q268" t="n">
        <v>4460</v>
      </c>
      <c r="R268" t="inlineStr">
        <is>
          <t>DIRECCION DE CONTRALORIA</t>
        </is>
      </c>
      <c r="S268" t="n">
        <v>44610</v>
      </c>
      <c r="T268" t="inlineStr">
        <is>
          <t>SUBDIRECCION DE CONTROL DE DATOS</t>
        </is>
      </c>
      <c r="U268" t="n">
        <v>413111</v>
      </c>
      <c r="V268" t="inlineStr">
        <is>
          <t>SUBDIRECCION DE CONTROL DE DATOS</t>
        </is>
      </c>
      <c r="W268" t="n">
        <v>100101</v>
      </c>
      <c r="X268" t="inlineStr">
        <is>
          <t>CORPORATIVO</t>
        </is>
      </c>
      <c r="Y268" t="n">
        <v>4</v>
      </c>
      <c r="Z268" t="inlineStr">
        <is>
          <t>CORPORATIVO</t>
        </is>
      </c>
      <c r="AA268" t="n">
        <v>1</v>
      </c>
      <c r="AB268" t="inlineStr">
        <is>
          <t>NEGOCIO EN MARCHA</t>
        </is>
      </c>
      <c r="AC268" t="n">
        <v>1</v>
      </c>
      <c r="AD268" t="inlineStr">
        <is>
          <t>BANCO</t>
        </is>
      </c>
      <c r="AE268" t="n">
        <v>1</v>
      </c>
      <c r="AF268" t="inlineStr">
        <is>
          <t>BACK</t>
        </is>
      </c>
      <c r="AG268" t="n">
        <v>100101</v>
      </c>
      <c r="AH268" t="inlineStr">
        <is>
          <t>CORPORATIVO</t>
        </is>
      </c>
      <c r="AI268" t="inlineStr">
        <is>
          <t>MBAEZ@BANCOBASE.COM</t>
        </is>
      </c>
      <c r="AJ268" s="151" t="n">
        <v>38534</v>
      </c>
      <c r="AK268" s="151" t="n"/>
      <c r="AL268" s="151" t="n"/>
    </row>
    <row r="269" hidden="1" s="150">
      <c r="A269" t="inlineStr">
        <is>
          <t>MLARA</t>
        </is>
      </c>
      <c r="B269" t="n">
        <v>1748</v>
      </c>
      <c r="C269" t="inlineStr">
        <is>
          <t>MIRNA KARINA LARA TERREROS</t>
        </is>
      </c>
      <c r="D269" t="n">
        <v>10101</v>
      </c>
      <c r="E269" t="inlineStr">
        <is>
          <t>GERENTE DE CALIDAD DE DATOS</t>
        </is>
      </c>
      <c r="F269" t="inlineStr">
        <is>
          <t>MONTERREY</t>
        </is>
      </c>
      <c r="G269" t="n">
        <v>284</v>
      </c>
      <c r="H269" t="inlineStr">
        <is>
          <t>MERCED MAGDALENA BAEZ SALAZAR</t>
        </is>
      </c>
      <c r="I269" t="n">
        <v>8236</v>
      </c>
      <c r="J269" t="inlineStr">
        <is>
          <t>SUBDIRECTOR DE CONTROL DE DATOS</t>
        </is>
      </c>
      <c r="K269" t="n">
        <v>1</v>
      </c>
      <c r="L269" t="inlineStr">
        <is>
          <t>PRESIDENCIA EJECUTIVA DEL CONSEJO</t>
        </is>
      </c>
      <c r="M269" t="n">
        <v>40</v>
      </c>
      <c r="N269" t="inlineStr">
        <is>
          <t>DIRECCION GENERAL BANCO BASE</t>
        </is>
      </c>
      <c r="O269" t="n">
        <v>440</v>
      </c>
      <c r="P269" t="inlineStr">
        <is>
          <t>DIRECCION DE CONTRALORIA Y PREVENCION</t>
        </is>
      </c>
      <c r="Q269" t="n">
        <v>4460</v>
      </c>
      <c r="R269" t="inlineStr">
        <is>
          <t>DIRECCION DE CONTRALORIA</t>
        </is>
      </c>
      <c r="S269" t="n">
        <v>44610</v>
      </c>
      <c r="T269" t="inlineStr">
        <is>
          <t>SUBDIRECCION DE CONTROL DE DATOS</t>
        </is>
      </c>
      <c r="U269" t="n">
        <v>413111</v>
      </c>
      <c r="V269" t="inlineStr">
        <is>
          <t>SUBDIRECCION DE CONTROL DE DATOS</t>
        </is>
      </c>
      <c r="W269" t="n">
        <v>100101</v>
      </c>
      <c r="X269" t="inlineStr">
        <is>
          <t>CORPORATIVO</t>
        </is>
      </c>
      <c r="Y269" t="n">
        <v>4</v>
      </c>
      <c r="Z269" t="inlineStr">
        <is>
          <t>CORPORATIVO</t>
        </is>
      </c>
      <c r="AA269" t="n">
        <v>1</v>
      </c>
      <c r="AB269" t="inlineStr">
        <is>
          <t>NEGOCIO EN MARCHA</t>
        </is>
      </c>
      <c r="AC269" t="n">
        <v>1</v>
      </c>
      <c r="AD269" t="inlineStr">
        <is>
          <t>BANCO</t>
        </is>
      </c>
      <c r="AE269" t="n">
        <v>1</v>
      </c>
      <c r="AF269" t="inlineStr">
        <is>
          <t>BACK</t>
        </is>
      </c>
      <c r="AG269" t="n">
        <v>100101</v>
      </c>
      <c r="AH269" t="inlineStr">
        <is>
          <t>CORPORATIVO</t>
        </is>
      </c>
      <c r="AI269" t="inlineStr">
        <is>
          <t>MLARA@BANCOBASE.COM</t>
        </is>
      </c>
      <c r="AJ269" s="151" t="n">
        <v>42842</v>
      </c>
      <c r="AK269" s="151" t="n"/>
      <c r="AL269" s="151" t="n"/>
    </row>
    <row r="270" hidden="1" s="150">
      <c r="A270" t="inlineStr">
        <is>
          <t>KMARTINEZP</t>
        </is>
      </c>
      <c r="B270" t="n">
        <v>3444</v>
      </c>
      <c r="C270" t="inlineStr">
        <is>
          <t>KAREN SOFIA MARTINEZ PALOMO</t>
        </is>
      </c>
      <c r="D270" t="n">
        <v>8276</v>
      </c>
      <c r="E270" t="inlineStr">
        <is>
          <t>ESPECIALISTA DE CALIDAD DE DATOS</t>
        </is>
      </c>
      <c r="F270" t="inlineStr">
        <is>
          <t>MONTERREY</t>
        </is>
      </c>
      <c r="G270" t="n">
        <v>1748</v>
      </c>
      <c r="H270" t="inlineStr">
        <is>
          <t>MIRNA KARINA LARA TERREROS</t>
        </is>
      </c>
      <c r="I270" t="n">
        <v>10101</v>
      </c>
      <c r="J270" t="inlineStr">
        <is>
          <t>GERENTE DE CALIDAD DE DATOS</t>
        </is>
      </c>
      <c r="K270" t="n">
        <v>1</v>
      </c>
      <c r="L270" t="inlineStr">
        <is>
          <t>PRESIDENCIA EJECUTIVA DEL CONSEJO</t>
        </is>
      </c>
      <c r="M270" t="n">
        <v>40</v>
      </c>
      <c r="N270" t="inlineStr">
        <is>
          <t>DIRECCION GENERAL BANCO BASE</t>
        </is>
      </c>
      <c r="O270" t="n">
        <v>440</v>
      </c>
      <c r="P270" t="inlineStr">
        <is>
          <t>DIRECCION DE CONTRALORIA Y PREVENCION</t>
        </is>
      </c>
      <c r="Q270" t="n">
        <v>4460</v>
      </c>
      <c r="R270" t="inlineStr">
        <is>
          <t>DIRECCION DE CONTRALORIA</t>
        </is>
      </c>
      <c r="S270" t="n">
        <v>44610</v>
      </c>
      <c r="T270" t="inlineStr">
        <is>
          <t>SUBDIRECCION DE CONTROL DE DATOS</t>
        </is>
      </c>
      <c r="U270" t="n">
        <v>413111</v>
      </c>
      <c r="V270" t="inlineStr">
        <is>
          <t>SUBDIRECCION DE CONTROL DE DATOS</t>
        </is>
      </c>
      <c r="W270" t="n">
        <v>100101</v>
      </c>
      <c r="X270" t="inlineStr">
        <is>
          <t>CORPORATIVO</t>
        </is>
      </c>
      <c r="Y270" t="n">
        <v>4</v>
      </c>
      <c r="Z270" t="inlineStr">
        <is>
          <t>CORPORATIVO</t>
        </is>
      </c>
      <c r="AA270" t="n">
        <v>1</v>
      </c>
      <c r="AB270" t="inlineStr">
        <is>
          <t>NEGOCIO EN MARCHA</t>
        </is>
      </c>
      <c r="AC270" t="n">
        <v>1</v>
      </c>
      <c r="AD270" t="inlineStr">
        <is>
          <t>BANCO</t>
        </is>
      </c>
      <c r="AE270" t="n">
        <v>1</v>
      </c>
      <c r="AF270" t="inlineStr">
        <is>
          <t>BACK</t>
        </is>
      </c>
      <c r="AG270" t="n">
        <v>100101</v>
      </c>
      <c r="AH270" t="inlineStr">
        <is>
          <t>CORPORATIVO</t>
        </is>
      </c>
      <c r="AI270" t="inlineStr">
        <is>
          <t>KMARTINEZP@BANCOBASE.COM</t>
        </is>
      </c>
      <c r="AJ270" s="151" t="n">
        <v>45810</v>
      </c>
      <c r="AK270" s="151" t="n"/>
      <c r="AL270" s="151" t="n"/>
    </row>
    <row r="271" hidden="1" s="150">
      <c r="A271" t="inlineStr">
        <is>
          <t>PRODRIGUEZ</t>
        </is>
      </c>
      <c r="B271" t="n">
        <v>2232</v>
      </c>
      <c r="C271" t="inlineStr">
        <is>
          <t>PERLA DANIELA RODRIGUEZ ZAMARRON</t>
        </is>
      </c>
      <c r="D271" t="n">
        <v>9885</v>
      </c>
      <c r="E271" t="inlineStr">
        <is>
          <t>ESPECIALISTA DE CALIDAD DE DATOS</t>
        </is>
      </c>
      <c r="F271" t="inlineStr">
        <is>
          <t>MONTERREY</t>
        </is>
      </c>
      <c r="G271" t="n">
        <v>1748</v>
      </c>
      <c r="H271" t="inlineStr">
        <is>
          <t>MIRNA KARINA LARA TERREROS</t>
        </is>
      </c>
      <c r="I271" t="n">
        <v>10101</v>
      </c>
      <c r="J271" t="inlineStr">
        <is>
          <t>GERENTE DE CALIDAD DE DATOS</t>
        </is>
      </c>
      <c r="K271" t="n">
        <v>1</v>
      </c>
      <c r="L271" t="inlineStr">
        <is>
          <t>PRESIDENCIA EJECUTIVA DEL CONSEJO</t>
        </is>
      </c>
      <c r="M271" t="n">
        <v>40</v>
      </c>
      <c r="N271" t="inlineStr">
        <is>
          <t>DIRECCION GENERAL BANCO BASE</t>
        </is>
      </c>
      <c r="O271" t="n">
        <v>440</v>
      </c>
      <c r="P271" t="inlineStr">
        <is>
          <t>DIRECCION DE CONTRALORIA Y PREVENCION</t>
        </is>
      </c>
      <c r="Q271" t="n">
        <v>4460</v>
      </c>
      <c r="R271" t="inlineStr">
        <is>
          <t>DIRECCION DE CONTRALORIA</t>
        </is>
      </c>
      <c r="S271" t="n">
        <v>44610</v>
      </c>
      <c r="T271" t="inlineStr">
        <is>
          <t>SUBDIRECCION DE CONTROL DE DATOS</t>
        </is>
      </c>
      <c r="U271" t="n">
        <v>413111</v>
      </c>
      <c r="V271" t="inlineStr">
        <is>
          <t>SUBDIRECCION DE CONTROL DE DATOS</t>
        </is>
      </c>
      <c r="W271" t="n">
        <v>100101</v>
      </c>
      <c r="X271" t="inlineStr">
        <is>
          <t>CORPORATIVO</t>
        </is>
      </c>
      <c r="Y271" t="n">
        <v>4</v>
      </c>
      <c r="Z271" t="inlineStr">
        <is>
          <t>CORPORATIVO</t>
        </is>
      </c>
      <c r="AA271" t="n">
        <v>1</v>
      </c>
      <c r="AB271" t="inlineStr">
        <is>
          <t>NEGOCIO EN MARCHA</t>
        </is>
      </c>
      <c r="AC271" t="n">
        <v>1</v>
      </c>
      <c r="AD271" t="inlineStr">
        <is>
          <t>BANCO</t>
        </is>
      </c>
      <c r="AE271" t="n">
        <v>1</v>
      </c>
      <c r="AF271" t="inlineStr">
        <is>
          <t>BACK</t>
        </is>
      </c>
      <c r="AG271" t="n">
        <v>100101</v>
      </c>
      <c r="AH271" t="inlineStr">
        <is>
          <t>CORPORATIVO</t>
        </is>
      </c>
      <c r="AI271" t="inlineStr">
        <is>
          <t>PRODRIGUEZ@BANCOBASE.COM</t>
        </is>
      </c>
      <c r="AJ271" s="151" t="n">
        <v>43586</v>
      </c>
      <c r="AK271" s="151" t="n"/>
      <c r="AL271" s="151" t="n"/>
    </row>
    <row r="272" hidden="1" s="150">
      <c r="A272" t="inlineStr">
        <is>
          <t>RMARTINEA</t>
        </is>
      </c>
      <c r="B272" t="n">
        <v>2935</v>
      </c>
      <c r="C272" t="inlineStr">
        <is>
          <t>RODOLFO MARTINEZ ACOSTA</t>
        </is>
      </c>
      <c r="D272" t="n">
        <v>10163</v>
      </c>
      <c r="E272" t="inlineStr">
        <is>
          <t>ANALISTA DE CALIDAD DE DATOS</t>
        </is>
      </c>
      <c r="F272" t="inlineStr">
        <is>
          <t>MONTERREY</t>
        </is>
      </c>
      <c r="G272" t="n">
        <v>1748</v>
      </c>
      <c r="H272" t="inlineStr">
        <is>
          <t>MIRNA KARINA LARA TERREROS</t>
        </is>
      </c>
      <c r="I272" t="n">
        <v>10101</v>
      </c>
      <c r="J272" t="inlineStr">
        <is>
          <t>GERENTE DE CALIDAD DE DATOS</t>
        </is>
      </c>
      <c r="K272" t="n">
        <v>1</v>
      </c>
      <c r="L272" t="inlineStr">
        <is>
          <t>PRESIDENCIA EJECUTIVA DEL CONSEJO</t>
        </is>
      </c>
      <c r="M272" t="n">
        <v>40</v>
      </c>
      <c r="N272" t="inlineStr">
        <is>
          <t>DIRECCION GENERAL BANCO BASE</t>
        </is>
      </c>
      <c r="O272" t="n">
        <v>440</v>
      </c>
      <c r="P272" t="inlineStr">
        <is>
          <t>DIRECCION DE CONTRALORIA Y PREVENCION</t>
        </is>
      </c>
      <c r="Q272" t="n">
        <v>4460</v>
      </c>
      <c r="R272" t="inlineStr">
        <is>
          <t>DIRECCION DE CONTRALORIA</t>
        </is>
      </c>
      <c r="S272" t="n">
        <v>44610</v>
      </c>
      <c r="T272" t="inlineStr">
        <is>
          <t>SUBDIRECCION DE CONTROL DE DATOS</t>
        </is>
      </c>
      <c r="U272" t="n">
        <v>413111</v>
      </c>
      <c r="V272" t="inlineStr">
        <is>
          <t>SUBDIRECCION DE CONTROL DE DATOS</t>
        </is>
      </c>
      <c r="W272" t="n">
        <v>100101</v>
      </c>
      <c r="X272" t="inlineStr">
        <is>
          <t>CORPORATIVO</t>
        </is>
      </c>
      <c r="Y272" t="n">
        <v>4</v>
      </c>
      <c r="Z272" t="inlineStr">
        <is>
          <t>CORPORATIVO</t>
        </is>
      </c>
      <c r="AA272" t="n">
        <v>1</v>
      </c>
      <c r="AB272" t="inlineStr">
        <is>
          <t>NEGOCIO EN MARCHA</t>
        </is>
      </c>
      <c r="AC272" t="n">
        <v>1</v>
      </c>
      <c r="AD272" t="inlineStr">
        <is>
          <t>BANCO</t>
        </is>
      </c>
      <c r="AE272" t="n">
        <v>1</v>
      </c>
      <c r="AF272" t="inlineStr">
        <is>
          <t>BACK</t>
        </is>
      </c>
      <c r="AG272" t="n">
        <v>100101</v>
      </c>
      <c r="AH272" t="inlineStr">
        <is>
          <t>CORPORATIVO</t>
        </is>
      </c>
      <c r="AI272" t="inlineStr">
        <is>
          <t>RMARTINEA@BANCOBASE.COM</t>
        </is>
      </c>
      <c r="AJ272" s="151" t="n">
        <v>45139</v>
      </c>
      <c r="AK272" s="151" t="n"/>
      <c r="AL272" s="151" t="n"/>
    </row>
    <row r="273" hidden="1" s="150">
      <c r="A273" t="inlineStr">
        <is>
          <t>AOCHOAG</t>
        </is>
      </c>
      <c r="B273" t="n">
        <v>3443</v>
      </c>
      <c r="C273" t="inlineStr">
        <is>
          <t>ALAN OCHOA GONZALEZ</t>
        </is>
      </c>
      <c r="D273" t="n">
        <v>8677</v>
      </c>
      <c r="E273" t="inlineStr">
        <is>
          <t>ANALISTA DE CALIDAD DE DATOS</t>
        </is>
      </c>
      <c r="F273" t="inlineStr">
        <is>
          <t>MONTERREY</t>
        </is>
      </c>
      <c r="G273" t="n">
        <v>1748</v>
      </c>
      <c r="H273" t="inlineStr">
        <is>
          <t>MIRNA KARINA LARA TERREROS</t>
        </is>
      </c>
      <c r="I273" t="n">
        <v>10101</v>
      </c>
      <c r="J273" t="inlineStr">
        <is>
          <t>GERENTE DE CALIDAD DE DATOS</t>
        </is>
      </c>
      <c r="K273" t="n">
        <v>1</v>
      </c>
      <c r="L273" t="inlineStr">
        <is>
          <t>PRESIDENCIA EJECUTIVA DEL CONSEJO</t>
        </is>
      </c>
      <c r="M273" t="n">
        <v>40</v>
      </c>
      <c r="N273" t="inlineStr">
        <is>
          <t>DIRECCION GENERAL BANCO BASE</t>
        </is>
      </c>
      <c r="O273" t="n">
        <v>440</v>
      </c>
      <c r="P273" t="inlineStr">
        <is>
          <t>DIRECCION DE CONTRALORIA Y PREVENCION</t>
        </is>
      </c>
      <c r="Q273" t="n">
        <v>4460</v>
      </c>
      <c r="R273" t="inlineStr">
        <is>
          <t>DIRECCION DE CONTRALORIA</t>
        </is>
      </c>
      <c r="S273" t="n">
        <v>44610</v>
      </c>
      <c r="T273" t="inlineStr">
        <is>
          <t>SUBDIRECCION DE CONTROL DE DATOS</t>
        </is>
      </c>
      <c r="U273" t="n">
        <v>413111</v>
      </c>
      <c r="V273" t="inlineStr">
        <is>
          <t>SUBDIRECCION DE CONTROL DE DATOS</t>
        </is>
      </c>
      <c r="W273" t="n">
        <v>100101</v>
      </c>
      <c r="X273" t="inlineStr">
        <is>
          <t>CORPORATIVO</t>
        </is>
      </c>
      <c r="Y273" t="n">
        <v>4</v>
      </c>
      <c r="Z273" t="inlineStr">
        <is>
          <t>CORPORATIVO</t>
        </is>
      </c>
      <c r="AA273" t="n">
        <v>1</v>
      </c>
      <c r="AB273" t="inlineStr">
        <is>
          <t>NEGOCIO EN MARCHA</t>
        </is>
      </c>
      <c r="AC273" t="n">
        <v>1</v>
      </c>
      <c r="AD273" t="inlineStr">
        <is>
          <t>BANCO</t>
        </is>
      </c>
      <c r="AE273" t="n">
        <v>1</v>
      </c>
      <c r="AF273" t="inlineStr">
        <is>
          <t>BACK</t>
        </is>
      </c>
      <c r="AG273" t="n">
        <v>100101</v>
      </c>
      <c r="AH273" t="inlineStr">
        <is>
          <t>CORPORATIVO</t>
        </is>
      </c>
      <c r="AI273" t="inlineStr">
        <is>
          <t>AOCHOAG@BANCOBASE.COM</t>
        </is>
      </c>
      <c r="AJ273" s="151" t="n">
        <v>45810</v>
      </c>
      <c r="AK273" s="151" t="n"/>
      <c r="AL273" s="151" t="n"/>
    </row>
    <row r="274" hidden="1" s="150">
      <c r="A274" t="inlineStr">
        <is>
          <t>CLUEVANOC</t>
        </is>
      </c>
      <c r="B274" t="n">
        <v>3344</v>
      </c>
      <c r="C274" t="inlineStr">
        <is>
          <t>CELIA KARINA LUEVANO CAVAZOS</t>
        </is>
      </c>
      <c r="D274" t="n">
        <v>8724</v>
      </c>
      <c r="E274" t="inlineStr">
        <is>
          <t>GERENTE DE ACTUALIZACION DE DATOS</t>
        </is>
      </c>
      <c r="F274" t="inlineStr">
        <is>
          <t>MONTERREY</t>
        </is>
      </c>
      <c r="G274" t="n">
        <v>284</v>
      </c>
      <c r="H274" t="inlineStr">
        <is>
          <t>MERCED MAGDALENA BAEZ SALAZAR</t>
        </is>
      </c>
      <c r="I274" t="n">
        <v>8236</v>
      </c>
      <c r="J274" t="inlineStr">
        <is>
          <t>SUBDIRECTOR DE CONTROL DE DATOS</t>
        </is>
      </c>
      <c r="K274" t="n">
        <v>1</v>
      </c>
      <c r="L274" t="inlineStr">
        <is>
          <t>PRESIDENCIA EJECUTIVA DEL CONSEJO</t>
        </is>
      </c>
      <c r="M274" t="n">
        <v>40</v>
      </c>
      <c r="N274" t="inlineStr">
        <is>
          <t>DIRECCION GENERAL BANCO BASE</t>
        </is>
      </c>
      <c r="O274" t="n">
        <v>440</v>
      </c>
      <c r="P274" t="inlineStr">
        <is>
          <t>DIRECCION DE CONTRALORIA Y PREVENCION</t>
        </is>
      </c>
      <c r="Q274" t="n">
        <v>4460</v>
      </c>
      <c r="R274" t="inlineStr">
        <is>
          <t>DIRECCION DE CONTRALORIA</t>
        </is>
      </c>
      <c r="S274" t="n">
        <v>44610</v>
      </c>
      <c r="T274" t="inlineStr">
        <is>
          <t>SUBDIRECCION DE CONTROL DE DATOS</t>
        </is>
      </c>
      <c r="U274" t="n">
        <v>413111</v>
      </c>
      <c r="V274" t="inlineStr">
        <is>
          <t>SUBDIRECCION DE CONTROL DE DATOS</t>
        </is>
      </c>
      <c r="W274" t="n">
        <v>100101</v>
      </c>
      <c r="X274" t="inlineStr">
        <is>
          <t>CORPORATIVO</t>
        </is>
      </c>
      <c r="Y274" t="n">
        <v>4</v>
      </c>
      <c r="Z274" t="inlineStr">
        <is>
          <t>CORPORATIVO</t>
        </is>
      </c>
      <c r="AA274" t="n">
        <v>1</v>
      </c>
      <c r="AB274" t="inlineStr">
        <is>
          <t>NEGOCIO EN MARCHA</t>
        </is>
      </c>
      <c r="AC274" t="n">
        <v>1</v>
      </c>
      <c r="AD274" t="inlineStr">
        <is>
          <t>BANCO</t>
        </is>
      </c>
      <c r="AE274" t="n">
        <v>1</v>
      </c>
      <c r="AF274" t="inlineStr">
        <is>
          <t>BACK</t>
        </is>
      </c>
      <c r="AG274" t="n">
        <v>100101</v>
      </c>
      <c r="AH274" t="inlineStr">
        <is>
          <t>CORPORATIVO</t>
        </is>
      </c>
      <c r="AI274" t="inlineStr">
        <is>
          <t>CLUEVANOC@BANCOBASE.COM</t>
        </is>
      </c>
      <c r="AJ274" s="151" t="n">
        <v>45705</v>
      </c>
      <c r="AK274" s="151" t="n"/>
      <c r="AL274" s="151" t="n"/>
    </row>
    <row r="275" hidden="1" s="150">
      <c r="A275" t="inlineStr">
        <is>
          <t>APENAVA</t>
        </is>
      </c>
      <c r="B275" t="n">
        <v>2893</v>
      </c>
      <c r="C275" t="inlineStr">
        <is>
          <t>ABRAHAM ULISES PEÑA VARGAS</t>
        </is>
      </c>
      <c r="D275" t="n">
        <v>9432</v>
      </c>
      <c r="E275" t="inlineStr">
        <is>
          <t>COORDINADOR DE CONTROL DE DATOS</t>
        </is>
      </c>
      <c r="F275" t="inlineStr">
        <is>
          <t>MONTERREY</t>
        </is>
      </c>
      <c r="G275" t="n">
        <v>3344</v>
      </c>
      <c r="H275" t="inlineStr">
        <is>
          <t>CELIA KARINA LUEVANO CAVAZOS</t>
        </is>
      </c>
      <c r="I275" t="n">
        <v>8724</v>
      </c>
      <c r="J275" t="inlineStr">
        <is>
          <t>GERENTE DE ACTUALIZACION DE DATOS</t>
        </is>
      </c>
      <c r="K275" t="n">
        <v>1</v>
      </c>
      <c r="L275" t="inlineStr">
        <is>
          <t>PRESIDENCIA EJECUTIVA DEL CONSEJO</t>
        </is>
      </c>
      <c r="M275" t="n">
        <v>40</v>
      </c>
      <c r="N275" t="inlineStr">
        <is>
          <t>DIRECCION GENERAL BANCO BASE</t>
        </is>
      </c>
      <c r="O275" t="n">
        <v>440</v>
      </c>
      <c r="P275" t="inlineStr">
        <is>
          <t>DIRECCION DE CONTRALORIA Y PREVENCION</t>
        </is>
      </c>
      <c r="Q275" t="n">
        <v>4460</v>
      </c>
      <c r="R275" t="inlineStr">
        <is>
          <t>DIRECCION DE CONTRALORIA</t>
        </is>
      </c>
      <c r="S275" t="n">
        <v>44610</v>
      </c>
      <c r="T275" t="inlineStr">
        <is>
          <t>SUBDIRECCION DE CONTROL DE DATOS</t>
        </is>
      </c>
      <c r="U275" t="n">
        <v>413111</v>
      </c>
      <c r="V275" t="inlineStr">
        <is>
          <t>SUBDIRECCION DE CONTROL DE DATOS</t>
        </is>
      </c>
      <c r="W275" t="n">
        <v>100101</v>
      </c>
      <c r="X275" t="inlineStr">
        <is>
          <t>CORPORATIVO</t>
        </is>
      </c>
      <c r="Y275" t="n">
        <v>4</v>
      </c>
      <c r="Z275" t="inlineStr">
        <is>
          <t>CORPORATIVO</t>
        </is>
      </c>
      <c r="AA275" t="n">
        <v>1</v>
      </c>
      <c r="AB275" t="inlineStr">
        <is>
          <t>NEGOCIO EN MARCHA</t>
        </is>
      </c>
      <c r="AC275" t="n">
        <v>1</v>
      </c>
      <c r="AD275" t="inlineStr">
        <is>
          <t>BANCO</t>
        </is>
      </c>
      <c r="AE275" t="n">
        <v>1</v>
      </c>
      <c r="AF275" t="inlineStr">
        <is>
          <t>BACK</t>
        </is>
      </c>
      <c r="AG275" t="n">
        <v>100101</v>
      </c>
      <c r="AH275" t="inlineStr">
        <is>
          <t>CORPORATIVO</t>
        </is>
      </c>
      <c r="AI275" t="inlineStr">
        <is>
          <t>APENAVA@BANCOBASE.COM</t>
        </is>
      </c>
      <c r="AJ275" s="151" t="n">
        <v>45078</v>
      </c>
      <c r="AK275" s="151" t="n"/>
      <c r="AL275" s="151" t="n"/>
    </row>
    <row r="276" hidden="1" s="150">
      <c r="A276" t="inlineStr">
        <is>
          <t>IRUIZ</t>
        </is>
      </c>
      <c r="B276" t="n">
        <v>3902</v>
      </c>
      <c r="C276" t="inlineStr">
        <is>
          <t>ITZEL YARENSI RUIZ AGUIRRE</t>
        </is>
      </c>
      <c r="D276" t="n">
        <v>8152</v>
      </c>
      <c r="E276" t="inlineStr">
        <is>
          <t>EJECUTIVO DE CONTROL DE DATOS</t>
        </is>
      </c>
      <c r="F276" t="inlineStr">
        <is>
          <t>MONTERREY</t>
        </is>
      </c>
      <c r="G276" t="n">
        <v>2893</v>
      </c>
      <c r="H276" t="inlineStr">
        <is>
          <t>ABRAHAM ULISES PEÑA VARGAS</t>
        </is>
      </c>
      <c r="I276" t="n">
        <v>9432</v>
      </c>
      <c r="J276" t="inlineStr">
        <is>
          <t>COORDINADOR DE CONTROL DE DATOS</t>
        </is>
      </c>
      <c r="K276" t="n">
        <v>1</v>
      </c>
      <c r="L276" t="inlineStr">
        <is>
          <t>PRESIDENCIA EJECUTIVA DEL CONSEJO</t>
        </is>
      </c>
      <c r="M276" t="n">
        <v>40</v>
      </c>
      <c r="N276" t="inlineStr">
        <is>
          <t>DIRECCION GENERAL BANCO BASE</t>
        </is>
      </c>
      <c r="O276" t="n">
        <v>440</v>
      </c>
      <c r="P276" t="inlineStr">
        <is>
          <t>DIRECCION DE CONTRALORIA Y PREVENCION</t>
        </is>
      </c>
      <c r="Q276" t="n">
        <v>4460</v>
      </c>
      <c r="R276" t="inlineStr">
        <is>
          <t>DIRECCION DE CONTRALORIA</t>
        </is>
      </c>
      <c r="S276" t="n">
        <v>44610</v>
      </c>
      <c r="T276" t="inlineStr">
        <is>
          <t>SUBDIRECCION DE CONTROL DE DATOS</t>
        </is>
      </c>
      <c r="U276" t="n">
        <v>413111</v>
      </c>
      <c r="V276" t="inlineStr">
        <is>
          <t>SUBDIRECCION DE CONTROL DE DATOS</t>
        </is>
      </c>
      <c r="W276" t="n">
        <v>100101</v>
      </c>
      <c r="X276" t="inlineStr">
        <is>
          <t>CORPORATIVO</t>
        </is>
      </c>
      <c r="Y276" t="n">
        <v>4</v>
      </c>
      <c r="Z276" t="inlineStr">
        <is>
          <t>CORPORATIVO</t>
        </is>
      </c>
      <c r="AA276" t="n">
        <v>1</v>
      </c>
      <c r="AB276" t="inlineStr">
        <is>
          <t>NEGOCIO EN MARCHA</t>
        </is>
      </c>
      <c r="AC276" t="n">
        <v>1</v>
      </c>
      <c r="AD276" t="inlineStr">
        <is>
          <t>BANCO</t>
        </is>
      </c>
      <c r="AE276" t="n">
        <v>1</v>
      </c>
      <c r="AF276" t="inlineStr">
        <is>
          <t>BACK</t>
        </is>
      </c>
      <c r="AG276" t="n">
        <v>100101</v>
      </c>
      <c r="AH276" t="inlineStr">
        <is>
          <t>CORPORATIVO</t>
        </is>
      </c>
      <c r="AI276" t="inlineStr">
        <is>
          <t>IRUIZ@BANCOBASE.COM</t>
        </is>
      </c>
      <c r="AJ276" s="151" t="n">
        <v>46189</v>
      </c>
      <c r="AK276" s="151" t="n"/>
      <c r="AL276" s="151" t="n"/>
    </row>
    <row r="277" hidden="1" s="150">
      <c r="A277" t="inlineStr">
        <is>
          <t>FARRON</t>
        </is>
      </c>
      <c r="B277" t="n">
        <v>3470</v>
      </c>
      <c r="C277" t="inlineStr">
        <is>
          <t>FATIMA JANETH ARRON RAMIREZ</t>
        </is>
      </c>
      <c r="D277" t="n">
        <v>9940</v>
      </c>
      <c r="E277" t="inlineStr">
        <is>
          <t>EJECUTIVO DE CONTROL DE DATOS</t>
        </is>
      </c>
      <c r="F277" t="inlineStr">
        <is>
          <t>MONTERREY</t>
        </is>
      </c>
      <c r="G277" t="n">
        <v>2893</v>
      </c>
      <c r="H277" t="inlineStr">
        <is>
          <t>ABRAHAM ULISES PEÑA VARGAS</t>
        </is>
      </c>
      <c r="I277" t="n">
        <v>9432</v>
      </c>
      <c r="J277" t="inlineStr">
        <is>
          <t>COORDINADOR DE CONTROL DE DATOS</t>
        </is>
      </c>
      <c r="K277" t="n">
        <v>1</v>
      </c>
      <c r="L277" t="inlineStr">
        <is>
          <t>PRESIDENCIA EJECUTIVA DEL CONSEJO</t>
        </is>
      </c>
      <c r="M277" t="n">
        <v>40</v>
      </c>
      <c r="N277" t="inlineStr">
        <is>
          <t>DIRECCION GENERAL BANCO BASE</t>
        </is>
      </c>
      <c r="O277" t="n">
        <v>440</v>
      </c>
      <c r="P277" t="inlineStr">
        <is>
          <t>DIRECCION DE CONTRALORIA Y PREVENCION</t>
        </is>
      </c>
      <c r="Q277" t="n">
        <v>4460</v>
      </c>
      <c r="R277" t="inlineStr">
        <is>
          <t>DIRECCION DE CONTRALORIA</t>
        </is>
      </c>
      <c r="S277" t="n">
        <v>44610</v>
      </c>
      <c r="T277" t="inlineStr">
        <is>
          <t>SUBDIRECCION DE CONTROL DE DATOS</t>
        </is>
      </c>
      <c r="U277" t="n">
        <v>413111</v>
      </c>
      <c r="V277" t="inlineStr">
        <is>
          <t>SUBDIRECCION DE CONTROL DE DATOS</t>
        </is>
      </c>
      <c r="W277" t="n">
        <v>100101</v>
      </c>
      <c r="X277" t="inlineStr">
        <is>
          <t>CORPORATIVO</t>
        </is>
      </c>
      <c r="Y277" t="n">
        <v>4</v>
      </c>
      <c r="Z277" t="inlineStr">
        <is>
          <t>CORPORATIVO</t>
        </is>
      </c>
      <c r="AA277" t="n">
        <v>1</v>
      </c>
      <c r="AB277" t="inlineStr">
        <is>
          <t>NEGOCIO EN MARCHA</t>
        </is>
      </c>
      <c r="AC277" t="n">
        <v>1</v>
      </c>
      <c r="AD277" t="inlineStr">
        <is>
          <t>BANCO</t>
        </is>
      </c>
      <c r="AE277" t="n">
        <v>1</v>
      </c>
      <c r="AF277" t="inlineStr">
        <is>
          <t>BACK</t>
        </is>
      </c>
      <c r="AG277" t="n">
        <v>100101</v>
      </c>
      <c r="AH277" t="inlineStr">
        <is>
          <t>CORPORATIVO</t>
        </is>
      </c>
      <c r="AI277" t="inlineStr">
        <is>
          <t>FARRON@BANCOBASE.COM</t>
        </is>
      </c>
      <c r="AJ277" s="151" t="n">
        <v>45839</v>
      </c>
      <c r="AK277" s="151" t="n"/>
      <c r="AL277" s="151" t="n"/>
    </row>
    <row r="278" hidden="1" s="150">
      <c r="A278" t="inlineStr">
        <is>
          <t>BZUNIGA</t>
        </is>
      </c>
      <c r="B278" t="n">
        <v>3568</v>
      </c>
      <c r="C278" t="inlineStr">
        <is>
          <t>BRANDON ROGELIO ZUÑIGA RODRIGUEZ</t>
        </is>
      </c>
      <c r="D278" t="n">
        <v>8742</v>
      </c>
      <c r="E278" t="inlineStr">
        <is>
          <t>EJECUTIVO DE CONTROL DE DATOS</t>
        </is>
      </c>
      <c r="F278" t="inlineStr">
        <is>
          <t>MONTERREY</t>
        </is>
      </c>
      <c r="G278" t="n">
        <v>2893</v>
      </c>
      <c r="H278" t="inlineStr">
        <is>
          <t>ABRAHAM ULISES PEÑA VARGAS</t>
        </is>
      </c>
      <c r="I278" t="n">
        <v>9432</v>
      </c>
      <c r="J278" t="inlineStr">
        <is>
          <t>COORDINADOR DE CONTROL DE DATOS</t>
        </is>
      </c>
      <c r="K278" t="n">
        <v>1</v>
      </c>
      <c r="L278" t="inlineStr">
        <is>
          <t>PRESIDENCIA EJECUTIVA DEL CONSEJO</t>
        </is>
      </c>
      <c r="M278" t="n">
        <v>40</v>
      </c>
      <c r="N278" t="inlineStr">
        <is>
          <t>DIRECCION GENERAL BANCO BASE</t>
        </is>
      </c>
      <c r="O278" t="n">
        <v>440</v>
      </c>
      <c r="P278" t="inlineStr">
        <is>
          <t>DIRECCION DE CONTRALORIA Y PREVENCION</t>
        </is>
      </c>
      <c r="Q278" t="n">
        <v>4460</v>
      </c>
      <c r="R278" t="inlineStr">
        <is>
          <t>DIRECCION DE CONTRALORIA</t>
        </is>
      </c>
      <c r="S278" t="n">
        <v>44610</v>
      </c>
      <c r="T278" t="inlineStr">
        <is>
          <t>SUBDIRECCION DE CONTROL DE DATOS</t>
        </is>
      </c>
      <c r="U278" t="n">
        <v>413111</v>
      </c>
      <c r="V278" t="inlineStr">
        <is>
          <t>SUBDIRECCION DE CONTROL DE DATOS</t>
        </is>
      </c>
      <c r="W278" t="n">
        <v>100101</v>
      </c>
      <c r="X278" t="inlineStr">
        <is>
          <t>CORPORATIVO</t>
        </is>
      </c>
      <c r="Y278" t="n">
        <v>4</v>
      </c>
      <c r="Z278" t="inlineStr">
        <is>
          <t>CORPORATIVO</t>
        </is>
      </c>
      <c r="AA278" t="n">
        <v>1</v>
      </c>
      <c r="AB278" t="inlineStr">
        <is>
          <t>NEGOCIO EN MARCHA</t>
        </is>
      </c>
      <c r="AC278" t="n">
        <v>1</v>
      </c>
      <c r="AD278" t="inlineStr">
        <is>
          <t>BANCO</t>
        </is>
      </c>
      <c r="AE278" t="n">
        <v>1</v>
      </c>
      <c r="AF278" t="inlineStr">
        <is>
          <t>BACK</t>
        </is>
      </c>
      <c r="AG278" t="n">
        <v>100101</v>
      </c>
      <c r="AH278" t="inlineStr">
        <is>
          <t>CORPORATIVO</t>
        </is>
      </c>
      <c r="AI278" t="inlineStr">
        <is>
          <t>BZUNIGA@BANCOBASE.COM</t>
        </is>
      </c>
      <c r="AJ278" s="151" t="n">
        <v>45917</v>
      </c>
      <c r="AK278" s="151" t="n"/>
      <c r="AL278" s="151" t="n"/>
    </row>
    <row r="279" hidden="1" s="150">
      <c r="A279" t="inlineStr">
        <is>
          <t>KSANCHEZH</t>
        </is>
      </c>
      <c r="B279" t="n">
        <v>3650</v>
      </c>
      <c r="C279" t="inlineStr">
        <is>
          <t>KARIME YISELL SANCHEZ HERNANDEZ</t>
        </is>
      </c>
      <c r="D279" t="n">
        <v>8745</v>
      </c>
      <c r="E279" t="inlineStr">
        <is>
          <t>EJECUTIVO DE CONTROL DE DATOS</t>
        </is>
      </c>
      <c r="F279" t="inlineStr">
        <is>
          <t>MONTERREY</t>
        </is>
      </c>
      <c r="G279" t="n">
        <v>2893</v>
      </c>
      <c r="H279" t="inlineStr">
        <is>
          <t>ABRAHAM ULISES PEÑA VARGAS</t>
        </is>
      </c>
      <c r="I279" t="n">
        <v>9432</v>
      </c>
      <c r="J279" t="inlineStr">
        <is>
          <t>COORDINADOR DE CONTROL DE DATOS</t>
        </is>
      </c>
      <c r="K279" t="n">
        <v>1</v>
      </c>
      <c r="L279" t="inlineStr">
        <is>
          <t>PRESIDENCIA EJECUTIVA DEL CONSEJO</t>
        </is>
      </c>
      <c r="M279" t="n">
        <v>40</v>
      </c>
      <c r="N279" t="inlineStr">
        <is>
          <t>DIRECCION GENERAL BANCO BASE</t>
        </is>
      </c>
      <c r="O279" t="n">
        <v>440</v>
      </c>
      <c r="P279" t="inlineStr">
        <is>
          <t>DIRECCION DE CONTRALORIA Y PREVENCION</t>
        </is>
      </c>
      <c r="Q279" t="n">
        <v>4460</v>
      </c>
      <c r="R279" t="inlineStr">
        <is>
          <t>DIRECCION DE CONTRALORIA</t>
        </is>
      </c>
      <c r="S279" t="n">
        <v>44610</v>
      </c>
      <c r="T279" t="inlineStr">
        <is>
          <t>SUBDIRECCION DE CONTROL DE DATOS</t>
        </is>
      </c>
      <c r="U279" t="n">
        <v>413111</v>
      </c>
      <c r="V279" t="inlineStr">
        <is>
          <t>SUBDIRECCION DE CONTROL DE DATOS</t>
        </is>
      </c>
      <c r="W279" t="n">
        <v>100101</v>
      </c>
      <c r="X279" t="inlineStr">
        <is>
          <t>CORPORATIVO</t>
        </is>
      </c>
      <c r="Y279" t="n">
        <v>4</v>
      </c>
      <c r="Z279" t="inlineStr">
        <is>
          <t>CORPORATIVO</t>
        </is>
      </c>
      <c r="AA279" t="n">
        <v>1</v>
      </c>
      <c r="AB279" t="inlineStr">
        <is>
          <t>NEGOCIO EN MARCHA</t>
        </is>
      </c>
      <c r="AC279" t="n">
        <v>1</v>
      </c>
      <c r="AD279" t="inlineStr">
        <is>
          <t>BANCO</t>
        </is>
      </c>
      <c r="AE279" t="n">
        <v>1</v>
      </c>
      <c r="AF279" t="inlineStr">
        <is>
          <t>BACK</t>
        </is>
      </c>
      <c r="AG279" t="n">
        <v>100101</v>
      </c>
      <c r="AH279" t="inlineStr">
        <is>
          <t>CORPORATIVO</t>
        </is>
      </c>
      <c r="AI279" t="inlineStr">
        <is>
          <t>KSANCHEZH@BANCOBASE.COM</t>
        </is>
      </c>
      <c r="AJ279" s="151" t="n">
        <v>45964</v>
      </c>
      <c r="AK279" s="151" t="n"/>
      <c r="AL279" s="151" t="n"/>
    </row>
    <row r="280" hidden="1" s="150">
      <c r="A280" t="inlineStr">
        <is>
          <t>LGARCIAR</t>
        </is>
      </c>
      <c r="B280" t="n">
        <v>3649</v>
      </c>
      <c r="C280" t="inlineStr">
        <is>
          <t>LUIS CARLOS GARCIA RODRIGUEZ</t>
        </is>
      </c>
      <c r="D280" t="n">
        <v>8746</v>
      </c>
      <c r="E280" t="inlineStr">
        <is>
          <t>EJECUTIVO DE CONTROL DE DATOS</t>
        </is>
      </c>
      <c r="F280" t="inlineStr">
        <is>
          <t>MONTERREY</t>
        </is>
      </c>
      <c r="G280" t="n">
        <v>2893</v>
      </c>
      <c r="H280" t="inlineStr">
        <is>
          <t>ABRAHAM ULISES PEÑA VARGAS</t>
        </is>
      </c>
      <c r="I280" t="n">
        <v>9432</v>
      </c>
      <c r="J280" t="inlineStr">
        <is>
          <t>COORDINADOR DE CONTROL DE DATOS</t>
        </is>
      </c>
      <c r="K280" t="n">
        <v>1</v>
      </c>
      <c r="L280" t="inlineStr">
        <is>
          <t>PRESIDENCIA EJECUTIVA DEL CONSEJO</t>
        </is>
      </c>
      <c r="M280" t="n">
        <v>40</v>
      </c>
      <c r="N280" t="inlineStr">
        <is>
          <t>DIRECCION GENERAL BANCO BASE</t>
        </is>
      </c>
      <c r="O280" t="n">
        <v>440</v>
      </c>
      <c r="P280" t="inlineStr">
        <is>
          <t>DIRECCION DE CONTRALORIA Y PREVENCION</t>
        </is>
      </c>
      <c r="Q280" t="n">
        <v>4460</v>
      </c>
      <c r="R280" t="inlineStr">
        <is>
          <t>DIRECCION DE CONTRALORIA</t>
        </is>
      </c>
      <c r="S280" t="n">
        <v>44610</v>
      </c>
      <c r="T280" t="inlineStr">
        <is>
          <t>SUBDIRECCION DE CONTROL DE DATOS</t>
        </is>
      </c>
      <c r="U280" t="n">
        <v>413111</v>
      </c>
      <c r="V280" t="inlineStr">
        <is>
          <t>SUBDIRECCION DE CONTROL DE DATOS</t>
        </is>
      </c>
      <c r="W280" t="n">
        <v>100101</v>
      </c>
      <c r="X280" t="inlineStr">
        <is>
          <t>CORPORATIVO</t>
        </is>
      </c>
      <c r="Y280" t="n">
        <v>4</v>
      </c>
      <c r="Z280" t="inlineStr">
        <is>
          <t>CORPORATIVO</t>
        </is>
      </c>
      <c r="AA280" t="n">
        <v>1</v>
      </c>
      <c r="AB280" t="inlineStr">
        <is>
          <t>NEGOCIO EN MARCHA</t>
        </is>
      </c>
      <c r="AC280" t="n">
        <v>1</v>
      </c>
      <c r="AD280" t="inlineStr">
        <is>
          <t>BANCO</t>
        </is>
      </c>
      <c r="AE280" t="n">
        <v>1</v>
      </c>
      <c r="AF280" t="inlineStr">
        <is>
          <t>BACK</t>
        </is>
      </c>
      <c r="AG280" t="n">
        <v>100101</v>
      </c>
      <c r="AH280" t="inlineStr">
        <is>
          <t>CORPORATIVO</t>
        </is>
      </c>
      <c r="AI280" t="inlineStr">
        <is>
          <t>LGARCIAR@BANCOBASE.COM</t>
        </is>
      </c>
      <c r="AJ280" s="151" t="n">
        <v>45964</v>
      </c>
      <c r="AK280" s="151" t="n"/>
      <c r="AL280" s="151" t="n"/>
    </row>
    <row r="281" hidden="1" s="150">
      <c r="A281" t="inlineStr">
        <is>
          <t>FLOPEZS</t>
        </is>
      </c>
      <c r="B281" t="n">
        <v>3059</v>
      </c>
      <c r="C281" t="inlineStr">
        <is>
          <t>FABIOLA SCHOENSTATT LOPEZ SANCHEZ</t>
        </is>
      </c>
      <c r="D281" t="n">
        <v>10104</v>
      </c>
      <c r="E281" t="inlineStr">
        <is>
          <t>COORDINADOR DE CONTROL DE DATOS</t>
        </is>
      </c>
      <c r="F281" t="inlineStr">
        <is>
          <t>MONTERREY</t>
        </is>
      </c>
      <c r="G281" t="n">
        <v>3344</v>
      </c>
      <c r="H281" t="inlineStr">
        <is>
          <t>CELIA KARINA LUEVANO CAVAZOS</t>
        </is>
      </c>
      <c r="I281" t="n">
        <v>8724</v>
      </c>
      <c r="J281" t="inlineStr">
        <is>
          <t>GERENTE DE ACTUALIZACION DE DATOS</t>
        </is>
      </c>
      <c r="K281" t="n">
        <v>1</v>
      </c>
      <c r="L281" t="inlineStr">
        <is>
          <t>PRESIDENCIA EJECUTIVA DEL CONSEJO</t>
        </is>
      </c>
      <c r="M281" t="n">
        <v>40</v>
      </c>
      <c r="N281" t="inlineStr">
        <is>
          <t>DIRECCION GENERAL BANCO BASE</t>
        </is>
      </c>
      <c r="O281" t="n">
        <v>440</v>
      </c>
      <c r="P281" t="inlineStr">
        <is>
          <t>DIRECCION DE CONTRALORIA Y PREVENCION</t>
        </is>
      </c>
      <c r="Q281" t="n">
        <v>4460</v>
      </c>
      <c r="R281" t="inlineStr">
        <is>
          <t>DIRECCION DE CONTRALORIA</t>
        </is>
      </c>
      <c r="S281" t="n">
        <v>44610</v>
      </c>
      <c r="T281" t="inlineStr">
        <is>
          <t>SUBDIRECCION DE CONTROL DE DATOS</t>
        </is>
      </c>
      <c r="U281" t="n">
        <v>413111</v>
      </c>
      <c r="V281" t="inlineStr">
        <is>
          <t>SUBDIRECCION DE CONTROL DE DATOS</t>
        </is>
      </c>
      <c r="W281" t="n">
        <v>100101</v>
      </c>
      <c r="X281" t="inlineStr">
        <is>
          <t>CORPORATIVO</t>
        </is>
      </c>
      <c r="Y281" t="n">
        <v>4</v>
      </c>
      <c r="Z281" t="inlineStr">
        <is>
          <t>CORPORATIVO</t>
        </is>
      </c>
      <c r="AA281" t="n">
        <v>1</v>
      </c>
      <c r="AB281" t="inlineStr">
        <is>
          <t>NEGOCIO EN MARCHA</t>
        </is>
      </c>
      <c r="AC281" t="n">
        <v>1</v>
      </c>
      <c r="AD281" t="inlineStr">
        <is>
          <t>BANCO</t>
        </is>
      </c>
      <c r="AE281" t="n">
        <v>1</v>
      </c>
      <c r="AF281" t="inlineStr">
        <is>
          <t>BACK</t>
        </is>
      </c>
      <c r="AG281" t="n">
        <v>100101</v>
      </c>
      <c r="AH281" t="inlineStr">
        <is>
          <t>CORPORATIVO</t>
        </is>
      </c>
      <c r="AI281" t="inlineStr">
        <is>
          <t>FLOPEZS@BANCOBASE.COM</t>
        </is>
      </c>
      <c r="AJ281" s="151" t="n">
        <v>45370</v>
      </c>
      <c r="AK281" s="151" t="n"/>
      <c r="AL281" s="151" t="n"/>
    </row>
    <row r="282" hidden="1" s="150">
      <c r="A282" t="inlineStr">
        <is>
          <t>JTORRESAR</t>
        </is>
      </c>
      <c r="B282" t="n">
        <v>3853</v>
      </c>
      <c r="C282" t="inlineStr">
        <is>
          <t>JOSE EDUARDO TORRES AREVALO</t>
        </is>
      </c>
      <c r="D282" t="n">
        <v>9044</v>
      </c>
      <c r="E282" t="inlineStr">
        <is>
          <t>EJECUTIVO DE CONTROL DE DATOS</t>
        </is>
      </c>
      <c r="F282" t="inlineStr">
        <is>
          <t>MONTERREY</t>
        </is>
      </c>
      <c r="G282" t="n">
        <v>3059</v>
      </c>
      <c r="H282" t="inlineStr">
        <is>
          <t>FABIOLA SCHOENSTATT LOPEZ SANCHEZ</t>
        </is>
      </c>
      <c r="I282" t="n">
        <v>10104</v>
      </c>
      <c r="J282" t="inlineStr">
        <is>
          <t>COORDINADOR DE CONTROL DE DATOS</t>
        </is>
      </c>
      <c r="K282" t="n">
        <v>1</v>
      </c>
      <c r="L282" t="inlineStr">
        <is>
          <t>PRESIDENCIA EJECUTIVA DEL CONSEJO</t>
        </is>
      </c>
      <c r="M282" t="n">
        <v>40</v>
      </c>
      <c r="N282" t="inlineStr">
        <is>
          <t>DIRECCION GENERAL BANCO BASE</t>
        </is>
      </c>
      <c r="O282" t="n">
        <v>440</v>
      </c>
      <c r="P282" t="inlineStr">
        <is>
          <t>DIRECCION DE CONTRALORIA Y PREVENCION</t>
        </is>
      </c>
      <c r="Q282" t="n">
        <v>4460</v>
      </c>
      <c r="R282" t="inlineStr">
        <is>
          <t>DIRECCION DE CONTRALORIA</t>
        </is>
      </c>
      <c r="S282" t="n">
        <v>44610</v>
      </c>
      <c r="T282" t="inlineStr">
        <is>
          <t>SUBDIRECCION DE CONTROL DE DATOS</t>
        </is>
      </c>
      <c r="U282" t="n">
        <v>413111</v>
      </c>
      <c r="V282" t="inlineStr">
        <is>
          <t>SUBDIRECCION DE CONTROL DE DATOS</t>
        </is>
      </c>
      <c r="W282" t="n">
        <v>100101</v>
      </c>
      <c r="X282" t="inlineStr">
        <is>
          <t>CORPORATIVO</t>
        </is>
      </c>
      <c r="Y282" t="n">
        <v>4</v>
      </c>
      <c r="Z282" t="inlineStr">
        <is>
          <t>CORPORATIVO</t>
        </is>
      </c>
      <c r="AA282" t="n">
        <v>1</v>
      </c>
      <c r="AB282" t="inlineStr">
        <is>
          <t>NEGOCIO EN MARCHA</t>
        </is>
      </c>
      <c r="AC282" t="n">
        <v>1</v>
      </c>
      <c r="AD282" t="inlineStr">
        <is>
          <t>BANCO</t>
        </is>
      </c>
      <c r="AE282" t="n">
        <v>1</v>
      </c>
      <c r="AF282" t="inlineStr">
        <is>
          <t>BACK</t>
        </is>
      </c>
      <c r="AG282" t="n">
        <v>100101</v>
      </c>
      <c r="AH282" t="inlineStr">
        <is>
          <t>CORPORATIVO</t>
        </is>
      </c>
      <c r="AI282" t="inlineStr">
        <is>
          <t>JTORRESAR@BANCOBASE.COM</t>
        </is>
      </c>
      <c r="AJ282" s="151" t="n">
        <v>46146</v>
      </c>
      <c r="AK282" s="151" t="n"/>
      <c r="AL282" s="151" t="n"/>
    </row>
    <row r="283" hidden="1" s="150">
      <c r="A283" t="inlineStr">
        <is>
          <t>SVEGAM</t>
        </is>
      </c>
      <c r="B283" t="n">
        <v>3364</v>
      </c>
      <c r="C283" t="inlineStr">
        <is>
          <t>SOFIA MARGARITA VEGA MACIAS</t>
        </is>
      </c>
      <c r="D283" t="n">
        <v>8678</v>
      </c>
      <c r="E283" t="inlineStr">
        <is>
          <t>EJECUTIVO DE CONTROL DE DATOS</t>
        </is>
      </c>
      <c r="F283" t="inlineStr">
        <is>
          <t>MONTERREY</t>
        </is>
      </c>
      <c r="G283" t="n">
        <v>3059</v>
      </c>
      <c r="H283" t="inlineStr">
        <is>
          <t>FABIOLA SCHOENSTATT LOPEZ SANCHEZ</t>
        </is>
      </c>
      <c r="I283" t="n">
        <v>10104</v>
      </c>
      <c r="J283" t="inlineStr">
        <is>
          <t>COORDINADOR DE CONTROL DE DATOS</t>
        </is>
      </c>
      <c r="K283" t="n">
        <v>1</v>
      </c>
      <c r="L283" t="inlineStr">
        <is>
          <t>PRESIDENCIA EJECUTIVA DEL CONSEJO</t>
        </is>
      </c>
      <c r="M283" t="n">
        <v>40</v>
      </c>
      <c r="N283" t="inlineStr">
        <is>
          <t>DIRECCION GENERAL BANCO BASE</t>
        </is>
      </c>
      <c r="O283" t="n">
        <v>440</v>
      </c>
      <c r="P283" t="inlineStr">
        <is>
          <t>DIRECCION DE CONTRALORIA Y PREVENCION</t>
        </is>
      </c>
      <c r="Q283" t="n">
        <v>4460</v>
      </c>
      <c r="R283" t="inlineStr">
        <is>
          <t>DIRECCION DE CONTRALORIA</t>
        </is>
      </c>
      <c r="S283" t="n">
        <v>44610</v>
      </c>
      <c r="T283" t="inlineStr">
        <is>
          <t>SUBDIRECCION DE CONTROL DE DATOS</t>
        </is>
      </c>
      <c r="U283" t="n">
        <v>413111</v>
      </c>
      <c r="V283" t="inlineStr">
        <is>
          <t>SUBDIRECCION DE CONTROL DE DATOS</t>
        </is>
      </c>
      <c r="W283" t="n">
        <v>100101</v>
      </c>
      <c r="X283" t="inlineStr">
        <is>
          <t>CORPORATIVO</t>
        </is>
      </c>
      <c r="Y283" t="n">
        <v>4</v>
      </c>
      <c r="Z283" t="inlineStr">
        <is>
          <t>CORPORATIVO</t>
        </is>
      </c>
      <c r="AA283" t="n">
        <v>1</v>
      </c>
      <c r="AB283" t="inlineStr">
        <is>
          <t>NEGOCIO EN MARCHA</t>
        </is>
      </c>
      <c r="AC283" t="n">
        <v>1</v>
      </c>
      <c r="AD283" t="inlineStr">
        <is>
          <t>BANCO</t>
        </is>
      </c>
      <c r="AE283" t="n">
        <v>1</v>
      </c>
      <c r="AF283" t="inlineStr">
        <is>
          <t>BACK</t>
        </is>
      </c>
      <c r="AG283" t="n">
        <v>100101</v>
      </c>
      <c r="AH283" t="inlineStr">
        <is>
          <t>CORPORATIVO</t>
        </is>
      </c>
      <c r="AI283" t="inlineStr">
        <is>
          <t>SVEGAM@BANCOBASE.COM</t>
        </is>
      </c>
      <c r="AJ283" s="151" t="n">
        <v>45734</v>
      </c>
      <c r="AK283" s="151" t="n"/>
      <c r="AL283" s="151" t="n"/>
    </row>
    <row r="284" hidden="1" s="150">
      <c r="A284" t="inlineStr">
        <is>
          <t>GRODRIGUEP</t>
        </is>
      </c>
      <c r="B284" t="n">
        <v>3150</v>
      </c>
      <c r="C284" t="inlineStr">
        <is>
          <t>GABRIELA RODRIGUEZ PROA</t>
        </is>
      </c>
      <c r="D284" t="n">
        <v>8743</v>
      </c>
      <c r="E284" t="inlineStr">
        <is>
          <t>EJECUTIVO DE CONTROL DE DATOS</t>
        </is>
      </c>
      <c r="F284" t="inlineStr">
        <is>
          <t>MONTERREY</t>
        </is>
      </c>
      <c r="G284" t="n">
        <v>3059</v>
      </c>
      <c r="H284" t="inlineStr">
        <is>
          <t>FABIOLA SCHOENSTATT LOPEZ SANCHEZ</t>
        </is>
      </c>
      <c r="I284" t="n">
        <v>10104</v>
      </c>
      <c r="J284" t="inlineStr">
        <is>
          <t>COORDINADOR DE CONTROL DE DATOS</t>
        </is>
      </c>
      <c r="K284" t="n">
        <v>1</v>
      </c>
      <c r="L284" t="inlineStr">
        <is>
          <t>PRESIDENCIA EJECUTIVA DEL CONSEJO</t>
        </is>
      </c>
      <c r="M284" t="n">
        <v>40</v>
      </c>
      <c r="N284" t="inlineStr">
        <is>
          <t>DIRECCION GENERAL BANCO BASE</t>
        </is>
      </c>
      <c r="O284" t="n">
        <v>440</v>
      </c>
      <c r="P284" t="inlineStr">
        <is>
          <t>DIRECCION DE CONTRALORIA Y PREVENCION</t>
        </is>
      </c>
      <c r="Q284" t="n">
        <v>4460</v>
      </c>
      <c r="R284" t="inlineStr">
        <is>
          <t>DIRECCION DE CONTRALORIA</t>
        </is>
      </c>
      <c r="S284" t="n">
        <v>44610</v>
      </c>
      <c r="T284" t="inlineStr">
        <is>
          <t>SUBDIRECCION DE CONTROL DE DATOS</t>
        </is>
      </c>
      <c r="U284" t="n">
        <v>413111</v>
      </c>
      <c r="V284" t="inlineStr">
        <is>
          <t>SUBDIRECCION DE CONTROL DE DATOS</t>
        </is>
      </c>
      <c r="W284" t="n">
        <v>100101</v>
      </c>
      <c r="X284" t="inlineStr">
        <is>
          <t>CORPORATIVO</t>
        </is>
      </c>
      <c r="Y284" t="n">
        <v>4</v>
      </c>
      <c r="Z284" t="inlineStr">
        <is>
          <t>CORPORATIVO</t>
        </is>
      </c>
      <c r="AA284" t="n">
        <v>1</v>
      </c>
      <c r="AB284" t="inlineStr">
        <is>
          <t>NEGOCIO EN MARCHA</t>
        </is>
      </c>
      <c r="AC284" t="n">
        <v>1</v>
      </c>
      <c r="AD284" t="inlineStr">
        <is>
          <t>BANCO</t>
        </is>
      </c>
      <c r="AE284" t="n">
        <v>1</v>
      </c>
      <c r="AF284" t="inlineStr">
        <is>
          <t>BACK</t>
        </is>
      </c>
      <c r="AG284" t="n">
        <v>100101</v>
      </c>
      <c r="AH284" t="inlineStr">
        <is>
          <t>CORPORATIVO</t>
        </is>
      </c>
      <c r="AI284" t="inlineStr">
        <is>
          <t>GRODRIGUEP@BANCOBASE.COM</t>
        </is>
      </c>
      <c r="AJ284" s="151" t="n">
        <v>45474</v>
      </c>
      <c r="AK284" s="151" t="n"/>
      <c r="AL284" s="151" t="n"/>
    </row>
    <row r="285" hidden="1" s="150">
      <c r="A285" t="inlineStr">
        <is>
          <t>FOLIVARES</t>
        </is>
      </c>
      <c r="B285" t="n">
        <v>3759</v>
      </c>
      <c r="C285" t="inlineStr">
        <is>
          <t>FATIMA ALEJANDRA OLIVARES HERRERA</t>
        </is>
      </c>
      <c r="D285" t="n">
        <v>9119</v>
      </c>
      <c r="E285" t="inlineStr">
        <is>
          <t>EJECUTIVO DE CONTROL DE DATOS</t>
        </is>
      </c>
      <c r="F285" t="inlineStr">
        <is>
          <t>MONTERREY</t>
        </is>
      </c>
      <c r="G285" t="n">
        <v>3059</v>
      </c>
      <c r="H285" t="inlineStr">
        <is>
          <t>FABIOLA SCHOENSTATT LOPEZ SANCHEZ</t>
        </is>
      </c>
      <c r="I285" t="n">
        <v>10104</v>
      </c>
      <c r="J285" t="inlineStr">
        <is>
          <t>COORDINADOR DE CONTROL DE DATOS</t>
        </is>
      </c>
      <c r="K285" t="n">
        <v>1</v>
      </c>
      <c r="L285" t="inlineStr">
        <is>
          <t>PRESIDENCIA EJECUTIVA DEL CONSEJO</t>
        </is>
      </c>
      <c r="M285" t="n">
        <v>40</v>
      </c>
      <c r="N285" t="inlineStr">
        <is>
          <t>DIRECCION GENERAL BANCO BASE</t>
        </is>
      </c>
      <c r="O285" t="n">
        <v>440</v>
      </c>
      <c r="P285" t="inlineStr">
        <is>
          <t>DIRECCION DE CONTRALORIA Y PREVENCION</t>
        </is>
      </c>
      <c r="Q285" t="n">
        <v>4460</v>
      </c>
      <c r="R285" t="inlineStr">
        <is>
          <t>DIRECCION DE CONTRALORIA</t>
        </is>
      </c>
      <c r="S285" t="n">
        <v>44610</v>
      </c>
      <c r="T285" t="inlineStr">
        <is>
          <t>SUBDIRECCION DE CONTROL DE DATOS</t>
        </is>
      </c>
      <c r="U285" t="n">
        <v>413111</v>
      </c>
      <c r="V285" t="inlineStr">
        <is>
          <t>SUBDIRECCION DE CONTROL DE DATOS</t>
        </is>
      </c>
      <c r="W285" t="n">
        <v>100101</v>
      </c>
      <c r="X285" t="inlineStr">
        <is>
          <t>CORPORATIVO</t>
        </is>
      </c>
      <c r="Y285" t="n">
        <v>4</v>
      </c>
      <c r="Z285" t="inlineStr">
        <is>
          <t>CORPORATIVO</t>
        </is>
      </c>
      <c r="AA285" t="n">
        <v>1</v>
      </c>
      <c r="AB285" t="inlineStr">
        <is>
          <t>NEGOCIO EN MARCHA</t>
        </is>
      </c>
      <c r="AC285" t="n">
        <v>1</v>
      </c>
      <c r="AD285" t="inlineStr">
        <is>
          <t>BANCO</t>
        </is>
      </c>
      <c r="AE285" t="n">
        <v>1</v>
      </c>
      <c r="AF285" t="inlineStr">
        <is>
          <t>BACK</t>
        </is>
      </c>
      <c r="AG285" t="n">
        <v>100101</v>
      </c>
      <c r="AH285" t="inlineStr">
        <is>
          <t>CORPORATIVO</t>
        </is>
      </c>
      <c r="AI285" t="inlineStr">
        <is>
          <t>FOLIVARES@BANCOBASE.COM</t>
        </is>
      </c>
      <c r="AJ285" s="151" t="n">
        <v>46069</v>
      </c>
      <c r="AK285" s="151" t="n"/>
      <c r="AL285" s="151" t="n"/>
    </row>
    <row r="286" hidden="1" s="150">
      <c r="A286" t="inlineStr">
        <is>
          <t>JREGALADO</t>
        </is>
      </c>
      <c r="B286" t="n">
        <v>2940</v>
      </c>
      <c r="C286" t="inlineStr">
        <is>
          <t>JESSICA CAROLINA REGALADO BERLANGA</t>
        </is>
      </c>
      <c r="D286" t="n">
        <v>8725</v>
      </c>
      <c r="E286" t="inlineStr">
        <is>
          <t>GERENTE DE VALIDACION DE DOCUMENTOS</t>
        </is>
      </c>
      <c r="F286" t="inlineStr">
        <is>
          <t>MONTERREY</t>
        </is>
      </c>
      <c r="G286" t="n">
        <v>284</v>
      </c>
      <c r="H286" t="inlineStr">
        <is>
          <t>MERCED MAGDALENA BAEZ SALAZAR</t>
        </is>
      </c>
      <c r="I286" t="n">
        <v>8236</v>
      </c>
      <c r="J286" t="inlineStr">
        <is>
          <t>SUBDIRECTOR DE CONTROL DE DATOS</t>
        </is>
      </c>
      <c r="K286" t="n">
        <v>1</v>
      </c>
      <c r="L286" t="inlineStr">
        <is>
          <t>PRESIDENCIA EJECUTIVA DEL CONSEJO</t>
        </is>
      </c>
      <c r="M286" t="n">
        <v>40</v>
      </c>
      <c r="N286" t="inlineStr">
        <is>
          <t>DIRECCION GENERAL BANCO BASE</t>
        </is>
      </c>
      <c r="O286" t="n">
        <v>440</v>
      </c>
      <c r="P286" t="inlineStr">
        <is>
          <t>DIRECCION DE CONTRALORIA Y PREVENCION</t>
        </is>
      </c>
      <c r="Q286" t="n">
        <v>4460</v>
      </c>
      <c r="R286" t="inlineStr">
        <is>
          <t>DIRECCION DE CONTRALORIA</t>
        </is>
      </c>
      <c r="S286" t="n">
        <v>44610</v>
      </c>
      <c r="T286" t="inlineStr">
        <is>
          <t>SUBDIRECCION DE CONTROL DE DATOS</t>
        </is>
      </c>
      <c r="U286" t="n">
        <v>413111</v>
      </c>
      <c r="V286" t="inlineStr">
        <is>
          <t>SUBDIRECCION DE CONTROL DE DATOS</t>
        </is>
      </c>
      <c r="W286" t="n">
        <v>100101</v>
      </c>
      <c r="X286" t="inlineStr">
        <is>
          <t>CORPORATIVO</t>
        </is>
      </c>
      <c r="Y286" t="n">
        <v>4</v>
      </c>
      <c r="Z286" t="inlineStr">
        <is>
          <t>CORPORATIVO</t>
        </is>
      </c>
      <c r="AA286" t="n">
        <v>1</v>
      </c>
      <c r="AB286" t="inlineStr">
        <is>
          <t>NEGOCIO EN MARCHA</t>
        </is>
      </c>
      <c r="AC286" t="n">
        <v>1</v>
      </c>
      <c r="AD286" t="inlineStr">
        <is>
          <t>BANCO</t>
        </is>
      </c>
      <c r="AE286" t="n">
        <v>1</v>
      </c>
      <c r="AF286" t="inlineStr">
        <is>
          <t>BACK</t>
        </is>
      </c>
      <c r="AG286" t="n">
        <v>100101</v>
      </c>
      <c r="AH286" t="inlineStr">
        <is>
          <t>CORPORATIVO</t>
        </is>
      </c>
      <c r="AI286" t="inlineStr">
        <is>
          <t>JREGALADO@BANCOBASE.COM</t>
        </is>
      </c>
      <c r="AJ286" s="151" t="n">
        <v>45170</v>
      </c>
      <c r="AK286" s="151" t="n"/>
      <c r="AL286" s="151" t="n"/>
    </row>
    <row r="287" hidden="1" s="150">
      <c r="A287" t="inlineStr">
        <is>
          <t>ARUIZR</t>
        </is>
      </c>
      <c r="B287" t="n">
        <v>466</v>
      </c>
      <c r="C287" t="inlineStr">
        <is>
          <t>ADRIANA ZULEMA RUIZ DE LA ROSA</t>
        </is>
      </c>
      <c r="D287" t="n">
        <v>9111</v>
      </c>
      <c r="E287" t="inlineStr">
        <is>
          <t>EJECUTIVO DE CONTROL DE DATOS</t>
        </is>
      </c>
      <c r="F287" t="inlineStr">
        <is>
          <t>MONTERREY</t>
        </is>
      </c>
      <c r="I287" t="n">
        <v>10102</v>
      </c>
      <c r="J287" t="inlineStr">
        <is>
          <t>COORDINADOR DE CONTROL DE DATOS</t>
        </is>
      </c>
      <c r="K287" t="n">
        <v>1</v>
      </c>
      <c r="L287" t="inlineStr">
        <is>
          <t>PRESIDENCIA EJECUTIVA DEL CONSEJO</t>
        </is>
      </c>
      <c r="M287" t="n">
        <v>40</v>
      </c>
      <c r="N287" t="inlineStr">
        <is>
          <t>DIRECCION GENERAL BANCO BASE</t>
        </is>
      </c>
      <c r="O287" t="n">
        <v>440</v>
      </c>
      <c r="P287" t="inlineStr">
        <is>
          <t>DIRECCION DE CONTRALORIA Y PREVENCION</t>
        </is>
      </c>
      <c r="Q287" t="n">
        <v>4460</v>
      </c>
      <c r="R287" t="inlineStr">
        <is>
          <t>DIRECCION DE CONTRALORIA</t>
        </is>
      </c>
      <c r="S287" t="n">
        <v>44610</v>
      </c>
      <c r="T287" t="inlineStr">
        <is>
          <t>SUBDIRECCION DE CONTROL DE DATOS</t>
        </is>
      </c>
      <c r="U287" t="n">
        <v>413111</v>
      </c>
      <c r="V287" t="inlineStr">
        <is>
          <t>SUBDIRECCION DE CONTROL DE DATOS</t>
        </is>
      </c>
      <c r="W287" t="n">
        <v>100101</v>
      </c>
      <c r="X287" t="inlineStr">
        <is>
          <t>CORPORATIVO</t>
        </is>
      </c>
      <c r="Y287" t="n">
        <v>4</v>
      </c>
      <c r="Z287" t="inlineStr">
        <is>
          <t>CORPORATIVO</t>
        </is>
      </c>
      <c r="AA287" t="n">
        <v>1</v>
      </c>
      <c r="AB287" t="inlineStr">
        <is>
          <t>NEGOCIO EN MARCHA</t>
        </is>
      </c>
      <c r="AC287" t="n">
        <v>1</v>
      </c>
      <c r="AD287" t="inlineStr">
        <is>
          <t>BANCO</t>
        </is>
      </c>
      <c r="AE287" t="n">
        <v>1</v>
      </c>
      <c r="AF287" t="inlineStr">
        <is>
          <t>BACK</t>
        </is>
      </c>
      <c r="AG287" t="n">
        <v>100101</v>
      </c>
      <c r="AH287" t="inlineStr">
        <is>
          <t>CORPORATIVO</t>
        </is>
      </c>
      <c r="AI287" t="inlineStr">
        <is>
          <t>ARUIZR@BANCOBASE.COM</t>
        </is>
      </c>
      <c r="AJ287" s="151" t="n">
        <v>39554</v>
      </c>
      <c r="AK287" s="151" t="n"/>
      <c r="AL287" s="151" t="n"/>
    </row>
    <row r="288" hidden="1" s="150">
      <c r="A288" t="inlineStr">
        <is>
          <t>LPEREZR</t>
        </is>
      </c>
      <c r="B288" t="n">
        <v>3578</v>
      </c>
      <c r="C288" t="inlineStr">
        <is>
          <t>LUCIA YARITZEL PEREZ RAMIREZ</t>
        </is>
      </c>
      <c r="D288" t="n">
        <v>9088</v>
      </c>
      <c r="E288" t="inlineStr">
        <is>
          <t>EJECUTIVO DE CONTROL DE DATOS</t>
        </is>
      </c>
      <c r="F288" t="inlineStr">
        <is>
          <t>MONTERREY</t>
        </is>
      </c>
      <c r="I288" t="n">
        <v>10102</v>
      </c>
      <c r="J288" t="inlineStr">
        <is>
          <t>COORDINADOR DE CONTROL DE DATOS</t>
        </is>
      </c>
      <c r="K288" t="n">
        <v>1</v>
      </c>
      <c r="L288" t="inlineStr">
        <is>
          <t>PRESIDENCIA EJECUTIVA DEL CONSEJO</t>
        </is>
      </c>
      <c r="M288" t="n">
        <v>40</v>
      </c>
      <c r="N288" t="inlineStr">
        <is>
          <t>DIRECCION GENERAL BANCO BASE</t>
        </is>
      </c>
      <c r="O288" t="n">
        <v>440</v>
      </c>
      <c r="P288" t="inlineStr">
        <is>
          <t>DIRECCION DE CONTRALORIA Y PREVENCION</t>
        </is>
      </c>
      <c r="Q288" t="n">
        <v>4460</v>
      </c>
      <c r="R288" t="inlineStr">
        <is>
          <t>DIRECCION DE CONTRALORIA</t>
        </is>
      </c>
      <c r="S288" t="n">
        <v>44610</v>
      </c>
      <c r="T288" t="inlineStr">
        <is>
          <t>SUBDIRECCION DE CONTROL DE DATOS</t>
        </is>
      </c>
      <c r="U288" t="n">
        <v>413111</v>
      </c>
      <c r="V288" t="inlineStr">
        <is>
          <t>SUBDIRECCION DE CONTROL DE DATOS</t>
        </is>
      </c>
      <c r="W288" t="n">
        <v>100101</v>
      </c>
      <c r="X288" t="inlineStr">
        <is>
          <t>CORPORATIVO</t>
        </is>
      </c>
      <c r="Y288" t="n">
        <v>4</v>
      </c>
      <c r="Z288" t="inlineStr">
        <is>
          <t>CORPORATIVO</t>
        </is>
      </c>
      <c r="AA288" t="n">
        <v>1</v>
      </c>
      <c r="AB288" t="inlineStr">
        <is>
          <t>NEGOCIO EN MARCHA</t>
        </is>
      </c>
      <c r="AC288" t="n">
        <v>1</v>
      </c>
      <c r="AD288" t="inlineStr">
        <is>
          <t>BANCO</t>
        </is>
      </c>
      <c r="AE288" t="n">
        <v>1</v>
      </c>
      <c r="AF288" t="inlineStr">
        <is>
          <t>BACK</t>
        </is>
      </c>
      <c r="AG288" t="n">
        <v>100101</v>
      </c>
      <c r="AH288" t="inlineStr">
        <is>
          <t>CORPORATIVO</t>
        </is>
      </c>
      <c r="AI288" t="inlineStr">
        <is>
          <t>LPEREZR@BANCOBASE.COM</t>
        </is>
      </c>
      <c r="AJ288" s="151" t="n">
        <v>45917</v>
      </c>
      <c r="AK288" s="151" t="n"/>
      <c r="AL288" s="151" t="n"/>
    </row>
    <row r="289" hidden="1" s="150">
      <c r="A289" t="inlineStr">
        <is>
          <t>SLOPEZV</t>
        </is>
      </c>
      <c r="B289" t="n">
        <v>3183</v>
      </c>
      <c r="C289" t="inlineStr">
        <is>
          <t>SOFIA MONTSERRAT LOPEZ VAZQUEZ</t>
        </is>
      </c>
      <c r="D289" t="n">
        <v>8411</v>
      </c>
      <c r="E289" t="inlineStr">
        <is>
          <t>EJECUTIVO DE CONTROL DE DATOS</t>
        </is>
      </c>
      <c r="F289" t="inlineStr">
        <is>
          <t>MONTERREY</t>
        </is>
      </c>
      <c r="I289" t="n">
        <v>10102</v>
      </c>
      <c r="J289" t="inlineStr">
        <is>
          <t>COORDINADOR DE CONTROL DE DATOS</t>
        </is>
      </c>
      <c r="K289" t="n">
        <v>1</v>
      </c>
      <c r="L289" t="inlineStr">
        <is>
          <t>PRESIDENCIA EJECUTIVA DEL CONSEJO</t>
        </is>
      </c>
      <c r="M289" t="n">
        <v>40</v>
      </c>
      <c r="N289" t="inlineStr">
        <is>
          <t>DIRECCION GENERAL BANCO BASE</t>
        </is>
      </c>
      <c r="O289" t="n">
        <v>440</v>
      </c>
      <c r="P289" t="inlineStr">
        <is>
          <t>DIRECCION DE CONTRALORIA Y PREVENCION</t>
        </is>
      </c>
      <c r="Q289" t="n">
        <v>4460</v>
      </c>
      <c r="R289" t="inlineStr">
        <is>
          <t>DIRECCION DE CONTRALORIA</t>
        </is>
      </c>
      <c r="S289" t="n">
        <v>44610</v>
      </c>
      <c r="T289" t="inlineStr">
        <is>
          <t>SUBDIRECCION DE CONTROL DE DATOS</t>
        </is>
      </c>
      <c r="U289" t="n">
        <v>413111</v>
      </c>
      <c r="V289" t="inlineStr">
        <is>
          <t>SUBDIRECCION DE CONTROL DE DATOS</t>
        </is>
      </c>
      <c r="W289" t="n">
        <v>100101</v>
      </c>
      <c r="X289" t="inlineStr">
        <is>
          <t>CORPORATIVO</t>
        </is>
      </c>
      <c r="Y289" t="n">
        <v>4</v>
      </c>
      <c r="Z289" t="inlineStr">
        <is>
          <t>CORPORATIVO</t>
        </is>
      </c>
      <c r="AA289" t="n">
        <v>1</v>
      </c>
      <c r="AB289" t="inlineStr">
        <is>
          <t>NEGOCIO EN MARCHA</t>
        </is>
      </c>
      <c r="AC289" t="n">
        <v>1</v>
      </c>
      <c r="AD289" t="inlineStr">
        <is>
          <t>BANCO</t>
        </is>
      </c>
      <c r="AE289" t="n">
        <v>1</v>
      </c>
      <c r="AF289" t="inlineStr">
        <is>
          <t>BACK</t>
        </is>
      </c>
      <c r="AG289" t="n">
        <v>100101</v>
      </c>
      <c r="AH289" t="inlineStr">
        <is>
          <t>CORPORATIVO</t>
        </is>
      </c>
      <c r="AI289" t="inlineStr">
        <is>
          <t>SLOPEZV@BANCOBASE.COM</t>
        </is>
      </c>
      <c r="AJ289" s="151" t="n">
        <v>45523</v>
      </c>
      <c r="AK289" s="151" t="n"/>
      <c r="AL289" s="151" t="n"/>
    </row>
    <row r="290" hidden="1" s="150">
      <c r="A290" t="inlineStr">
        <is>
          <t>SLUNAGO</t>
        </is>
      </c>
      <c r="B290" t="n">
        <v>3566</v>
      </c>
      <c r="C290" t="inlineStr">
        <is>
          <t>SERGIO ALEJANDRO LUNA GOMEZ</t>
        </is>
      </c>
      <c r="D290" t="n">
        <v>6037</v>
      </c>
      <c r="E290" t="inlineStr">
        <is>
          <t>EJECUTIVO DE CONTROL DE DATOS</t>
        </is>
      </c>
      <c r="F290" t="inlineStr">
        <is>
          <t>MONTERREY</t>
        </is>
      </c>
      <c r="I290" t="n">
        <v>10102</v>
      </c>
      <c r="J290" t="inlineStr">
        <is>
          <t>COORDINADOR DE CONTROL DE DATOS</t>
        </is>
      </c>
      <c r="K290" t="n">
        <v>1</v>
      </c>
      <c r="L290" t="inlineStr">
        <is>
          <t>PRESIDENCIA EJECUTIVA DEL CONSEJO</t>
        </is>
      </c>
      <c r="M290" t="n">
        <v>40</v>
      </c>
      <c r="N290" t="inlineStr">
        <is>
          <t>DIRECCION GENERAL BANCO BASE</t>
        </is>
      </c>
      <c r="O290" t="n">
        <v>440</v>
      </c>
      <c r="P290" t="inlineStr">
        <is>
          <t>DIRECCION DE CONTRALORIA Y PREVENCION</t>
        </is>
      </c>
      <c r="Q290" t="n">
        <v>4460</v>
      </c>
      <c r="R290" t="inlineStr">
        <is>
          <t>DIRECCION DE CONTRALORIA</t>
        </is>
      </c>
      <c r="S290" t="n">
        <v>44610</v>
      </c>
      <c r="T290" t="inlineStr">
        <is>
          <t>SUBDIRECCION DE CONTROL DE DATOS</t>
        </is>
      </c>
      <c r="U290" t="n">
        <v>413111</v>
      </c>
      <c r="V290" t="inlineStr">
        <is>
          <t>SUBDIRECCION DE CONTROL DE DATOS</t>
        </is>
      </c>
      <c r="W290" t="n">
        <v>100101</v>
      </c>
      <c r="X290" t="inlineStr">
        <is>
          <t>CORPORATIVO</t>
        </is>
      </c>
      <c r="Y290" t="n">
        <v>4</v>
      </c>
      <c r="Z290" t="inlineStr">
        <is>
          <t>CORPORATIVO</t>
        </is>
      </c>
      <c r="AA290" t="n">
        <v>1</v>
      </c>
      <c r="AB290" t="inlineStr">
        <is>
          <t>NEGOCIO EN MARCHA</t>
        </is>
      </c>
      <c r="AC290" t="n">
        <v>1</v>
      </c>
      <c r="AD290" t="inlineStr">
        <is>
          <t>BANCO</t>
        </is>
      </c>
      <c r="AE290" t="n">
        <v>1</v>
      </c>
      <c r="AF290" t="inlineStr">
        <is>
          <t>BACK</t>
        </is>
      </c>
      <c r="AG290" t="n">
        <v>100101</v>
      </c>
      <c r="AH290" t="inlineStr">
        <is>
          <t>CORPORATIVO</t>
        </is>
      </c>
      <c r="AI290" t="inlineStr">
        <is>
          <t>SLUNAGO@BANCOBASE.COM</t>
        </is>
      </c>
      <c r="AJ290" s="151" t="n">
        <v>45917</v>
      </c>
      <c r="AK290" s="151" t="n"/>
      <c r="AL290" s="151" t="n"/>
    </row>
    <row r="291" hidden="1" s="150">
      <c r="A291" t="inlineStr">
        <is>
          <t>IGALLEGOS</t>
        </is>
      </c>
      <c r="B291" t="n">
        <v>3613</v>
      </c>
      <c r="C291" t="inlineStr">
        <is>
          <t>IVAN ALEJANDRO GALLEGOS CASTILLO</t>
        </is>
      </c>
      <c r="D291" t="n">
        <v>8744</v>
      </c>
      <c r="E291" t="inlineStr">
        <is>
          <t>EJECUTIVO DE CONTROL DE DATOS</t>
        </is>
      </c>
      <c r="F291" t="inlineStr">
        <is>
          <t>MONTERREY</t>
        </is>
      </c>
      <c r="I291" t="n">
        <v>10102</v>
      </c>
      <c r="J291" t="inlineStr">
        <is>
          <t>COORDINADOR DE CONTROL DE DATOS</t>
        </is>
      </c>
      <c r="K291" t="n">
        <v>1</v>
      </c>
      <c r="L291" t="inlineStr">
        <is>
          <t>PRESIDENCIA EJECUTIVA DEL CONSEJO</t>
        </is>
      </c>
      <c r="M291" t="n">
        <v>40</v>
      </c>
      <c r="N291" t="inlineStr">
        <is>
          <t>DIRECCION GENERAL BANCO BASE</t>
        </is>
      </c>
      <c r="O291" t="n">
        <v>440</v>
      </c>
      <c r="P291" t="inlineStr">
        <is>
          <t>DIRECCION DE CONTRALORIA Y PREVENCION</t>
        </is>
      </c>
      <c r="Q291" t="n">
        <v>4460</v>
      </c>
      <c r="R291" t="inlineStr">
        <is>
          <t>DIRECCION DE CONTRALORIA</t>
        </is>
      </c>
      <c r="S291" t="n">
        <v>44610</v>
      </c>
      <c r="T291" t="inlineStr">
        <is>
          <t>SUBDIRECCION DE CONTROL DE DATOS</t>
        </is>
      </c>
      <c r="U291" t="n">
        <v>413111</v>
      </c>
      <c r="V291" t="inlineStr">
        <is>
          <t>SUBDIRECCION DE CONTROL DE DATOS</t>
        </is>
      </c>
      <c r="W291" t="n">
        <v>100101</v>
      </c>
      <c r="X291" t="inlineStr">
        <is>
          <t>CORPORATIVO</t>
        </is>
      </c>
      <c r="Y291" t="n">
        <v>4</v>
      </c>
      <c r="Z291" t="inlineStr">
        <is>
          <t>CORPORATIVO</t>
        </is>
      </c>
      <c r="AA291" t="n">
        <v>1</v>
      </c>
      <c r="AB291" t="inlineStr">
        <is>
          <t>NEGOCIO EN MARCHA</t>
        </is>
      </c>
      <c r="AC291" t="n">
        <v>1</v>
      </c>
      <c r="AD291" t="inlineStr">
        <is>
          <t>BANCO</t>
        </is>
      </c>
      <c r="AE291" t="n">
        <v>1</v>
      </c>
      <c r="AF291" t="inlineStr">
        <is>
          <t>BACK</t>
        </is>
      </c>
      <c r="AG291" t="n">
        <v>100101</v>
      </c>
      <c r="AH291" t="inlineStr">
        <is>
          <t>CORPORATIVO</t>
        </is>
      </c>
      <c r="AI291" t="inlineStr">
        <is>
          <t>IGALLEGOS@BANCOBASE.COM</t>
        </is>
      </c>
      <c r="AJ291" s="151" t="n">
        <v>45946</v>
      </c>
      <c r="AK291" s="151" t="n"/>
      <c r="AL291" s="151" t="n"/>
    </row>
    <row r="292" hidden="1" s="150">
      <c r="A292" t="inlineStr">
        <is>
          <t>MLUNAR</t>
        </is>
      </c>
      <c r="B292" t="n">
        <v>3133</v>
      </c>
      <c r="C292" t="inlineStr">
        <is>
          <t>MARIANA LUNA RUIZESPARZA</t>
        </is>
      </c>
      <c r="D292" t="n">
        <v>10319</v>
      </c>
      <c r="E292" t="inlineStr">
        <is>
          <t>COORDINADOR DE CONTROL DE DATOS</t>
        </is>
      </c>
      <c r="F292" t="inlineStr">
        <is>
          <t>MONTERREY</t>
        </is>
      </c>
      <c r="G292" t="n">
        <v>2940</v>
      </c>
      <c r="H292" t="inlineStr">
        <is>
          <t>JESSICA CAROLINA REGALADO BERLANGA</t>
        </is>
      </c>
      <c r="I292" t="n">
        <v>8725</v>
      </c>
      <c r="J292" t="inlineStr">
        <is>
          <t>GERENTE DE VALIDACION DE DOCUMENTOS</t>
        </is>
      </c>
      <c r="K292" t="n">
        <v>1</v>
      </c>
      <c r="L292" t="inlineStr">
        <is>
          <t>PRESIDENCIA EJECUTIVA DEL CONSEJO</t>
        </is>
      </c>
      <c r="M292" t="n">
        <v>40</v>
      </c>
      <c r="N292" t="inlineStr">
        <is>
          <t>DIRECCION GENERAL BANCO BASE</t>
        </is>
      </c>
      <c r="O292" t="n">
        <v>440</v>
      </c>
      <c r="P292" t="inlineStr">
        <is>
          <t>DIRECCION DE CONTRALORIA Y PREVENCION</t>
        </is>
      </c>
      <c r="Q292" t="n">
        <v>4460</v>
      </c>
      <c r="R292" t="inlineStr">
        <is>
          <t>DIRECCION DE CONTRALORIA</t>
        </is>
      </c>
      <c r="S292" t="n">
        <v>44610</v>
      </c>
      <c r="T292" t="inlineStr">
        <is>
          <t>SUBDIRECCION DE CONTROL DE DATOS</t>
        </is>
      </c>
      <c r="U292" t="n">
        <v>413111</v>
      </c>
      <c r="V292" t="inlineStr">
        <is>
          <t>SUBDIRECCION DE CONTROL DE DATOS</t>
        </is>
      </c>
      <c r="W292" t="n">
        <v>126102</v>
      </c>
      <c r="X292" t="inlineStr">
        <is>
          <t>VALLE ORIENTE</t>
        </is>
      </c>
      <c r="Y292" t="n">
        <v>4</v>
      </c>
      <c r="Z292" t="inlineStr">
        <is>
          <t>CORPORATIVO</t>
        </is>
      </c>
      <c r="AA292" t="n">
        <v>1</v>
      </c>
      <c r="AB292" t="inlineStr">
        <is>
          <t>NEGOCIO EN MARCHA</t>
        </is>
      </c>
      <c r="AC292" t="n">
        <v>1</v>
      </c>
      <c r="AD292" t="inlineStr">
        <is>
          <t>BANCO</t>
        </is>
      </c>
      <c r="AE292" t="n">
        <v>1</v>
      </c>
      <c r="AF292" t="inlineStr">
        <is>
          <t>BACK</t>
        </is>
      </c>
      <c r="AG292" t="n">
        <v>100101</v>
      </c>
      <c r="AH292" t="inlineStr">
        <is>
          <t>CORPORATIVO</t>
        </is>
      </c>
      <c r="AI292" t="inlineStr">
        <is>
          <t>MLUNAR@BANCOBASE.COM</t>
        </is>
      </c>
      <c r="AJ292" s="151" t="n">
        <v>45460</v>
      </c>
      <c r="AK292" s="151" t="n"/>
      <c r="AL292" s="151" t="n"/>
    </row>
    <row r="293" hidden="1" s="150">
      <c r="A293" t="inlineStr">
        <is>
          <t>CCASTILLOS</t>
        </is>
      </c>
      <c r="B293" t="n">
        <v>3194</v>
      </c>
      <c r="C293" t="inlineStr">
        <is>
          <t>CHRISTIAN JORDI CASTILLO SANCHEZ</t>
        </is>
      </c>
      <c r="D293" t="n">
        <v>8741</v>
      </c>
      <c r="E293" t="inlineStr">
        <is>
          <t>EJECUTIVO DE CONTROL DE DATOS</t>
        </is>
      </c>
      <c r="F293" t="inlineStr">
        <is>
          <t>MONTERREY</t>
        </is>
      </c>
      <c r="G293" t="n">
        <v>3133</v>
      </c>
      <c r="H293" t="inlineStr">
        <is>
          <t>MARIANA LUNA RUIZESPARZA</t>
        </is>
      </c>
      <c r="I293" t="n">
        <v>10319</v>
      </c>
      <c r="J293" t="inlineStr">
        <is>
          <t>COORDINADOR DE CONTROL DE DATOS</t>
        </is>
      </c>
      <c r="K293" t="n">
        <v>1</v>
      </c>
      <c r="L293" t="inlineStr">
        <is>
          <t>PRESIDENCIA EJECUTIVA DEL CONSEJO</t>
        </is>
      </c>
      <c r="M293" t="n">
        <v>40</v>
      </c>
      <c r="N293" t="inlineStr">
        <is>
          <t>DIRECCION GENERAL BANCO BASE</t>
        </is>
      </c>
      <c r="O293" t="n">
        <v>440</v>
      </c>
      <c r="P293" t="inlineStr">
        <is>
          <t>DIRECCION DE CONTRALORIA Y PREVENCION</t>
        </is>
      </c>
      <c r="Q293" t="n">
        <v>4460</v>
      </c>
      <c r="R293" t="inlineStr">
        <is>
          <t>DIRECCION DE CONTRALORIA</t>
        </is>
      </c>
      <c r="S293" t="n">
        <v>44610</v>
      </c>
      <c r="T293" t="inlineStr">
        <is>
          <t>SUBDIRECCION DE CONTROL DE DATOS</t>
        </is>
      </c>
      <c r="U293" t="n">
        <v>413111</v>
      </c>
      <c r="V293" t="inlineStr">
        <is>
          <t>SUBDIRECCION DE CONTROL DE DATOS</t>
        </is>
      </c>
      <c r="W293" t="n">
        <v>100101</v>
      </c>
      <c r="X293" t="inlineStr">
        <is>
          <t>CORPORATIVO</t>
        </is>
      </c>
      <c r="Y293" t="n">
        <v>4</v>
      </c>
      <c r="Z293" t="inlineStr">
        <is>
          <t>CORPORATIVO</t>
        </is>
      </c>
      <c r="AA293" t="n">
        <v>1</v>
      </c>
      <c r="AB293" t="inlineStr">
        <is>
          <t>NEGOCIO EN MARCHA</t>
        </is>
      </c>
      <c r="AC293" t="n">
        <v>1</v>
      </c>
      <c r="AD293" t="inlineStr">
        <is>
          <t>BANCO</t>
        </is>
      </c>
      <c r="AE293" t="n">
        <v>1</v>
      </c>
      <c r="AF293" t="inlineStr">
        <is>
          <t>BACK</t>
        </is>
      </c>
      <c r="AG293" t="n">
        <v>100101</v>
      </c>
      <c r="AH293" t="inlineStr">
        <is>
          <t>CORPORATIVO</t>
        </is>
      </c>
      <c r="AI293" t="inlineStr">
        <is>
          <t>CCASTILLOS@BANCOBASE.COM</t>
        </is>
      </c>
      <c r="AJ293" s="151" t="n">
        <v>45537</v>
      </c>
      <c r="AK293" s="151" t="n"/>
      <c r="AL293" s="151" t="n"/>
    </row>
    <row r="294" hidden="1" s="150">
      <c r="A294" t="inlineStr">
        <is>
          <t>CORTIZG</t>
        </is>
      </c>
      <c r="B294" t="n">
        <v>3010</v>
      </c>
      <c r="C294" t="inlineStr">
        <is>
          <t>CECILIA ALEJANDRA ORTIZ GUAJARDO</t>
        </is>
      </c>
      <c r="D294" t="n">
        <v>8740</v>
      </c>
      <c r="E294" t="inlineStr">
        <is>
          <t>EJECUTIVO DE CONTROL DE DATOS</t>
        </is>
      </c>
      <c r="F294" t="inlineStr">
        <is>
          <t>MONTERREY</t>
        </is>
      </c>
      <c r="G294" t="n">
        <v>3133</v>
      </c>
      <c r="H294" t="inlineStr">
        <is>
          <t>MARIANA LUNA RUIZESPARZA</t>
        </is>
      </c>
      <c r="I294" t="n">
        <v>10319</v>
      </c>
      <c r="J294" t="inlineStr">
        <is>
          <t>COORDINADOR DE CONTROL DE DATOS</t>
        </is>
      </c>
      <c r="K294" t="n">
        <v>1</v>
      </c>
      <c r="L294" t="inlineStr">
        <is>
          <t>PRESIDENCIA EJECUTIVA DEL CONSEJO</t>
        </is>
      </c>
      <c r="M294" t="n">
        <v>40</v>
      </c>
      <c r="N294" t="inlineStr">
        <is>
          <t>DIRECCION GENERAL BANCO BASE</t>
        </is>
      </c>
      <c r="O294" t="n">
        <v>440</v>
      </c>
      <c r="P294" t="inlineStr">
        <is>
          <t>DIRECCION DE CONTRALORIA Y PREVENCION</t>
        </is>
      </c>
      <c r="Q294" t="n">
        <v>4460</v>
      </c>
      <c r="R294" t="inlineStr">
        <is>
          <t>DIRECCION DE CONTRALORIA</t>
        </is>
      </c>
      <c r="S294" t="n">
        <v>44610</v>
      </c>
      <c r="T294" t="inlineStr">
        <is>
          <t>SUBDIRECCION DE CONTROL DE DATOS</t>
        </is>
      </c>
      <c r="U294" t="n">
        <v>413111</v>
      </c>
      <c r="V294" t="inlineStr">
        <is>
          <t>SUBDIRECCION DE CONTROL DE DATOS</t>
        </is>
      </c>
      <c r="W294" t="n">
        <v>100101</v>
      </c>
      <c r="X294" t="inlineStr">
        <is>
          <t>CORPORATIVO</t>
        </is>
      </c>
      <c r="Y294" t="n">
        <v>4</v>
      </c>
      <c r="Z294" t="inlineStr">
        <is>
          <t>CORPORATIVO</t>
        </is>
      </c>
      <c r="AA294" t="n">
        <v>1</v>
      </c>
      <c r="AB294" t="inlineStr">
        <is>
          <t>NEGOCIO EN MARCHA</t>
        </is>
      </c>
      <c r="AC294" t="n">
        <v>1</v>
      </c>
      <c r="AD294" t="inlineStr">
        <is>
          <t>BANCO</t>
        </is>
      </c>
      <c r="AE294" t="n">
        <v>1</v>
      </c>
      <c r="AF294" t="inlineStr">
        <is>
          <t>BACK</t>
        </is>
      </c>
      <c r="AG294" t="n">
        <v>100101</v>
      </c>
      <c r="AH294" t="inlineStr">
        <is>
          <t>CORPORATIVO</t>
        </is>
      </c>
      <c r="AI294" t="inlineStr">
        <is>
          <t>CORTIZG@BANCOBASE.COM</t>
        </is>
      </c>
      <c r="AJ294" s="151" t="n">
        <v>45307</v>
      </c>
      <c r="AK294" s="151" t="n"/>
      <c r="AL294" s="151" t="n"/>
    </row>
    <row r="295" hidden="1" s="150">
      <c r="A295" t="inlineStr">
        <is>
          <t>CSERRATO</t>
        </is>
      </c>
      <c r="B295" t="n">
        <v>3536</v>
      </c>
      <c r="C295" t="inlineStr">
        <is>
          <t>CAROLINA SERRATO NIÑO</t>
        </is>
      </c>
      <c r="D295" t="n">
        <v>9266</v>
      </c>
      <c r="E295" t="inlineStr">
        <is>
          <t>EJECUTIVO DE CONTROL DE DATOS</t>
        </is>
      </c>
      <c r="F295" t="inlineStr">
        <is>
          <t>MONTERREY</t>
        </is>
      </c>
      <c r="G295" t="n">
        <v>3133</v>
      </c>
      <c r="H295" t="inlineStr">
        <is>
          <t>MARIANA LUNA RUIZESPARZA</t>
        </is>
      </c>
      <c r="I295" t="n">
        <v>10319</v>
      </c>
      <c r="J295" t="inlineStr">
        <is>
          <t>COORDINADOR DE CONTROL DE DATOS</t>
        </is>
      </c>
      <c r="K295" t="n">
        <v>1</v>
      </c>
      <c r="L295" t="inlineStr">
        <is>
          <t>PRESIDENCIA EJECUTIVA DEL CONSEJO</t>
        </is>
      </c>
      <c r="M295" t="n">
        <v>40</v>
      </c>
      <c r="N295" t="inlineStr">
        <is>
          <t>DIRECCION GENERAL BANCO BASE</t>
        </is>
      </c>
      <c r="O295" t="n">
        <v>440</v>
      </c>
      <c r="P295" t="inlineStr">
        <is>
          <t>DIRECCION DE CONTRALORIA Y PREVENCION</t>
        </is>
      </c>
      <c r="Q295" t="n">
        <v>4460</v>
      </c>
      <c r="R295" t="inlineStr">
        <is>
          <t>DIRECCION DE CONTRALORIA</t>
        </is>
      </c>
      <c r="S295" t="n">
        <v>44610</v>
      </c>
      <c r="T295" t="inlineStr">
        <is>
          <t>SUBDIRECCION DE CONTROL DE DATOS</t>
        </is>
      </c>
      <c r="U295" t="n">
        <v>413111</v>
      </c>
      <c r="V295" t="inlineStr">
        <is>
          <t>SUBDIRECCION DE CONTROL DE DATOS</t>
        </is>
      </c>
      <c r="W295" t="n">
        <v>100101</v>
      </c>
      <c r="X295" t="inlineStr">
        <is>
          <t>CORPORATIVO</t>
        </is>
      </c>
      <c r="Y295" t="n">
        <v>4</v>
      </c>
      <c r="Z295" t="inlineStr">
        <is>
          <t>CORPORATIVO</t>
        </is>
      </c>
      <c r="AA295" t="n">
        <v>1</v>
      </c>
      <c r="AB295" t="inlineStr">
        <is>
          <t>NEGOCIO EN MARCHA</t>
        </is>
      </c>
      <c r="AC295" t="n">
        <v>1</v>
      </c>
      <c r="AD295" t="inlineStr">
        <is>
          <t>BANCO</t>
        </is>
      </c>
      <c r="AE295" t="n">
        <v>1</v>
      </c>
      <c r="AF295" t="inlineStr">
        <is>
          <t>BACK</t>
        </is>
      </c>
      <c r="AG295" t="n">
        <v>100101</v>
      </c>
      <c r="AH295" t="inlineStr">
        <is>
          <t>CORPORATIVO</t>
        </is>
      </c>
      <c r="AI295" t="inlineStr">
        <is>
          <t>CSERRATO@BANCOBASE.COM</t>
        </is>
      </c>
      <c r="AJ295" s="151" t="n">
        <v>45894</v>
      </c>
      <c r="AK295" s="151" t="n"/>
      <c r="AL295" s="151" t="n"/>
    </row>
    <row r="296" hidden="1" s="150">
      <c r="A296" t="inlineStr">
        <is>
          <t>GCASTILLO</t>
        </is>
      </c>
      <c r="B296" t="n">
        <v>3537</v>
      </c>
      <c r="C296" t="inlineStr">
        <is>
          <t>GERARDO ESTEBAN CASTILLO CRUZ</t>
        </is>
      </c>
      <c r="D296" t="n">
        <v>10122</v>
      </c>
      <c r="E296" t="inlineStr">
        <is>
          <t>EJECUTIVO DE CONTROL DE DATOS</t>
        </is>
      </c>
      <c r="F296" t="inlineStr">
        <is>
          <t>MONTERREY</t>
        </is>
      </c>
      <c r="G296" t="n">
        <v>3133</v>
      </c>
      <c r="H296" t="inlineStr">
        <is>
          <t>MARIANA LUNA RUIZESPARZA</t>
        </is>
      </c>
      <c r="I296" t="n">
        <v>10319</v>
      </c>
      <c r="J296" t="inlineStr">
        <is>
          <t>COORDINADOR DE CONTROL DE DATOS</t>
        </is>
      </c>
      <c r="K296" t="n">
        <v>1</v>
      </c>
      <c r="L296" t="inlineStr">
        <is>
          <t>PRESIDENCIA EJECUTIVA DEL CONSEJO</t>
        </is>
      </c>
      <c r="M296" t="n">
        <v>40</v>
      </c>
      <c r="N296" t="inlineStr">
        <is>
          <t>DIRECCION GENERAL BANCO BASE</t>
        </is>
      </c>
      <c r="O296" t="n">
        <v>440</v>
      </c>
      <c r="P296" t="inlineStr">
        <is>
          <t>DIRECCION DE CONTRALORIA Y PREVENCION</t>
        </is>
      </c>
      <c r="Q296" t="n">
        <v>4460</v>
      </c>
      <c r="R296" t="inlineStr">
        <is>
          <t>DIRECCION DE CONTRALORIA</t>
        </is>
      </c>
      <c r="S296" t="n">
        <v>44610</v>
      </c>
      <c r="T296" t="inlineStr">
        <is>
          <t>SUBDIRECCION DE CONTROL DE DATOS</t>
        </is>
      </c>
      <c r="U296" t="n">
        <v>413111</v>
      </c>
      <c r="V296" t="inlineStr">
        <is>
          <t>SUBDIRECCION DE CONTROL DE DATOS</t>
        </is>
      </c>
      <c r="W296" t="n">
        <v>100101</v>
      </c>
      <c r="X296" t="inlineStr">
        <is>
          <t>CORPORATIVO</t>
        </is>
      </c>
      <c r="Y296" t="n">
        <v>4</v>
      </c>
      <c r="Z296" t="inlineStr">
        <is>
          <t>CORPORATIVO</t>
        </is>
      </c>
      <c r="AA296" t="n">
        <v>1</v>
      </c>
      <c r="AB296" t="inlineStr">
        <is>
          <t>NEGOCIO EN MARCHA</t>
        </is>
      </c>
      <c r="AC296" t="n">
        <v>1</v>
      </c>
      <c r="AD296" t="inlineStr">
        <is>
          <t>BANCO</t>
        </is>
      </c>
      <c r="AE296" t="n">
        <v>1</v>
      </c>
      <c r="AF296" t="inlineStr">
        <is>
          <t>BACK</t>
        </is>
      </c>
      <c r="AG296" t="n">
        <v>100101</v>
      </c>
      <c r="AH296" t="inlineStr">
        <is>
          <t>CORPORATIVO</t>
        </is>
      </c>
      <c r="AI296" t="inlineStr">
        <is>
          <t>GCASTILLO@BANCOBASE.COM</t>
        </is>
      </c>
      <c r="AJ296" s="151" t="n">
        <v>45894</v>
      </c>
      <c r="AK296" s="151" t="n"/>
      <c r="AL296" s="151" t="n"/>
    </row>
    <row r="297" hidden="1" s="150">
      <c r="A297" t="inlineStr">
        <is>
          <t>JLEALR</t>
        </is>
      </c>
      <c r="B297" t="n">
        <v>3543</v>
      </c>
      <c r="C297" t="inlineStr">
        <is>
          <t>JESUS DAVID LEAL ROBLES</t>
        </is>
      </c>
      <c r="D297" t="n">
        <v>8739</v>
      </c>
      <c r="E297" t="inlineStr">
        <is>
          <t>EJECUTIVO DE CONTROL DE DATOS</t>
        </is>
      </c>
      <c r="F297" t="inlineStr">
        <is>
          <t>MONTERREY</t>
        </is>
      </c>
      <c r="G297" t="n">
        <v>3133</v>
      </c>
      <c r="H297" t="inlineStr">
        <is>
          <t>MARIANA LUNA RUIZESPARZA</t>
        </is>
      </c>
      <c r="I297" t="n">
        <v>10319</v>
      </c>
      <c r="J297" t="inlineStr">
        <is>
          <t>COORDINADOR DE CONTROL DE DATOS</t>
        </is>
      </c>
      <c r="K297" t="n">
        <v>1</v>
      </c>
      <c r="L297" t="inlineStr">
        <is>
          <t>PRESIDENCIA EJECUTIVA DEL CONSEJO</t>
        </is>
      </c>
      <c r="M297" t="n">
        <v>40</v>
      </c>
      <c r="N297" t="inlineStr">
        <is>
          <t>DIRECCION GENERAL BANCO BASE</t>
        </is>
      </c>
      <c r="O297" t="n">
        <v>440</v>
      </c>
      <c r="P297" t="inlineStr">
        <is>
          <t>DIRECCION DE CONTRALORIA Y PREVENCION</t>
        </is>
      </c>
      <c r="Q297" t="n">
        <v>4460</v>
      </c>
      <c r="R297" t="inlineStr">
        <is>
          <t>DIRECCION DE CONTRALORIA</t>
        </is>
      </c>
      <c r="S297" t="n">
        <v>44610</v>
      </c>
      <c r="T297" t="inlineStr">
        <is>
          <t>SUBDIRECCION DE CONTROL DE DATOS</t>
        </is>
      </c>
      <c r="U297" t="n">
        <v>413111</v>
      </c>
      <c r="V297" t="inlineStr">
        <is>
          <t>SUBDIRECCION DE CONTROL DE DATOS</t>
        </is>
      </c>
      <c r="W297" t="n">
        <v>100101</v>
      </c>
      <c r="X297" t="inlineStr">
        <is>
          <t>CORPORATIVO</t>
        </is>
      </c>
      <c r="Y297" t="n">
        <v>4</v>
      </c>
      <c r="Z297" t="inlineStr">
        <is>
          <t>CORPORATIVO</t>
        </is>
      </c>
      <c r="AA297" t="n">
        <v>1</v>
      </c>
      <c r="AB297" t="inlineStr">
        <is>
          <t>NEGOCIO EN MARCHA</t>
        </is>
      </c>
      <c r="AC297" t="n">
        <v>1</v>
      </c>
      <c r="AD297" t="inlineStr">
        <is>
          <t>BANCO</t>
        </is>
      </c>
      <c r="AE297" t="n">
        <v>1</v>
      </c>
      <c r="AF297" t="inlineStr">
        <is>
          <t>BACK</t>
        </is>
      </c>
      <c r="AG297" t="n">
        <v>100101</v>
      </c>
      <c r="AH297" t="inlineStr">
        <is>
          <t>CORPORATIVO</t>
        </is>
      </c>
      <c r="AI297" t="inlineStr">
        <is>
          <t>JLEALR@BANCOBASE.COM</t>
        </is>
      </c>
      <c r="AJ297" s="151" t="n">
        <v>45901</v>
      </c>
      <c r="AK297" s="151" t="n"/>
      <c r="AL297" s="151" t="n"/>
    </row>
    <row r="298" hidden="1" s="150">
      <c r="A298" t="inlineStr">
        <is>
          <t>JSIERRA</t>
        </is>
      </c>
      <c r="B298" t="n">
        <v>1424</v>
      </c>
      <c r="C298" t="inlineStr">
        <is>
          <t>JUAN RAMON SIERRA GARZA</t>
        </is>
      </c>
      <c r="D298" t="n">
        <v>10302</v>
      </c>
      <c r="E298" t="inlineStr">
        <is>
          <t>GERENTE DE CONTRALORIA</t>
        </is>
      </c>
      <c r="F298" t="inlineStr">
        <is>
          <t>MONTERREY</t>
        </is>
      </c>
      <c r="G298" t="n">
        <v>1239</v>
      </c>
      <c r="H298" t="inlineStr">
        <is>
          <t>ELVIRA GUILLERMINA CORNEJO GONZALEZ</t>
        </is>
      </c>
      <c r="I298" t="n">
        <v>10078</v>
      </c>
      <c r="J298" t="inlineStr">
        <is>
          <t>DIRECTOR DE CONTRALORIA</t>
        </is>
      </c>
      <c r="K298" t="n">
        <v>1</v>
      </c>
      <c r="L298" t="inlineStr">
        <is>
          <t>PRESIDENCIA EJECUTIVA DEL CONSEJO</t>
        </is>
      </c>
      <c r="M298" t="n">
        <v>40</v>
      </c>
      <c r="N298" t="inlineStr">
        <is>
          <t>DIRECCION GENERAL BANCO BASE</t>
        </is>
      </c>
      <c r="O298" t="n">
        <v>440</v>
      </c>
      <c r="P298" t="inlineStr">
        <is>
          <t>DIRECCION DE CONTRALORIA Y PREVENCION</t>
        </is>
      </c>
      <c r="Q298" t="n">
        <v>4460</v>
      </c>
      <c r="R298" t="inlineStr">
        <is>
          <t>DIRECCION DE CONTRALORIA</t>
        </is>
      </c>
      <c r="S298" t="n">
        <v>44620</v>
      </c>
      <c r="T298" t="inlineStr">
        <is>
          <t>GERENCIA DE CONTROL INTERNO</t>
        </is>
      </c>
      <c r="U298" t="n">
        <v>491100</v>
      </c>
      <c r="V298" t="inlineStr">
        <is>
          <t>GERENCIA DE CONTROL INTERNO</t>
        </is>
      </c>
      <c r="W298" t="n">
        <v>100101</v>
      </c>
      <c r="X298" t="inlineStr">
        <is>
          <t>CORPORATIVO</t>
        </is>
      </c>
      <c r="Y298" t="n">
        <v>4</v>
      </c>
      <c r="Z298" t="inlineStr">
        <is>
          <t>CORPORATIVO</t>
        </is>
      </c>
      <c r="AA298" t="n">
        <v>1</v>
      </c>
      <c r="AB298" t="inlineStr">
        <is>
          <t>NEGOCIO EN MARCHA</t>
        </is>
      </c>
      <c r="AC298" t="n">
        <v>1</v>
      </c>
      <c r="AD298" t="inlineStr">
        <is>
          <t>BANCO</t>
        </is>
      </c>
      <c r="AE298" t="n">
        <v>1</v>
      </c>
      <c r="AF298" t="inlineStr">
        <is>
          <t>BACK</t>
        </is>
      </c>
      <c r="AG298" t="n">
        <v>100101</v>
      </c>
      <c r="AH298" t="inlineStr">
        <is>
          <t>CORPORATIVO</t>
        </is>
      </c>
      <c r="AI298" t="inlineStr">
        <is>
          <t>JSIERRA@BANCOBASE.COM</t>
        </is>
      </c>
      <c r="AJ298" s="151" t="n">
        <v>42346</v>
      </c>
      <c r="AK298" s="151" t="n"/>
      <c r="AL298" s="151" t="n"/>
    </row>
    <row r="299" hidden="1" s="150">
      <c r="A299" t="inlineStr">
        <is>
          <t>EMIRANDAM</t>
        </is>
      </c>
      <c r="B299" t="n">
        <v>3345</v>
      </c>
      <c r="C299" t="inlineStr">
        <is>
          <t>EDGAR ALAN MIRANDA MARTINEZ</t>
        </is>
      </c>
      <c r="D299" t="n">
        <v>8657</v>
      </c>
      <c r="E299" t="inlineStr">
        <is>
          <t>ESPECIALISTA DE CONTROL NORMATIVO</t>
        </is>
      </c>
      <c r="F299" t="inlineStr">
        <is>
          <t>MONTERREY</t>
        </is>
      </c>
      <c r="G299" t="n">
        <v>1424</v>
      </c>
      <c r="H299" t="inlineStr">
        <is>
          <t>JUAN RAMON SIERRA GARZA</t>
        </is>
      </c>
      <c r="I299" t="n">
        <v>10302</v>
      </c>
      <c r="J299" t="inlineStr">
        <is>
          <t>GERENTE DE CONTRALORIA</t>
        </is>
      </c>
      <c r="K299" t="n">
        <v>1</v>
      </c>
      <c r="L299" t="inlineStr">
        <is>
          <t>PRESIDENCIA EJECUTIVA DEL CONSEJO</t>
        </is>
      </c>
      <c r="M299" t="n">
        <v>40</v>
      </c>
      <c r="N299" t="inlineStr">
        <is>
          <t>DIRECCION GENERAL BANCO BASE</t>
        </is>
      </c>
      <c r="O299" t="n">
        <v>440</v>
      </c>
      <c r="P299" t="inlineStr">
        <is>
          <t>DIRECCION DE CONTRALORIA Y PREVENCION</t>
        </is>
      </c>
      <c r="Q299" t="n">
        <v>4460</v>
      </c>
      <c r="R299" t="inlineStr">
        <is>
          <t>DIRECCION DE CONTRALORIA</t>
        </is>
      </c>
      <c r="S299" t="n">
        <v>44600</v>
      </c>
      <c r="T299" t="inlineStr">
        <is>
          <t>DIRECCION DE CONTRALORIA</t>
        </is>
      </c>
      <c r="U299" t="n">
        <v>446000</v>
      </c>
      <c r="V299" t="inlineStr">
        <is>
          <t>DIRECCION DE CONTRALORIA</t>
        </is>
      </c>
      <c r="W299" t="n">
        <v>100101</v>
      </c>
      <c r="X299" t="inlineStr">
        <is>
          <t>CORPORATIVO</t>
        </is>
      </c>
      <c r="Y299" t="n">
        <v>4</v>
      </c>
      <c r="Z299" t="inlineStr">
        <is>
          <t>CORPORATIVO</t>
        </is>
      </c>
      <c r="AA299" t="n">
        <v>1</v>
      </c>
      <c r="AB299" t="inlineStr">
        <is>
          <t>NEGOCIO EN MARCHA</t>
        </is>
      </c>
      <c r="AC299" t="n">
        <v>1</v>
      </c>
      <c r="AD299" t="inlineStr">
        <is>
          <t>BANCO</t>
        </is>
      </c>
      <c r="AE299" t="n">
        <v>1</v>
      </c>
      <c r="AF299" t="inlineStr">
        <is>
          <t>BACK</t>
        </is>
      </c>
      <c r="AG299" t="n">
        <v>100101</v>
      </c>
      <c r="AH299" t="inlineStr">
        <is>
          <t>CORPORATIVO</t>
        </is>
      </c>
      <c r="AI299" t="inlineStr">
        <is>
          <t>EMIRANDAM@BANCOBASE.COM</t>
        </is>
      </c>
      <c r="AJ299" s="151" t="n">
        <v>45719</v>
      </c>
      <c r="AK299" s="151" t="n"/>
      <c r="AL299" s="151" t="n"/>
    </row>
    <row r="300" hidden="1" s="150">
      <c r="A300" t="inlineStr">
        <is>
          <t>YSANCHEZR</t>
        </is>
      </c>
      <c r="B300" t="n">
        <v>3337</v>
      </c>
      <c r="C300" t="inlineStr">
        <is>
          <t>YESENIA SCHORESTATT SANCHEZ RODRIGUEZ</t>
        </is>
      </c>
      <c r="D300" t="n">
        <v>8656</v>
      </c>
      <c r="E300" t="inlineStr">
        <is>
          <t>ESPECIALISTA DE CONTROL NORMATIVO</t>
        </is>
      </c>
      <c r="F300" t="inlineStr">
        <is>
          <t>MONTERREY</t>
        </is>
      </c>
      <c r="G300" t="n">
        <v>1424</v>
      </c>
      <c r="H300" t="inlineStr">
        <is>
          <t>JUAN RAMON SIERRA GARZA</t>
        </is>
      </c>
      <c r="I300" t="n">
        <v>10302</v>
      </c>
      <c r="J300" t="inlineStr">
        <is>
          <t>GERENTE DE CONTRALORIA</t>
        </is>
      </c>
      <c r="K300" t="n">
        <v>1</v>
      </c>
      <c r="L300" t="inlineStr">
        <is>
          <t>PRESIDENCIA EJECUTIVA DEL CONSEJO</t>
        </is>
      </c>
      <c r="M300" t="n">
        <v>40</v>
      </c>
      <c r="N300" t="inlineStr">
        <is>
          <t>DIRECCION GENERAL BANCO BASE</t>
        </is>
      </c>
      <c r="O300" t="n">
        <v>440</v>
      </c>
      <c r="P300" t="inlineStr">
        <is>
          <t>DIRECCION DE CONTRALORIA Y PREVENCION</t>
        </is>
      </c>
      <c r="Q300" t="n">
        <v>4460</v>
      </c>
      <c r="R300" t="inlineStr">
        <is>
          <t>DIRECCION DE CONTRALORIA</t>
        </is>
      </c>
      <c r="S300" t="n">
        <v>44600</v>
      </c>
      <c r="T300" t="inlineStr">
        <is>
          <t>DIRECCION DE CONTRALORIA</t>
        </is>
      </c>
      <c r="U300" t="n">
        <v>446000</v>
      </c>
      <c r="V300" t="inlineStr">
        <is>
          <t>DIRECCION DE CONTRALORIA</t>
        </is>
      </c>
      <c r="W300" t="n">
        <v>100101</v>
      </c>
      <c r="X300" t="inlineStr">
        <is>
          <t>CORPORATIVO</t>
        </is>
      </c>
      <c r="Y300" t="n">
        <v>4</v>
      </c>
      <c r="Z300" t="inlineStr">
        <is>
          <t>CORPORATIVO</t>
        </is>
      </c>
      <c r="AA300" t="n">
        <v>1</v>
      </c>
      <c r="AB300" t="inlineStr">
        <is>
          <t>NEGOCIO EN MARCHA</t>
        </is>
      </c>
      <c r="AC300" t="n">
        <v>1</v>
      </c>
      <c r="AD300" t="inlineStr">
        <is>
          <t>BANCO</t>
        </is>
      </c>
      <c r="AE300" t="n">
        <v>1</v>
      </c>
      <c r="AF300" t="inlineStr">
        <is>
          <t>BACK</t>
        </is>
      </c>
      <c r="AG300" t="n">
        <v>100101</v>
      </c>
      <c r="AH300" t="inlineStr">
        <is>
          <t>CORPORATIVO</t>
        </is>
      </c>
      <c r="AI300" t="inlineStr">
        <is>
          <t>YSANCHEZR@BANCOBASE.COM</t>
        </is>
      </c>
      <c r="AJ300" s="151" t="n">
        <v>45705</v>
      </c>
      <c r="AK300" s="151" t="n"/>
      <c r="AL300" s="151" t="n"/>
    </row>
    <row r="301" hidden="1" s="150">
      <c r="A301" t="inlineStr">
        <is>
          <t>JNEVAREZ</t>
        </is>
      </c>
      <c r="B301" t="n">
        <v>2113</v>
      </c>
      <c r="C301" t="inlineStr">
        <is>
          <t>JULIO CESAR NEVAREZ PEREZ</t>
        </is>
      </c>
      <c r="D301" t="n">
        <v>3599</v>
      </c>
      <c r="E301" t="inlineStr">
        <is>
          <t>ESPECIALISTA DE CONTROL NORMATIVO</t>
        </is>
      </c>
      <c r="F301" t="inlineStr">
        <is>
          <t>MONTERREY</t>
        </is>
      </c>
      <c r="G301" t="n">
        <v>1424</v>
      </c>
      <c r="H301" t="inlineStr">
        <is>
          <t>JUAN RAMON SIERRA GARZA</t>
        </is>
      </c>
      <c r="I301" t="n">
        <v>10302</v>
      </c>
      <c r="J301" t="inlineStr">
        <is>
          <t>GERENTE DE CONTRALORIA</t>
        </is>
      </c>
      <c r="K301" t="n">
        <v>1</v>
      </c>
      <c r="L301" t="inlineStr">
        <is>
          <t>PRESIDENCIA EJECUTIVA DEL CONSEJO</t>
        </is>
      </c>
      <c r="M301" t="n">
        <v>40</v>
      </c>
      <c r="N301" t="inlineStr">
        <is>
          <t>DIRECCION GENERAL BANCO BASE</t>
        </is>
      </c>
      <c r="O301" t="n">
        <v>440</v>
      </c>
      <c r="P301" t="inlineStr">
        <is>
          <t>DIRECCION DE CONTRALORIA Y PREVENCION</t>
        </is>
      </c>
      <c r="Q301" t="n">
        <v>4460</v>
      </c>
      <c r="R301" t="inlineStr">
        <is>
          <t>DIRECCION DE CONTRALORIA</t>
        </is>
      </c>
      <c r="S301" t="n">
        <v>44600</v>
      </c>
      <c r="T301" t="inlineStr">
        <is>
          <t>DIRECCION DE CONTRALORIA</t>
        </is>
      </c>
      <c r="U301" t="n">
        <v>446000</v>
      </c>
      <c r="V301" t="inlineStr">
        <is>
          <t>DIRECCION DE CONTRALORIA</t>
        </is>
      </c>
      <c r="W301" t="n">
        <v>100101</v>
      </c>
      <c r="X301" t="inlineStr">
        <is>
          <t>CORPORATIVO</t>
        </is>
      </c>
      <c r="Y301" t="n">
        <v>4</v>
      </c>
      <c r="Z301" t="inlineStr">
        <is>
          <t>CORPORATIVO</t>
        </is>
      </c>
      <c r="AA301" t="n">
        <v>1</v>
      </c>
      <c r="AB301" t="inlineStr">
        <is>
          <t>NEGOCIO EN MARCHA</t>
        </is>
      </c>
      <c r="AC301" t="n">
        <v>1</v>
      </c>
      <c r="AD301" t="inlineStr">
        <is>
          <t>BANCO</t>
        </is>
      </c>
      <c r="AE301" t="n">
        <v>1</v>
      </c>
      <c r="AF301" t="inlineStr">
        <is>
          <t>BACK</t>
        </is>
      </c>
      <c r="AG301" t="n">
        <v>100101</v>
      </c>
      <c r="AH301" t="inlineStr">
        <is>
          <t>CORPORATIVO</t>
        </is>
      </c>
      <c r="AI301" t="inlineStr">
        <is>
          <t>JNEVAREZ@BANCOBASE.COM</t>
        </is>
      </c>
      <c r="AJ301" s="151" t="n">
        <v>43374</v>
      </c>
      <c r="AK301" s="151" t="n"/>
      <c r="AL301" s="151" t="n"/>
    </row>
    <row r="302" hidden="1" s="150">
      <c r="A302" t="inlineStr">
        <is>
          <t>CJUAREZT</t>
        </is>
      </c>
      <c r="B302" t="n">
        <v>2014</v>
      </c>
      <c r="C302" t="inlineStr">
        <is>
          <t>CINTHIA DENISSE JUAREZ TOVAR</t>
        </is>
      </c>
      <c r="D302" t="n">
        <v>8333</v>
      </c>
      <c r="E302" t="inlineStr">
        <is>
          <t>ESPECIALISTA DE CONTROL INTERNO</t>
        </is>
      </c>
      <c r="F302" t="inlineStr">
        <is>
          <t>MONTERREY</t>
        </is>
      </c>
      <c r="G302" t="n">
        <v>1424</v>
      </c>
      <c r="H302" t="inlineStr">
        <is>
          <t>JUAN RAMON SIERRA GARZA</t>
        </is>
      </c>
      <c r="I302" t="n">
        <v>10302</v>
      </c>
      <c r="J302" t="inlineStr">
        <is>
          <t>GERENTE DE CONTRALORIA</t>
        </is>
      </c>
      <c r="K302" t="n">
        <v>1</v>
      </c>
      <c r="L302" t="inlineStr">
        <is>
          <t>PRESIDENCIA EJECUTIVA DEL CONSEJO</t>
        </is>
      </c>
      <c r="M302" t="n">
        <v>40</v>
      </c>
      <c r="N302" t="inlineStr">
        <is>
          <t>DIRECCION GENERAL BANCO BASE</t>
        </is>
      </c>
      <c r="O302" t="n">
        <v>440</v>
      </c>
      <c r="P302" t="inlineStr">
        <is>
          <t>DIRECCION DE CONTRALORIA Y PREVENCION</t>
        </is>
      </c>
      <c r="Q302" t="n">
        <v>4460</v>
      </c>
      <c r="R302" t="inlineStr">
        <is>
          <t>DIRECCION DE CONTRALORIA</t>
        </is>
      </c>
      <c r="S302" t="n">
        <v>44620</v>
      </c>
      <c r="T302" t="inlineStr">
        <is>
          <t>GERENCIA DE CONTROL INTERNO</t>
        </is>
      </c>
      <c r="U302" t="n">
        <v>491100</v>
      </c>
      <c r="V302" t="inlineStr">
        <is>
          <t>GERENCIA DE CONTROL INTERNO</t>
        </is>
      </c>
      <c r="W302" t="n">
        <v>100101</v>
      </c>
      <c r="X302" t="inlineStr">
        <is>
          <t>CORPORATIVO</t>
        </is>
      </c>
      <c r="Y302" t="n">
        <v>4</v>
      </c>
      <c r="Z302" t="inlineStr">
        <is>
          <t>CORPORATIVO</t>
        </is>
      </c>
      <c r="AA302" t="n">
        <v>1</v>
      </c>
      <c r="AB302" t="inlineStr">
        <is>
          <t>NEGOCIO EN MARCHA</t>
        </is>
      </c>
      <c r="AC302" t="n">
        <v>1</v>
      </c>
      <c r="AD302" t="inlineStr">
        <is>
          <t>BANCO</t>
        </is>
      </c>
      <c r="AE302" t="n">
        <v>1</v>
      </c>
      <c r="AF302" t="inlineStr">
        <is>
          <t>BACK</t>
        </is>
      </c>
      <c r="AG302" t="n">
        <v>100101</v>
      </c>
      <c r="AH302" t="inlineStr">
        <is>
          <t>CORPORATIVO</t>
        </is>
      </c>
      <c r="AI302" t="inlineStr">
        <is>
          <t>CJUAREZT@BANCOBASE.COM</t>
        </is>
      </c>
      <c r="AJ302" s="151" t="n">
        <v>43241</v>
      </c>
      <c r="AK302" s="151" t="n"/>
      <c r="AL302" s="151" t="n"/>
    </row>
    <row r="303" hidden="1" s="150">
      <c r="A303" t="inlineStr">
        <is>
          <t>IHERNANDER</t>
        </is>
      </c>
      <c r="B303" t="n">
        <v>2754</v>
      </c>
      <c r="C303" t="inlineStr">
        <is>
          <t>ISELA VIRGINIA HERNANDEZ RICO</t>
        </is>
      </c>
      <c r="D303" t="n">
        <v>9715</v>
      </c>
      <c r="E303" t="inlineStr">
        <is>
          <t>ESPECIALISTA DE CONTROL INTERNO</t>
        </is>
      </c>
      <c r="F303" t="inlineStr">
        <is>
          <t>MONTERREY</t>
        </is>
      </c>
      <c r="G303" t="n">
        <v>1424</v>
      </c>
      <c r="H303" t="inlineStr">
        <is>
          <t>JUAN RAMON SIERRA GARZA</t>
        </is>
      </c>
      <c r="I303" t="n">
        <v>10302</v>
      </c>
      <c r="J303" t="inlineStr">
        <is>
          <t>GERENTE DE CONTRALORIA</t>
        </is>
      </c>
      <c r="K303" t="n">
        <v>1</v>
      </c>
      <c r="L303" t="inlineStr">
        <is>
          <t>PRESIDENCIA EJECUTIVA DEL CONSEJO</t>
        </is>
      </c>
      <c r="M303" t="n">
        <v>40</v>
      </c>
      <c r="N303" t="inlineStr">
        <is>
          <t>DIRECCION GENERAL BANCO BASE</t>
        </is>
      </c>
      <c r="O303" t="n">
        <v>440</v>
      </c>
      <c r="P303" t="inlineStr">
        <is>
          <t>DIRECCION DE CONTRALORIA Y PREVENCION</t>
        </is>
      </c>
      <c r="Q303" t="n">
        <v>4460</v>
      </c>
      <c r="R303" t="inlineStr">
        <is>
          <t>DIRECCION DE CONTRALORIA</t>
        </is>
      </c>
      <c r="S303" t="n">
        <v>44620</v>
      </c>
      <c r="T303" t="inlineStr">
        <is>
          <t>GERENCIA DE CONTROL INTERNO</t>
        </is>
      </c>
      <c r="U303" t="n">
        <v>491100</v>
      </c>
      <c r="V303" t="inlineStr">
        <is>
          <t>GERENCIA DE CONTROL INTERNO</t>
        </is>
      </c>
      <c r="W303" t="n">
        <v>100101</v>
      </c>
      <c r="X303" t="inlineStr">
        <is>
          <t>CORPORATIVO</t>
        </is>
      </c>
      <c r="Y303" t="n">
        <v>4</v>
      </c>
      <c r="Z303" t="inlineStr">
        <is>
          <t>CORPORATIVO</t>
        </is>
      </c>
      <c r="AA303" t="n">
        <v>1</v>
      </c>
      <c r="AB303" t="inlineStr">
        <is>
          <t>NEGOCIO EN MARCHA</t>
        </is>
      </c>
      <c r="AC303" t="n">
        <v>1</v>
      </c>
      <c r="AD303" t="inlineStr">
        <is>
          <t>BANCO</t>
        </is>
      </c>
      <c r="AE303" t="n">
        <v>1</v>
      </c>
      <c r="AF303" t="inlineStr">
        <is>
          <t>BACK</t>
        </is>
      </c>
      <c r="AG303" t="n">
        <v>100101</v>
      </c>
      <c r="AH303" t="inlineStr">
        <is>
          <t>CORPORATIVO</t>
        </is>
      </c>
      <c r="AI303" t="inlineStr">
        <is>
          <t>IHERNANDER@BANCOBASE.COM</t>
        </is>
      </c>
      <c r="AJ303" s="151" t="n">
        <v>44851</v>
      </c>
      <c r="AK303" s="151" t="n"/>
      <c r="AL303" s="151" t="n"/>
    </row>
    <row r="304" hidden="1" s="150">
      <c r="A304" t="inlineStr">
        <is>
          <t>LAGUAYO</t>
        </is>
      </c>
      <c r="B304" t="n">
        <v>3788</v>
      </c>
      <c r="C304" t="inlineStr">
        <is>
          <t>LUIS EMILIANO AGUAYO LOPEZ</t>
        </is>
      </c>
      <c r="D304" t="n">
        <v>8735</v>
      </c>
      <c r="E304" t="inlineStr">
        <is>
          <t>ESPECIALISTA DE CONTROL INTERNO</t>
        </is>
      </c>
      <c r="F304" t="inlineStr">
        <is>
          <t>MONTERREY</t>
        </is>
      </c>
      <c r="G304" t="n">
        <v>1424</v>
      </c>
      <c r="H304" t="inlineStr">
        <is>
          <t>JUAN RAMON SIERRA GARZA</t>
        </is>
      </c>
      <c r="I304" t="n">
        <v>10302</v>
      </c>
      <c r="J304" t="inlineStr">
        <is>
          <t>GERENTE DE CONTRALORIA</t>
        </is>
      </c>
      <c r="K304" t="n">
        <v>1</v>
      </c>
      <c r="L304" t="inlineStr">
        <is>
          <t>PRESIDENCIA EJECUTIVA DEL CONSEJO</t>
        </is>
      </c>
      <c r="M304" t="n">
        <v>40</v>
      </c>
      <c r="N304" t="inlineStr">
        <is>
          <t>DIRECCION GENERAL BANCO BASE</t>
        </is>
      </c>
      <c r="O304" t="n">
        <v>440</v>
      </c>
      <c r="P304" t="inlineStr">
        <is>
          <t>DIRECCION DE CONTRALORIA Y PREVENCION</t>
        </is>
      </c>
      <c r="Q304" t="n">
        <v>4460</v>
      </c>
      <c r="R304" t="inlineStr">
        <is>
          <t>DIRECCION DE CONTRALORIA</t>
        </is>
      </c>
      <c r="S304" t="n">
        <v>44620</v>
      </c>
      <c r="T304" t="inlineStr">
        <is>
          <t>GERENCIA DE CONTROL INTERNO</t>
        </is>
      </c>
      <c r="U304" t="n">
        <v>491100</v>
      </c>
      <c r="V304" t="inlineStr">
        <is>
          <t>GERENCIA DE CONTROL INTERNO</t>
        </is>
      </c>
      <c r="W304" t="n">
        <v>100101</v>
      </c>
      <c r="X304" t="inlineStr">
        <is>
          <t>CORPORATIVO</t>
        </is>
      </c>
      <c r="Y304" t="n">
        <v>4</v>
      </c>
      <c r="Z304" t="inlineStr">
        <is>
          <t>CORPORATIVO</t>
        </is>
      </c>
      <c r="AA304" t="n">
        <v>1</v>
      </c>
      <c r="AB304" t="inlineStr">
        <is>
          <t>NEGOCIO EN MARCHA</t>
        </is>
      </c>
      <c r="AC304" t="n">
        <v>1</v>
      </c>
      <c r="AD304" t="inlineStr">
        <is>
          <t>BANCO</t>
        </is>
      </c>
      <c r="AE304" t="n">
        <v>1</v>
      </c>
      <c r="AF304" t="inlineStr">
        <is>
          <t>BACK</t>
        </is>
      </c>
      <c r="AG304" t="n">
        <v>100101</v>
      </c>
      <c r="AH304" t="inlineStr">
        <is>
          <t>CORPORATIVO</t>
        </is>
      </c>
      <c r="AI304" t="inlineStr">
        <is>
          <t>LAGUAYO@BANCOBASE.COM</t>
        </is>
      </c>
      <c r="AJ304" s="151" t="n">
        <v>46098</v>
      </c>
      <c r="AK304" s="151" t="n"/>
      <c r="AL304" s="151" t="n"/>
    </row>
    <row r="305" hidden="1" s="150">
      <c r="A305" t="inlineStr">
        <is>
          <t>MARZOLA</t>
        </is>
      </c>
      <c r="B305" t="n">
        <v>1698</v>
      </c>
      <c r="C305" t="inlineStr">
        <is>
          <t>MARIA LETICIA ARZOLA RAYAS</t>
        </is>
      </c>
      <c r="D305" t="n">
        <v>62</v>
      </c>
      <c r="E305" t="inlineStr">
        <is>
          <t>ESPECIALISTA DE CONTROL INTERNO</t>
        </is>
      </c>
      <c r="F305" t="inlineStr">
        <is>
          <t>MONTERREY</t>
        </is>
      </c>
      <c r="G305" t="n">
        <v>1424</v>
      </c>
      <c r="H305" t="inlineStr">
        <is>
          <t>JUAN RAMON SIERRA GARZA</t>
        </is>
      </c>
      <c r="I305" t="n">
        <v>10302</v>
      </c>
      <c r="J305" t="inlineStr">
        <is>
          <t>GERENTE DE CONTRALORIA</t>
        </is>
      </c>
      <c r="K305" t="n">
        <v>1</v>
      </c>
      <c r="L305" t="inlineStr">
        <is>
          <t>PRESIDENCIA EJECUTIVA DEL CONSEJO</t>
        </is>
      </c>
      <c r="M305" t="n">
        <v>40</v>
      </c>
      <c r="N305" t="inlineStr">
        <is>
          <t>DIRECCION GENERAL BANCO BASE</t>
        </is>
      </c>
      <c r="O305" t="n">
        <v>440</v>
      </c>
      <c r="P305" t="inlineStr">
        <is>
          <t>DIRECCION DE CONTRALORIA Y PREVENCION</t>
        </is>
      </c>
      <c r="Q305" t="n">
        <v>4460</v>
      </c>
      <c r="R305" t="inlineStr">
        <is>
          <t>DIRECCION DE CONTRALORIA</t>
        </is>
      </c>
      <c r="S305" t="n">
        <v>44620</v>
      </c>
      <c r="T305" t="inlineStr">
        <is>
          <t>GERENCIA DE CONTROL INTERNO</t>
        </is>
      </c>
      <c r="U305" t="n">
        <v>491100</v>
      </c>
      <c r="V305" t="inlineStr">
        <is>
          <t>GERENCIA DE CONTROL INTERNO</t>
        </is>
      </c>
      <c r="W305" t="n">
        <v>100101</v>
      </c>
      <c r="X305" t="inlineStr">
        <is>
          <t>CORPORATIVO</t>
        </is>
      </c>
      <c r="Y305" t="n">
        <v>4</v>
      </c>
      <c r="Z305" t="inlineStr">
        <is>
          <t>CORPORATIVO</t>
        </is>
      </c>
      <c r="AA305" t="n">
        <v>1</v>
      </c>
      <c r="AB305" t="inlineStr">
        <is>
          <t>NEGOCIO EN MARCHA</t>
        </is>
      </c>
      <c r="AC305" t="n">
        <v>1</v>
      </c>
      <c r="AD305" t="inlineStr">
        <is>
          <t>BANCO</t>
        </is>
      </c>
      <c r="AE305" t="n">
        <v>1</v>
      </c>
      <c r="AF305" t="inlineStr">
        <is>
          <t>BACK</t>
        </is>
      </c>
      <c r="AG305" t="n">
        <v>100101</v>
      </c>
      <c r="AH305" t="inlineStr">
        <is>
          <t>CORPORATIVO</t>
        </is>
      </c>
      <c r="AI305" t="inlineStr">
        <is>
          <t>MARZOLA@BANCOBASE.COM</t>
        </is>
      </c>
      <c r="AJ305" s="151" t="n">
        <v>42767</v>
      </c>
      <c r="AK305" s="151" t="n"/>
      <c r="AL305" s="151" t="n"/>
    </row>
    <row r="306" hidden="1" s="150">
      <c r="A306" t="inlineStr">
        <is>
          <t>DMESIAS</t>
        </is>
      </c>
      <c r="B306" t="n">
        <v>3998</v>
      </c>
      <c r="C306" t="inlineStr">
        <is>
          <t>DANIEL EDUARDO MESIAS CORTINA</t>
        </is>
      </c>
      <c r="D306" t="n">
        <v>8736</v>
      </c>
      <c r="E306" t="inlineStr">
        <is>
          <t>ESPECIALISTA DE CONTROL INTERNO</t>
        </is>
      </c>
      <c r="F306" t="inlineStr">
        <is>
          <t>MONTERREY</t>
        </is>
      </c>
      <c r="G306" t="n">
        <v>1424</v>
      </c>
      <c r="H306" t="inlineStr">
        <is>
          <t>JUAN RAMON SIERRA GARZA</t>
        </is>
      </c>
      <c r="I306" t="n">
        <v>10302</v>
      </c>
      <c r="J306" t="inlineStr">
        <is>
          <t>GERENTE DE CONTRALORIA</t>
        </is>
      </c>
      <c r="K306" t="n">
        <v>1</v>
      </c>
      <c r="L306" t="inlineStr">
        <is>
          <t>PRESIDENCIA EJECUTIVA DEL CONSEJO</t>
        </is>
      </c>
      <c r="M306" t="n">
        <v>40</v>
      </c>
      <c r="N306" t="inlineStr">
        <is>
          <t>DIRECCION GENERAL BANCO BASE</t>
        </is>
      </c>
      <c r="O306" t="n">
        <v>440</v>
      </c>
      <c r="P306" t="inlineStr">
        <is>
          <t>DIRECCION DE CONTRALORIA Y PREVENCION</t>
        </is>
      </c>
      <c r="Q306" t="n">
        <v>4460</v>
      </c>
      <c r="R306" t="inlineStr">
        <is>
          <t>DIRECCION DE CONTRALORIA</t>
        </is>
      </c>
      <c r="S306" t="n">
        <v>44620</v>
      </c>
      <c r="T306" t="inlineStr">
        <is>
          <t>GERENCIA DE CONTROL INTERNO</t>
        </is>
      </c>
      <c r="U306" t="n">
        <v>491100</v>
      </c>
      <c r="V306" t="inlineStr">
        <is>
          <t>GERENCIA DE CONTROL INTERNO</t>
        </is>
      </c>
      <c r="W306" t="n">
        <v>100101</v>
      </c>
      <c r="X306" t="inlineStr">
        <is>
          <t>CORPORATIVO</t>
        </is>
      </c>
      <c r="Y306" t="n">
        <v>4</v>
      </c>
      <c r="Z306" t="inlineStr">
        <is>
          <t>CORPORATIVO</t>
        </is>
      </c>
      <c r="AA306" t="n">
        <v>1</v>
      </c>
      <c r="AB306" t="inlineStr">
        <is>
          <t>NEGOCIO EN MARCHA</t>
        </is>
      </c>
      <c r="AC306" t="n">
        <v>1</v>
      </c>
      <c r="AD306" t="inlineStr">
        <is>
          <t>BANCO</t>
        </is>
      </c>
      <c r="AE306" t="n">
        <v>1</v>
      </c>
      <c r="AF306" t="inlineStr">
        <is>
          <t>BACK</t>
        </is>
      </c>
      <c r="AG306" t="n">
        <v>100101</v>
      </c>
      <c r="AH306" t="inlineStr">
        <is>
          <t>CORPORATIVO</t>
        </is>
      </c>
      <c r="AI306" t="inlineStr">
        <is>
          <t>DMESIAS@BANCOBASE.COM</t>
        </is>
      </c>
      <c r="AJ306" s="151" t="n">
        <v>46251</v>
      </c>
      <c r="AK306" s="151" t="n"/>
      <c r="AL306" s="151" t="n"/>
    </row>
    <row r="307" hidden="1" s="150">
      <c r="A307" t="inlineStr">
        <is>
          <t>JSOLTERO</t>
        </is>
      </c>
      <c r="B307" t="n">
        <v>1374</v>
      </c>
      <c r="C307" t="inlineStr">
        <is>
          <t>JAMIE SERENA SOLTERO ESPARZA</t>
        </is>
      </c>
      <c r="D307" t="n">
        <v>10019</v>
      </c>
      <c r="E307" t="inlineStr">
        <is>
          <t>GERENTE CONTROL OPERATIVO</t>
        </is>
      </c>
      <c r="F307" t="inlineStr">
        <is>
          <t>MONTERREY</t>
        </is>
      </c>
      <c r="G307" t="n">
        <v>1239</v>
      </c>
      <c r="H307" t="inlineStr">
        <is>
          <t>ELVIRA GUILLERMINA CORNEJO GONZALEZ</t>
        </is>
      </c>
      <c r="I307" t="n">
        <v>10078</v>
      </c>
      <c r="J307" t="inlineStr">
        <is>
          <t>DIRECTOR DE CONTRALORIA</t>
        </is>
      </c>
      <c r="K307" t="n">
        <v>1</v>
      </c>
      <c r="L307" t="inlineStr">
        <is>
          <t>PRESIDENCIA EJECUTIVA DEL CONSEJO</t>
        </is>
      </c>
      <c r="M307" t="n">
        <v>40</v>
      </c>
      <c r="N307" t="inlineStr">
        <is>
          <t>DIRECCION GENERAL BANCO BASE</t>
        </is>
      </c>
      <c r="O307" t="n">
        <v>440</v>
      </c>
      <c r="P307" t="inlineStr">
        <is>
          <t>DIRECCION DE CONTRALORIA Y PREVENCION</t>
        </is>
      </c>
      <c r="Q307" t="n">
        <v>4460</v>
      </c>
      <c r="R307" t="inlineStr">
        <is>
          <t>DIRECCION DE CONTRALORIA</t>
        </is>
      </c>
      <c r="S307" t="n">
        <v>44630</v>
      </c>
      <c r="T307" t="inlineStr">
        <is>
          <t>GERENCIA DE CONTROL OPERATIVO</t>
        </is>
      </c>
      <c r="U307" t="n">
        <v>413112</v>
      </c>
      <c r="V307" t="inlineStr">
        <is>
          <t>GERENCIA DE CONTROL OPERATIVO</t>
        </is>
      </c>
      <c r="W307" t="n">
        <v>100101</v>
      </c>
      <c r="X307" t="inlineStr">
        <is>
          <t>CORPORATIVO</t>
        </is>
      </c>
      <c r="Y307" t="n">
        <v>4</v>
      </c>
      <c r="Z307" t="inlineStr">
        <is>
          <t>CORPORATIVO</t>
        </is>
      </c>
      <c r="AA307" t="n">
        <v>1</v>
      </c>
      <c r="AB307" t="inlineStr">
        <is>
          <t>NEGOCIO EN MARCHA</t>
        </is>
      </c>
      <c r="AC307" t="n">
        <v>1</v>
      </c>
      <c r="AD307" t="inlineStr">
        <is>
          <t>BANCO</t>
        </is>
      </c>
      <c r="AE307" t="n">
        <v>1</v>
      </c>
      <c r="AF307" t="inlineStr">
        <is>
          <t>BACK</t>
        </is>
      </c>
      <c r="AG307" t="n">
        <v>100101</v>
      </c>
      <c r="AH307" t="inlineStr">
        <is>
          <t>CORPORATIVO</t>
        </is>
      </c>
      <c r="AI307" t="inlineStr">
        <is>
          <t>JSOLTERO@BANCOBASE.COM</t>
        </is>
      </c>
      <c r="AJ307" s="151" t="n">
        <v>42278</v>
      </c>
      <c r="AK307" s="151" t="n"/>
      <c r="AL307" s="151" t="n"/>
    </row>
    <row r="308" hidden="1" s="150">
      <c r="A308" t="inlineStr">
        <is>
          <t>OGUAJARDO</t>
        </is>
      </c>
      <c r="B308" t="n">
        <v>2093</v>
      </c>
      <c r="C308" t="inlineStr">
        <is>
          <t>OBED GERARDO GUAJARDO DE LA ROSA</t>
        </is>
      </c>
      <c r="D308" t="n">
        <v>8131</v>
      </c>
      <c r="E308" t="inlineStr">
        <is>
          <t>COORDINADOR DE MESA DE CONTROL</t>
        </is>
      </c>
      <c r="F308" t="inlineStr">
        <is>
          <t>MONTERREY</t>
        </is>
      </c>
      <c r="G308" t="n">
        <v>1374</v>
      </c>
      <c r="H308" t="inlineStr">
        <is>
          <t>JAMIE SERENA SOLTERO ESPARZA</t>
        </is>
      </c>
      <c r="I308" t="n">
        <v>10019</v>
      </c>
      <c r="J308" t="inlineStr">
        <is>
          <t>GERENTE CONTROL OPERATIVO</t>
        </is>
      </c>
      <c r="K308" t="n">
        <v>1</v>
      </c>
      <c r="L308" t="inlineStr">
        <is>
          <t>PRESIDENCIA EJECUTIVA DEL CONSEJO</t>
        </is>
      </c>
      <c r="M308" t="n">
        <v>40</v>
      </c>
      <c r="N308" t="inlineStr">
        <is>
          <t>DIRECCION GENERAL BANCO BASE</t>
        </is>
      </c>
      <c r="O308" t="n">
        <v>440</v>
      </c>
      <c r="P308" t="inlineStr">
        <is>
          <t>DIRECCION DE CONTRALORIA Y PREVENCION</t>
        </is>
      </c>
      <c r="Q308" t="n">
        <v>4460</v>
      </c>
      <c r="R308" t="inlineStr">
        <is>
          <t>DIRECCION DE CONTRALORIA</t>
        </is>
      </c>
      <c r="S308" t="n">
        <v>44630</v>
      </c>
      <c r="T308" t="inlineStr">
        <is>
          <t>GERENCIA DE CONTROL OPERATIVO</t>
        </is>
      </c>
      <c r="U308" t="n">
        <v>413112</v>
      </c>
      <c r="V308" t="inlineStr">
        <is>
          <t>GERENCIA DE CONTROL OPERATIVO</t>
        </is>
      </c>
      <c r="W308" t="n">
        <v>100101</v>
      </c>
      <c r="X308" t="inlineStr">
        <is>
          <t>CORPORATIVO</t>
        </is>
      </c>
      <c r="Y308" t="n">
        <v>4</v>
      </c>
      <c r="Z308" t="inlineStr">
        <is>
          <t>CORPORATIVO</t>
        </is>
      </c>
      <c r="AA308" t="n">
        <v>1</v>
      </c>
      <c r="AB308" t="inlineStr">
        <is>
          <t>NEGOCIO EN MARCHA</t>
        </is>
      </c>
      <c r="AC308" t="n">
        <v>1</v>
      </c>
      <c r="AD308" t="inlineStr">
        <is>
          <t>BANCO</t>
        </is>
      </c>
      <c r="AE308" t="n">
        <v>1</v>
      </c>
      <c r="AF308" t="inlineStr">
        <is>
          <t>BACK</t>
        </is>
      </c>
      <c r="AG308" t="n">
        <v>100101</v>
      </c>
      <c r="AH308" t="inlineStr">
        <is>
          <t>CORPORATIVO</t>
        </is>
      </c>
      <c r="AI308" t="inlineStr">
        <is>
          <t>OGUAJARDO@BANCOBASE.COM</t>
        </is>
      </c>
      <c r="AJ308" s="151" t="n">
        <v>43353</v>
      </c>
      <c r="AK308" s="151" t="n"/>
      <c r="AL308" s="151" t="n"/>
    </row>
    <row r="309" hidden="1" s="150">
      <c r="A309" t="inlineStr">
        <is>
          <t>HVILLARREA</t>
        </is>
      </c>
      <c r="B309" t="n">
        <v>2259</v>
      </c>
      <c r="C309" t="inlineStr">
        <is>
          <t>HECTOR MISAEL VILLARREAL SANCHEZ</t>
        </is>
      </c>
      <c r="D309" t="n">
        <v>9956</v>
      </c>
      <c r="E309" t="inlineStr">
        <is>
          <t>ANALISTA DE MESA DE CONTROL</t>
        </is>
      </c>
      <c r="F309" t="inlineStr">
        <is>
          <t>MONTERREY</t>
        </is>
      </c>
      <c r="G309" t="n">
        <v>2093</v>
      </c>
      <c r="H309" t="inlineStr">
        <is>
          <t>OBED GERARDO GUAJARDO DE LA ROSA</t>
        </is>
      </c>
      <c r="I309" t="n">
        <v>8131</v>
      </c>
      <c r="J309" t="inlineStr">
        <is>
          <t>COORDINADOR DE MESA DE CONTROL</t>
        </is>
      </c>
      <c r="K309" t="n">
        <v>1</v>
      </c>
      <c r="L309" t="inlineStr">
        <is>
          <t>PRESIDENCIA EJECUTIVA DEL CONSEJO</t>
        </is>
      </c>
      <c r="M309" t="n">
        <v>40</v>
      </c>
      <c r="N309" t="inlineStr">
        <is>
          <t>DIRECCION GENERAL BANCO BASE</t>
        </is>
      </c>
      <c r="O309" t="n">
        <v>440</v>
      </c>
      <c r="P309" t="inlineStr">
        <is>
          <t>DIRECCION DE CONTRALORIA Y PREVENCION</t>
        </is>
      </c>
      <c r="Q309" t="n">
        <v>4460</v>
      </c>
      <c r="R309" t="inlineStr">
        <is>
          <t>DIRECCION DE CONTRALORIA</t>
        </is>
      </c>
      <c r="S309" t="n">
        <v>44630</v>
      </c>
      <c r="T309" t="inlineStr">
        <is>
          <t>GERENCIA DE CONTROL OPERATIVO</t>
        </is>
      </c>
      <c r="U309" t="n">
        <v>413112</v>
      </c>
      <c r="V309" t="inlineStr">
        <is>
          <t>GERENCIA DE CONTROL OPERATIVO</t>
        </is>
      </c>
      <c r="W309" t="n">
        <v>100101</v>
      </c>
      <c r="X309" t="inlineStr">
        <is>
          <t>CORPORATIVO</t>
        </is>
      </c>
      <c r="Y309" t="n">
        <v>4</v>
      </c>
      <c r="Z309" t="inlineStr">
        <is>
          <t>CORPORATIVO</t>
        </is>
      </c>
      <c r="AA309" t="n">
        <v>1</v>
      </c>
      <c r="AB309" t="inlineStr">
        <is>
          <t>NEGOCIO EN MARCHA</t>
        </is>
      </c>
      <c r="AC309" t="n">
        <v>1</v>
      </c>
      <c r="AD309" t="inlineStr">
        <is>
          <t>BANCO</t>
        </is>
      </c>
      <c r="AE309" t="n">
        <v>1</v>
      </c>
      <c r="AF309" t="inlineStr">
        <is>
          <t>BACK</t>
        </is>
      </c>
      <c r="AG309" t="n">
        <v>100101</v>
      </c>
      <c r="AH309" t="inlineStr">
        <is>
          <t>CORPORATIVO</t>
        </is>
      </c>
      <c r="AI309" t="inlineStr">
        <is>
          <t>HVILLARREA@BANCOBASE.COM</t>
        </is>
      </c>
      <c r="AJ309" s="151" t="n">
        <v>43619</v>
      </c>
      <c r="AK309" s="151" t="n"/>
      <c r="AL309" s="151" t="n"/>
    </row>
    <row r="310" hidden="1" s="150">
      <c r="A310" t="inlineStr">
        <is>
          <t>NGONZALETI</t>
        </is>
      </c>
      <c r="B310" t="n">
        <v>2681</v>
      </c>
      <c r="C310" t="inlineStr">
        <is>
          <t>NIDIA ELENA GONZALEZ TIJERINA</t>
        </is>
      </c>
      <c r="D310" t="n">
        <v>9196</v>
      </c>
      <c r="E310" t="inlineStr">
        <is>
          <t>ANALISTA DE CONTROL OPERATIVO</t>
        </is>
      </c>
      <c r="F310" t="inlineStr">
        <is>
          <t>MONTERREY</t>
        </is>
      </c>
      <c r="G310" t="n">
        <v>2093</v>
      </c>
      <c r="H310" t="inlineStr">
        <is>
          <t>OBED GERARDO GUAJARDO DE LA ROSA</t>
        </is>
      </c>
      <c r="I310" t="n">
        <v>8131</v>
      </c>
      <c r="J310" t="inlineStr">
        <is>
          <t>COORDINADOR DE MESA DE CONTROL</t>
        </is>
      </c>
      <c r="K310" t="n">
        <v>1</v>
      </c>
      <c r="L310" t="inlineStr">
        <is>
          <t>PRESIDENCIA EJECUTIVA DEL CONSEJO</t>
        </is>
      </c>
      <c r="M310" t="n">
        <v>40</v>
      </c>
      <c r="N310" t="inlineStr">
        <is>
          <t>DIRECCION GENERAL BANCO BASE</t>
        </is>
      </c>
      <c r="O310" t="n">
        <v>440</v>
      </c>
      <c r="P310" t="inlineStr">
        <is>
          <t>DIRECCION DE CONTRALORIA Y PREVENCION</t>
        </is>
      </c>
      <c r="Q310" t="n">
        <v>4460</v>
      </c>
      <c r="R310" t="inlineStr">
        <is>
          <t>DIRECCION DE CONTRALORIA</t>
        </is>
      </c>
      <c r="S310" t="n">
        <v>44630</v>
      </c>
      <c r="T310" t="inlineStr">
        <is>
          <t>GERENCIA DE CONTROL OPERATIVO</t>
        </is>
      </c>
      <c r="U310" t="n">
        <v>413112</v>
      </c>
      <c r="V310" t="inlineStr">
        <is>
          <t>GERENCIA DE CONTROL OPERATIVO</t>
        </is>
      </c>
      <c r="W310" t="n">
        <v>100101</v>
      </c>
      <c r="X310" t="inlineStr">
        <is>
          <t>CORPORATIVO</t>
        </is>
      </c>
      <c r="Y310" t="n">
        <v>4</v>
      </c>
      <c r="Z310" t="inlineStr">
        <is>
          <t>CORPORATIVO</t>
        </is>
      </c>
      <c r="AA310" t="n">
        <v>1</v>
      </c>
      <c r="AB310" t="inlineStr">
        <is>
          <t>NEGOCIO EN MARCHA</t>
        </is>
      </c>
      <c r="AC310" t="n">
        <v>1</v>
      </c>
      <c r="AD310" t="inlineStr">
        <is>
          <t>BANCO</t>
        </is>
      </c>
      <c r="AE310" t="n">
        <v>1</v>
      </c>
      <c r="AF310" t="inlineStr">
        <is>
          <t>BACK</t>
        </is>
      </c>
      <c r="AG310" t="n">
        <v>100101</v>
      </c>
      <c r="AH310" t="inlineStr">
        <is>
          <t>CORPORATIVO</t>
        </is>
      </c>
      <c r="AI310" t="inlineStr">
        <is>
          <t>NGONZALETI@BANCOBASE.COM</t>
        </is>
      </c>
      <c r="AJ310" s="151" t="n">
        <v>45019</v>
      </c>
      <c r="AK310" s="151" t="n"/>
      <c r="AL310" s="151" t="n"/>
    </row>
    <row r="311" hidden="1" s="150">
      <c r="A311" t="inlineStr">
        <is>
          <t>MLOPEZM</t>
        </is>
      </c>
      <c r="B311" t="n">
        <v>2958</v>
      </c>
      <c r="C311" t="inlineStr">
        <is>
          <t>ANGELA MICHELLE LOPEZ MUÑIZ</t>
        </is>
      </c>
      <c r="D311" t="n">
        <v>9444</v>
      </c>
      <c r="E311" t="inlineStr">
        <is>
          <t>ANALISTA DE MESA DE CONTROL</t>
        </is>
      </c>
      <c r="F311" t="inlineStr">
        <is>
          <t>MONTERREY</t>
        </is>
      </c>
      <c r="G311" t="n">
        <v>2093</v>
      </c>
      <c r="H311" t="inlineStr">
        <is>
          <t>OBED GERARDO GUAJARDO DE LA ROSA</t>
        </is>
      </c>
      <c r="I311" t="n">
        <v>8131</v>
      </c>
      <c r="J311" t="inlineStr">
        <is>
          <t>COORDINADOR DE MESA DE CONTROL</t>
        </is>
      </c>
      <c r="K311" t="n">
        <v>1</v>
      </c>
      <c r="L311" t="inlineStr">
        <is>
          <t>PRESIDENCIA EJECUTIVA DEL CONSEJO</t>
        </is>
      </c>
      <c r="M311" t="n">
        <v>40</v>
      </c>
      <c r="N311" t="inlineStr">
        <is>
          <t>DIRECCION GENERAL BANCO BASE</t>
        </is>
      </c>
      <c r="O311" t="n">
        <v>440</v>
      </c>
      <c r="P311" t="inlineStr">
        <is>
          <t>DIRECCION DE CONTRALORIA Y PREVENCION</t>
        </is>
      </c>
      <c r="Q311" t="n">
        <v>4460</v>
      </c>
      <c r="R311" t="inlineStr">
        <is>
          <t>DIRECCION DE CONTRALORIA</t>
        </is>
      </c>
      <c r="S311" t="n">
        <v>44630</v>
      </c>
      <c r="T311" t="inlineStr">
        <is>
          <t>GERENCIA DE CONTROL OPERATIVO</t>
        </is>
      </c>
      <c r="U311" t="n">
        <v>413112</v>
      </c>
      <c r="V311" t="inlineStr">
        <is>
          <t>GERENCIA DE CONTROL OPERATIVO</t>
        </is>
      </c>
      <c r="W311" t="n">
        <v>100101</v>
      </c>
      <c r="X311" t="inlineStr">
        <is>
          <t>CORPORATIVO</t>
        </is>
      </c>
      <c r="Y311" t="n">
        <v>4</v>
      </c>
      <c r="Z311" t="inlineStr">
        <is>
          <t>CORPORATIVO</t>
        </is>
      </c>
      <c r="AA311" t="n">
        <v>1</v>
      </c>
      <c r="AB311" t="inlineStr">
        <is>
          <t>NEGOCIO EN MARCHA</t>
        </is>
      </c>
      <c r="AC311" t="n">
        <v>1</v>
      </c>
      <c r="AD311" t="inlineStr">
        <is>
          <t>BANCO</t>
        </is>
      </c>
      <c r="AE311" t="n">
        <v>1</v>
      </c>
      <c r="AF311" t="inlineStr">
        <is>
          <t>BACK</t>
        </is>
      </c>
      <c r="AG311" t="n">
        <v>100101</v>
      </c>
      <c r="AH311" t="inlineStr">
        <is>
          <t>CORPORATIVO</t>
        </is>
      </c>
      <c r="AI311" t="inlineStr">
        <is>
          <t>MLOPEZM@BANCOBASE.COM</t>
        </is>
      </c>
      <c r="AJ311" s="151" t="n">
        <v>45187</v>
      </c>
      <c r="AK311" s="151" t="n"/>
      <c r="AL311" s="151" t="n"/>
    </row>
    <row r="312" hidden="1" s="150">
      <c r="A312" t="inlineStr">
        <is>
          <t>OHERNANDE</t>
        </is>
      </c>
      <c r="B312" t="n">
        <v>2524</v>
      </c>
      <c r="C312" t="inlineStr">
        <is>
          <t>OLGA NELLY HERNANDEZ CEDEÑO</t>
        </is>
      </c>
      <c r="D312" t="n">
        <v>9628</v>
      </c>
      <c r="E312" t="inlineStr">
        <is>
          <t>COORDINADOR DE GUARDAVALORES</t>
        </is>
      </c>
      <c r="F312" t="inlineStr">
        <is>
          <t>MONTERREY</t>
        </is>
      </c>
      <c r="G312" t="n">
        <v>1374</v>
      </c>
      <c r="H312" t="inlineStr">
        <is>
          <t>JAMIE SERENA SOLTERO ESPARZA</t>
        </is>
      </c>
      <c r="I312" t="n">
        <v>10019</v>
      </c>
      <c r="J312" t="inlineStr">
        <is>
          <t>GERENTE CONTROL OPERATIVO</t>
        </is>
      </c>
      <c r="K312" t="n">
        <v>1</v>
      </c>
      <c r="L312" t="inlineStr">
        <is>
          <t>PRESIDENCIA EJECUTIVA DEL CONSEJO</t>
        </is>
      </c>
      <c r="M312" t="n">
        <v>40</v>
      </c>
      <c r="N312" t="inlineStr">
        <is>
          <t>DIRECCION GENERAL BANCO BASE</t>
        </is>
      </c>
      <c r="O312" t="n">
        <v>440</v>
      </c>
      <c r="P312" t="inlineStr">
        <is>
          <t>DIRECCION DE CONTRALORIA Y PREVENCION</t>
        </is>
      </c>
      <c r="Q312" t="n">
        <v>4460</v>
      </c>
      <c r="R312" t="inlineStr">
        <is>
          <t>DIRECCION DE CONTRALORIA</t>
        </is>
      </c>
      <c r="S312" t="n">
        <v>44630</v>
      </c>
      <c r="T312" t="inlineStr">
        <is>
          <t>GERENCIA DE CONTROL OPERATIVO</t>
        </is>
      </c>
      <c r="U312" t="n">
        <v>413112</v>
      </c>
      <c r="V312" t="inlineStr">
        <is>
          <t>GERENCIA DE CONTROL OPERATIVO</t>
        </is>
      </c>
      <c r="W312" t="n">
        <v>100101</v>
      </c>
      <c r="X312" t="inlineStr">
        <is>
          <t>CORPORATIVO</t>
        </is>
      </c>
      <c r="Y312" t="n">
        <v>4</v>
      </c>
      <c r="Z312" t="inlineStr">
        <is>
          <t>CORPORATIVO</t>
        </is>
      </c>
      <c r="AA312" t="n">
        <v>1</v>
      </c>
      <c r="AB312" t="inlineStr">
        <is>
          <t>NEGOCIO EN MARCHA</t>
        </is>
      </c>
      <c r="AC312" t="n">
        <v>1</v>
      </c>
      <c r="AD312" t="inlineStr">
        <is>
          <t>BANCO</t>
        </is>
      </c>
      <c r="AE312" t="n">
        <v>1</v>
      </c>
      <c r="AF312" t="inlineStr">
        <is>
          <t>BACK</t>
        </is>
      </c>
      <c r="AG312" t="n">
        <v>100101</v>
      </c>
      <c r="AH312" t="inlineStr">
        <is>
          <t>CORPORATIVO</t>
        </is>
      </c>
      <c r="AI312" t="inlineStr">
        <is>
          <t>OHERNANDE@BANCOBASE.COM</t>
        </is>
      </c>
      <c r="AJ312" s="151" t="n">
        <v>44393</v>
      </c>
      <c r="AK312" s="151" t="n"/>
      <c r="AL312" s="151" t="n"/>
    </row>
    <row r="313" hidden="1" s="150">
      <c r="A313" t="inlineStr">
        <is>
          <t>RFLORESC</t>
        </is>
      </c>
      <c r="B313" t="n">
        <v>3161</v>
      </c>
      <c r="C313" t="inlineStr">
        <is>
          <t>RUBEN ADRIAN FLORES CAZARES</t>
        </is>
      </c>
      <c r="D313" t="n">
        <v>9120</v>
      </c>
      <c r="E313" t="inlineStr">
        <is>
          <t>ANALISTA DE GUARDAVALORES</t>
        </is>
      </c>
      <c r="F313" t="inlineStr">
        <is>
          <t>MONTERREY</t>
        </is>
      </c>
      <c r="G313" t="n">
        <v>2524</v>
      </c>
      <c r="H313" t="inlineStr">
        <is>
          <t>OLGA NELLY HERNANDEZ CEDEÑO</t>
        </is>
      </c>
      <c r="I313" t="n">
        <v>9628</v>
      </c>
      <c r="J313" t="inlineStr">
        <is>
          <t>COORDINADOR DE GUARDAVALORES</t>
        </is>
      </c>
      <c r="K313" t="n">
        <v>1</v>
      </c>
      <c r="L313" t="inlineStr">
        <is>
          <t>PRESIDENCIA EJECUTIVA DEL CONSEJO</t>
        </is>
      </c>
      <c r="M313" t="n">
        <v>40</v>
      </c>
      <c r="N313" t="inlineStr">
        <is>
          <t>DIRECCION GENERAL BANCO BASE</t>
        </is>
      </c>
      <c r="O313" t="n">
        <v>440</v>
      </c>
      <c r="P313" t="inlineStr">
        <is>
          <t>DIRECCION DE CONTRALORIA Y PREVENCION</t>
        </is>
      </c>
      <c r="Q313" t="n">
        <v>4460</v>
      </c>
      <c r="R313" t="inlineStr">
        <is>
          <t>DIRECCION DE CONTRALORIA</t>
        </is>
      </c>
      <c r="S313" t="n">
        <v>44630</v>
      </c>
      <c r="T313" t="inlineStr">
        <is>
          <t>GERENCIA DE CONTROL OPERATIVO</t>
        </is>
      </c>
      <c r="U313" t="n">
        <v>413112</v>
      </c>
      <c r="V313" t="inlineStr">
        <is>
          <t>GERENCIA DE CONTROL OPERATIVO</t>
        </is>
      </c>
      <c r="W313" t="n">
        <v>100101</v>
      </c>
      <c r="X313" t="inlineStr">
        <is>
          <t>CORPORATIVO</t>
        </is>
      </c>
      <c r="Y313" t="n">
        <v>4</v>
      </c>
      <c r="Z313" t="inlineStr">
        <is>
          <t>CORPORATIVO</t>
        </is>
      </c>
      <c r="AA313" t="n">
        <v>1</v>
      </c>
      <c r="AB313" t="inlineStr">
        <is>
          <t>NEGOCIO EN MARCHA</t>
        </is>
      </c>
      <c r="AC313" t="n">
        <v>1</v>
      </c>
      <c r="AD313" t="inlineStr">
        <is>
          <t>BANCO</t>
        </is>
      </c>
      <c r="AE313" t="n">
        <v>1</v>
      </c>
      <c r="AF313" t="inlineStr">
        <is>
          <t>BACK</t>
        </is>
      </c>
      <c r="AG313" t="n">
        <v>100101</v>
      </c>
      <c r="AH313" t="inlineStr">
        <is>
          <t>CORPORATIVO</t>
        </is>
      </c>
      <c r="AI313" t="inlineStr">
        <is>
          <t>RFLORESC@BANCOBASE.COM</t>
        </is>
      </c>
      <c r="AJ313" s="151" t="n">
        <v>45489</v>
      </c>
      <c r="AK313" s="151" t="n"/>
      <c r="AL313" s="151" t="n"/>
    </row>
    <row r="314" hidden="1" s="150">
      <c r="A314" t="inlineStr">
        <is>
          <t>ANORIEGA</t>
        </is>
      </c>
      <c r="B314" t="n">
        <v>3527</v>
      </c>
      <c r="C314" t="inlineStr">
        <is>
          <t>ANALIA NORIEGA MURILLO</t>
        </is>
      </c>
      <c r="D314" t="n">
        <v>8681</v>
      </c>
      <c r="E314" t="inlineStr">
        <is>
          <t>ANALISTA DE GUARDAVALORES</t>
        </is>
      </c>
      <c r="F314" t="inlineStr">
        <is>
          <t>GUADALAJARA</t>
        </is>
      </c>
      <c r="G314" t="n">
        <v>2524</v>
      </c>
      <c r="H314" t="inlineStr">
        <is>
          <t>OLGA NELLY HERNANDEZ CEDEÑO</t>
        </is>
      </c>
      <c r="I314" t="n">
        <v>9628</v>
      </c>
      <c r="J314" t="inlineStr">
        <is>
          <t>COORDINADOR DE GUARDAVALORES</t>
        </is>
      </c>
      <c r="K314" t="n">
        <v>1</v>
      </c>
      <c r="L314" t="inlineStr">
        <is>
          <t>PRESIDENCIA EJECUTIVA DEL CONSEJO</t>
        </is>
      </c>
      <c r="M314" t="n">
        <v>40</v>
      </c>
      <c r="N314" t="inlineStr">
        <is>
          <t>DIRECCION GENERAL BANCO BASE</t>
        </is>
      </c>
      <c r="O314" t="n">
        <v>440</v>
      </c>
      <c r="P314" t="inlineStr">
        <is>
          <t>DIRECCION DE CONTRALORIA Y PREVENCION</t>
        </is>
      </c>
      <c r="Q314" t="n">
        <v>4460</v>
      </c>
      <c r="R314" t="inlineStr">
        <is>
          <t>DIRECCION DE CONTRALORIA</t>
        </is>
      </c>
      <c r="S314" t="n">
        <v>44630</v>
      </c>
      <c r="T314" t="inlineStr">
        <is>
          <t>GERENCIA DE CONTROL OPERATIVO</t>
        </is>
      </c>
      <c r="U314" t="n">
        <v>413112</v>
      </c>
      <c r="V314" t="inlineStr">
        <is>
          <t>GERENCIA DE CONTROL OPERATIVO</t>
        </is>
      </c>
      <c r="W314" t="n">
        <v>126107</v>
      </c>
      <c r="X314" t="inlineStr">
        <is>
          <t>GUADALAJARA</t>
        </is>
      </c>
      <c r="Y314" t="n">
        <v>4</v>
      </c>
      <c r="Z314" t="inlineStr">
        <is>
          <t>CORPORATIVO</t>
        </is>
      </c>
      <c r="AA314" t="n">
        <v>1</v>
      </c>
      <c r="AB314" t="inlineStr">
        <is>
          <t>NEGOCIO EN MARCHA</t>
        </is>
      </c>
      <c r="AC314" t="n">
        <v>1</v>
      </c>
      <c r="AD314" t="inlineStr">
        <is>
          <t>BANCO</t>
        </is>
      </c>
      <c r="AE314" t="n">
        <v>1</v>
      </c>
      <c r="AF314" t="inlineStr">
        <is>
          <t>BACK</t>
        </is>
      </c>
      <c r="AG314" t="n">
        <v>126107</v>
      </c>
      <c r="AH314" t="inlineStr">
        <is>
          <t>GUADALAJARA</t>
        </is>
      </c>
      <c r="AI314" t="inlineStr">
        <is>
          <t>ANORIEGA@BANCOBASE.COM</t>
        </is>
      </c>
      <c r="AJ314" s="151" t="n">
        <v>45887</v>
      </c>
      <c r="AK314" s="151" t="n"/>
      <c r="AL314" s="151" t="n"/>
    </row>
    <row r="315" hidden="1" s="150">
      <c r="A315" t="inlineStr">
        <is>
          <t>GLOPEZ</t>
        </is>
      </c>
      <c r="B315" t="n">
        <v>3031</v>
      </c>
      <c r="C315" t="inlineStr">
        <is>
          <t>GUADALUPE JAZLYN LOPEZ AGUILAR</t>
        </is>
      </c>
      <c r="D315" t="n">
        <v>9838</v>
      </c>
      <c r="E315" t="inlineStr">
        <is>
          <t>ANALISTA DE GUARDAVALORES</t>
        </is>
      </c>
      <c r="F315" t="inlineStr">
        <is>
          <t>MEXICO</t>
        </is>
      </c>
      <c r="G315" t="n">
        <v>2524</v>
      </c>
      <c r="H315" t="inlineStr">
        <is>
          <t>OLGA NELLY HERNANDEZ CEDEÑO</t>
        </is>
      </c>
      <c r="I315" t="n">
        <v>9628</v>
      </c>
      <c r="J315" t="inlineStr">
        <is>
          <t>COORDINADOR DE GUARDAVALORES</t>
        </is>
      </c>
      <c r="K315" t="n">
        <v>1</v>
      </c>
      <c r="L315" t="inlineStr">
        <is>
          <t>PRESIDENCIA EJECUTIVA DEL CONSEJO</t>
        </is>
      </c>
      <c r="M315" t="n">
        <v>40</v>
      </c>
      <c r="N315" t="inlineStr">
        <is>
          <t>DIRECCION GENERAL BANCO BASE</t>
        </is>
      </c>
      <c r="O315" t="n">
        <v>440</v>
      </c>
      <c r="P315" t="inlineStr">
        <is>
          <t>DIRECCION DE CONTRALORIA Y PREVENCION</t>
        </is>
      </c>
      <c r="Q315" t="n">
        <v>4460</v>
      </c>
      <c r="R315" t="inlineStr">
        <is>
          <t>DIRECCION DE CONTRALORIA</t>
        </is>
      </c>
      <c r="S315" t="n">
        <v>44630</v>
      </c>
      <c r="T315" t="inlineStr">
        <is>
          <t>GERENCIA DE CONTROL OPERATIVO</t>
        </is>
      </c>
      <c r="U315" t="n">
        <v>413112</v>
      </c>
      <c r="V315" t="inlineStr">
        <is>
          <t>GERENCIA DE CONTROL OPERATIVO</t>
        </is>
      </c>
      <c r="W315" t="n">
        <v>134111</v>
      </c>
      <c r="X315" t="inlineStr">
        <is>
          <t>LOMAS</t>
        </is>
      </c>
      <c r="Y315" t="n">
        <v>4</v>
      </c>
      <c r="Z315" t="inlineStr">
        <is>
          <t>CORPORATIVO</t>
        </is>
      </c>
      <c r="AA315" t="n">
        <v>1</v>
      </c>
      <c r="AB315" t="inlineStr">
        <is>
          <t>NEGOCIO EN MARCHA</t>
        </is>
      </c>
      <c r="AC315" t="n">
        <v>1</v>
      </c>
      <c r="AD315" t="inlineStr">
        <is>
          <t>BANCO</t>
        </is>
      </c>
      <c r="AE315" t="n">
        <v>1</v>
      </c>
      <c r="AF315" t="inlineStr">
        <is>
          <t>BACK</t>
        </is>
      </c>
      <c r="AG315" t="n">
        <v>134111</v>
      </c>
      <c r="AH315" t="inlineStr">
        <is>
          <t>LOMAS</t>
        </is>
      </c>
      <c r="AI315" t="inlineStr">
        <is>
          <t>GLOPEZ@BANCOBASE.COM</t>
        </is>
      </c>
      <c r="AJ315" s="151" t="n">
        <v>45328</v>
      </c>
      <c r="AK315" s="151" t="n"/>
      <c r="AL315" s="151" t="n"/>
    </row>
    <row r="316" hidden="1" s="150">
      <c r="A316" t="inlineStr">
        <is>
          <t>EARRIOZOLA</t>
        </is>
      </c>
      <c r="B316" t="n">
        <v>3468</v>
      </c>
      <c r="C316" t="inlineStr">
        <is>
          <t>GERSON ELI ARRIOZOLA HERNANDEZ</t>
        </is>
      </c>
      <c r="D316" t="n">
        <v>8701</v>
      </c>
      <c r="E316" t="inlineStr">
        <is>
          <t>ANALISTA DE GUARDAVALORES</t>
        </is>
      </c>
      <c r="F316" t="inlineStr">
        <is>
          <t>MONTERREY</t>
        </is>
      </c>
      <c r="G316" t="n">
        <v>2524</v>
      </c>
      <c r="H316" t="inlineStr">
        <is>
          <t>OLGA NELLY HERNANDEZ CEDEÑO</t>
        </is>
      </c>
      <c r="I316" t="n">
        <v>9628</v>
      </c>
      <c r="J316" t="inlineStr">
        <is>
          <t>COORDINADOR DE GUARDAVALORES</t>
        </is>
      </c>
      <c r="K316" t="n">
        <v>1</v>
      </c>
      <c r="L316" t="inlineStr">
        <is>
          <t>PRESIDENCIA EJECUTIVA DEL CONSEJO</t>
        </is>
      </c>
      <c r="M316" t="n">
        <v>40</v>
      </c>
      <c r="N316" t="inlineStr">
        <is>
          <t>DIRECCION GENERAL BANCO BASE</t>
        </is>
      </c>
      <c r="O316" t="n">
        <v>440</v>
      </c>
      <c r="P316" t="inlineStr">
        <is>
          <t>DIRECCION DE CONTRALORIA Y PREVENCION</t>
        </is>
      </c>
      <c r="Q316" t="n">
        <v>4460</v>
      </c>
      <c r="R316" t="inlineStr">
        <is>
          <t>DIRECCION DE CONTRALORIA</t>
        </is>
      </c>
      <c r="S316" t="n">
        <v>44630</v>
      </c>
      <c r="T316" t="inlineStr">
        <is>
          <t>GERENCIA DE CONTROL OPERATIVO</t>
        </is>
      </c>
      <c r="U316" t="n">
        <v>413112</v>
      </c>
      <c r="V316" t="inlineStr">
        <is>
          <t>GERENCIA DE CONTROL OPERATIVO</t>
        </is>
      </c>
      <c r="W316" t="n">
        <v>100101</v>
      </c>
      <c r="X316" t="inlineStr">
        <is>
          <t>CORPORATIVO</t>
        </is>
      </c>
      <c r="Y316" t="n">
        <v>4</v>
      </c>
      <c r="Z316" t="inlineStr">
        <is>
          <t>CORPORATIVO</t>
        </is>
      </c>
      <c r="AA316" t="n">
        <v>1</v>
      </c>
      <c r="AB316" t="inlineStr">
        <is>
          <t>NEGOCIO EN MARCHA</t>
        </is>
      </c>
      <c r="AC316" t="n">
        <v>1</v>
      </c>
      <c r="AD316" t="inlineStr">
        <is>
          <t>BANCO</t>
        </is>
      </c>
      <c r="AE316" t="n">
        <v>1</v>
      </c>
      <c r="AF316" t="inlineStr">
        <is>
          <t>BACK</t>
        </is>
      </c>
      <c r="AG316" t="n">
        <v>100101</v>
      </c>
      <c r="AH316" t="inlineStr">
        <is>
          <t>CORPORATIVO</t>
        </is>
      </c>
      <c r="AI316" t="inlineStr">
        <is>
          <t>EARRIOZOLA@BANCOBASE.COM</t>
        </is>
      </c>
      <c r="AJ316" s="151" t="n">
        <v>45839</v>
      </c>
      <c r="AK316" s="151" t="n"/>
      <c r="AL316" s="151" t="n"/>
    </row>
    <row r="317" hidden="1" s="150">
      <c r="A317" t="inlineStr">
        <is>
          <t>DHERNANDEH</t>
        </is>
      </c>
      <c r="B317" t="n">
        <v>3612</v>
      </c>
      <c r="C317" t="inlineStr">
        <is>
          <t>DIANA ITZEL HERNANDEZ HERNANDEZ</t>
        </is>
      </c>
      <c r="D317" t="n">
        <v>8737</v>
      </c>
      <c r="E317" t="inlineStr">
        <is>
          <t>ANALISTA DE GUARDAVALORES</t>
        </is>
      </c>
      <c r="F317" t="inlineStr">
        <is>
          <t>MONTERREY</t>
        </is>
      </c>
      <c r="G317" t="n">
        <v>2524</v>
      </c>
      <c r="H317" t="inlineStr">
        <is>
          <t>OLGA NELLY HERNANDEZ CEDEÑO</t>
        </is>
      </c>
      <c r="I317" t="n">
        <v>9628</v>
      </c>
      <c r="J317" t="inlineStr">
        <is>
          <t>COORDINADOR DE GUARDAVALORES</t>
        </is>
      </c>
      <c r="K317" t="n">
        <v>1</v>
      </c>
      <c r="L317" t="inlineStr">
        <is>
          <t>PRESIDENCIA EJECUTIVA DEL CONSEJO</t>
        </is>
      </c>
      <c r="M317" t="n">
        <v>40</v>
      </c>
      <c r="N317" t="inlineStr">
        <is>
          <t>DIRECCION GENERAL BANCO BASE</t>
        </is>
      </c>
      <c r="O317" t="n">
        <v>440</v>
      </c>
      <c r="P317" t="inlineStr">
        <is>
          <t>DIRECCION DE CONTRALORIA Y PREVENCION</t>
        </is>
      </c>
      <c r="Q317" t="n">
        <v>4460</v>
      </c>
      <c r="R317" t="inlineStr">
        <is>
          <t>DIRECCION DE CONTRALORIA</t>
        </is>
      </c>
      <c r="S317" t="n">
        <v>44630</v>
      </c>
      <c r="T317" t="inlineStr">
        <is>
          <t>GERENCIA DE CONTROL OPERATIVO</t>
        </is>
      </c>
      <c r="U317" t="n">
        <v>413112</v>
      </c>
      <c r="V317" t="inlineStr">
        <is>
          <t>GERENCIA DE CONTROL OPERATIVO</t>
        </is>
      </c>
      <c r="W317" t="n">
        <v>100101</v>
      </c>
      <c r="X317" t="inlineStr">
        <is>
          <t>CORPORATIVO</t>
        </is>
      </c>
      <c r="Y317" t="n">
        <v>4</v>
      </c>
      <c r="Z317" t="inlineStr">
        <is>
          <t>CORPORATIVO</t>
        </is>
      </c>
      <c r="AA317" t="n">
        <v>1</v>
      </c>
      <c r="AB317" t="inlineStr">
        <is>
          <t>NEGOCIO EN MARCHA</t>
        </is>
      </c>
      <c r="AC317" t="n">
        <v>1</v>
      </c>
      <c r="AD317" t="inlineStr">
        <is>
          <t>BANCO</t>
        </is>
      </c>
      <c r="AE317" t="n">
        <v>1</v>
      </c>
      <c r="AF317" t="inlineStr">
        <is>
          <t>BACK</t>
        </is>
      </c>
      <c r="AG317" t="n">
        <v>100101</v>
      </c>
      <c r="AH317" t="inlineStr">
        <is>
          <t>CORPORATIVO</t>
        </is>
      </c>
      <c r="AI317" t="inlineStr">
        <is>
          <t>DHERNANDEH@BANCOBASE.COM</t>
        </is>
      </c>
      <c r="AJ317" s="151" t="n">
        <v>45946</v>
      </c>
      <c r="AK317" s="151" t="n"/>
      <c r="AL317" s="151" t="n"/>
    </row>
    <row r="318" hidden="1" s="150">
      <c r="A318" t="inlineStr">
        <is>
          <t>ACARBAJAL</t>
        </is>
      </c>
      <c r="B318" t="n">
        <v>3685</v>
      </c>
      <c r="C318" t="inlineStr">
        <is>
          <t>ARIEL CARBAJAL MENDOZA</t>
        </is>
      </c>
      <c r="D318" t="n">
        <v>8738</v>
      </c>
      <c r="E318" t="inlineStr">
        <is>
          <t>ANALISTA DE GUARDAVALORES</t>
        </is>
      </c>
      <c r="F318" t="inlineStr">
        <is>
          <t>MEXICO</t>
        </is>
      </c>
      <c r="G318" t="n">
        <v>2524</v>
      </c>
      <c r="H318" t="inlineStr">
        <is>
          <t>OLGA NELLY HERNANDEZ CEDEÑO</t>
        </is>
      </c>
      <c r="I318" t="n">
        <v>9628</v>
      </c>
      <c r="J318" t="inlineStr">
        <is>
          <t>COORDINADOR DE GUARDAVALORES</t>
        </is>
      </c>
      <c r="K318" t="n">
        <v>1</v>
      </c>
      <c r="L318" t="inlineStr">
        <is>
          <t>PRESIDENCIA EJECUTIVA DEL CONSEJO</t>
        </is>
      </c>
      <c r="M318" t="n">
        <v>40</v>
      </c>
      <c r="N318" t="inlineStr">
        <is>
          <t>DIRECCION GENERAL BANCO BASE</t>
        </is>
      </c>
      <c r="O318" t="n">
        <v>440</v>
      </c>
      <c r="P318" t="inlineStr">
        <is>
          <t>DIRECCION DE CONTRALORIA Y PREVENCION</t>
        </is>
      </c>
      <c r="Q318" t="n">
        <v>4460</v>
      </c>
      <c r="R318" t="inlineStr">
        <is>
          <t>DIRECCION DE CONTRALORIA</t>
        </is>
      </c>
      <c r="S318" t="n">
        <v>44630</v>
      </c>
      <c r="T318" t="inlineStr">
        <is>
          <t>GERENCIA DE CONTROL OPERATIVO</t>
        </is>
      </c>
      <c r="U318" t="n">
        <v>413112</v>
      </c>
      <c r="V318" t="inlineStr">
        <is>
          <t>GERENCIA DE CONTROL OPERATIVO</t>
        </is>
      </c>
      <c r="W318" t="n">
        <v>134111</v>
      </c>
      <c r="X318" t="inlineStr">
        <is>
          <t>LOMAS</t>
        </is>
      </c>
      <c r="Y318" t="n">
        <v>4</v>
      </c>
      <c r="Z318" t="inlineStr">
        <is>
          <t>CORPORATIVO</t>
        </is>
      </c>
      <c r="AA318" t="n">
        <v>1</v>
      </c>
      <c r="AB318" t="inlineStr">
        <is>
          <t>NEGOCIO EN MARCHA</t>
        </is>
      </c>
      <c r="AC318" t="n">
        <v>1</v>
      </c>
      <c r="AD318" t="inlineStr">
        <is>
          <t>BANCO</t>
        </is>
      </c>
      <c r="AE318" t="n">
        <v>1</v>
      </c>
      <c r="AF318" t="inlineStr">
        <is>
          <t>BACK</t>
        </is>
      </c>
      <c r="AG318" t="n">
        <v>134111</v>
      </c>
      <c r="AH318" t="inlineStr">
        <is>
          <t>LOMAS</t>
        </is>
      </c>
      <c r="AI318" t="inlineStr">
        <is>
          <t>ACARBAJAL@BANCOBASE.COM</t>
        </is>
      </c>
      <c r="AJ318" s="151" t="n">
        <v>45979</v>
      </c>
      <c r="AK318" s="151" t="n"/>
      <c r="AL318" s="151" t="n"/>
    </row>
    <row r="319" hidden="1" s="150">
      <c r="A319" t="inlineStr">
        <is>
          <t>DARIAS</t>
        </is>
      </c>
      <c r="B319" t="n">
        <v>3384</v>
      </c>
      <c r="C319" t="inlineStr">
        <is>
          <t>DULCE ADRIANA ARIAS JUAREZ</t>
        </is>
      </c>
      <c r="D319" t="n">
        <v>8682</v>
      </c>
      <c r="E319" t="inlineStr">
        <is>
          <t>ANALISTA DE GUARDAVALORES</t>
        </is>
      </c>
      <c r="F319" t="inlineStr">
        <is>
          <t>MEXICO</t>
        </is>
      </c>
      <c r="G319" t="n">
        <v>2524</v>
      </c>
      <c r="H319" t="inlineStr">
        <is>
          <t>OLGA NELLY HERNANDEZ CEDEÑO</t>
        </is>
      </c>
      <c r="I319" t="n">
        <v>9628</v>
      </c>
      <c r="J319" t="inlineStr">
        <is>
          <t>COORDINADOR DE GUARDAVALORES</t>
        </is>
      </c>
      <c r="K319" t="n">
        <v>1</v>
      </c>
      <c r="L319" t="inlineStr">
        <is>
          <t>PRESIDENCIA EJECUTIVA DEL CONSEJO</t>
        </is>
      </c>
      <c r="M319" t="n">
        <v>40</v>
      </c>
      <c r="N319" t="inlineStr">
        <is>
          <t>DIRECCION GENERAL BANCO BASE</t>
        </is>
      </c>
      <c r="O319" t="n">
        <v>440</v>
      </c>
      <c r="P319" t="inlineStr">
        <is>
          <t>DIRECCION DE CONTRALORIA Y PREVENCION</t>
        </is>
      </c>
      <c r="Q319" t="n">
        <v>4460</v>
      </c>
      <c r="R319" t="inlineStr">
        <is>
          <t>DIRECCION DE CONTRALORIA</t>
        </is>
      </c>
      <c r="S319" t="n">
        <v>44630</v>
      </c>
      <c r="T319" t="inlineStr">
        <is>
          <t>GERENCIA DE CONTROL OPERATIVO</t>
        </is>
      </c>
      <c r="U319" t="n">
        <v>413112</v>
      </c>
      <c r="V319" t="inlineStr">
        <is>
          <t>GERENCIA DE CONTROL OPERATIVO</t>
        </is>
      </c>
      <c r="W319" t="n">
        <v>134111</v>
      </c>
      <c r="X319" t="inlineStr">
        <is>
          <t>LOMAS</t>
        </is>
      </c>
      <c r="Y319" t="n">
        <v>4</v>
      </c>
      <c r="Z319" t="inlineStr">
        <is>
          <t>CORPORATIVO</t>
        </is>
      </c>
      <c r="AA319" t="n">
        <v>1</v>
      </c>
      <c r="AB319" t="inlineStr">
        <is>
          <t>NEGOCIO EN MARCHA</t>
        </is>
      </c>
      <c r="AC319" t="n">
        <v>1</v>
      </c>
      <c r="AD319" t="inlineStr">
        <is>
          <t>BANCO</t>
        </is>
      </c>
      <c r="AE319" t="n">
        <v>1</v>
      </c>
      <c r="AF319" t="inlineStr">
        <is>
          <t>BACK</t>
        </is>
      </c>
      <c r="AG319" t="n">
        <v>134111</v>
      </c>
      <c r="AH319" t="inlineStr">
        <is>
          <t>LOMAS</t>
        </is>
      </c>
      <c r="AI319" t="inlineStr">
        <is>
          <t>DARIAS@BANCOBASE.COM</t>
        </is>
      </c>
      <c r="AJ319" s="151" t="n">
        <v>45748</v>
      </c>
      <c r="AK319" s="151" t="n"/>
      <c r="AL319" s="151" t="n"/>
    </row>
    <row r="320" hidden="1" s="150">
      <c r="A320" t="inlineStr">
        <is>
          <t>HMEDELLIN</t>
        </is>
      </c>
      <c r="B320" t="n">
        <v>2992</v>
      </c>
      <c r="C320" t="inlineStr">
        <is>
          <t>HORACIO ALBERTO MEDELLIN VAZQUEZ</t>
        </is>
      </c>
      <c r="D320" t="n">
        <v>5000</v>
      </c>
      <c r="E320" t="inlineStr">
        <is>
          <t>SUBDIRECTOR DE CUMPLIMIENTO PLD</t>
        </is>
      </c>
      <c r="F320" t="inlineStr">
        <is>
          <t>MONTERREY</t>
        </is>
      </c>
      <c r="G320" t="n">
        <v>989</v>
      </c>
      <c r="H320" t="inlineStr">
        <is>
          <t>SERGIO CORTES FERNANDEZ</t>
        </is>
      </c>
      <c r="I320" t="n">
        <v>1007</v>
      </c>
      <c r="J320" t="inlineStr">
        <is>
          <t>DIRECTOR DE CONTRALORIA Y PREVENCION</t>
        </is>
      </c>
      <c r="K320" t="n">
        <v>1</v>
      </c>
      <c r="L320" t="inlineStr">
        <is>
          <t>PRESIDENCIA EJECUTIVA DEL CONSEJO</t>
        </is>
      </c>
      <c r="M320" t="n">
        <v>40</v>
      </c>
      <c r="N320" t="inlineStr">
        <is>
          <t>DIRECCION GENERAL BANCO BASE</t>
        </is>
      </c>
      <c r="O320" t="n">
        <v>440</v>
      </c>
      <c r="P320" t="inlineStr">
        <is>
          <t>DIRECCION DE CONTRALORIA Y PREVENCION</t>
        </is>
      </c>
      <c r="Q320" t="n">
        <v>4480</v>
      </c>
      <c r="R320" t="inlineStr">
        <is>
          <t>CUMPLIMIENTO PLD</t>
        </is>
      </c>
      <c r="S320" t="n">
        <v>44800</v>
      </c>
      <c r="T320" t="inlineStr">
        <is>
          <t>CUMPLIMIENTO PLD</t>
        </is>
      </c>
      <c r="U320" t="n">
        <v>448000</v>
      </c>
      <c r="V320" t="inlineStr">
        <is>
          <t>CUMPLIMIENTO PLD</t>
        </is>
      </c>
      <c r="W320" t="n">
        <v>100101</v>
      </c>
      <c r="X320" t="inlineStr">
        <is>
          <t>CORPORATIVO</t>
        </is>
      </c>
      <c r="Y320" t="n">
        <v>4</v>
      </c>
      <c r="Z320" t="inlineStr">
        <is>
          <t>CORPORATIVO</t>
        </is>
      </c>
      <c r="AA320" t="n">
        <v>1</v>
      </c>
      <c r="AB320" t="inlineStr">
        <is>
          <t>NEGOCIO EN MARCHA</t>
        </is>
      </c>
      <c r="AC320" t="n">
        <v>1</v>
      </c>
      <c r="AD320" t="inlineStr">
        <is>
          <t>BANCO</t>
        </is>
      </c>
      <c r="AE320" t="n">
        <v>1</v>
      </c>
      <c r="AF320" t="inlineStr">
        <is>
          <t>BACK</t>
        </is>
      </c>
      <c r="AG320" t="n">
        <v>100101</v>
      </c>
      <c r="AH320" t="inlineStr">
        <is>
          <t>CORPORATIVO</t>
        </is>
      </c>
      <c r="AI320" t="inlineStr">
        <is>
          <t>HMEDELLIN@BANCOBASE.COM</t>
        </is>
      </c>
      <c r="AJ320" s="151" t="n">
        <v>45261</v>
      </c>
      <c r="AK320" s="151" t="n"/>
      <c r="AL320" s="151" t="n"/>
    </row>
    <row r="321" hidden="1" s="150">
      <c r="A321" t="inlineStr">
        <is>
          <t>DMARTINEL</t>
        </is>
      </c>
      <c r="B321" t="n">
        <v>2315</v>
      </c>
      <c r="C321" t="inlineStr">
        <is>
          <t>DANIEL MARTINEZ LOERA</t>
        </is>
      </c>
      <c r="D321" t="n">
        <v>10092</v>
      </c>
      <c r="E321" t="inlineStr">
        <is>
          <t>GERENTE DE CUMPLIMIENTO OPERATIVO PLD</t>
        </is>
      </c>
      <c r="F321" t="inlineStr">
        <is>
          <t>MONTERREY</t>
        </is>
      </c>
      <c r="G321" t="n">
        <v>2992</v>
      </c>
      <c r="H321" t="inlineStr">
        <is>
          <t>HORACIO ALBERTO MEDELLIN VAZQUEZ</t>
        </is>
      </c>
      <c r="I321" t="n">
        <v>5000</v>
      </c>
      <c r="J321" t="inlineStr">
        <is>
          <t>SUBDIRECTOR DE CUMPLIMIENTO PLD</t>
        </is>
      </c>
      <c r="K321" t="n">
        <v>1</v>
      </c>
      <c r="L321" t="inlineStr">
        <is>
          <t>PRESIDENCIA EJECUTIVA DEL CONSEJO</t>
        </is>
      </c>
      <c r="M321" t="n">
        <v>40</v>
      </c>
      <c r="N321" t="inlineStr">
        <is>
          <t>DIRECCION GENERAL BANCO BASE</t>
        </is>
      </c>
      <c r="O321" t="n">
        <v>440</v>
      </c>
      <c r="P321" t="inlineStr">
        <is>
          <t>DIRECCION DE CONTRALORIA Y PREVENCION</t>
        </is>
      </c>
      <c r="Q321" t="n">
        <v>4480</v>
      </c>
      <c r="R321" t="inlineStr">
        <is>
          <t>CUMPLIMIENTO PLD</t>
        </is>
      </c>
      <c r="S321" t="n">
        <v>44800</v>
      </c>
      <c r="T321" t="inlineStr">
        <is>
          <t>CUMPLIMIENTO PLD</t>
        </is>
      </c>
      <c r="U321" t="n">
        <v>448000</v>
      </c>
      <c r="V321" t="inlineStr">
        <is>
          <t>CUMPLIMIENTO PLD</t>
        </is>
      </c>
      <c r="W321" t="n">
        <v>100101</v>
      </c>
      <c r="X321" t="inlineStr">
        <is>
          <t>CORPORATIVO</t>
        </is>
      </c>
      <c r="Y321" t="n">
        <v>4</v>
      </c>
      <c r="Z321" t="inlineStr">
        <is>
          <t>CORPORATIVO</t>
        </is>
      </c>
      <c r="AA321" t="n">
        <v>1</v>
      </c>
      <c r="AB321" t="inlineStr">
        <is>
          <t>NEGOCIO EN MARCHA</t>
        </is>
      </c>
      <c r="AC321" t="n">
        <v>1</v>
      </c>
      <c r="AD321" t="inlineStr">
        <is>
          <t>BANCO</t>
        </is>
      </c>
      <c r="AE321" t="n">
        <v>1</v>
      </c>
      <c r="AF321" t="inlineStr">
        <is>
          <t>BACK</t>
        </is>
      </c>
      <c r="AG321" t="n">
        <v>100101</v>
      </c>
      <c r="AH321" t="inlineStr">
        <is>
          <t>CORPORATIVO</t>
        </is>
      </c>
      <c r="AI321" t="inlineStr">
        <is>
          <t>DMARTINEL@BANCOBASE.COM</t>
        </is>
      </c>
      <c r="AJ321" s="151" t="n">
        <v>43710</v>
      </c>
      <c r="AK321" s="151" t="n"/>
      <c r="AL321" s="151" t="n"/>
    </row>
    <row r="322" hidden="1" s="150">
      <c r="A322" t="inlineStr">
        <is>
          <t>RMALERVA</t>
        </is>
      </c>
      <c r="B322" t="n">
        <v>3726</v>
      </c>
      <c r="C322" t="inlineStr">
        <is>
          <t>ROBERTO CARLOS MALERVA PAEZ</t>
        </is>
      </c>
      <c r="D322" t="n">
        <v>9108</v>
      </c>
      <c r="E322" t="inlineStr">
        <is>
          <t>ANALISTA DE CUMPLIMIENTO OPERATIVO PLD JR</t>
        </is>
      </c>
      <c r="F322" t="inlineStr">
        <is>
          <t>MONTERREY</t>
        </is>
      </c>
      <c r="G322" t="n">
        <v>2315</v>
      </c>
      <c r="H322" t="inlineStr">
        <is>
          <t>DANIEL MARTINEZ LOERA</t>
        </is>
      </c>
      <c r="I322" t="n">
        <v>10092</v>
      </c>
      <c r="J322" t="inlineStr">
        <is>
          <t>GERENTE DE CUMPLIMIENTO OPERATIVO PLD</t>
        </is>
      </c>
      <c r="K322" t="n">
        <v>1</v>
      </c>
      <c r="L322" t="inlineStr">
        <is>
          <t>PRESIDENCIA EJECUTIVA DEL CONSEJO</t>
        </is>
      </c>
      <c r="M322" t="n">
        <v>40</v>
      </c>
      <c r="N322" t="inlineStr">
        <is>
          <t>DIRECCION GENERAL BANCO BASE</t>
        </is>
      </c>
      <c r="O322" t="n">
        <v>440</v>
      </c>
      <c r="P322" t="inlineStr">
        <is>
          <t>DIRECCION DE CONTRALORIA Y PREVENCION</t>
        </is>
      </c>
      <c r="Q322" t="n">
        <v>4480</v>
      </c>
      <c r="R322" t="inlineStr">
        <is>
          <t>CUMPLIMIENTO PLD</t>
        </is>
      </c>
      <c r="S322" t="n">
        <v>44800</v>
      </c>
      <c r="T322" t="inlineStr">
        <is>
          <t>CUMPLIMIENTO PLD</t>
        </is>
      </c>
      <c r="U322" t="n">
        <v>448000</v>
      </c>
      <c r="V322" t="inlineStr">
        <is>
          <t>CUMPLIMIENTO PLD</t>
        </is>
      </c>
      <c r="W322" t="n">
        <v>100101</v>
      </c>
      <c r="X322" t="inlineStr">
        <is>
          <t>CORPORATIVO</t>
        </is>
      </c>
      <c r="Y322" t="n">
        <v>4</v>
      </c>
      <c r="Z322" t="inlineStr">
        <is>
          <t>CORPORATIVO</t>
        </is>
      </c>
      <c r="AA322" t="n">
        <v>1</v>
      </c>
      <c r="AB322" t="inlineStr">
        <is>
          <t>NEGOCIO EN MARCHA</t>
        </is>
      </c>
      <c r="AC322" t="n">
        <v>1</v>
      </c>
      <c r="AD322" t="inlineStr">
        <is>
          <t>BANCO</t>
        </is>
      </c>
      <c r="AE322" t="n">
        <v>1</v>
      </c>
      <c r="AF322" t="inlineStr">
        <is>
          <t>BACK</t>
        </is>
      </c>
      <c r="AG322" t="n">
        <v>100101</v>
      </c>
      <c r="AH322" t="inlineStr">
        <is>
          <t>CORPORATIVO</t>
        </is>
      </c>
      <c r="AI322" t="inlineStr">
        <is>
          <t>RMALERVA@BANCOBASE.COM</t>
        </is>
      </c>
      <c r="AJ322" s="151" t="n">
        <v>46027</v>
      </c>
      <c r="AK322" s="151" t="n"/>
      <c r="AL322" s="151" t="n"/>
    </row>
    <row r="323" hidden="1" s="150">
      <c r="A323" t="inlineStr">
        <is>
          <t>PGARCIAG</t>
        </is>
      </c>
      <c r="B323" t="n">
        <v>3724</v>
      </c>
      <c r="C323" t="inlineStr">
        <is>
          <t>PAMELA MONSERRAT GARCIA GARZA</t>
        </is>
      </c>
      <c r="D323" t="n">
        <v>10190</v>
      </c>
      <c r="E323" t="inlineStr">
        <is>
          <t>ANALISTA DE CUMPLIMIENTO OPERATIVO PLD JR</t>
        </is>
      </c>
      <c r="F323" t="inlineStr">
        <is>
          <t>MONTERREY</t>
        </is>
      </c>
      <c r="G323" t="n">
        <v>2315</v>
      </c>
      <c r="H323" t="inlineStr">
        <is>
          <t>DANIEL MARTINEZ LOERA</t>
        </is>
      </c>
      <c r="I323" t="n">
        <v>10092</v>
      </c>
      <c r="J323" t="inlineStr">
        <is>
          <t>GERENTE DE CUMPLIMIENTO OPERATIVO PLD</t>
        </is>
      </c>
      <c r="K323" t="n">
        <v>1</v>
      </c>
      <c r="L323" t="inlineStr">
        <is>
          <t>PRESIDENCIA EJECUTIVA DEL CONSEJO</t>
        </is>
      </c>
      <c r="M323" t="n">
        <v>40</v>
      </c>
      <c r="N323" t="inlineStr">
        <is>
          <t>DIRECCION GENERAL BANCO BASE</t>
        </is>
      </c>
      <c r="O323" t="n">
        <v>440</v>
      </c>
      <c r="P323" t="inlineStr">
        <is>
          <t>DIRECCION DE CONTRALORIA Y PREVENCION</t>
        </is>
      </c>
      <c r="Q323" t="n">
        <v>4480</v>
      </c>
      <c r="R323" t="inlineStr">
        <is>
          <t>CUMPLIMIENTO PLD</t>
        </is>
      </c>
      <c r="S323" t="n">
        <v>44800</v>
      </c>
      <c r="T323" t="inlineStr">
        <is>
          <t>CUMPLIMIENTO PLD</t>
        </is>
      </c>
      <c r="U323" t="n">
        <v>448000</v>
      </c>
      <c r="V323" t="inlineStr">
        <is>
          <t>CUMPLIMIENTO PLD</t>
        </is>
      </c>
      <c r="W323" t="n">
        <v>100101</v>
      </c>
      <c r="X323" t="inlineStr">
        <is>
          <t>CORPORATIVO</t>
        </is>
      </c>
      <c r="Y323" t="n">
        <v>4</v>
      </c>
      <c r="Z323" t="inlineStr">
        <is>
          <t>CORPORATIVO</t>
        </is>
      </c>
      <c r="AA323" t="n">
        <v>1</v>
      </c>
      <c r="AB323" t="inlineStr">
        <is>
          <t>NEGOCIO EN MARCHA</t>
        </is>
      </c>
      <c r="AC323" t="n">
        <v>1</v>
      </c>
      <c r="AD323" t="inlineStr">
        <is>
          <t>BANCO</t>
        </is>
      </c>
      <c r="AE323" t="n">
        <v>1</v>
      </c>
      <c r="AF323" t="inlineStr">
        <is>
          <t>BACK</t>
        </is>
      </c>
      <c r="AG323" t="n">
        <v>100101</v>
      </c>
      <c r="AH323" t="inlineStr">
        <is>
          <t>CORPORATIVO</t>
        </is>
      </c>
      <c r="AI323" t="inlineStr">
        <is>
          <t>PGARCIAG@BANCOBASE.COM</t>
        </is>
      </c>
      <c r="AJ323" s="151" t="n">
        <v>46027</v>
      </c>
      <c r="AK323" s="151" t="n"/>
      <c r="AL323" s="151" t="n"/>
    </row>
    <row r="324" hidden="1" s="150">
      <c r="A324" t="inlineStr">
        <is>
          <t>MTINAJERO</t>
        </is>
      </c>
      <c r="B324" t="n">
        <v>3479</v>
      </c>
      <c r="C324" t="inlineStr">
        <is>
          <t>MELINA JUDITH TINAJERO DE LA HOYA</t>
        </is>
      </c>
      <c r="D324" t="n">
        <v>5098</v>
      </c>
      <c r="E324" t="inlineStr">
        <is>
          <t>ANALISTA DE CUMPLIMIENTO OPERATIVO PLD JR</t>
        </is>
      </c>
      <c r="F324" t="inlineStr">
        <is>
          <t>MONTERREY</t>
        </is>
      </c>
      <c r="G324" t="n">
        <v>2315</v>
      </c>
      <c r="H324" t="inlineStr">
        <is>
          <t>DANIEL MARTINEZ LOERA</t>
        </is>
      </c>
      <c r="I324" t="n">
        <v>10092</v>
      </c>
      <c r="J324" t="inlineStr">
        <is>
          <t>GERENTE DE CUMPLIMIENTO OPERATIVO PLD</t>
        </is>
      </c>
      <c r="K324" t="n">
        <v>1</v>
      </c>
      <c r="L324" t="inlineStr">
        <is>
          <t>PRESIDENCIA EJECUTIVA DEL CONSEJO</t>
        </is>
      </c>
      <c r="M324" t="n">
        <v>40</v>
      </c>
      <c r="N324" t="inlineStr">
        <is>
          <t>DIRECCION GENERAL BANCO BASE</t>
        </is>
      </c>
      <c r="O324" t="n">
        <v>440</v>
      </c>
      <c r="P324" t="inlineStr">
        <is>
          <t>DIRECCION DE CONTRALORIA Y PREVENCION</t>
        </is>
      </c>
      <c r="Q324" t="n">
        <v>4480</v>
      </c>
      <c r="R324" t="inlineStr">
        <is>
          <t>CUMPLIMIENTO PLD</t>
        </is>
      </c>
      <c r="S324" t="n">
        <v>44800</v>
      </c>
      <c r="T324" t="inlineStr">
        <is>
          <t>CUMPLIMIENTO PLD</t>
        </is>
      </c>
      <c r="U324" t="n">
        <v>448000</v>
      </c>
      <c r="V324" t="inlineStr">
        <is>
          <t>CUMPLIMIENTO PLD</t>
        </is>
      </c>
      <c r="W324" t="n">
        <v>100101</v>
      </c>
      <c r="X324" t="inlineStr">
        <is>
          <t>CORPORATIVO</t>
        </is>
      </c>
      <c r="Y324" t="n">
        <v>4</v>
      </c>
      <c r="Z324" t="inlineStr">
        <is>
          <t>CORPORATIVO</t>
        </is>
      </c>
      <c r="AA324" t="n">
        <v>1</v>
      </c>
      <c r="AB324" t="inlineStr">
        <is>
          <t>NEGOCIO EN MARCHA</t>
        </is>
      </c>
      <c r="AC324" t="n">
        <v>1</v>
      </c>
      <c r="AD324" t="inlineStr">
        <is>
          <t>BANCO</t>
        </is>
      </c>
      <c r="AE324" t="n">
        <v>1</v>
      </c>
      <c r="AF324" t="inlineStr">
        <is>
          <t>BACK</t>
        </is>
      </c>
      <c r="AG324" t="n">
        <v>100101</v>
      </c>
      <c r="AH324" t="inlineStr">
        <is>
          <t>CORPORATIVO</t>
        </is>
      </c>
      <c r="AI324" t="inlineStr">
        <is>
          <t>MTINAJERO@BANCOBASE.COM</t>
        </is>
      </c>
      <c r="AJ324" s="151" t="n">
        <v>45854</v>
      </c>
      <c r="AK324" s="151" t="n"/>
      <c r="AL324" s="151" t="n"/>
    </row>
    <row r="325" hidden="1" s="150">
      <c r="A325" t="inlineStr">
        <is>
          <t>LDELGADO</t>
        </is>
      </c>
      <c r="B325" t="n">
        <v>3563</v>
      </c>
      <c r="C325" t="inlineStr">
        <is>
          <t>LUIS RICARDO DELGADO AGUIÑAGA</t>
        </is>
      </c>
      <c r="D325" t="n">
        <v>8754</v>
      </c>
      <c r="E325" t="inlineStr">
        <is>
          <t>GERENTE DE ANALISIS DE OPERACIONES PLD</t>
        </is>
      </c>
      <c r="F325" t="inlineStr">
        <is>
          <t>MONTERREY</t>
        </is>
      </c>
      <c r="G325" t="n">
        <v>2992</v>
      </c>
      <c r="H325" t="inlineStr">
        <is>
          <t>HORACIO ALBERTO MEDELLIN VAZQUEZ</t>
        </is>
      </c>
      <c r="I325" t="n">
        <v>5000</v>
      </c>
      <c r="J325" t="inlineStr">
        <is>
          <t>SUBDIRECTOR DE CUMPLIMIENTO PLD</t>
        </is>
      </c>
      <c r="K325" t="n">
        <v>1</v>
      </c>
      <c r="L325" t="inlineStr">
        <is>
          <t>PRESIDENCIA EJECUTIVA DEL CONSEJO</t>
        </is>
      </c>
      <c r="M325" t="n">
        <v>40</v>
      </c>
      <c r="N325" t="inlineStr">
        <is>
          <t>DIRECCION GENERAL BANCO BASE</t>
        </is>
      </c>
      <c r="O325" t="n">
        <v>440</v>
      </c>
      <c r="P325" t="inlineStr">
        <is>
          <t>DIRECCION DE CONTRALORIA Y PREVENCION</t>
        </is>
      </c>
      <c r="Q325" t="n">
        <v>4480</v>
      </c>
      <c r="R325" t="inlineStr">
        <is>
          <t>CUMPLIMIENTO PLD</t>
        </is>
      </c>
      <c r="S325" t="n">
        <v>44800</v>
      </c>
      <c r="T325" t="inlineStr">
        <is>
          <t>CUMPLIMIENTO PLD</t>
        </is>
      </c>
      <c r="U325" t="n">
        <v>448000</v>
      </c>
      <c r="V325" t="inlineStr">
        <is>
          <t>CUMPLIMIENTO PLD</t>
        </is>
      </c>
      <c r="W325" t="n">
        <v>100101</v>
      </c>
      <c r="X325" t="inlineStr">
        <is>
          <t>CORPORATIVO</t>
        </is>
      </c>
      <c r="Y325" t="n">
        <v>4</v>
      </c>
      <c r="Z325" t="inlineStr">
        <is>
          <t>CORPORATIVO</t>
        </is>
      </c>
      <c r="AA325" t="n">
        <v>1</v>
      </c>
      <c r="AB325" t="inlineStr">
        <is>
          <t>NEGOCIO EN MARCHA</t>
        </is>
      </c>
      <c r="AC325" t="n">
        <v>1</v>
      </c>
      <c r="AD325" t="inlineStr">
        <is>
          <t>BANCO</t>
        </is>
      </c>
      <c r="AE325" t="n">
        <v>1</v>
      </c>
      <c r="AF325" t="inlineStr">
        <is>
          <t>BACK</t>
        </is>
      </c>
      <c r="AG325" t="n">
        <v>100101</v>
      </c>
      <c r="AH325" t="inlineStr">
        <is>
          <t>CORPORATIVO</t>
        </is>
      </c>
      <c r="AI325" t="inlineStr">
        <is>
          <t>LDELGADO@BANCOBASE.COM</t>
        </is>
      </c>
      <c r="AJ325" s="151" t="n">
        <v>45917</v>
      </c>
      <c r="AK325" s="151" t="n"/>
      <c r="AL325" s="151" t="n"/>
    </row>
    <row r="326" hidden="1" s="150">
      <c r="A326" t="inlineStr">
        <is>
          <t>AOVIEDOT</t>
        </is>
      </c>
      <c r="B326" t="n">
        <v>2538</v>
      </c>
      <c r="C326" t="inlineStr">
        <is>
          <t>ANGEL GABRIEL OVIEDO TOVAR</t>
        </is>
      </c>
      <c r="D326" t="n">
        <v>10093</v>
      </c>
      <c r="E326" t="inlineStr">
        <is>
          <t>COORDINADOR DE ANALISIS DE OPERACIONES PLD</t>
        </is>
      </c>
      <c r="F326" t="inlineStr">
        <is>
          <t>MONTERREY</t>
        </is>
      </c>
      <c r="G326" t="n">
        <v>3563</v>
      </c>
      <c r="H326" t="inlineStr">
        <is>
          <t>LUIS RICARDO DELGADO AGUIÑAGA</t>
        </is>
      </c>
      <c r="I326" t="n">
        <v>8754</v>
      </c>
      <c r="J326" t="inlineStr">
        <is>
          <t>GERENTE DE ANALISIS DE OPERACIONES PLD</t>
        </is>
      </c>
      <c r="K326" t="n">
        <v>1</v>
      </c>
      <c r="L326" t="inlineStr">
        <is>
          <t>PRESIDENCIA EJECUTIVA DEL CONSEJO</t>
        </is>
      </c>
      <c r="M326" t="n">
        <v>40</v>
      </c>
      <c r="N326" t="inlineStr">
        <is>
          <t>DIRECCION GENERAL BANCO BASE</t>
        </is>
      </c>
      <c r="O326" t="n">
        <v>440</v>
      </c>
      <c r="P326" t="inlineStr">
        <is>
          <t>DIRECCION DE CONTRALORIA Y PREVENCION</t>
        </is>
      </c>
      <c r="Q326" t="n">
        <v>4480</v>
      </c>
      <c r="R326" t="inlineStr">
        <is>
          <t>CUMPLIMIENTO PLD</t>
        </is>
      </c>
      <c r="S326" t="n">
        <v>44800</v>
      </c>
      <c r="T326" t="inlineStr">
        <is>
          <t>CUMPLIMIENTO PLD</t>
        </is>
      </c>
      <c r="U326" t="n">
        <v>448000</v>
      </c>
      <c r="V326" t="inlineStr">
        <is>
          <t>CUMPLIMIENTO PLD</t>
        </is>
      </c>
      <c r="W326" t="n">
        <v>100101</v>
      </c>
      <c r="X326" t="inlineStr">
        <is>
          <t>CORPORATIVO</t>
        </is>
      </c>
      <c r="Y326" t="n">
        <v>4</v>
      </c>
      <c r="Z326" t="inlineStr">
        <is>
          <t>CORPORATIVO</t>
        </is>
      </c>
      <c r="AA326" t="n">
        <v>1</v>
      </c>
      <c r="AB326" t="inlineStr">
        <is>
          <t>NEGOCIO EN MARCHA</t>
        </is>
      </c>
      <c r="AC326" t="n">
        <v>1</v>
      </c>
      <c r="AD326" t="inlineStr">
        <is>
          <t>BANCO</t>
        </is>
      </c>
      <c r="AE326" t="n">
        <v>1</v>
      </c>
      <c r="AF326" t="inlineStr">
        <is>
          <t>BACK</t>
        </is>
      </c>
      <c r="AG326" t="n">
        <v>100101</v>
      </c>
      <c r="AH326" t="inlineStr">
        <is>
          <t>CORPORATIVO</t>
        </is>
      </c>
      <c r="AI326" t="inlineStr">
        <is>
          <t>AOVIEDOT@BANCOBASE.COM</t>
        </is>
      </c>
      <c r="AJ326" s="151" t="n">
        <v>44431</v>
      </c>
      <c r="AK326" s="151" t="n"/>
      <c r="AL326" s="151" t="n"/>
    </row>
    <row r="327" hidden="1" s="150">
      <c r="A327" t="inlineStr">
        <is>
          <t>XMONTALVO</t>
        </is>
      </c>
      <c r="B327" t="n">
        <v>3330</v>
      </c>
      <c r="C327" t="inlineStr">
        <is>
          <t>XAVIER EMERSON MONTALVO GONZALEZ</t>
        </is>
      </c>
      <c r="D327" t="n">
        <v>9926</v>
      </c>
      <c r="E327" t="inlineStr">
        <is>
          <t>ANALISTA DE CUMPLIMIENTO OPERATIVO PLD JR</t>
        </is>
      </c>
      <c r="F327" t="inlineStr">
        <is>
          <t>MONTERREY</t>
        </is>
      </c>
      <c r="G327" t="n">
        <v>2538</v>
      </c>
      <c r="H327" t="inlineStr">
        <is>
          <t>ANGEL GABRIEL OVIEDO TOVAR</t>
        </is>
      </c>
      <c r="I327" t="n">
        <v>10093</v>
      </c>
      <c r="J327" t="inlineStr">
        <is>
          <t>COORDINADOR DE ANALISIS DE OPERACIONES PLD</t>
        </is>
      </c>
      <c r="K327" t="n">
        <v>1</v>
      </c>
      <c r="L327" t="inlineStr">
        <is>
          <t>PRESIDENCIA EJECUTIVA DEL CONSEJO</t>
        </is>
      </c>
      <c r="M327" t="n">
        <v>40</v>
      </c>
      <c r="N327" t="inlineStr">
        <is>
          <t>DIRECCION GENERAL BANCO BASE</t>
        </is>
      </c>
      <c r="O327" t="n">
        <v>440</v>
      </c>
      <c r="P327" t="inlineStr">
        <is>
          <t>DIRECCION DE CONTRALORIA Y PREVENCION</t>
        </is>
      </c>
      <c r="Q327" t="n">
        <v>4480</v>
      </c>
      <c r="R327" t="inlineStr">
        <is>
          <t>CUMPLIMIENTO PLD</t>
        </is>
      </c>
      <c r="S327" t="n">
        <v>44800</v>
      </c>
      <c r="T327" t="inlineStr">
        <is>
          <t>CUMPLIMIENTO PLD</t>
        </is>
      </c>
      <c r="U327" t="n">
        <v>448000</v>
      </c>
      <c r="V327" t="inlineStr">
        <is>
          <t>CUMPLIMIENTO PLD</t>
        </is>
      </c>
      <c r="W327" t="n">
        <v>126102</v>
      </c>
      <c r="X327" t="inlineStr">
        <is>
          <t>VALLE ORIENTE</t>
        </is>
      </c>
      <c r="Y327" t="n">
        <v>4</v>
      </c>
      <c r="Z327" t="inlineStr">
        <is>
          <t>CORPORATIVO</t>
        </is>
      </c>
      <c r="AA327" t="n">
        <v>1</v>
      </c>
      <c r="AB327" t="inlineStr">
        <is>
          <t>NEGOCIO EN MARCHA</t>
        </is>
      </c>
      <c r="AC327" t="n">
        <v>1</v>
      </c>
      <c r="AD327" t="inlineStr">
        <is>
          <t>BANCO</t>
        </is>
      </c>
      <c r="AE327" t="n">
        <v>1</v>
      </c>
      <c r="AF327" t="inlineStr">
        <is>
          <t>BACK</t>
        </is>
      </c>
      <c r="AG327" t="n">
        <v>100101</v>
      </c>
      <c r="AH327" t="inlineStr">
        <is>
          <t>CORPORATIVO</t>
        </is>
      </c>
      <c r="AI327" t="inlineStr">
        <is>
          <t>XMONTALVO@BANCOBASE.COM</t>
        </is>
      </c>
      <c r="AJ327" s="151" t="n">
        <v>45692</v>
      </c>
      <c r="AK327" s="151" t="n"/>
      <c r="AL327" s="151" t="n"/>
    </row>
    <row r="328" hidden="1" s="150">
      <c r="A328" t="inlineStr">
        <is>
          <t>AMESQUITIC</t>
        </is>
      </c>
      <c r="B328" t="n">
        <v>3503</v>
      </c>
      <c r="C328" t="inlineStr">
        <is>
          <t>ANDREA NATALY MESQUITIC GUTIERREZ</t>
        </is>
      </c>
      <c r="D328" t="n">
        <v>8638</v>
      </c>
      <c r="E328" t="inlineStr">
        <is>
          <t>ANALISTA DE CUMPLIMIENTO OPERATIVO PLD JR</t>
        </is>
      </c>
      <c r="F328" t="inlineStr">
        <is>
          <t>MONTERREY</t>
        </is>
      </c>
      <c r="G328" t="n">
        <v>2538</v>
      </c>
      <c r="H328" t="inlineStr">
        <is>
          <t>ANGEL GABRIEL OVIEDO TOVAR</t>
        </is>
      </c>
      <c r="I328" t="n">
        <v>10093</v>
      </c>
      <c r="J328" t="inlineStr">
        <is>
          <t>COORDINADOR DE ANALISIS DE OPERACIONES PLD</t>
        </is>
      </c>
      <c r="K328" t="n">
        <v>1</v>
      </c>
      <c r="L328" t="inlineStr">
        <is>
          <t>PRESIDENCIA EJECUTIVA DEL CONSEJO</t>
        </is>
      </c>
      <c r="M328" t="n">
        <v>40</v>
      </c>
      <c r="N328" t="inlineStr">
        <is>
          <t>DIRECCION GENERAL BANCO BASE</t>
        </is>
      </c>
      <c r="O328" t="n">
        <v>440</v>
      </c>
      <c r="P328" t="inlineStr">
        <is>
          <t>DIRECCION DE CONTRALORIA Y PREVENCION</t>
        </is>
      </c>
      <c r="Q328" t="n">
        <v>4480</v>
      </c>
      <c r="R328" t="inlineStr">
        <is>
          <t>CUMPLIMIENTO PLD</t>
        </is>
      </c>
      <c r="S328" t="n">
        <v>44800</v>
      </c>
      <c r="T328" t="inlineStr">
        <is>
          <t>CUMPLIMIENTO PLD</t>
        </is>
      </c>
      <c r="U328" t="n">
        <v>448000</v>
      </c>
      <c r="V328" t="inlineStr">
        <is>
          <t>CUMPLIMIENTO PLD</t>
        </is>
      </c>
      <c r="W328" t="n">
        <v>100101</v>
      </c>
      <c r="X328" t="inlineStr">
        <is>
          <t>CORPORATIVO</t>
        </is>
      </c>
      <c r="Y328" t="n">
        <v>4</v>
      </c>
      <c r="Z328" t="inlineStr">
        <is>
          <t>CORPORATIVO</t>
        </is>
      </c>
      <c r="AA328" t="n">
        <v>1</v>
      </c>
      <c r="AB328" t="inlineStr">
        <is>
          <t>NEGOCIO EN MARCHA</t>
        </is>
      </c>
      <c r="AC328" t="n">
        <v>1</v>
      </c>
      <c r="AD328" t="inlineStr">
        <is>
          <t>BANCO</t>
        </is>
      </c>
      <c r="AE328" t="n">
        <v>1</v>
      </c>
      <c r="AF328" t="inlineStr">
        <is>
          <t>BACK</t>
        </is>
      </c>
      <c r="AG328" t="n">
        <v>100101</v>
      </c>
      <c r="AH328" t="inlineStr">
        <is>
          <t>CORPORATIVO</t>
        </is>
      </c>
      <c r="AI328" t="inlineStr">
        <is>
          <t>AMESQUITIC@BANCOBASE.COM</t>
        </is>
      </c>
      <c r="AJ328" s="151" t="n">
        <v>45873</v>
      </c>
      <c r="AK328" s="151" t="n"/>
      <c r="AL328" s="151" t="n"/>
    </row>
    <row r="329" hidden="1" s="150">
      <c r="A329" t="inlineStr">
        <is>
          <t>CORTIZT</t>
        </is>
      </c>
      <c r="B329" t="n">
        <v>3079</v>
      </c>
      <c r="C329" t="inlineStr">
        <is>
          <t>CESAR JAVIER ORTIZ TRUJILLO</t>
        </is>
      </c>
      <c r="D329" t="n">
        <v>9345</v>
      </c>
      <c r="E329" t="inlineStr">
        <is>
          <t>ANALISTA DE CUMPLIMIENTO OPERATIVO PLD JR</t>
        </is>
      </c>
      <c r="F329" t="inlineStr">
        <is>
          <t>MONTERREY</t>
        </is>
      </c>
      <c r="G329" t="n">
        <v>2538</v>
      </c>
      <c r="H329" t="inlineStr">
        <is>
          <t>ANGEL GABRIEL OVIEDO TOVAR</t>
        </is>
      </c>
      <c r="I329" t="n">
        <v>10093</v>
      </c>
      <c r="J329" t="inlineStr">
        <is>
          <t>COORDINADOR DE ANALISIS DE OPERACIONES PLD</t>
        </is>
      </c>
      <c r="K329" t="n">
        <v>1</v>
      </c>
      <c r="L329" t="inlineStr">
        <is>
          <t>PRESIDENCIA EJECUTIVA DEL CONSEJO</t>
        </is>
      </c>
      <c r="M329" t="n">
        <v>40</v>
      </c>
      <c r="N329" t="inlineStr">
        <is>
          <t>DIRECCION GENERAL BANCO BASE</t>
        </is>
      </c>
      <c r="O329" t="n">
        <v>440</v>
      </c>
      <c r="P329" t="inlineStr">
        <is>
          <t>DIRECCION DE CONTRALORIA Y PREVENCION</t>
        </is>
      </c>
      <c r="Q329" t="n">
        <v>4480</v>
      </c>
      <c r="R329" t="inlineStr">
        <is>
          <t>CUMPLIMIENTO PLD</t>
        </is>
      </c>
      <c r="S329" t="n">
        <v>44800</v>
      </c>
      <c r="T329" t="inlineStr">
        <is>
          <t>CUMPLIMIENTO PLD</t>
        </is>
      </c>
      <c r="U329" t="n">
        <v>448000</v>
      </c>
      <c r="V329" t="inlineStr">
        <is>
          <t>CUMPLIMIENTO PLD</t>
        </is>
      </c>
      <c r="W329" t="n">
        <v>100101</v>
      </c>
      <c r="X329" t="inlineStr">
        <is>
          <t>CORPORATIVO</t>
        </is>
      </c>
      <c r="Y329" t="n">
        <v>4</v>
      </c>
      <c r="Z329" t="inlineStr">
        <is>
          <t>CORPORATIVO</t>
        </is>
      </c>
      <c r="AA329" t="n">
        <v>1</v>
      </c>
      <c r="AB329" t="inlineStr">
        <is>
          <t>NEGOCIO EN MARCHA</t>
        </is>
      </c>
      <c r="AC329" t="n">
        <v>1</v>
      </c>
      <c r="AD329" t="inlineStr">
        <is>
          <t>BANCO</t>
        </is>
      </c>
      <c r="AE329" t="n">
        <v>1</v>
      </c>
      <c r="AF329" t="inlineStr">
        <is>
          <t>BACK</t>
        </is>
      </c>
      <c r="AG329" t="n">
        <v>100101</v>
      </c>
      <c r="AH329" t="inlineStr">
        <is>
          <t>CORPORATIVO</t>
        </is>
      </c>
      <c r="AI329" t="inlineStr">
        <is>
          <t>CORTIZT@BANCOBASE.COM</t>
        </is>
      </c>
      <c r="AJ329" s="151" t="n">
        <v>45398</v>
      </c>
      <c r="AK329" s="151" t="n"/>
      <c r="AL329" s="151" t="n"/>
    </row>
    <row r="330" hidden="1" s="150">
      <c r="A330" t="inlineStr">
        <is>
          <t>NREYESD</t>
        </is>
      </c>
      <c r="B330" t="n">
        <v>3498</v>
      </c>
      <c r="C330" t="inlineStr">
        <is>
          <t>NALLELY REYES DURAN</t>
        </is>
      </c>
      <c r="D330" t="n">
        <v>8751</v>
      </c>
      <c r="E330" t="inlineStr">
        <is>
          <t>ANALISTA DE CUMPLIMIENTO OPERATIVO PLD JR</t>
        </is>
      </c>
      <c r="F330" t="inlineStr">
        <is>
          <t>MONTERREY</t>
        </is>
      </c>
      <c r="G330" t="n">
        <v>2538</v>
      </c>
      <c r="H330" t="inlineStr">
        <is>
          <t>ANGEL GABRIEL OVIEDO TOVAR</t>
        </is>
      </c>
      <c r="I330" t="n">
        <v>10093</v>
      </c>
      <c r="J330" t="inlineStr">
        <is>
          <t>COORDINADOR DE ANALISIS DE OPERACIONES PLD</t>
        </is>
      </c>
      <c r="K330" t="n">
        <v>1</v>
      </c>
      <c r="L330" t="inlineStr">
        <is>
          <t>PRESIDENCIA EJECUTIVA DEL CONSEJO</t>
        </is>
      </c>
      <c r="M330" t="n">
        <v>40</v>
      </c>
      <c r="N330" t="inlineStr">
        <is>
          <t>DIRECCION GENERAL BANCO BASE</t>
        </is>
      </c>
      <c r="O330" t="n">
        <v>440</v>
      </c>
      <c r="P330" t="inlineStr">
        <is>
          <t>DIRECCION DE CONTRALORIA Y PREVENCION</t>
        </is>
      </c>
      <c r="Q330" t="n">
        <v>4480</v>
      </c>
      <c r="R330" t="inlineStr">
        <is>
          <t>CUMPLIMIENTO PLD</t>
        </is>
      </c>
      <c r="S330" t="n">
        <v>44800</v>
      </c>
      <c r="T330" t="inlineStr">
        <is>
          <t>CUMPLIMIENTO PLD</t>
        </is>
      </c>
      <c r="U330" t="n">
        <v>448000</v>
      </c>
      <c r="V330" t="inlineStr">
        <is>
          <t>CUMPLIMIENTO PLD</t>
        </is>
      </c>
      <c r="W330" t="n">
        <v>100101</v>
      </c>
      <c r="X330" t="inlineStr">
        <is>
          <t>CORPORATIVO</t>
        </is>
      </c>
      <c r="Y330" t="n">
        <v>4</v>
      </c>
      <c r="Z330" t="inlineStr">
        <is>
          <t>CORPORATIVO</t>
        </is>
      </c>
      <c r="AA330" t="n">
        <v>1</v>
      </c>
      <c r="AB330" t="inlineStr">
        <is>
          <t>NEGOCIO EN MARCHA</t>
        </is>
      </c>
      <c r="AC330" t="n">
        <v>1</v>
      </c>
      <c r="AD330" t="inlineStr">
        <is>
          <t>BANCO</t>
        </is>
      </c>
      <c r="AE330" t="n">
        <v>1</v>
      </c>
      <c r="AF330" t="inlineStr">
        <is>
          <t>BACK</t>
        </is>
      </c>
      <c r="AG330" t="n">
        <v>100101</v>
      </c>
      <c r="AH330" t="inlineStr">
        <is>
          <t>CORPORATIVO</t>
        </is>
      </c>
      <c r="AI330" t="inlineStr">
        <is>
          <t>NREYESD@BANCOBASE.COM</t>
        </is>
      </c>
      <c r="AJ330" s="151" t="n">
        <v>45873</v>
      </c>
      <c r="AK330" s="151" t="n"/>
      <c r="AL330" s="151" t="n"/>
    </row>
    <row r="331" hidden="1" s="150">
      <c r="A331" t="inlineStr">
        <is>
          <t>NTORRESG</t>
        </is>
      </c>
      <c r="B331" t="n">
        <v>3946</v>
      </c>
      <c r="C331" t="inlineStr">
        <is>
          <t>NUBIA JESSICA TORRES GALAVIZ</t>
        </is>
      </c>
      <c r="D331" t="n">
        <v>9912</v>
      </c>
      <c r="E331" t="inlineStr">
        <is>
          <t>GERENTE DE CUMPLIMIENTO PLD</t>
        </is>
      </c>
      <c r="F331" t="inlineStr">
        <is>
          <t>MONTERREY</t>
        </is>
      </c>
      <c r="G331" t="n">
        <v>2992</v>
      </c>
      <c r="H331" t="inlineStr">
        <is>
          <t>HORACIO ALBERTO MEDELLIN VAZQUEZ</t>
        </is>
      </c>
      <c r="I331" t="n">
        <v>5000</v>
      </c>
      <c r="J331" t="inlineStr">
        <is>
          <t>SUBDIRECTOR DE CUMPLIMIENTO PLD</t>
        </is>
      </c>
      <c r="K331" t="n">
        <v>1</v>
      </c>
      <c r="L331" t="inlineStr">
        <is>
          <t>PRESIDENCIA EJECUTIVA DEL CONSEJO</t>
        </is>
      </c>
      <c r="M331" t="n">
        <v>40</v>
      </c>
      <c r="N331" t="inlineStr">
        <is>
          <t>DIRECCION GENERAL BANCO BASE</t>
        </is>
      </c>
      <c r="O331" t="n">
        <v>440</v>
      </c>
      <c r="P331" t="inlineStr">
        <is>
          <t>DIRECCION DE CONTRALORIA Y PREVENCION</t>
        </is>
      </c>
      <c r="Q331" t="n">
        <v>4480</v>
      </c>
      <c r="R331" t="inlineStr">
        <is>
          <t>CUMPLIMIENTO PLD</t>
        </is>
      </c>
      <c r="S331" t="n">
        <v>44800</v>
      </c>
      <c r="T331" t="inlineStr">
        <is>
          <t>CUMPLIMIENTO PLD</t>
        </is>
      </c>
      <c r="U331" t="n">
        <v>448000</v>
      </c>
      <c r="V331" t="inlineStr">
        <is>
          <t>CUMPLIMIENTO PLD</t>
        </is>
      </c>
      <c r="W331" t="n">
        <v>100101</v>
      </c>
      <c r="X331" t="inlineStr">
        <is>
          <t>CORPORATIVO</t>
        </is>
      </c>
      <c r="Y331" t="n">
        <v>4</v>
      </c>
      <c r="Z331" t="inlineStr">
        <is>
          <t>CORPORATIVO</t>
        </is>
      </c>
      <c r="AA331" t="n">
        <v>1</v>
      </c>
      <c r="AB331" t="inlineStr">
        <is>
          <t>NEGOCIO EN MARCHA</t>
        </is>
      </c>
      <c r="AC331" t="n">
        <v>1</v>
      </c>
      <c r="AD331" t="inlineStr">
        <is>
          <t>BANCO</t>
        </is>
      </c>
      <c r="AE331" t="n">
        <v>1</v>
      </c>
      <c r="AF331" t="inlineStr">
        <is>
          <t>BACK</t>
        </is>
      </c>
      <c r="AG331" t="n">
        <v>100101</v>
      </c>
      <c r="AH331" t="inlineStr">
        <is>
          <t>CORPORATIVO</t>
        </is>
      </c>
      <c r="AI331" t="inlineStr">
        <is>
          <t>NTORRESG@BANCOBASE.COM</t>
        </is>
      </c>
      <c r="AJ331" s="151" t="n">
        <v>46219</v>
      </c>
      <c r="AK331" s="151" t="n"/>
      <c r="AL331" s="151" t="n"/>
    </row>
    <row r="332" hidden="1" s="150">
      <c r="A332" t="inlineStr">
        <is>
          <t>AURESTI</t>
        </is>
      </c>
      <c r="B332" t="n">
        <v>109</v>
      </c>
      <c r="C332" t="inlineStr">
        <is>
          <t>ALEJANDRINO URESTI SANTILLAN</t>
        </is>
      </c>
      <c r="D332" t="n">
        <v>9071</v>
      </c>
      <c r="E332" t="inlineStr">
        <is>
          <t>ANALISTA DE CUMPLIMIENTO NORMATIVO PLD SR</t>
        </is>
      </c>
      <c r="F332" t="inlineStr">
        <is>
          <t>MONTERREY</t>
        </is>
      </c>
      <c r="G332" t="n">
        <v>3946</v>
      </c>
      <c r="H332" t="inlineStr">
        <is>
          <t>NUBIA JESSICA TORRES GALAVIZ</t>
        </is>
      </c>
      <c r="I332" t="n">
        <v>9912</v>
      </c>
      <c r="J332" t="inlineStr">
        <is>
          <t>GERENTE DE CUMPLIMIENTO PLD</t>
        </is>
      </c>
      <c r="K332" t="n">
        <v>1</v>
      </c>
      <c r="L332" t="inlineStr">
        <is>
          <t>PRESIDENCIA EJECUTIVA DEL CONSEJO</t>
        </is>
      </c>
      <c r="M332" t="n">
        <v>40</v>
      </c>
      <c r="N332" t="inlineStr">
        <is>
          <t>DIRECCION GENERAL BANCO BASE</t>
        </is>
      </c>
      <c r="O332" t="n">
        <v>440</v>
      </c>
      <c r="P332" t="inlineStr">
        <is>
          <t>DIRECCION DE CONTRALORIA Y PREVENCION</t>
        </is>
      </c>
      <c r="Q332" t="n">
        <v>4480</v>
      </c>
      <c r="R332" t="inlineStr">
        <is>
          <t>CUMPLIMIENTO PLD</t>
        </is>
      </c>
      <c r="S332" t="n">
        <v>44800</v>
      </c>
      <c r="T332" t="inlineStr">
        <is>
          <t>CUMPLIMIENTO PLD</t>
        </is>
      </c>
      <c r="U332" t="n">
        <v>448000</v>
      </c>
      <c r="V332" t="inlineStr">
        <is>
          <t>CUMPLIMIENTO PLD</t>
        </is>
      </c>
      <c r="W332" t="n">
        <v>100101</v>
      </c>
      <c r="X332" t="inlineStr">
        <is>
          <t>CORPORATIVO</t>
        </is>
      </c>
      <c r="Y332" t="n">
        <v>4</v>
      </c>
      <c r="Z332" t="inlineStr">
        <is>
          <t>CORPORATIVO</t>
        </is>
      </c>
      <c r="AA332" t="n">
        <v>1</v>
      </c>
      <c r="AB332" t="inlineStr">
        <is>
          <t>NEGOCIO EN MARCHA</t>
        </is>
      </c>
      <c r="AC332" t="n">
        <v>1</v>
      </c>
      <c r="AD332" t="inlineStr">
        <is>
          <t>BANCO</t>
        </is>
      </c>
      <c r="AE332" t="n">
        <v>1</v>
      </c>
      <c r="AF332" t="inlineStr">
        <is>
          <t>BACK</t>
        </is>
      </c>
      <c r="AG332" t="n">
        <v>100101</v>
      </c>
      <c r="AH332" t="inlineStr">
        <is>
          <t>CORPORATIVO</t>
        </is>
      </c>
      <c r="AI332" t="inlineStr">
        <is>
          <t>AURESTI@BANCOBASE.COM</t>
        </is>
      </c>
      <c r="AJ332" s="151" t="n">
        <v>35916</v>
      </c>
      <c r="AK332" s="151" t="n"/>
      <c r="AL332" s="151" t="n"/>
    </row>
    <row r="333" hidden="1" s="150">
      <c r="A333" t="inlineStr">
        <is>
          <t>SMORALESF</t>
        </is>
      </c>
      <c r="B333" t="n">
        <v>3497</v>
      </c>
      <c r="C333" t="inlineStr">
        <is>
          <t>SARA SOFIA MORALES FLORES</t>
        </is>
      </c>
      <c r="D333" t="n">
        <v>9346</v>
      </c>
      <c r="E333" t="inlineStr">
        <is>
          <t>ANALISTA DE CUMPLIMIENTO NORMATIVO PLD JR</t>
        </is>
      </c>
      <c r="F333" t="inlineStr">
        <is>
          <t>MONTERREY</t>
        </is>
      </c>
      <c r="G333" t="n">
        <v>3946</v>
      </c>
      <c r="H333" t="inlineStr">
        <is>
          <t>NUBIA JESSICA TORRES GALAVIZ</t>
        </is>
      </c>
      <c r="I333" t="n">
        <v>9912</v>
      </c>
      <c r="J333" t="inlineStr">
        <is>
          <t>GERENTE DE CUMPLIMIENTO PLD</t>
        </is>
      </c>
      <c r="K333" t="n">
        <v>1</v>
      </c>
      <c r="L333" t="inlineStr">
        <is>
          <t>PRESIDENCIA EJECUTIVA DEL CONSEJO</t>
        </is>
      </c>
      <c r="M333" t="n">
        <v>40</v>
      </c>
      <c r="N333" t="inlineStr">
        <is>
          <t>DIRECCION GENERAL BANCO BASE</t>
        </is>
      </c>
      <c r="O333" t="n">
        <v>440</v>
      </c>
      <c r="P333" t="inlineStr">
        <is>
          <t>DIRECCION DE CONTRALORIA Y PREVENCION</t>
        </is>
      </c>
      <c r="Q333" t="n">
        <v>4480</v>
      </c>
      <c r="R333" t="inlineStr">
        <is>
          <t>CUMPLIMIENTO PLD</t>
        </is>
      </c>
      <c r="S333" t="n">
        <v>44800</v>
      </c>
      <c r="T333" t="inlineStr">
        <is>
          <t>CUMPLIMIENTO PLD</t>
        </is>
      </c>
      <c r="U333" t="n">
        <v>448000</v>
      </c>
      <c r="V333" t="inlineStr">
        <is>
          <t>CUMPLIMIENTO PLD</t>
        </is>
      </c>
      <c r="W333" t="n">
        <v>100101</v>
      </c>
      <c r="X333" t="inlineStr">
        <is>
          <t>CORPORATIVO</t>
        </is>
      </c>
      <c r="Y333" t="n">
        <v>4</v>
      </c>
      <c r="Z333" t="inlineStr">
        <is>
          <t>CORPORATIVO</t>
        </is>
      </c>
      <c r="AA333" t="n">
        <v>1</v>
      </c>
      <c r="AB333" t="inlineStr">
        <is>
          <t>NEGOCIO EN MARCHA</t>
        </is>
      </c>
      <c r="AC333" t="n">
        <v>1</v>
      </c>
      <c r="AD333" t="inlineStr">
        <is>
          <t>BANCO</t>
        </is>
      </c>
      <c r="AE333" t="n">
        <v>1</v>
      </c>
      <c r="AF333" t="inlineStr">
        <is>
          <t>BACK</t>
        </is>
      </c>
      <c r="AG333" t="n">
        <v>100101</v>
      </c>
      <c r="AH333" t="inlineStr">
        <is>
          <t>CORPORATIVO</t>
        </is>
      </c>
      <c r="AI333" t="inlineStr">
        <is>
          <t>SMORALESF@BANCOBASE.COM</t>
        </is>
      </c>
      <c r="AJ333" s="151" t="n">
        <v>45873</v>
      </c>
      <c r="AK333" s="151" t="n"/>
      <c r="AL333" s="151" t="n"/>
    </row>
    <row r="334" hidden="1" s="150">
      <c r="A334" t="inlineStr">
        <is>
          <t>LLARAS</t>
        </is>
      </c>
      <c r="B334" t="n">
        <v>3348</v>
      </c>
      <c r="C334" t="inlineStr">
        <is>
          <t>LIZBETH ALEJANDRA LARA SAUCEDO</t>
        </is>
      </c>
      <c r="D334" t="n">
        <v>9916</v>
      </c>
      <c r="E334" t="inlineStr">
        <is>
          <t>ANALISTA DE CUMPLIMIENTO NORMATIVO PLD JR</t>
        </is>
      </c>
      <c r="F334" t="inlineStr">
        <is>
          <t>MONTERREY</t>
        </is>
      </c>
      <c r="G334" t="n">
        <v>3946</v>
      </c>
      <c r="H334" t="inlineStr">
        <is>
          <t>NUBIA JESSICA TORRES GALAVIZ</t>
        </is>
      </c>
      <c r="I334" t="n">
        <v>9912</v>
      </c>
      <c r="J334" t="inlineStr">
        <is>
          <t>GERENTE DE CUMPLIMIENTO PLD</t>
        </is>
      </c>
      <c r="K334" t="n">
        <v>1</v>
      </c>
      <c r="L334" t="inlineStr">
        <is>
          <t>PRESIDENCIA EJECUTIVA DEL CONSEJO</t>
        </is>
      </c>
      <c r="M334" t="n">
        <v>40</v>
      </c>
      <c r="N334" t="inlineStr">
        <is>
          <t>DIRECCION GENERAL BANCO BASE</t>
        </is>
      </c>
      <c r="O334" t="n">
        <v>440</v>
      </c>
      <c r="P334" t="inlineStr">
        <is>
          <t>DIRECCION DE CONTRALORIA Y PREVENCION</t>
        </is>
      </c>
      <c r="Q334" t="n">
        <v>4480</v>
      </c>
      <c r="R334" t="inlineStr">
        <is>
          <t>CUMPLIMIENTO PLD</t>
        </is>
      </c>
      <c r="S334" t="n">
        <v>44800</v>
      </c>
      <c r="T334" t="inlineStr">
        <is>
          <t>CUMPLIMIENTO PLD</t>
        </is>
      </c>
      <c r="U334" t="n">
        <v>448000</v>
      </c>
      <c r="V334" t="inlineStr">
        <is>
          <t>CUMPLIMIENTO PLD</t>
        </is>
      </c>
      <c r="W334" t="n">
        <v>126102</v>
      </c>
      <c r="X334" t="inlineStr">
        <is>
          <t>VALLE ORIENTE</t>
        </is>
      </c>
      <c r="Y334" t="n">
        <v>4</v>
      </c>
      <c r="Z334" t="inlineStr">
        <is>
          <t>CORPORATIVO</t>
        </is>
      </c>
      <c r="AA334" t="n">
        <v>1</v>
      </c>
      <c r="AB334" t="inlineStr">
        <is>
          <t>NEGOCIO EN MARCHA</t>
        </is>
      </c>
      <c r="AC334" t="n">
        <v>1</v>
      </c>
      <c r="AD334" t="inlineStr">
        <is>
          <t>BANCO</t>
        </is>
      </c>
      <c r="AE334" t="n">
        <v>1</v>
      </c>
      <c r="AF334" t="inlineStr">
        <is>
          <t>BACK</t>
        </is>
      </c>
      <c r="AG334" t="n">
        <v>100101</v>
      </c>
      <c r="AH334" t="inlineStr">
        <is>
          <t>CORPORATIVO</t>
        </is>
      </c>
      <c r="AI334" t="inlineStr">
        <is>
          <t>LLARAS@BANCOBASE.COM</t>
        </is>
      </c>
      <c r="AJ334" s="151" t="n">
        <v>45719</v>
      </c>
      <c r="AK334" s="151" t="n"/>
      <c r="AL334" s="151" t="n"/>
    </row>
    <row r="335" hidden="1" s="150">
      <c r="A335" t="inlineStr">
        <is>
          <t>MHERNANDEL</t>
        </is>
      </c>
      <c r="B335" t="n">
        <v>3850</v>
      </c>
      <c r="C335" t="inlineStr">
        <is>
          <t>MARIANA ABIGAIL HERNANDEZ LEAL</t>
        </is>
      </c>
      <c r="D335" t="n">
        <v>10249</v>
      </c>
      <c r="E335" t="inlineStr">
        <is>
          <t>ANALISTA DE CUMPLIMIENTO NORMATIVO PLD JR</t>
        </is>
      </c>
      <c r="F335" t="inlineStr">
        <is>
          <t>MONTERREY</t>
        </is>
      </c>
      <c r="G335" t="n">
        <v>3946</v>
      </c>
      <c r="H335" t="inlineStr">
        <is>
          <t>NUBIA JESSICA TORRES GALAVIZ</t>
        </is>
      </c>
      <c r="I335" t="n">
        <v>9912</v>
      </c>
      <c r="J335" t="inlineStr">
        <is>
          <t>GERENTE DE CUMPLIMIENTO PLD</t>
        </is>
      </c>
      <c r="K335" t="n">
        <v>1</v>
      </c>
      <c r="L335" t="inlineStr">
        <is>
          <t>PRESIDENCIA EJECUTIVA DEL CONSEJO</t>
        </is>
      </c>
      <c r="M335" t="n">
        <v>40</v>
      </c>
      <c r="N335" t="inlineStr">
        <is>
          <t>DIRECCION GENERAL BANCO BASE</t>
        </is>
      </c>
      <c r="O335" t="n">
        <v>440</v>
      </c>
      <c r="P335" t="inlineStr">
        <is>
          <t>DIRECCION DE CONTRALORIA Y PREVENCION</t>
        </is>
      </c>
      <c r="Q335" t="n">
        <v>4480</v>
      </c>
      <c r="R335" t="inlineStr">
        <is>
          <t>CUMPLIMIENTO PLD</t>
        </is>
      </c>
      <c r="S335" t="n">
        <v>44800</v>
      </c>
      <c r="T335" t="inlineStr">
        <is>
          <t>CUMPLIMIENTO PLD</t>
        </is>
      </c>
      <c r="U335" t="n">
        <v>448000</v>
      </c>
      <c r="V335" t="inlineStr">
        <is>
          <t>CUMPLIMIENTO PLD</t>
        </is>
      </c>
      <c r="W335" t="n">
        <v>100101</v>
      </c>
      <c r="X335" t="inlineStr">
        <is>
          <t>CORPORATIVO</t>
        </is>
      </c>
      <c r="Y335" t="n">
        <v>4</v>
      </c>
      <c r="Z335" t="inlineStr">
        <is>
          <t>CORPORATIVO</t>
        </is>
      </c>
      <c r="AA335" t="n">
        <v>1</v>
      </c>
      <c r="AB335" t="inlineStr">
        <is>
          <t>NEGOCIO EN MARCHA</t>
        </is>
      </c>
      <c r="AC335" t="n">
        <v>1</v>
      </c>
      <c r="AD335" t="inlineStr">
        <is>
          <t>BANCO</t>
        </is>
      </c>
      <c r="AE335" t="n">
        <v>1</v>
      </c>
      <c r="AF335" t="inlineStr">
        <is>
          <t>BACK</t>
        </is>
      </c>
      <c r="AG335" t="n">
        <v>100101</v>
      </c>
      <c r="AH335" t="inlineStr">
        <is>
          <t>CORPORATIVO</t>
        </is>
      </c>
      <c r="AI335" t="inlineStr">
        <is>
          <t>MHERNANDEL@BANCOBASE.COM</t>
        </is>
      </c>
      <c r="AJ335" s="151" t="n">
        <v>46146</v>
      </c>
      <c r="AK335" s="151" t="n"/>
      <c r="AL335" s="151" t="n"/>
    </row>
    <row r="336" hidden="1" s="150">
      <c r="A336" t="inlineStr">
        <is>
          <t>VAKE</t>
        </is>
      </c>
      <c r="B336" t="n">
        <v>3943</v>
      </c>
      <c r="C336" t="inlineStr">
        <is>
          <t>VANESSA AKE GONZALEZ</t>
        </is>
      </c>
      <c r="D336" t="n">
        <v>9032</v>
      </c>
      <c r="E336" t="inlineStr">
        <is>
          <t>ANALISTA DE PRACTICA INTERNACIONAL</t>
        </is>
      </c>
      <c r="F336" t="inlineStr">
        <is>
          <t>MONTERREY</t>
        </is>
      </c>
      <c r="G336" t="n">
        <v>3946</v>
      </c>
      <c r="H336" t="inlineStr">
        <is>
          <t>NUBIA JESSICA TORRES GALAVIZ</t>
        </is>
      </c>
      <c r="I336" t="n">
        <v>9912</v>
      </c>
      <c r="J336" t="inlineStr">
        <is>
          <t>GERENTE DE CUMPLIMIENTO PLD</t>
        </is>
      </c>
      <c r="K336" t="n">
        <v>1</v>
      </c>
      <c r="L336" t="inlineStr">
        <is>
          <t>PRESIDENCIA EJECUTIVA DEL CONSEJO</t>
        </is>
      </c>
      <c r="M336" t="n">
        <v>40</v>
      </c>
      <c r="N336" t="inlineStr">
        <is>
          <t>DIRECCION GENERAL BANCO BASE</t>
        </is>
      </c>
      <c r="O336" t="n">
        <v>440</v>
      </c>
      <c r="P336" t="inlineStr">
        <is>
          <t>DIRECCION DE CONTRALORIA Y PREVENCION</t>
        </is>
      </c>
      <c r="Q336" t="n">
        <v>4480</v>
      </c>
      <c r="R336" t="inlineStr">
        <is>
          <t>CUMPLIMIENTO PLD</t>
        </is>
      </c>
      <c r="S336" t="n">
        <v>44800</v>
      </c>
      <c r="T336" t="inlineStr">
        <is>
          <t>CUMPLIMIENTO PLD</t>
        </is>
      </c>
      <c r="U336" t="n">
        <v>448000</v>
      </c>
      <c r="V336" t="inlineStr">
        <is>
          <t>CUMPLIMIENTO PLD</t>
        </is>
      </c>
      <c r="W336" t="n">
        <v>100101</v>
      </c>
      <c r="X336" t="inlineStr">
        <is>
          <t>CORPORATIVO</t>
        </is>
      </c>
      <c r="Y336" t="n">
        <v>4</v>
      </c>
      <c r="Z336" t="inlineStr">
        <is>
          <t>CORPORATIVO</t>
        </is>
      </c>
      <c r="AA336" t="n">
        <v>1</v>
      </c>
      <c r="AB336" t="inlineStr">
        <is>
          <t>NEGOCIO EN MARCHA</t>
        </is>
      </c>
      <c r="AC336" t="n">
        <v>1</v>
      </c>
      <c r="AD336" t="inlineStr">
        <is>
          <t>BANCO</t>
        </is>
      </c>
      <c r="AE336" t="n">
        <v>1</v>
      </c>
      <c r="AF336" t="inlineStr">
        <is>
          <t>BACK</t>
        </is>
      </c>
      <c r="AG336" t="n">
        <v>100101</v>
      </c>
      <c r="AH336" t="inlineStr">
        <is>
          <t>CORPORATIVO</t>
        </is>
      </c>
      <c r="AI336" t="inlineStr">
        <is>
          <t>VAKE@BANCOBASE.COM</t>
        </is>
      </c>
      <c r="AJ336" s="151" t="n">
        <v>46219</v>
      </c>
      <c r="AK336" s="151" t="n"/>
      <c r="AL336" s="151" t="n"/>
    </row>
    <row r="337" hidden="1" s="150">
      <c r="A337" t="inlineStr">
        <is>
          <t>EALANIZ</t>
        </is>
      </c>
      <c r="B337" t="n">
        <v>2942</v>
      </c>
      <c r="C337" t="inlineStr">
        <is>
          <t>BIANCA ELIZABETH ALANIZ SANDOVAL</t>
        </is>
      </c>
      <c r="D337" t="n">
        <v>10023</v>
      </c>
      <c r="E337" t="inlineStr">
        <is>
          <t>COORDINADOR DE INTELIGENCIA RIESGOS PLD</t>
        </is>
      </c>
      <c r="F337" t="inlineStr">
        <is>
          <t>MONTERREY</t>
        </is>
      </c>
      <c r="I337" t="n">
        <v>10106</v>
      </c>
      <c r="J337" t="inlineStr">
        <is>
          <t>GERENTE DE INTELIGENCIA RIESGOS PLD</t>
        </is>
      </c>
      <c r="K337" t="n">
        <v>1</v>
      </c>
      <c r="L337" t="inlineStr">
        <is>
          <t>PRESIDENCIA EJECUTIVA DEL CONSEJO</t>
        </is>
      </c>
      <c r="M337" t="n">
        <v>40</v>
      </c>
      <c r="N337" t="inlineStr">
        <is>
          <t>DIRECCION GENERAL BANCO BASE</t>
        </is>
      </c>
      <c r="O337" t="n">
        <v>440</v>
      </c>
      <c r="P337" t="inlineStr">
        <is>
          <t>DIRECCION DE CONTRALORIA Y PREVENCION</t>
        </is>
      </c>
      <c r="Q337" t="n">
        <v>4480</v>
      </c>
      <c r="R337" t="inlineStr">
        <is>
          <t>CUMPLIMIENTO PLD</t>
        </is>
      </c>
      <c r="S337" t="n">
        <v>44800</v>
      </c>
      <c r="T337" t="inlineStr">
        <is>
          <t>CUMPLIMIENTO PLD</t>
        </is>
      </c>
      <c r="U337" t="n">
        <v>448000</v>
      </c>
      <c r="V337" t="inlineStr">
        <is>
          <t>CUMPLIMIENTO PLD</t>
        </is>
      </c>
      <c r="W337" t="n">
        <v>100101</v>
      </c>
      <c r="X337" t="inlineStr">
        <is>
          <t>CORPORATIVO</t>
        </is>
      </c>
      <c r="Y337" t="n">
        <v>4</v>
      </c>
      <c r="Z337" t="inlineStr">
        <is>
          <t>CORPORATIVO</t>
        </is>
      </c>
      <c r="AA337" t="n">
        <v>1</v>
      </c>
      <c r="AB337" t="inlineStr">
        <is>
          <t>NEGOCIO EN MARCHA</t>
        </is>
      </c>
      <c r="AC337" t="n">
        <v>1</v>
      </c>
      <c r="AD337" t="inlineStr">
        <is>
          <t>BANCO</t>
        </is>
      </c>
      <c r="AE337" t="n">
        <v>1</v>
      </c>
      <c r="AF337" t="inlineStr">
        <is>
          <t>BACK</t>
        </is>
      </c>
      <c r="AG337" t="n">
        <v>100101</v>
      </c>
      <c r="AH337" t="inlineStr">
        <is>
          <t>CORPORATIVO</t>
        </is>
      </c>
      <c r="AI337" t="inlineStr">
        <is>
          <t>EALANIZ@BANCOBASE.COM</t>
        </is>
      </c>
      <c r="AJ337" s="151" t="n">
        <v>45170</v>
      </c>
      <c r="AK337" s="151" t="n"/>
      <c r="AL337" s="151" t="n"/>
    </row>
    <row r="338" hidden="1" s="150">
      <c r="A338" t="inlineStr">
        <is>
          <t>AVALDEZM</t>
        </is>
      </c>
      <c r="B338" t="n">
        <v>3595</v>
      </c>
      <c r="C338" t="inlineStr">
        <is>
          <t>ALEXANDRA GUADALUPE VALDEZ MIRELES</t>
        </is>
      </c>
      <c r="D338" t="n">
        <v>8783</v>
      </c>
      <c r="E338" t="inlineStr">
        <is>
          <t>ANALISTA DE RIESGO PLD/FT</t>
        </is>
      </c>
      <c r="F338" t="inlineStr">
        <is>
          <t>MONTERREY</t>
        </is>
      </c>
      <c r="G338" t="n">
        <v>2942</v>
      </c>
      <c r="H338" t="inlineStr">
        <is>
          <t>BIANCA ELIZABETH ALANIZ SANDOVAL</t>
        </is>
      </c>
      <c r="I338" t="n">
        <v>10023</v>
      </c>
      <c r="J338" t="inlineStr">
        <is>
          <t>COORDINADOR DE INTELIGENCIA RIESGOS PLD</t>
        </is>
      </c>
      <c r="K338" t="n">
        <v>1</v>
      </c>
      <c r="L338" t="inlineStr">
        <is>
          <t>PRESIDENCIA EJECUTIVA DEL CONSEJO</t>
        </is>
      </c>
      <c r="M338" t="n">
        <v>40</v>
      </c>
      <c r="N338" t="inlineStr">
        <is>
          <t>DIRECCION GENERAL BANCO BASE</t>
        </is>
      </c>
      <c r="O338" t="n">
        <v>440</v>
      </c>
      <c r="P338" t="inlineStr">
        <is>
          <t>DIRECCION DE CONTRALORIA Y PREVENCION</t>
        </is>
      </c>
      <c r="Q338" t="n">
        <v>4480</v>
      </c>
      <c r="R338" t="inlineStr">
        <is>
          <t>CUMPLIMIENTO PLD</t>
        </is>
      </c>
      <c r="S338" t="n">
        <v>44800</v>
      </c>
      <c r="T338" t="inlineStr">
        <is>
          <t>CUMPLIMIENTO PLD</t>
        </is>
      </c>
      <c r="U338" t="n">
        <v>448000</v>
      </c>
      <c r="V338" t="inlineStr">
        <is>
          <t>CUMPLIMIENTO PLD</t>
        </is>
      </c>
      <c r="W338" t="n">
        <v>100101</v>
      </c>
      <c r="X338" t="inlineStr">
        <is>
          <t>CORPORATIVO</t>
        </is>
      </c>
      <c r="Y338" t="n">
        <v>4</v>
      </c>
      <c r="Z338" t="inlineStr">
        <is>
          <t>CORPORATIVO</t>
        </is>
      </c>
      <c r="AA338" t="n">
        <v>1</v>
      </c>
      <c r="AB338" t="inlineStr">
        <is>
          <t>NEGOCIO EN MARCHA</t>
        </is>
      </c>
      <c r="AC338" t="n">
        <v>1</v>
      </c>
      <c r="AD338" t="inlineStr">
        <is>
          <t>BANCO</t>
        </is>
      </c>
      <c r="AE338" t="n">
        <v>1</v>
      </c>
      <c r="AF338" t="inlineStr">
        <is>
          <t>BACK</t>
        </is>
      </c>
      <c r="AG338" t="n">
        <v>100101</v>
      </c>
      <c r="AH338" t="inlineStr">
        <is>
          <t>CORPORATIVO</t>
        </is>
      </c>
      <c r="AI338" t="inlineStr">
        <is>
          <t>AVALDEZM@BANCOBASE.COM</t>
        </is>
      </c>
      <c r="AJ338" s="151" t="n">
        <v>45931</v>
      </c>
      <c r="AK338" s="151" t="n"/>
      <c r="AL338" s="151" t="n"/>
    </row>
    <row r="339" hidden="1" s="150">
      <c r="A339" t="inlineStr">
        <is>
          <t>JBAZALDUA</t>
        </is>
      </c>
      <c r="B339" t="n">
        <v>3007</v>
      </c>
      <c r="C339" t="inlineStr">
        <is>
          <t>JOSUE ANDONY BAZALDUA ESPINOZA</t>
        </is>
      </c>
      <c r="D339" t="n">
        <v>10191</v>
      </c>
      <c r="E339" t="inlineStr">
        <is>
          <t>ANALISTA DE RIESGO PLD/FT</t>
        </is>
      </c>
      <c r="F339" t="inlineStr">
        <is>
          <t>MONTERREY</t>
        </is>
      </c>
      <c r="G339" t="n">
        <v>2942</v>
      </c>
      <c r="H339" t="inlineStr">
        <is>
          <t>BIANCA ELIZABETH ALANIZ SANDOVAL</t>
        </is>
      </c>
      <c r="I339" t="n">
        <v>10023</v>
      </c>
      <c r="J339" t="inlineStr">
        <is>
          <t>COORDINADOR DE INTELIGENCIA RIESGOS PLD</t>
        </is>
      </c>
      <c r="K339" t="n">
        <v>1</v>
      </c>
      <c r="L339" t="inlineStr">
        <is>
          <t>PRESIDENCIA EJECUTIVA DEL CONSEJO</t>
        </is>
      </c>
      <c r="M339" t="n">
        <v>40</v>
      </c>
      <c r="N339" t="inlineStr">
        <is>
          <t>DIRECCION GENERAL BANCO BASE</t>
        </is>
      </c>
      <c r="O339" t="n">
        <v>440</v>
      </c>
      <c r="P339" t="inlineStr">
        <is>
          <t>DIRECCION DE CONTRALORIA Y PREVENCION</t>
        </is>
      </c>
      <c r="Q339" t="n">
        <v>4480</v>
      </c>
      <c r="R339" t="inlineStr">
        <is>
          <t>CUMPLIMIENTO PLD</t>
        </is>
      </c>
      <c r="S339" t="n">
        <v>44800</v>
      </c>
      <c r="T339" t="inlineStr">
        <is>
          <t>CUMPLIMIENTO PLD</t>
        </is>
      </c>
      <c r="U339" t="n">
        <v>448000</v>
      </c>
      <c r="V339" t="inlineStr">
        <is>
          <t>CUMPLIMIENTO PLD</t>
        </is>
      </c>
      <c r="W339" t="n">
        <v>100101</v>
      </c>
      <c r="X339" t="inlineStr">
        <is>
          <t>CORPORATIVO</t>
        </is>
      </c>
      <c r="Y339" t="n">
        <v>4</v>
      </c>
      <c r="Z339" t="inlineStr">
        <is>
          <t>CORPORATIVO</t>
        </is>
      </c>
      <c r="AA339" t="n">
        <v>1</v>
      </c>
      <c r="AB339" t="inlineStr">
        <is>
          <t>NEGOCIO EN MARCHA</t>
        </is>
      </c>
      <c r="AC339" t="n">
        <v>1</v>
      </c>
      <c r="AD339" t="inlineStr">
        <is>
          <t>BANCO</t>
        </is>
      </c>
      <c r="AE339" t="n">
        <v>1</v>
      </c>
      <c r="AF339" t="inlineStr">
        <is>
          <t>BACK</t>
        </is>
      </c>
      <c r="AG339" t="n">
        <v>100101</v>
      </c>
      <c r="AH339" t="inlineStr">
        <is>
          <t>CORPORATIVO</t>
        </is>
      </c>
      <c r="AI339" t="inlineStr">
        <is>
          <t>JBAZALDUA@BANCOBASE.COM</t>
        </is>
      </c>
      <c r="AJ339" s="151" t="n">
        <v>45293</v>
      </c>
      <c r="AK339" s="151" t="n"/>
      <c r="AL339" s="151" t="n"/>
    </row>
    <row r="340" hidden="1" s="150">
      <c r="A340" t="inlineStr">
        <is>
          <t>SSILVAD</t>
        </is>
      </c>
      <c r="B340" t="n">
        <v>3533</v>
      </c>
      <c r="C340" t="inlineStr">
        <is>
          <t>SEBASTIAN SILVA DIAZ</t>
        </is>
      </c>
      <c r="D340" t="n">
        <v>8755</v>
      </c>
      <c r="E340" t="inlineStr">
        <is>
          <t>ANALISTA DE RIESGO PLD/FT</t>
        </is>
      </c>
      <c r="F340" t="inlineStr">
        <is>
          <t>MONTERREY</t>
        </is>
      </c>
      <c r="G340" t="n">
        <v>2942</v>
      </c>
      <c r="H340" t="inlineStr">
        <is>
          <t>BIANCA ELIZABETH ALANIZ SANDOVAL</t>
        </is>
      </c>
      <c r="I340" t="n">
        <v>10023</v>
      </c>
      <c r="J340" t="inlineStr">
        <is>
          <t>COORDINADOR DE INTELIGENCIA RIESGOS PLD</t>
        </is>
      </c>
      <c r="K340" t="n">
        <v>1</v>
      </c>
      <c r="L340" t="inlineStr">
        <is>
          <t>PRESIDENCIA EJECUTIVA DEL CONSEJO</t>
        </is>
      </c>
      <c r="M340" t="n">
        <v>40</v>
      </c>
      <c r="N340" t="inlineStr">
        <is>
          <t>DIRECCION GENERAL BANCO BASE</t>
        </is>
      </c>
      <c r="O340" t="n">
        <v>440</v>
      </c>
      <c r="P340" t="inlineStr">
        <is>
          <t>DIRECCION DE CONTRALORIA Y PREVENCION</t>
        </is>
      </c>
      <c r="Q340" t="n">
        <v>4480</v>
      </c>
      <c r="R340" t="inlineStr">
        <is>
          <t>CUMPLIMIENTO PLD</t>
        </is>
      </c>
      <c r="S340" t="n">
        <v>44800</v>
      </c>
      <c r="T340" t="inlineStr">
        <is>
          <t>CUMPLIMIENTO PLD</t>
        </is>
      </c>
      <c r="U340" t="n">
        <v>448000</v>
      </c>
      <c r="V340" t="inlineStr">
        <is>
          <t>CUMPLIMIENTO PLD</t>
        </is>
      </c>
      <c r="W340" t="n">
        <v>100101</v>
      </c>
      <c r="X340" t="inlineStr">
        <is>
          <t>CORPORATIVO</t>
        </is>
      </c>
      <c r="Y340" t="n">
        <v>4</v>
      </c>
      <c r="Z340" t="inlineStr">
        <is>
          <t>CORPORATIVO</t>
        </is>
      </c>
      <c r="AA340" t="n">
        <v>1</v>
      </c>
      <c r="AB340" t="inlineStr">
        <is>
          <t>NEGOCIO EN MARCHA</t>
        </is>
      </c>
      <c r="AC340" t="n">
        <v>1</v>
      </c>
      <c r="AD340" t="inlineStr">
        <is>
          <t>BANCO</t>
        </is>
      </c>
      <c r="AE340" t="n">
        <v>1</v>
      </c>
      <c r="AF340" t="inlineStr">
        <is>
          <t>BACK</t>
        </is>
      </c>
      <c r="AG340" t="n">
        <v>100101</v>
      </c>
      <c r="AH340" t="inlineStr">
        <is>
          <t>CORPORATIVO</t>
        </is>
      </c>
      <c r="AI340" t="inlineStr">
        <is>
          <t>SSILVAD@BANCOBASE.COM</t>
        </is>
      </c>
      <c r="AJ340" s="151" t="n">
        <v>45887</v>
      </c>
      <c r="AK340" s="151" t="n"/>
      <c r="AL340" s="151" t="n"/>
    </row>
    <row r="341" hidden="1" s="150">
      <c r="A341" t="inlineStr">
        <is>
          <t>IVAZQUEZL</t>
        </is>
      </c>
      <c r="B341" t="n">
        <v>1985</v>
      </c>
      <c r="C341" t="inlineStr">
        <is>
          <t>ITZEL ANAHI VAZQUEZ LOREDO</t>
        </is>
      </c>
      <c r="D341" t="n">
        <v>8718</v>
      </c>
      <c r="E341" t="inlineStr">
        <is>
          <t>COORDINADOR TSS/PC</t>
        </is>
      </c>
      <c r="F341" t="inlineStr">
        <is>
          <t>MONTERREY</t>
        </is>
      </c>
      <c r="G341" t="n">
        <v>2992</v>
      </c>
      <c r="H341" t="inlineStr">
        <is>
          <t>HORACIO ALBERTO MEDELLIN VAZQUEZ</t>
        </is>
      </c>
      <c r="I341" t="n">
        <v>5000</v>
      </c>
      <c r="J341" t="inlineStr">
        <is>
          <t>SUBDIRECTOR DE CUMPLIMIENTO PLD</t>
        </is>
      </c>
      <c r="K341" t="n">
        <v>1</v>
      </c>
      <c r="L341" t="inlineStr">
        <is>
          <t>PRESIDENCIA EJECUTIVA DEL CONSEJO</t>
        </is>
      </c>
      <c r="M341" t="n">
        <v>40</v>
      </c>
      <c r="N341" t="inlineStr">
        <is>
          <t>DIRECCION GENERAL BANCO BASE</t>
        </is>
      </c>
      <c r="O341" t="n">
        <v>440</v>
      </c>
      <c r="P341" t="inlineStr">
        <is>
          <t>DIRECCION DE CONTRALORIA Y PREVENCION</t>
        </is>
      </c>
      <c r="Q341" t="n">
        <v>4480</v>
      </c>
      <c r="R341" t="inlineStr">
        <is>
          <t>CUMPLIMIENTO PLD</t>
        </is>
      </c>
      <c r="S341" t="n">
        <v>44800</v>
      </c>
      <c r="T341" t="inlineStr">
        <is>
          <t>CUMPLIMIENTO PLD</t>
        </is>
      </c>
      <c r="U341" t="n">
        <v>448000</v>
      </c>
      <c r="V341" t="inlineStr">
        <is>
          <t>CUMPLIMIENTO PLD</t>
        </is>
      </c>
      <c r="W341" t="n">
        <v>100101</v>
      </c>
      <c r="X341" t="inlineStr">
        <is>
          <t>CORPORATIVO</t>
        </is>
      </c>
      <c r="Y341" t="n">
        <v>4</v>
      </c>
      <c r="Z341" t="inlineStr">
        <is>
          <t>CORPORATIVO</t>
        </is>
      </c>
      <c r="AA341" t="n">
        <v>1</v>
      </c>
      <c r="AB341" t="inlineStr">
        <is>
          <t>NEGOCIO EN MARCHA</t>
        </is>
      </c>
      <c r="AC341" t="n">
        <v>1</v>
      </c>
      <c r="AD341" t="inlineStr">
        <is>
          <t>BANCO</t>
        </is>
      </c>
      <c r="AE341" t="n">
        <v>1</v>
      </c>
      <c r="AF341" t="inlineStr">
        <is>
          <t>BACK</t>
        </is>
      </c>
      <c r="AG341" t="n">
        <v>100101</v>
      </c>
      <c r="AH341" t="inlineStr">
        <is>
          <t>CORPORATIVO</t>
        </is>
      </c>
      <c r="AI341" t="inlineStr">
        <is>
          <t>IVAZQUEZL@BANCOBASE.COM</t>
        </is>
      </c>
      <c r="AJ341" s="151" t="n">
        <v>43206</v>
      </c>
      <c r="AK341" s="151" t="n"/>
      <c r="AL341" s="151" t="n"/>
    </row>
    <row r="342" hidden="1" s="150">
      <c r="A342" t="inlineStr">
        <is>
          <t>ELOPEZP</t>
        </is>
      </c>
      <c r="B342" t="n">
        <v>3362</v>
      </c>
      <c r="C342" t="inlineStr">
        <is>
          <t>EVELYN ALEIDA LOPEZ PICHARRA</t>
        </is>
      </c>
      <c r="D342" t="n">
        <v>8637</v>
      </c>
      <c r="E342" t="inlineStr">
        <is>
          <t>ANALISTA DE PRACTICA INTERNACIONAL</t>
        </is>
      </c>
      <c r="F342" t="inlineStr">
        <is>
          <t>MONTERREY</t>
        </is>
      </c>
      <c r="G342" t="n">
        <v>1985</v>
      </c>
      <c r="H342" t="inlineStr">
        <is>
          <t>ITZEL ANAHI VAZQUEZ LOREDO</t>
        </is>
      </c>
      <c r="I342" t="n">
        <v>8718</v>
      </c>
      <c r="J342" t="inlineStr">
        <is>
          <t>COORDINADOR TSS/PC</t>
        </is>
      </c>
      <c r="K342" t="n">
        <v>1</v>
      </c>
      <c r="L342" t="inlineStr">
        <is>
          <t>PRESIDENCIA EJECUTIVA DEL CONSEJO</t>
        </is>
      </c>
      <c r="M342" t="n">
        <v>40</v>
      </c>
      <c r="N342" t="inlineStr">
        <is>
          <t>DIRECCION GENERAL BANCO BASE</t>
        </is>
      </c>
      <c r="O342" t="n">
        <v>440</v>
      </c>
      <c r="P342" t="inlineStr">
        <is>
          <t>DIRECCION DE CONTRALORIA Y PREVENCION</t>
        </is>
      </c>
      <c r="Q342" t="n">
        <v>4480</v>
      </c>
      <c r="R342" t="inlineStr">
        <is>
          <t>CUMPLIMIENTO PLD</t>
        </is>
      </c>
      <c r="S342" t="n">
        <v>44800</v>
      </c>
      <c r="T342" t="inlineStr">
        <is>
          <t>CUMPLIMIENTO PLD</t>
        </is>
      </c>
      <c r="U342" t="n">
        <v>448000</v>
      </c>
      <c r="V342" t="inlineStr">
        <is>
          <t>CUMPLIMIENTO PLD</t>
        </is>
      </c>
      <c r="W342" t="n">
        <v>100101</v>
      </c>
      <c r="X342" t="inlineStr">
        <is>
          <t>CORPORATIVO</t>
        </is>
      </c>
      <c r="Y342" t="n">
        <v>4</v>
      </c>
      <c r="Z342" t="inlineStr">
        <is>
          <t>CORPORATIVO</t>
        </is>
      </c>
      <c r="AA342" t="n">
        <v>1</v>
      </c>
      <c r="AB342" t="inlineStr">
        <is>
          <t>NEGOCIO EN MARCHA</t>
        </is>
      </c>
      <c r="AC342" t="n">
        <v>1</v>
      </c>
      <c r="AD342" t="inlineStr">
        <is>
          <t>BANCO</t>
        </is>
      </c>
      <c r="AE342" t="n">
        <v>1</v>
      </c>
      <c r="AF342" t="inlineStr">
        <is>
          <t>BACK</t>
        </is>
      </c>
      <c r="AG342" t="n">
        <v>100101</v>
      </c>
      <c r="AH342" t="inlineStr">
        <is>
          <t>CORPORATIVO</t>
        </is>
      </c>
      <c r="AI342" t="inlineStr">
        <is>
          <t>ELOPEZP@BANCOBASE.COM</t>
        </is>
      </c>
      <c r="AJ342" s="151" t="n">
        <v>45734</v>
      </c>
      <c r="AK342" s="151" t="n"/>
      <c r="AL342" s="151" t="n"/>
    </row>
    <row r="343" hidden="1" s="150">
      <c r="A343" t="inlineStr">
        <is>
          <t>YMARTINEZ</t>
        </is>
      </c>
      <c r="B343" t="n">
        <v>3499</v>
      </c>
      <c r="C343" t="inlineStr">
        <is>
          <t>MONICA YAEL MARTINEZ RODRIGUEZ</t>
        </is>
      </c>
      <c r="D343" t="n">
        <v>8729</v>
      </c>
      <c r="E343" t="inlineStr">
        <is>
          <t>ANALISTA DE PRACTICA INTERNACIONAL</t>
        </is>
      </c>
      <c r="F343" t="inlineStr">
        <is>
          <t>MONTERREY</t>
        </is>
      </c>
      <c r="G343" t="n">
        <v>1985</v>
      </c>
      <c r="H343" t="inlineStr">
        <is>
          <t>ITZEL ANAHI VAZQUEZ LOREDO</t>
        </is>
      </c>
      <c r="I343" t="n">
        <v>8718</v>
      </c>
      <c r="J343" t="inlineStr">
        <is>
          <t>COORDINADOR TSS/PC</t>
        </is>
      </c>
      <c r="K343" t="n">
        <v>1</v>
      </c>
      <c r="L343" t="inlineStr">
        <is>
          <t>PRESIDENCIA EJECUTIVA DEL CONSEJO</t>
        </is>
      </c>
      <c r="M343" t="n">
        <v>40</v>
      </c>
      <c r="N343" t="inlineStr">
        <is>
          <t>DIRECCION GENERAL BANCO BASE</t>
        </is>
      </c>
      <c r="O343" t="n">
        <v>440</v>
      </c>
      <c r="P343" t="inlineStr">
        <is>
          <t>DIRECCION DE CONTRALORIA Y PREVENCION</t>
        </is>
      </c>
      <c r="Q343" t="n">
        <v>4480</v>
      </c>
      <c r="R343" t="inlineStr">
        <is>
          <t>CUMPLIMIENTO PLD</t>
        </is>
      </c>
      <c r="S343" t="n">
        <v>44800</v>
      </c>
      <c r="T343" t="inlineStr">
        <is>
          <t>CUMPLIMIENTO PLD</t>
        </is>
      </c>
      <c r="U343" t="n">
        <v>448000</v>
      </c>
      <c r="V343" t="inlineStr">
        <is>
          <t>CUMPLIMIENTO PLD</t>
        </is>
      </c>
      <c r="W343" t="n">
        <v>100101</v>
      </c>
      <c r="X343" t="inlineStr">
        <is>
          <t>CORPORATIVO</t>
        </is>
      </c>
      <c r="Y343" t="n">
        <v>4</v>
      </c>
      <c r="Z343" t="inlineStr">
        <is>
          <t>CORPORATIVO</t>
        </is>
      </c>
      <c r="AA343" t="n">
        <v>1</v>
      </c>
      <c r="AB343" t="inlineStr">
        <is>
          <t>NEGOCIO EN MARCHA</t>
        </is>
      </c>
      <c r="AC343" t="n">
        <v>1</v>
      </c>
      <c r="AD343" t="inlineStr">
        <is>
          <t>BANCO</t>
        </is>
      </c>
      <c r="AE343" t="n">
        <v>1</v>
      </c>
      <c r="AF343" t="inlineStr">
        <is>
          <t>BACK</t>
        </is>
      </c>
      <c r="AG343" t="n">
        <v>100101</v>
      </c>
      <c r="AH343" t="inlineStr">
        <is>
          <t>CORPORATIVO</t>
        </is>
      </c>
      <c r="AI343" t="inlineStr">
        <is>
          <t>YMARTINEZ@BANCOBASE.COM</t>
        </is>
      </c>
      <c r="AJ343" s="151" t="n">
        <v>45873</v>
      </c>
      <c r="AK343" s="151" t="n"/>
      <c r="AL343" s="151" t="n"/>
    </row>
    <row r="344" hidden="1" s="150">
      <c r="A344" t="inlineStr">
        <is>
          <t>JAGUIRRE</t>
        </is>
      </c>
      <c r="B344" t="n">
        <v>1666</v>
      </c>
      <c r="C344" t="inlineStr">
        <is>
          <t>JAIME MARCELO AGUIRRE OCAÑAS</t>
        </is>
      </c>
      <c r="D344" t="n">
        <v>8288</v>
      </c>
      <c r="E344" t="inlineStr">
        <is>
          <t>COORDINADOR DE PRECOMPLIANCE</t>
        </is>
      </c>
      <c r="F344" t="inlineStr">
        <is>
          <t>MONTERREY</t>
        </is>
      </c>
      <c r="G344" t="n">
        <v>2992</v>
      </c>
      <c r="H344" t="inlineStr">
        <is>
          <t>HORACIO ALBERTO MEDELLIN VAZQUEZ</t>
        </is>
      </c>
      <c r="I344" t="n">
        <v>5000</v>
      </c>
      <c r="J344" t="inlineStr">
        <is>
          <t>SUBDIRECTOR DE CUMPLIMIENTO PLD</t>
        </is>
      </c>
      <c r="K344" t="n">
        <v>1</v>
      </c>
      <c r="L344" t="inlineStr">
        <is>
          <t>PRESIDENCIA EJECUTIVA DEL CONSEJO</t>
        </is>
      </c>
      <c r="M344" t="n">
        <v>40</v>
      </c>
      <c r="N344" t="inlineStr">
        <is>
          <t>DIRECCION GENERAL BANCO BASE</t>
        </is>
      </c>
      <c r="O344" t="n">
        <v>440</v>
      </c>
      <c r="P344" t="inlineStr">
        <is>
          <t>DIRECCION DE CONTRALORIA Y PREVENCION</t>
        </is>
      </c>
      <c r="Q344" t="n">
        <v>4480</v>
      </c>
      <c r="R344" t="inlineStr">
        <is>
          <t>CUMPLIMIENTO PLD</t>
        </is>
      </c>
      <c r="S344" t="n">
        <v>44800</v>
      </c>
      <c r="T344" t="inlineStr">
        <is>
          <t>CUMPLIMIENTO PLD</t>
        </is>
      </c>
      <c r="U344" t="n">
        <v>448000</v>
      </c>
      <c r="V344" t="inlineStr">
        <is>
          <t>CUMPLIMIENTO PLD</t>
        </is>
      </c>
      <c r="W344" t="n">
        <v>100101</v>
      </c>
      <c r="X344" t="inlineStr">
        <is>
          <t>CORPORATIVO</t>
        </is>
      </c>
      <c r="Y344" t="n">
        <v>4</v>
      </c>
      <c r="Z344" t="inlineStr">
        <is>
          <t>CORPORATIVO</t>
        </is>
      </c>
      <c r="AA344" t="n">
        <v>1</v>
      </c>
      <c r="AB344" t="inlineStr">
        <is>
          <t>NEGOCIO EN MARCHA</t>
        </is>
      </c>
      <c r="AC344" t="n">
        <v>1</v>
      </c>
      <c r="AD344" t="inlineStr">
        <is>
          <t>BANCO</t>
        </is>
      </c>
      <c r="AE344" t="n">
        <v>1</v>
      </c>
      <c r="AF344" t="inlineStr">
        <is>
          <t>BACK</t>
        </is>
      </c>
      <c r="AG344" t="n">
        <v>100101</v>
      </c>
      <c r="AH344" t="inlineStr">
        <is>
          <t>CORPORATIVO</t>
        </is>
      </c>
      <c r="AI344" t="inlineStr">
        <is>
          <t>JAGUIRRE@BANCOBASE.COM</t>
        </is>
      </c>
      <c r="AJ344" s="151" t="n">
        <v>42705</v>
      </c>
      <c r="AK344" s="151" t="n"/>
      <c r="AL344" s="151" t="n"/>
    </row>
    <row r="345" hidden="1" s="150">
      <c r="A345" t="inlineStr">
        <is>
          <t>ARAMIREZS</t>
        </is>
      </c>
      <c r="B345" t="n">
        <v>3504</v>
      </c>
      <c r="C345" t="inlineStr">
        <is>
          <t>AMPARO RAMIREZ SILVERIO</t>
        </is>
      </c>
      <c r="D345" t="n">
        <v>8731</v>
      </c>
      <c r="E345" t="inlineStr">
        <is>
          <t>ANALISTA CUMPLIMIENTO KYC JR</t>
        </is>
      </c>
      <c r="F345" t="inlineStr">
        <is>
          <t>MONTERREY</t>
        </is>
      </c>
      <c r="G345" t="n">
        <v>1666</v>
      </c>
      <c r="H345" t="inlineStr">
        <is>
          <t>JAIME MARCELO AGUIRRE OCAÑAS</t>
        </is>
      </c>
      <c r="I345" t="n">
        <v>8288</v>
      </c>
      <c r="J345" t="inlineStr">
        <is>
          <t>COORDINADOR DE PRECOMPLIANCE</t>
        </is>
      </c>
      <c r="K345" t="n">
        <v>1</v>
      </c>
      <c r="L345" t="inlineStr">
        <is>
          <t>PRESIDENCIA EJECUTIVA DEL CONSEJO</t>
        </is>
      </c>
      <c r="M345" t="n">
        <v>40</v>
      </c>
      <c r="N345" t="inlineStr">
        <is>
          <t>DIRECCION GENERAL BANCO BASE</t>
        </is>
      </c>
      <c r="O345" t="n">
        <v>440</v>
      </c>
      <c r="P345" t="inlineStr">
        <is>
          <t>DIRECCION DE CONTRALORIA Y PREVENCION</t>
        </is>
      </c>
      <c r="Q345" t="n">
        <v>4480</v>
      </c>
      <c r="R345" t="inlineStr">
        <is>
          <t>CUMPLIMIENTO PLD</t>
        </is>
      </c>
      <c r="S345" t="n">
        <v>44800</v>
      </c>
      <c r="T345" t="inlineStr">
        <is>
          <t>CUMPLIMIENTO PLD</t>
        </is>
      </c>
      <c r="U345" t="n">
        <v>448000</v>
      </c>
      <c r="V345" t="inlineStr">
        <is>
          <t>CUMPLIMIENTO PLD</t>
        </is>
      </c>
      <c r="W345" t="n">
        <v>100101</v>
      </c>
      <c r="X345" t="inlineStr">
        <is>
          <t>CORPORATIVO</t>
        </is>
      </c>
      <c r="Y345" t="n">
        <v>4</v>
      </c>
      <c r="Z345" t="inlineStr">
        <is>
          <t>CORPORATIVO</t>
        </is>
      </c>
      <c r="AA345" t="n">
        <v>1</v>
      </c>
      <c r="AB345" t="inlineStr">
        <is>
          <t>NEGOCIO EN MARCHA</t>
        </is>
      </c>
      <c r="AC345" t="n">
        <v>1</v>
      </c>
      <c r="AD345" t="inlineStr">
        <is>
          <t>BANCO</t>
        </is>
      </c>
      <c r="AE345" t="n">
        <v>1</v>
      </c>
      <c r="AF345" t="inlineStr">
        <is>
          <t>BACK</t>
        </is>
      </c>
      <c r="AG345" t="n">
        <v>100101</v>
      </c>
      <c r="AH345" t="inlineStr">
        <is>
          <t>CORPORATIVO</t>
        </is>
      </c>
      <c r="AI345" t="inlineStr">
        <is>
          <t>ARAMIREZS@BANCOBASE.COM</t>
        </is>
      </c>
      <c r="AJ345" s="151" t="n">
        <v>45873</v>
      </c>
      <c r="AK345" s="151" t="n"/>
      <c r="AL345" s="151" t="n"/>
    </row>
    <row r="346" hidden="1" s="150">
      <c r="A346" t="inlineStr">
        <is>
          <t>KORDAZ</t>
        </is>
      </c>
      <c r="B346" t="n">
        <v>3525</v>
      </c>
      <c r="C346" t="inlineStr">
        <is>
          <t>KASSANDRA DANAEE ORDAZ GONZALEZ</t>
        </is>
      </c>
      <c r="D346" t="n">
        <v>8752</v>
      </c>
      <c r="E346" t="inlineStr">
        <is>
          <t>ANALISTA CUMPLIMIENTO KYC JR</t>
        </is>
      </c>
      <c r="F346" t="inlineStr">
        <is>
          <t>MONTERREY</t>
        </is>
      </c>
      <c r="G346" t="n">
        <v>1666</v>
      </c>
      <c r="H346" t="inlineStr">
        <is>
          <t>JAIME MARCELO AGUIRRE OCAÑAS</t>
        </is>
      </c>
      <c r="I346" t="n">
        <v>8288</v>
      </c>
      <c r="J346" t="inlineStr">
        <is>
          <t>COORDINADOR DE PRECOMPLIANCE</t>
        </is>
      </c>
      <c r="K346" t="n">
        <v>1</v>
      </c>
      <c r="L346" t="inlineStr">
        <is>
          <t>PRESIDENCIA EJECUTIVA DEL CONSEJO</t>
        </is>
      </c>
      <c r="M346" t="n">
        <v>40</v>
      </c>
      <c r="N346" t="inlineStr">
        <is>
          <t>DIRECCION GENERAL BANCO BASE</t>
        </is>
      </c>
      <c r="O346" t="n">
        <v>440</v>
      </c>
      <c r="P346" t="inlineStr">
        <is>
          <t>DIRECCION DE CONTRALORIA Y PREVENCION</t>
        </is>
      </c>
      <c r="Q346" t="n">
        <v>4480</v>
      </c>
      <c r="R346" t="inlineStr">
        <is>
          <t>CUMPLIMIENTO PLD</t>
        </is>
      </c>
      <c r="S346" t="n">
        <v>44800</v>
      </c>
      <c r="T346" t="inlineStr">
        <is>
          <t>CUMPLIMIENTO PLD</t>
        </is>
      </c>
      <c r="U346" t="n">
        <v>448000</v>
      </c>
      <c r="V346" t="inlineStr">
        <is>
          <t>CUMPLIMIENTO PLD</t>
        </is>
      </c>
      <c r="W346" t="n">
        <v>100101</v>
      </c>
      <c r="X346" t="inlineStr">
        <is>
          <t>CORPORATIVO</t>
        </is>
      </c>
      <c r="Y346" t="n">
        <v>4</v>
      </c>
      <c r="Z346" t="inlineStr">
        <is>
          <t>CORPORATIVO</t>
        </is>
      </c>
      <c r="AA346" t="n">
        <v>1</v>
      </c>
      <c r="AB346" t="inlineStr">
        <is>
          <t>NEGOCIO EN MARCHA</t>
        </is>
      </c>
      <c r="AC346" t="n">
        <v>1</v>
      </c>
      <c r="AD346" t="inlineStr">
        <is>
          <t>BANCO</t>
        </is>
      </c>
      <c r="AE346" t="n">
        <v>1</v>
      </c>
      <c r="AF346" t="inlineStr">
        <is>
          <t>BACK</t>
        </is>
      </c>
      <c r="AG346" t="n">
        <v>100101</v>
      </c>
      <c r="AH346" t="inlineStr">
        <is>
          <t>CORPORATIVO</t>
        </is>
      </c>
      <c r="AI346" t="inlineStr">
        <is>
          <t>KORDAZ@BANCOBASE.COM</t>
        </is>
      </c>
      <c r="AJ346" s="151" t="n">
        <v>45887</v>
      </c>
      <c r="AK346" s="151" t="n"/>
      <c r="AL346" s="151" t="n"/>
    </row>
    <row r="347" hidden="1" s="150">
      <c r="A347" t="inlineStr">
        <is>
          <t>AGONZALERU</t>
        </is>
      </c>
      <c r="B347" t="n">
        <v>3654</v>
      </c>
      <c r="C347" t="inlineStr">
        <is>
          <t>ANDREA LISSET GONZALEZ RUIZ</t>
        </is>
      </c>
      <c r="D347" t="n">
        <v>8753</v>
      </c>
      <c r="E347" t="inlineStr">
        <is>
          <t>ANALISTA CUMPLIMIENTO KYC JR</t>
        </is>
      </c>
      <c r="F347" t="inlineStr">
        <is>
          <t>MONTERREY</t>
        </is>
      </c>
      <c r="G347" t="n">
        <v>1666</v>
      </c>
      <c r="H347" t="inlineStr">
        <is>
          <t>JAIME MARCELO AGUIRRE OCAÑAS</t>
        </is>
      </c>
      <c r="I347" t="n">
        <v>8288</v>
      </c>
      <c r="J347" t="inlineStr">
        <is>
          <t>COORDINADOR DE PRECOMPLIANCE</t>
        </is>
      </c>
      <c r="K347" t="n">
        <v>1</v>
      </c>
      <c r="L347" t="inlineStr">
        <is>
          <t>PRESIDENCIA EJECUTIVA DEL CONSEJO</t>
        </is>
      </c>
      <c r="M347" t="n">
        <v>40</v>
      </c>
      <c r="N347" t="inlineStr">
        <is>
          <t>DIRECCION GENERAL BANCO BASE</t>
        </is>
      </c>
      <c r="O347" t="n">
        <v>440</v>
      </c>
      <c r="P347" t="inlineStr">
        <is>
          <t>DIRECCION DE CONTRALORIA Y PREVENCION</t>
        </is>
      </c>
      <c r="Q347" t="n">
        <v>4480</v>
      </c>
      <c r="R347" t="inlineStr">
        <is>
          <t>CUMPLIMIENTO PLD</t>
        </is>
      </c>
      <c r="S347" t="n">
        <v>44800</v>
      </c>
      <c r="T347" t="inlineStr">
        <is>
          <t>CUMPLIMIENTO PLD</t>
        </is>
      </c>
      <c r="U347" t="n">
        <v>448000</v>
      </c>
      <c r="V347" t="inlineStr">
        <is>
          <t>CUMPLIMIENTO PLD</t>
        </is>
      </c>
      <c r="W347" t="n">
        <v>100101</v>
      </c>
      <c r="X347" t="inlineStr">
        <is>
          <t>CORPORATIVO</t>
        </is>
      </c>
      <c r="Y347" t="n">
        <v>4</v>
      </c>
      <c r="Z347" t="inlineStr">
        <is>
          <t>CORPORATIVO</t>
        </is>
      </c>
      <c r="AA347" t="n">
        <v>1</v>
      </c>
      <c r="AB347" t="inlineStr">
        <is>
          <t>NEGOCIO EN MARCHA</t>
        </is>
      </c>
      <c r="AC347" t="n">
        <v>1</v>
      </c>
      <c r="AD347" t="inlineStr">
        <is>
          <t>BANCO</t>
        </is>
      </c>
      <c r="AE347" t="n">
        <v>1</v>
      </c>
      <c r="AF347" t="inlineStr">
        <is>
          <t>BACK</t>
        </is>
      </c>
      <c r="AG347" t="n">
        <v>100101</v>
      </c>
      <c r="AH347" t="inlineStr">
        <is>
          <t>CORPORATIVO</t>
        </is>
      </c>
      <c r="AI347" t="inlineStr">
        <is>
          <t>AGONZALERU@BANCOBASE.COM</t>
        </is>
      </c>
      <c r="AJ347" s="151" t="n">
        <v>45964</v>
      </c>
      <c r="AK347" s="151" t="n"/>
      <c r="AL347" s="151" t="n"/>
    </row>
    <row r="348" hidden="1" s="150">
      <c r="A348" t="inlineStr">
        <is>
          <t>RCOTERO</t>
        </is>
      </c>
      <c r="B348" t="n">
        <v>3887</v>
      </c>
      <c r="C348" t="inlineStr">
        <is>
          <t>ROGER COTERO BOLADO</t>
        </is>
      </c>
      <c r="D348" t="n">
        <v>5100</v>
      </c>
      <c r="E348" t="inlineStr">
        <is>
          <t>ANALISTA CUMPLIMIENTO KYC JR</t>
        </is>
      </c>
      <c r="F348" t="inlineStr">
        <is>
          <t>MONTERREY</t>
        </is>
      </c>
      <c r="G348" t="n">
        <v>1666</v>
      </c>
      <c r="H348" t="inlineStr">
        <is>
          <t>JAIME MARCELO AGUIRRE OCAÑAS</t>
        </is>
      </c>
      <c r="I348" t="n">
        <v>8288</v>
      </c>
      <c r="J348" t="inlineStr">
        <is>
          <t>COORDINADOR DE PRECOMPLIANCE</t>
        </is>
      </c>
      <c r="K348" t="n">
        <v>1</v>
      </c>
      <c r="L348" t="inlineStr">
        <is>
          <t>PRESIDENCIA EJECUTIVA DEL CONSEJO</t>
        </is>
      </c>
      <c r="M348" t="n">
        <v>40</v>
      </c>
      <c r="N348" t="inlineStr">
        <is>
          <t>DIRECCION GENERAL BANCO BASE</t>
        </is>
      </c>
      <c r="O348" t="n">
        <v>440</v>
      </c>
      <c r="P348" t="inlineStr">
        <is>
          <t>DIRECCION DE CONTRALORIA Y PREVENCION</t>
        </is>
      </c>
      <c r="Q348" t="n">
        <v>4480</v>
      </c>
      <c r="R348" t="inlineStr">
        <is>
          <t>CUMPLIMIENTO PLD</t>
        </is>
      </c>
      <c r="S348" t="n">
        <v>44800</v>
      </c>
      <c r="T348" t="inlineStr">
        <is>
          <t>CUMPLIMIENTO PLD</t>
        </is>
      </c>
      <c r="U348" t="n">
        <v>448000</v>
      </c>
      <c r="V348" t="inlineStr">
        <is>
          <t>CUMPLIMIENTO PLD</t>
        </is>
      </c>
      <c r="W348" t="n">
        <v>100101</v>
      </c>
      <c r="X348" t="inlineStr">
        <is>
          <t>CORPORATIVO</t>
        </is>
      </c>
      <c r="Y348" t="n">
        <v>4</v>
      </c>
      <c r="Z348" t="inlineStr">
        <is>
          <t>CORPORATIVO</t>
        </is>
      </c>
      <c r="AA348" t="n">
        <v>1</v>
      </c>
      <c r="AB348" t="inlineStr">
        <is>
          <t>NEGOCIO EN MARCHA</t>
        </is>
      </c>
      <c r="AC348" t="n">
        <v>1</v>
      </c>
      <c r="AD348" t="inlineStr">
        <is>
          <t>BANCO</t>
        </is>
      </c>
      <c r="AE348" t="n">
        <v>1</v>
      </c>
      <c r="AF348" t="inlineStr">
        <is>
          <t>BACK</t>
        </is>
      </c>
      <c r="AG348" t="n">
        <v>100101</v>
      </c>
      <c r="AH348" t="inlineStr">
        <is>
          <t>CORPORATIVO</t>
        </is>
      </c>
      <c r="AI348" t="inlineStr">
        <is>
          <t>RCOTERO@BANCOBASE.COM</t>
        </is>
      </c>
      <c r="AJ348" s="151" t="n">
        <v>46174</v>
      </c>
      <c r="AK348" s="151" t="n"/>
      <c r="AL348" s="151" t="n"/>
    </row>
    <row r="349" hidden="1" s="150">
      <c r="A349" t="inlineStr">
        <is>
          <t>ARUIZRE</t>
        </is>
      </c>
      <c r="B349" t="n">
        <v>780</v>
      </c>
      <c r="C349" t="inlineStr">
        <is>
          <t>ALEJANDRO RUIZ REYES</t>
        </is>
      </c>
      <c r="D349" t="n">
        <v>55</v>
      </c>
      <c r="E349" t="inlineStr">
        <is>
          <t>SUBDIRECTOR DE CUMPLIMIENTO NORMATIVO</t>
        </is>
      </c>
      <c r="F349" t="inlineStr">
        <is>
          <t>MONTERREY</t>
        </is>
      </c>
      <c r="G349" t="n">
        <v>989</v>
      </c>
      <c r="H349" t="inlineStr">
        <is>
          <t>SERGIO CORTES FERNANDEZ</t>
        </is>
      </c>
      <c r="I349" t="n">
        <v>1007</v>
      </c>
      <c r="J349" t="inlineStr">
        <is>
          <t>DIRECTOR DE CONTRALORIA Y PREVENCION</t>
        </is>
      </c>
      <c r="K349" t="n">
        <v>1</v>
      </c>
      <c r="L349" t="inlineStr">
        <is>
          <t>PRESIDENCIA EJECUTIVA DEL CONSEJO</t>
        </is>
      </c>
      <c r="M349" t="n">
        <v>40</v>
      </c>
      <c r="N349" t="inlineStr">
        <is>
          <t>DIRECCION GENERAL BANCO BASE</t>
        </is>
      </c>
      <c r="O349" t="n">
        <v>440</v>
      </c>
      <c r="P349" t="inlineStr">
        <is>
          <t>DIRECCION DE CONTRALORIA Y PREVENCION</t>
        </is>
      </c>
      <c r="Q349" t="n">
        <v>4931</v>
      </c>
      <c r="R349" t="inlineStr">
        <is>
          <t>CUMPLIMIENTO NORMATIVO</t>
        </is>
      </c>
      <c r="S349" t="n">
        <v>49310</v>
      </c>
      <c r="T349" t="inlineStr">
        <is>
          <t>CUMPLIMIENTO NORMATIVO</t>
        </is>
      </c>
      <c r="U349" t="n">
        <v>493100</v>
      </c>
      <c r="V349" t="inlineStr">
        <is>
          <t>CUMPLIMIENTO NORMATIVO</t>
        </is>
      </c>
      <c r="W349" t="n">
        <v>100101</v>
      </c>
      <c r="X349" t="inlineStr">
        <is>
          <t>CORPORATIVO</t>
        </is>
      </c>
      <c r="Y349" t="n">
        <v>4</v>
      </c>
      <c r="Z349" t="inlineStr">
        <is>
          <t>CORPORATIVO</t>
        </is>
      </c>
      <c r="AA349" t="n">
        <v>1</v>
      </c>
      <c r="AB349" t="inlineStr">
        <is>
          <t>NEGOCIO EN MARCHA</t>
        </is>
      </c>
      <c r="AC349" t="n">
        <v>1</v>
      </c>
      <c r="AD349" t="inlineStr">
        <is>
          <t>BANCO</t>
        </is>
      </c>
      <c r="AE349" t="n">
        <v>1</v>
      </c>
      <c r="AF349" t="inlineStr">
        <is>
          <t>BACK</t>
        </is>
      </c>
      <c r="AG349" t="n">
        <v>100101</v>
      </c>
      <c r="AH349" t="inlineStr">
        <is>
          <t>CORPORATIVO</t>
        </is>
      </c>
      <c r="AI349" t="inlineStr">
        <is>
          <t>ARUIZRE@BANCOBASE.COM</t>
        </is>
      </c>
      <c r="AJ349" s="151" t="n">
        <v>40763</v>
      </c>
      <c r="AK349" s="151" t="n"/>
      <c r="AL349" s="151" t="n"/>
    </row>
    <row r="350" hidden="1" s="150">
      <c r="A350" t="inlineStr">
        <is>
          <t>RALCARAZ</t>
        </is>
      </c>
      <c r="B350" t="n">
        <v>3494</v>
      </c>
      <c r="C350" t="inlineStr">
        <is>
          <t>RICARDO ARNULFO ALCARAZ ORTEGA</t>
        </is>
      </c>
      <c r="D350" t="n">
        <v>8302</v>
      </c>
      <c r="E350" t="inlineStr">
        <is>
          <t>GERENTE DE CUMPLIMIENTO REGULATORIO</t>
        </is>
      </c>
      <c r="F350" t="inlineStr">
        <is>
          <t>MONTERREY</t>
        </is>
      </c>
      <c r="G350" t="n">
        <v>780</v>
      </c>
      <c r="H350" t="inlineStr">
        <is>
          <t>ALEJANDRO RUIZ REYES</t>
        </is>
      </c>
      <c r="I350" t="n">
        <v>55</v>
      </c>
      <c r="J350" t="inlineStr">
        <is>
          <t>SUBDIRECTOR DE CUMPLIMIENTO NORMATIVO</t>
        </is>
      </c>
      <c r="K350" t="n">
        <v>1</v>
      </c>
      <c r="L350" t="inlineStr">
        <is>
          <t>PRESIDENCIA EJECUTIVA DEL CONSEJO</t>
        </is>
      </c>
      <c r="M350" t="n">
        <v>40</v>
      </c>
      <c r="N350" t="inlineStr">
        <is>
          <t>DIRECCION GENERAL BANCO BASE</t>
        </is>
      </c>
      <c r="O350" t="n">
        <v>440</v>
      </c>
      <c r="P350" t="inlineStr">
        <is>
          <t>DIRECCION DE CONTRALORIA Y PREVENCION</t>
        </is>
      </c>
      <c r="Q350" t="n">
        <v>4931</v>
      </c>
      <c r="R350" t="inlineStr">
        <is>
          <t>CUMPLIMIENTO NORMATIVO</t>
        </is>
      </c>
      <c r="S350" t="n">
        <v>49310</v>
      </c>
      <c r="T350" t="inlineStr">
        <is>
          <t>CUMPLIMIENTO NORMATIVO</t>
        </is>
      </c>
      <c r="U350" t="n">
        <v>493100</v>
      </c>
      <c r="V350" t="inlineStr">
        <is>
          <t>CUMPLIMIENTO NORMATIVO</t>
        </is>
      </c>
      <c r="W350" t="n">
        <v>100101</v>
      </c>
      <c r="X350" t="inlineStr">
        <is>
          <t>CORPORATIVO</t>
        </is>
      </c>
      <c r="Y350" t="n">
        <v>4</v>
      </c>
      <c r="Z350" t="inlineStr">
        <is>
          <t>CORPORATIVO</t>
        </is>
      </c>
      <c r="AA350" t="n">
        <v>1</v>
      </c>
      <c r="AB350" t="inlineStr">
        <is>
          <t>NEGOCIO EN MARCHA</t>
        </is>
      </c>
      <c r="AC350" t="n">
        <v>1</v>
      </c>
      <c r="AD350" t="inlineStr">
        <is>
          <t>BANCO</t>
        </is>
      </c>
      <c r="AE350" t="n">
        <v>1</v>
      </c>
      <c r="AF350" t="inlineStr">
        <is>
          <t>BACK</t>
        </is>
      </c>
      <c r="AG350" t="n">
        <v>100101</v>
      </c>
      <c r="AH350" t="inlineStr">
        <is>
          <t>CORPORATIVO</t>
        </is>
      </c>
      <c r="AI350" t="inlineStr">
        <is>
          <t>RALCARAZ@BANCOBASE.COM</t>
        </is>
      </c>
      <c r="AJ350" s="151" t="n">
        <v>45873</v>
      </c>
      <c r="AK350" s="151" t="n"/>
      <c r="AL350" s="151" t="n"/>
    </row>
    <row r="351" hidden="1" s="150">
      <c r="A351" t="inlineStr">
        <is>
          <t>JMORALESJ</t>
        </is>
      </c>
      <c r="B351" t="n">
        <v>2433</v>
      </c>
      <c r="C351" t="inlineStr">
        <is>
          <t>JUAN MIGUEL MORALES JASSO</t>
        </is>
      </c>
      <c r="D351" t="n">
        <v>5113</v>
      </c>
      <c r="E351" t="inlineStr">
        <is>
          <t>COORDINADOR DE CUMPLIMIENTO REGULATORIO PLD</t>
        </is>
      </c>
      <c r="F351" t="inlineStr">
        <is>
          <t>MONTERREY</t>
        </is>
      </c>
      <c r="G351" t="n">
        <v>3494</v>
      </c>
      <c r="H351" t="inlineStr">
        <is>
          <t>RICARDO ARNULFO ALCARAZ ORTEGA</t>
        </is>
      </c>
      <c r="I351" t="n">
        <v>8302</v>
      </c>
      <c r="J351" t="inlineStr">
        <is>
          <t>GERENTE DE CUMPLIMIENTO REGULATORIO</t>
        </is>
      </c>
      <c r="K351" t="n">
        <v>1</v>
      </c>
      <c r="L351" t="inlineStr">
        <is>
          <t>PRESIDENCIA EJECUTIVA DEL CONSEJO</t>
        </is>
      </c>
      <c r="M351" t="n">
        <v>40</v>
      </c>
      <c r="N351" t="inlineStr">
        <is>
          <t>DIRECCION GENERAL BANCO BASE</t>
        </is>
      </c>
      <c r="O351" t="n">
        <v>440</v>
      </c>
      <c r="P351" t="inlineStr">
        <is>
          <t>DIRECCION DE CONTRALORIA Y PREVENCION</t>
        </is>
      </c>
      <c r="Q351" t="n">
        <v>4931</v>
      </c>
      <c r="R351" t="inlineStr">
        <is>
          <t>CUMPLIMIENTO NORMATIVO</t>
        </is>
      </c>
      <c r="S351" t="n">
        <v>49310</v>
      </c>
      <c r="T351" t="inlineStr">
        <is>
          <t>CUMPLIMIENTO NORMATIVO</t>
        </is>
      </c>
      <c r="U351" t="n">
        <v>493100</v>
      </c>
      <c r="V351" t="inlineStr">
        <is>
          <t>CUMPLIMIENTO NORMATIVO</t>
        </is>
      </c>
      <c r="W351" t="n">
        <v>100101</v>
      </c>
      <c r="X351" t="inlineStr">
        <is>
          <t>CORPORATIVO</t>
        </is>
      </c>
      <c r="Y351" t="n">
        <v>4</v>
      </c>
      <c r="Z351" t="inlineStr">
        <is>
          <t>CORPORATIVO</t>
        </is>
      </c>
      <c r="AA351" t="n">
        <v>1</v>
      </c>
      <c r="AB351" t="inlineStr">
        <is>
          <t>NEGOCIO EN MARCHA</t>
        </is>
      </c>
      <c r="AC351" t="n">
        <v>1</v>
      </c>
      <c r="AD351" t="inlineStr">
        <is>
          <t>BANCO</t>
        </is>
      </c>
      <c r="AE351" t="n">
        <v>1</v>
      </c>
      <c r="AF351" t="inlineStr">
        <is>
          <t>BACK</t>
        </is>
      </c>
      <c r="AG351" t="n">
        <v>100101</v>
      </c>
      <c r="AH351" t="inlineStr">
        <is>
          <t>CORPORATIVO</t>
        </is>
      </c>
      <c r="AI351" t="inlineStr">
        <is>
          <t>JMORALESJ@BANCOBASE.COM</t>
        </is>
      </c>
      <c r="AJ351" s="151" t="n">
        <v>44105</v>
      </c>
      <c r="AK351" s="151" t="n"/>
      <c r="AL351" s="151" t="n"/>
    </row>
    <row r="352" hidden="1" s="150">
      <c r="A352" t="inlineStr">
        <is>
          <t>MLOZANOG</t>
        </is>
      </c>
      <c r="B352" t="n">
        <v>3349</v>
      </c>
      <c r="C352" t="inlineStr">
        <is>
          <t>MYRANDA LOZANO GONZALEZ</t>
        </is>
      </c>
      <c r="D352" t="n">
        <v>8096</v>
      </c>
      <c r="E352" t="inlineStr">
        <is>
          <t>ANALISTA DE CUMPLIMIENTO REGULATORIO</t>
        </is>
      </c>
      <c r="F352" t="inlineStr">
        <is>
          <t>MONTERREY</t>
        </is>
      </c>
      <c r="G352" t="n">
        <v>3494</v>
      </c>
      <c r="H352" t="inlineStr">
        <is>
          <t>RICARDO ARNULFO ALCARAZ ORTEGA</t>
        </is>
      </c>
      <c r="I352" t="n">
        <v>8302</v>
      </c>
      <c r="J352" t="inlineStr">
        <is>
          <t>GERENTE DE CUMPLIMIENTO REGULATORIO</t>
        </is>
      </c>
      <c r="K352" t="n">
        <v>1</v>
      </c>
      <c r="L352" t="inlineStr">
        <is>
          <t>PRESIDENCIA EJECUTIVA DEL CONSEJO</t>
        </is>
      </c>
      <c r="M352" t="n">
        <v>40</v>
      </c>
      <c r="N352" t="inlineStr">
        <is>
          <t>DIRECCION GENERAL BANCO BASE</t>
        </is>
      </c>
      <c r="O352" t="n">
        <v>440</v>
      </c>
      <c r="P352" t="inlineStr">
        <is>
          <t>DIRECCION DE CONTRALORIA Y PREVENCION</t>
        </is>
      </c>
      <c r="Q352" t="n">
        <v>4931</v>
      </c>
      <c r="R352" t="inlineStr">
        <is>
          <t>CUMPLIMIENTO NORMATIVO</t>
        </is>
      </c>
      <c r="S352" t="n">
        <v>49310</v>
      </c>
      <c r="T352" t="inlineStr">
        <is>
          <t>CUMPLIMIENTO NORMATIVO</t>
        </is>
      </c>
      <c r="U352" t="n">
        <v>493100</v>
      </c>
      <c r="V352" t="inlineStr">
        <is>
          <t>CUMPLIMIENTO NORMATIVO</t>
        </is>
      </c>
      <c r="W352" t="n">
        <v>100101</v>
      </c>
      <c r="X352" t="inlineStr">
        <is>
          <t>CORPORATIVO</t>
        </is>
      </c>
      <c r="Y352" t="n">
        <v>4</v>
      </c>
      <c r="Z352" t="inlineStr">
        <is>
          <t>CORPORATIVO</t>
        </is>
      </c>
      <c r="AA352" t="n">
        <v>1</v>
      </c>
      <c r="AB352" t="inlineStr">
        <is>
          <t>NEGOCIO EN MARCHA</t>
        </is>
      </c>
      <c r="AC352" t="n">
        <v>1</v>
      </c>
      <c r="AD352" t="inlineStr">
        <is>
          <t>BANCO</t>
        </is>
      </c>
      <c r="AE352" t="n">
        <v>1</v>
      </c>
      <c r="AF352" t="inlineStr">
        <is>
          <t>BACK</t>
        </is>
      </c>
      <c r="AG352" t="n">
        <v>100101</v>
      </c>
      <c r="AH352" t="inlineStr">
        <is>
          <t>CORPORATIVO</t>
        </is>
      </c>
      <c r="AI352" t="inlineStr">
        <is>
          <t>MLOZANOG@BANCOBASE.COM</t>
        </is>
      </c>
      <c r="AJ352" s="151" t="n">
        <v>45719</v>
      </c>
      <c r="AK352" s="151" t="n"/>
      <c r="AL352" s="151" t="n"/>
    </row>
    <row r="353" hidden="1" s="150">
      <c r="A353" t="inlineStr">
        <is>
          <t>MHERNANDMA</t>
        </is>
      </c>
      <c r="B353" t="n">
        <v>3920</v>
      </c>
      <c r="C353" t="inlineStr">
        <is>
          <t>MILTON MANUEL HERNANDEZ MARTINEZ</t>
        </is>
      </c>
      <c r="D353" t="n">
        <v>8122</v>
      </c>
      <c r="E353" t="inlineStr">
        <is>
          <t>ANALISTA DE SUPERVISION REGULATORIA</t>
        </is>
      </c>
      <c r="F353" t="inlineStr">
        <is>
          <t>MONTERREY</t>
        </is>
      </c>
      <c r="G353" t="n">
        <v>3494</v>
      </c>
      <c r="H353" t="inlineStr">
        <is>
          <t>RICARDO ARNULFO ALCARAZ ORTEGA</t>
        </is>
      </c>
      <c r="I353" t="n">
        <v>8302</v>
      </c>
      <c r="J353" t="inlineStr">
        <is>
          <t>GERENTE DE CUMPLIMIENTO REGULATORIO</t>
        </is>
      </c>
      <c r="K353" t="n">
        <v>1</v>
      </c>
      <c r="L353" t="inlineStr">
        <is>
          <t>PRESIDENCIA EJECUTIVA DEL CONSEJO</t>
        </is>
      </c>
      <c r="M353" t="n">
        <v>40</v>
      </c>
      <c r="N353" t="inlineStr">
        <is>
          <t>DIRECCION GENERAL BANCO BASE</t>
        </is>
      </c>
      <c r="O353" t="n">
        <v>440</v>
      </c>
      <c r="P353" t="inlineStr">
        <is>
          <t>DIRECCION DE CONTRALORIA Y PREVENCION</t>
        </is>
      </c>
      <c r="Q353" t="n">
        <v>4931</v>
      </c>
      <c r="R353" t="inlineStr">
        <is>
          <t>CUMPLIMIENTO NORMATIVO</t>
        </is>
      </c>
      <c r="S353" t="n">
        <v>49310</v>
      </c>
      <c r="T353" t="inlineStr">
        <is>
          <t>CUMPLIMIENTO NORMATIVO</t>
        </is>
      </c>
      <c r="U353" t="n">
        <v>493100</v>
      </c>
      <c r="V353" t="inlineStr">
        <is>
          <t>CUMPLIMIENTO NORMATIVO</t>
        </is>
      </c>
      <c r="W353" t="n">
        <v>100101</v>
      </c>
      <c r="X353" t="inlineStr">
        <is>
          <t>CORPORATIVO</t>
        </is>
      </c>
      <c r="Y353" t="n">
        <v>4</v>
      </c>
      <c r="Z353" t="inlineStr">
        <is>
          <t>CORPORATIVO</t>
        </is>
      </c>
      <c r="AA353" t="n">
        <v>1</v>
      </c>
      <c r="AB353" t="inlineStr">
        <is>
          <t>NEGOCIO EN MARCHA</t>
        </is>
      </c>
      <c r="AC353" t="n">
        <v>1</v>
      </c>
      <c r="AD353" t="inlineStr">
        <is>
          <t>BANCO</t>
        </is>
      </c>
      <c r="AE353" t="n">
        <v>1</v>
      </c>
      <c r="AF353" t="inlineStr">
        <is>
          <t>BACK</t>
        </is>
      </c>
      <c r="AG353" t="n">
        <v>100101</v>
      </c>
      <c r="AH353" t="inlineStr">
        <is>
          <t>CORPORATIVO</t>
        </is>
      </c>
      <c r="AI353" t="inlineStr">
        <is>
          <t>MHERNANDMA@BANCOBASE.COM</t>
        </is>
      </c>
      <c r="AJ353" s="151" t="n">
        <v>46204</v>
      </c>
      <c r="AK353" s="151" t="n"/>
      <c r="AL353" s="151" t="n"/>
    </row>
    <row r="354" hidden="1" s="150">
      <c r="A354" t="inlineStr">
        <is>
          <t>AMEDRANO</t>
        </is>
      </c>
      <c r="B354" t="n">
        <v>1320</v>
      </c>
      <c r="C354" t="inlineStr">
        <is>
          <t>ANA VICTORIA MEDRANO LECHUGA</t>
        </is>
      </c>
      <c r="D354" t="n">
        <v>8379</v>
      </c>
      <c r="E354" t="inlineStr">
        <is>
          <t>COORDINADOR DE CUMPLIMIENTO MEDIOS DE PAGO</t>
        </is>
      </c>
      <c r="F354" t="inlineStr">
        <is>
          <t>MONTERREY</t>
        </is>
      </c>
      <c r="G354" t="n">
        <v>780</v>
      </c>
      <c r="H354" t="inlineStr">
        <is>
          <t>ALEJANDRO RUIZ REYES</t>
        </is>
      </c>
      <c r="I354" t="n">
        <v>55</v>
      </c>
      <c r="J354" t="inlineStr">
        <is>
          <t>SUBDIRECTOR DE CUMPLIMIENTO NORMATIVO</t>
        </is>
      </c>
      <c r="K354" t="n">
        <v>1</v>
      </c>
      <c r="L354" t="inlineStr">
        <is>
          <t>PRESIDENCIA EJECUTIVA DEL CONSEJO</t>
        </is>
      </c>
      <c r="M354" t="n">
        <v>40</v>
      </c>
      <c r="N354" t="inlineStr">
        <is>
          <t>DIRECCION GENERAL BANCO BASE</t>
        </is>
      </c>
      <c r="O354" t="n">
        <v>440</v>
      </c>
      <c r="P354" t="inlineStr">
        <is>
          <t>DIRECCION DE CONTRALORIA Y PREVENCION</t>
        </is>
      </c>
      <c r="Q354" t="n">
        <v>4931</v>
      </c>
      <c r="R354" t="inlineStr">
        <is>
          <t>CUMPLIMIENTO NORMATIVO</t>
        </is>
      </c>
      <c r="S354" t="n">
        <v>49310</v>
      </c>
      <c r="T354" t="inlineStr">
        <is>
          <t>CUMPLIMIENTO NORMATIVO</t>
        </is>
      </c>
      <c r="U354" t="n">
        <v>493100</v>
      </c>
      <c r="V354" t="inlineStr">
        <is>
          <t>CUMPLIMIENTO NORMATIVO</t>
        </is>
      </c>
      <c r="W354" t="n">
        <v>100101</v>
      </c>
      <c r="X354" t="inlineStr">
        <is>
          <t>CORPORATIVO</t>
        </is>
      </c>
      <c r="Y354" t="n">
        <v>4</v>
      </c>
      <c r="Z354" t="inlineStr">
        <is>
          <t>CORPORATIVO</t>
        </is>
      </c>
      <c r="AA354" t="n">
        <v>1</v>
      </c>
      <c r="AB354" t="inlineStr">
        <is>
          <t>NEGOCIO EN MARCHA</t>
        </is>
      </c>
      <c r="AC354" t="n">
        <v>1</v>
      </c>
      <c r="AD354" t="inlineStr">
        <is>
          <t>BANCO</t>
        </is>
      </c>
      <c r="AE354" t="n">
        <v>1</v>
      </c>
      <c r="AF354" t="inlineStr">
        <is>
          <t>BACK</t>
        </is>
      </c>
      <c r="AG354" t="n">
        <v>100101</v>
      </c>
      <c r="AH354" t="inlineStr">
        <is>
          <t>CORPORATIVO</t>
        </is>
      </c>
      <c r="AI354" t="inlineStr">
        <is>
          <t>AMEDRANO@BANCOBASE.COM</t>
        </is>
      </c>
      <c r="AJ354" s="151" t="n">
        <v>42178</v>
      </c>
      <c r="AK354" s="151" t="n"/>
      <c r="AL354" s="151" t="n"/>
    </row>
    <row r="355" hidden="1" s="150">
      <c r="A355" t="inlineStr">
        <is>
          <t>PHERNANDEZ</t>
        </is>
      </c>
      <c r="B355" t="n">
        <v>2863</v>
      </c>
      <c r="C355" t="inlineStr">
        <is>
          <t>PRISCILA HERNANDEZ RAMIREZ</t>
        </is>
      </c>
      <c r="D355" t="n">
        <v>8698</v>
      </c>
      <c r="E355" t="inlineStr">
        <is>
          <t>ANALISTA DE MEDIOS DE PAGO</t>
        </is>
      </c>
      <c r="F355" t="inlineStr">
        <is>
          <t>MONTERREY</t>
        </is>
      </c>
      <c r="G355" t="n">
        <v>1320</v>
      </c>
      <c r="H355" t="inlineStr">
        <is>
          <t>ANA VICTORIA MEDRANO LECHUGA</t>
        </is>
      </c>
      <c r="I355" t="n">
        <v>8379</v>
      </c>
      <c r="J355" t="inlineStr">
        <is>
          <t>COORDINADOR DE CUMPLIMIENTO MEDIOS DE PAGO</t>
        </is>
      </c>
      <c r="K355" t="n">
        <v>1</v>
      </c>
      <c r="L355" t="inlineStr">
        <is>
          <t>PRESIDENCIA EJECUTIVA DEL CONSEJO</t>
        </is>
      </c>
      <c r="M355" t="n">
        <v>40</v>
      </c>
      <c r="N355" t="inlineStr">
        <is>
          <t>DIRECCION GENERAL BANCO BASE</t>
        </is>
      </c>
      <c r="O355" t="n">
        <v>440</v>
      </c>
      <c r="P355" t="inlineStr">
        <is>
          <t>DIRECCION DE CONTRALORIA Y PREVENCION</t>
        </is>
      </c>
      <c r="Q355" t="n">
        <v>4931</v>
      </c>
      <c r="R355" t="inlineStr">
        <is>
          <t>CUMPLIMIENTO NORMATIVO</t>
        </is>
      </c>
      <c r="S355" t="n">
        <v>49310</v>
      </c>
      <c r="T355" t="inlineStr">
        <is>
          <t>CUMPLIMIENTO NORMATIVO</t>
        </is>
      </c>
      <c r="U355" t="n">
        <v>493100</v>
      </c>
      <c r="V355" t="inlineStr">
        <is>
          <t>CUMPLIMIENTO NORMATIVO</t>
        </is>
      </c>
      <c r="W355" t="n">
        <v>100101</v>
      </c>
      <c r="X355" t="inlineStr">
        <is>
          <t>CORPORATIVO</t>
        </is>
      </c>
      <c r="Y355" t="n">
        <v>4</v>
      </c>
      <c r="Z355" t="inlineStr">
        <is>
          <t>CORPORATIVO</t>
        </is>
      </c>
      <c r="AA355" t="n">
        <v>6</v>
      </c>
      <c r="AB355" t="inlineStr">
        <is>
          <t>PROYECTO REGULATORIOS</t>
        </is>
      </c>
      <c r="AC355" t="n">
        <v>1</v>
      </c>
      <c r="AD355" t="inlineStr">
        <is>
          <t>BANCO</t>
        </is>
      </c>
      <c r="AE355" t="n">
        <v>1</v>
      </c>
      <c r="AF355" t="inlineStr">
        <is>
          <t>BACK</t>
        </is>
      </c>
      <c r="AG355" t="n">
        <v>100101</v>
      </c>
      <c r="AH355" t="inlineStr">
        <is>
          <t>CORPORATIVO</t>
        </is>
      </c>
      <c r="AI355" t="inlineStr">
        <is>
          <t>PHERNANDEZ@BANCOBASE.COM</t>
        </is>
      </c>
      <c r="AJ355" s="151" t="n">
        <v>45001</v>
      </c>
      <c r="AK355" s="151" t="n"/>
      <c r="AL355" s="151" t="n"/>
    </row>
    <row r="356" hidden="1" s="150">
      <c r="A356" t="inlineStr">
        <is>
          <t>DFLORESRA</t>
        </is>
      </c>
      <c r="B356" t="n">
        <v>2629</v>
      </c>
      <c r="C356" t="inlineStr">
        <is>
          <t>DANIELA SARAI FLORES RAMIREZ</t>
        </is>
      </c>
      <c r="D356" t="n">
        <v>9417</v>
      </c>
      <c r="E356" t="inlineStr">
        <is>
          <t>COORDINADOR DE ATENCION DE AUTORIDADES</t>
        </is>
      </c>
      <c r="F356" t="inlineStr">
        <is>
          <t>MONTERREY</t>
        </is>
      </c>
      <c r="G356" t="n">
        <v>780</v>
      </c>
      <c r="H356" t="inlineStr">
        <is>
          <t>ALEJANDRO RUIZ REYES</t>
        </is>
      </c>
      <c r="I356" t="n">
        <v>55</v>
      </c>
      <c r="J356" t="inlineStr">
        <is>
          <t>SUBDIRECTOR DE CUMPLIMIENTO NORMATIVO</t>
        </is>
      </c>
      <c r="K356" t="n">
        <v>1</v>
      </c>
      <c r="L356" t="inlineStr">
        <is>
          <t>PRESIDENCIA EJECUTIVA DEL CONSEJO</t>
        </is>
      </c>
      <c r="M356" t="n">
        <v>40</v>
      </c>
      <c r="N356" t="inlineStr">
        <is>
          <t>DIRECCION GENERAL BANCO BASE</t>
        </is>
      </c>
      <c r="O356" t="n">
        <v>440</v>
      </c>
      <c r="P356" t="inlineStr">
        <is>
          <t>DIRECCION DE CONTRALORIA Y PREVENCION</t>
        </is>
      </c>
      <c r="Q356" t="n">
        <v>4931</v>
      </c>
      <c r="R356" t="inlineStr">
        <is>
          <t>CUMPLIMIENTO NORMATIVO</t>
        </is>
      </c>
      <c r="S356" t="n">
        <v>49310</v>
      </c>
      <c r="T356" t="inlineStr">
        <is>
          <t>CUMPLIMIENTO NORMATIVO</t>
        </is>
      </c>
      <c r="U356" t="n">
        <v>493100</v>
      </c>
      <c r="V356" t="inlineStr">
        <is>
          <t>CUMPLIMIENTO NORMATIVO</t>
        </is>
      </c>
      <c r="W356" t="n">
        <v>100101</v>
      </c>
      <c r="X356" t="inlineStr">
        <is>
          <t>CORPORATIVO</t>
        </is>
      </c>
      <c r="Y356" t="n">
        <v>4</v>
      </c>
      <c r="Z356" t="inlineStr">
        <is>
          <t>CORPORATIVO</t>
        </is>
      </c>
      <c r="AA356" t="n">
        <v>1</v>
      </c>
      <c r="AB356" t="inlineStr">
        <is>
          <t>NEGOCIO EN MARCHA</t>
        </is>
      </c>
      <c r="AC356" t="n">
        <v>1</v>
      </c>
      <c r="AD356" t="inlineStr">
        <is>
          <t>BANCO</t>
        </is>
      </c>
      <c r="AE356" t="n">
        <v>1</v>
      </c>
      <c r="AF356" t="inlineStr">
        <is>
          <t>BACK</t>
        </is>
      </c>
      <c r="AG356" t="n">
        <v>100101</v>
      </c>
      <c r="AH356" t="inlineStr">
        <is>
          <t>CORPORATIVO</t>
        </is>
      </c>
      <c r="AI356" t="inlineStr">
        <is>
          <t>DFLORESRA@BANCOBASE.COM</t>
        </is>
      </c>
      <c r="AJ356" s="151" t="n">
        <v>44636</v>
      </c>
      <c r="AK356" s="151" t="n"/>
      <c r="AL356" s="151" t="n"/>
    </row>
    <row r="357" hidden="1" s="150">
      <c r="A357" t="inlineStr">
        <is>
          <t>LFERNANDEZ</t>
        </is>
      </c>
      <c r="B357" t="n">
        <v>3103</v>
      </c>
      <c r="C357" t="inlineStr">
        <is>
          <t>LUZ ELENA FERNANDEZ GUERRA</t>
        </is>
      </c>
      <c r="D357" t="n">
        <v>3598</v>
      </c>
      <c r="E357" t="inlineStr">
        <is>
          <t>ANALISTA DE ATENCION DE AUTORIDADES</t>
        </is>
      </c>
      <c r="F357" t="inlineStr">
        <is>
          <t>MONTERREY</t>
        </is>
      </c>
      <c r="G357" t="n">
        <v>2629</v>
      </c>
      <c r="H357" t="inlineStr">
        <is>
          <t>DANIELA SARAI FLORES RAMIREZ</t>
        </is>
      </c>
      <c r="I357" t="n">
        <v>9417</v>
      </c>
      <c r="J357" t="inlineStr">
        <is>
          <t>COORDINADOR DE ATENCION DE AUTORIDADES</t>
        </is>
      </c>
      <c r="K357" t="n">
        <v>1</v>
      </c>
      <c r="L357" t="inlineStr">
        <is>
          <t>PRESIDENCIA EJECUTIVA DEL CONSEJO</t>
        </is>
      </c>
      <c r="M357" t="n">
        <v>40</v>
      </c>
      <c r="N357" t="inlineStr">
        <is>
          <t>DIRECCION GENERAL BANCO BASE</t>
        </is>
      </c>
      <c r="O357" t="n">
        <v>440</v>
      </c>
      <c r="P357" t="inlineStr">
        <is>
          <t>DIRECCION DE CONTRALORIA Y PREVENCION</t>
        </is>
      </c>
      <c r="Q357" t="n">
        <v>4931</v>
      </c>
      <c r="R357" t="inlineStr">
        <is>
          <t>CUMPLIMIENTO NORMATIVO</t>
        </is>
      </c>
      <c r="S357" t="n">
        <v>49310</v>
      </c>
      <c r="T357" t="inlineStr">
        <is>
          <t>CUMPLIMIENTO NORMATIVO</t>
        </is>
      </c>
      <c r="U357" t="n">
        <v>493100</v>
      </c>
      <c r="V357" t="inlineStr">
        <is>
          <t>CUMPLIMIENTO NORMATIVO</t>
        </is>
      </c>
      <c r="W357" t="n">
        <v>100101</v>
      </c>
      <c r="X357" t="inlineStr">
        <is>
          <t>CORPORATIVO</t>
        </is>
      </c>
      <c r="Y357" t="n">
        <v>4</v>
      </c>
      <c r="Z357" t="inlineStr">
        <is>
          <t>CORPORATIVO</t>
        </is>
      </c>
      <c r="AA357" t="n">
        <v>1</v>
      </c>
      <c r="AB357" t="inlineStr">
        <is>
          <t>NEGOCIO EN MARCHA</t>
        </is>
      </c>
      <c r="AC357" t="n">
        <v>1</v>
      </c>
      <c r="AD357" t="inlineStr">
        <is>
          <t>BANCO</t>
        </is>
      </c>
      <c r="AE357" t="n">
        <v>1</v>
      </c>
      <c r="AF357" t="inlineStr">
        <is>
          <t>BACK</t>
        </is>
      </c>
      <c r="AG357" t="n">
        <v>100101</v>
      </c>
      <c r="AH357" t="inlineStr">
        <is>
          <t>CORPORATIVO</t>
        </is>
      </c>
      <c r="AI357" t="inlineStr">
        <is>
          <t>LFERNANDEZ@BANCOBASE.COM</t>
        </is>
      </c>
      <c r="AJ357" s="151" t="n">
        <v>45414</v>
      </c>
      <c r="AK357" s="151" t="n"/>
      <c r="AL357" s="151" t="n"/>
    </row>
    <row r="358" hidden="1" s="150">
      <c r="A358" t="inlineStr">
        <is>
          <t>IDELREAL</t>
        </is>
      </c>
      <c r="B358" t="n">
        <v>2552</v>
      </c>
      <c r="C358" t="inlineStr">
        <is>
          <t>IRENE SARAHI DEL REAL VARGAS</t>
        </is>
      </c>
      <c r="D358" t="n">
        <v>5117</v>
      </c>
      <c r="E358" t="inlineStr">
        <is>
          <t>ESPECIALISTA DE REPORTERIA REGULATORIA</t>
        </is>
      </c>
      <c r="F358" t="inlineStr">
        <is>
          <t>MONTERREY</t>
        </is>
      </c>
      <c r="I358" t="n">
        <v>5112</v>
      </c>
      <c r="J358" t="inlineStr">
        <is>
          <t>GERENTE DE BACK REGULATORIO</t>
        </is>
      </c>
      <c r="K358" t="n">
        <v>1</v>
      </c>
      <c r="L358" t="inlineStr">
        <is>
          <t>PRESIDENCIA EJECUTIVA DEL CONSEJO</t>
        </is>
      </c>
      <c r="M358" t="n">
        <v>40</v>
      </c>
      <c r="N358" t="inlineStr">
        <is>
          <t>DIRECCION GENERAL BANCO BASE</t>
        </is>
      </c>
      <c r="O358" t="n">
        <v>440</v>
      </c>
      <c r="P358" t="inlineStr">
        <is>
          <t>DIRECCION DE CONTRALORIA Y PREVENCION</t>
        </is>
      </c>
      <c r="Q358" t="n">
        <v>4931</v>
      </c>
      <c r="R358" t="inlineStr">
        <is>
          <t>CUMPLIMIENTO NORMATIVO</t>
        </is>
      </c>
      <c r="S358" t="n">
        <v>49310</v>
      </c>
      <c r="T358" t="inlineStr">
        <is>
          <t>CUMPLIMIENTO NORMATIVO</t>
        </is>
      </c>
      <c r="U358" t="n">
        <v>493100</v>
      </c>
      <c r="V358" t="inlineStr">
        <is>
          <t>CUMPLIMIENTO NORMATIVO</t>
        </is>
      </c>
      <c r="W358" t="n">
        <v>100101</v>
      </c>
      <c r="X358" t="inlineStr">
        <is>
          <t>CORPORATIVO</t>
        </is>
      </c>
      <c r="Y358" t="n">
        <v>4</v>
      </c>
      <c r="Z358" t="inlineStr">
        <is>
          <t>CORPORATIVO</t>
        </is>
      </c>
      <c r="AA358" t="n">
        <v>1</v>
      </c>
      <c r="AB358" t="inlineStr">
        <is>
          <t>NEGOCIO EN MARCHA</t>
        </is>
      </c>
      <c r="AC358" t="n">
        <v>1</v>
      </c>
      <c r="AD358" t="inlineStr">
        <is>
          <t>BANCO</t>
        </is>
      </c>
      <c r="AE358" t="n">
        <v>1</v>
      </c>
      <c r="AF358" t="inlineStr">
        <is>
          <t>BACK</t>
        </is>
      </c>
      <c r="AG358" t="n">
        <v>100101</v>
      </c>
      <c r="AH358" t="inlineStr">
        <is>
          <t>CORPORATIVO</t>
        </is>
      </c>
      <c r="AI358" t="inlineStr">
        <is>
          <t>IDELREAL@BANCOBASE.COM</t>
        </is>
      </c>
      <c r="AJ358" s="151" t="n">
        <v>44470</v>
      </c>
      <c r="AK358" s="151" t="n"/>
      <c r="AL358" s="151" t="n"/>
    </row>
    <row r="359" hidden="1" s="150">
      <c r="A359" t="inlineStr">
        <is>
          <t>MRODRIGUMA</t>
        </is>
      </c>
      <c r="B359" t="n">
        <v>3148</v>
      </c>
      <c r="C359" t="inlineStr">
        <is>
          <t>MARIO ALBERTO RODRIGUEZ MARTINEZ</t>
        </is>
      </c>
      <c r="D359" t="n">
        <v>8366</v>
      </c>
      <c r="E359" t="inlineStr">
        <is>
          <t>ESPECIALISTA DE REPORTERIA REGULATORIA</t>
        </is>
      </c>
      <c r="F359" t="inlineStr">
        <is>
          <t>MONTERREY</t>
        </is>
      </c>
      <c r="I359" t="n">
        <v>5112</v>
      </c>
      <c r="J359" t="inlineStr">
        <is>
          <t>GERENTE DE BACK REGULATORIO</t>
        </is>
      </c>
      <c r="K359" t="n">
        <v>1</v>
      </c>
      <c r="L359" t="inlineStr">
        <is>
          <t>PRESIDENCIA EJECUTIVA DEL CONSEJO</t>
        </is>
      </c>
      <c r="M359" t="n">
        <v>40</v>
      </c>
      <c r="N359" t="inlineStr">
        <is>
          <t>DIRECCION GENERAL BANCO BASE</t>
        </is>
      </c>
      <c r="O359" t="n">
        <v>440</v>
      </c>
      <c r="P359" t="inlineStr">
        <is>
          <t>DIRECCION DE CONTRALORIA Y PREVENCION</t>
        </is>
      </c>
      <c r="Q359" t="n">
        <v>4931</v>
      </c>
      <c r="R359" t="inlineStr">
        <is>
          <t>CUMPLIMIENTO NORMATIVO</t>
        </is>
      </c>
      <c r="S359" t="n">
        <v>49310</v>
      </c>
      <c r="T359" t="inlineStr">
        <is>
          <t>CUMPLIMIENTO NORMATIVO</t>
        </is>
      </c>
      <c r="U359" t="n">
        <v>493100</v>
      </c>
      <c r="V359" t="inlineStr">
        <is>
          <t>CUMPLIMIENTO NORMATIVO</t>
        </is>
      </c>
      <c r="W359" t="n">
        <v>100101</v>
      </c>
      <c r="X359" t="inlineStr">
        <is>
          <t>CORPORATIVO</t>
        </is>
      </c>
      <c r="Y359" t="n">
        <v>4</v>
      </c>
      <c r="Z359" t="inlineStr">
        <is>
          <t>CORPORATIVO</t>
        </is>
      </c>
      <c r="AA359" t="n">
        <v>1</v>
      </c>
      <c r="AB359" t="inlineStr">
        <is>
          <t>NEGOCIO EN MARCHA</t>
        </is>
      </c>
      <c r="AC359" t="n">
        <v>1</v>
      </c>
      <c r="AD359" t="inlineStr">
        <is>
          <t>BANCO</t>
        </is>
      </c>
      <c r="AE359" t="n">
        <v>1</v>
      </c>
      <c r="AF359" t="inlineStr">
        <is>
          <t>BACK</t>
        </is>
      </c>
      <c r="AG359" t="n">
        <v>100101</v>
      </c>
      <c r="AH359" t="inlineStr">
        <is>
          <t>CORPORATIVO</t>
        </is>
      </c>
      <c r="AI359" t="inlineStr">
        <is>
          <t>MRODRIGUMA@BANCOBASE.COM</t>
        </is>
      </c>
      <c r="AJ359" s="151" t="n">
        <v>45474</v>
      </c>
      <c r="AK359" s="151" t="n"/>
      <c r="AL359" s="151" t="n"/>
    </row>
    <row r="360" hidden="1" s="150">
      <c r="A360" t="inlineStr">
        <is>
          <t>AMARTINLO</t>
        </is>
      </c>
      <c r="B360" t="n">
        <v>2862</v>
      </c>
      <c r="C360" t="inlineStr">
        <is>
          <t>ANLLI MELANY MARTINEZ LOPEZ</t>
        </is>
      </c>
      <c r="D360" t="n">
        <v>8917</v>
      </c>
      <c r="E360" t="inlineStr">
        <is>
          <t>ANALISTA DE REPORTERIA REGULATORIA</t>
        </is>
      </c>
      <c r="F360" t="inlineStr">
        <is>
          <t>MONTERREY</t>
        </is>
      </c>
      <c r="I360" t="n">
        <v>5112</v>
      </c>
      <c r="J360" t="inlineStr">
        <is>
          <t>GERENTE DE BACK REGULATORIO</t>
        </is>
      </c>
      <c r="K360" t="n">
        <v>1</v>
      </c>
      <c r="L360" t="inlineStr">
        <is>
          <t>PRESIDENCIA EJECUTIVA DEL CONSEJO</t>
        </is>
      </c>
      <c r="M360" t="n">
        <v>40</v>
      </c>
      <c r="N360" t="inlineStr">
        <is>
          <t>DIRECCION GENERAL BANCO BASE</t>
        </is>
      </c>
      <c r="O360" t="n">
        <v>440</v>
      </c>
      <c r="P360" t="inlineStr">
        <is>
          <t>DIRECCION DE CONTRALORIA Y PREVENCION</t>
        </is>
      </c>
      <c r="Q360" t="n">
        <v>4931</v>
      </c>
      <c r="R360" t="inlineStr">
        <is>
          <t>CUMPLIMIENTO NORMATIVO</t>
        </is>
      </c>
      <c r="S360" t="n">
        <v>49310</v>
      </c>
      <c r="T360" t="inlineStr">
        <is>
          <t>CUMPLIMIENTO NORMATIVO</t>
        </is>
      </c>
      <c r="U360" t="n">
        <v>493100</v>
      </c>
      <c r="V360" t="inlineStr">
        <is>
          <t>CUMPLIMIENTO NORMATIVO</t>
        </is>
      </c>
      <c r="W360" t="n">
        <v>100101</v>
      </c>
      <c r="X360" t="inlineStr">
        <is>
          <t>CORPORATIVO</t>
        </is>
      </c>
      <c r="Y360" t="n">
        <v>4</v>
      </c>
      <c r="Z360" t="inlineStr">
        <is>
          <t>CORPORATIVO</t>
        </is>
      </c>
      <c r="AA360" t="n">
        <v>1</v>
      </c>
      <c r="AB360" t="inlineStr">
        <is>
          <t>NEGOCIO EN MARCHA</t>
        </is>
      </c>
      <c r="AC360" t="n">
        <v>1</v>
      </c>
      <c r="AD360" t="inlineStr">
        <is>
          <t>BANCO</t>
        </is>
      </c>
      <c r="AE360" t="n">
        <v>1</v>
      </c>
      <c r="AF360" t="inlineStr">
        <is>
          <t>BACK</t>
        </is>
      </c>
      <c r="AG360" t="n">
        <v>100101</v>
      </c>
      <c r="AH360" t="inlineStr">
        <is>
          <t>CORPORATIVO</t>
        </is>
      </c>
      <c r="AI360" t="inlineStr">
        <is>
          <t>AMARTINLO@BANCOBASE.COM</t>
        </is>
      </c>
      <c r="AJ360" s="151" t="n">
        <v>45001</v>
      </c>
      <c r="AK360" s="151" t="n"/>
      <c r="AL360" s="151" t="n"/>
    </row>
    <row r="361" hidden="1" s="150">
      <c r="A361" t="inlineStr">
        <is>
          <t>OCRUZ</t>
        </is>
      </c>
      <c r="B361" t="n">
        <v>257</v>
      </c>
      <c r="C361" t="inlineStr">
        <is>
          <t>OCTAVIO DE LA CRUZ MARTINEZ</t>
        </is>
      </c>
      <c r="D361" t="n">
        <v>8115</v>
      </c>
      <c r="E361" t="inlineStr">
        <is>
          <t>ANALISTA DE CUMPLIMIENTO DE RESPUESTA A AUTORIDADES</t>
        </is>
      </c>
      <c r="F361" t="inlineStr">
        <is>
          <t>MONTERREY</t>
        </is>
      </c>
      <c r="I361" t="n">
        <v>5112</v>
      </c>
      <c r="J361" t="inlineStr">
        <is>
          <t>GERENTE DE BACK REGULATORIO</t>
        </is>
      </c>
      <c r="K361" t="n">
        <v>1</v>
      </c>
      <c r="L361" t="inlineStr">
        <is>
          <t>PRESIDENCIA EJECUTIVA DEL CONSEJO</t>
        </is>
      </c>
      <c r="M361" t="n">
        <v>40</v>
      </c>
      <c r="N361" t="inlineStr">
        <is>
          <t>DIRECCION GENERAL BANCO BASE</t>
        </is>
      </c>
      <c r="O361" t="n">
        <v>440</v>
      </c>
      <c r="P361" t="inlineStr">
        <is>
          <t>DIRECCION DE CONTRALORIA Y PREVENCION</t>
        </is>
      </c>
      <c r="Q361" t="n">
        <v>4931</v>
      </c>
      <c r="R361" t="inlineStr">
        <is>
          <t>CUMPLIMIENTO NORMATIVO</t>
        </is>
      </c>
      <c r="S361" t="n">
        <v>49310</v>
      </c>
      <c r="T361" t="inlineStr">
        <is>
          <t>CUMPLIMIENTO NORMATIVO</t>
        </is>
      </c>
      <c r="U361" t="n">
        <v>493100</v>
      </c>
      <c r="V361" t="inlineStr">
        <is>
          <t>CUMPLIMIENTO NORMATIVO</t>
        </is>
      </c>
      <c r="W361" t="n">
        <v>100101</v>
      </c>
      <c r="X361" t="inlineStr">
        <is>
          <t>CORPORATIVO</t>
        </is>
      </c>
      <c r="Y361" t="n">
        <v>4</v>
      </c>
      <c r="Z361" t="inlineStr">
        <is>
          <t>CORPORATIVO</t>
        </is>
      </c>
      <c r="AA361" t="n">
        <v>1</v>
      </c>
      <c r="AB361" t="inlineStr">
        <is>
          <t>NEGOCIO EN MARCHA</t>
        </is>
      </c>
      <c r="AC361" t="n">
        <v>1</v>
      </c>
      <c r="AD361" t="inlineStr">
        <is>
          <t>BANCO</t>
        </is>
      </c>
      <c r="AE361" t="n">
        <v>1</v>
      </c>
      <c r="AF361" t="inlineStr">
        <is>
          <t>BACK</t>
        </is>
      </c>
      <c r="AG361" t="n">
        <v>100101</v>
      </c>
      <c r="AH361" t="inlineStr">
        <is>
          <t>CORPORATIVO</t>
        </is>
      </c>
      <c r="AI361" t="inlineStr">
        <is>
          <t>OCRUZ@BANCOBASE.COM</t>
        </is>
      </c>
      <c r="AJ361" s="151" t="n">
        <v>38108</v>
      </c>
      <c r="AK361" s="151" t="n"/>
      <c r="AL361" s="151" t="n"/>
    </row>
    <row r="362" hidden="1" s="150">
      <c r="A362" t="inlineStr">
        <is>
          <t>EGONZALEZM</t>
        </is>
      </c>
      <c r="B362" t="n">
        <v>99544</v>
      </c>
      <c r="C362" t="inlineStr">
        <is>
          <t>ERICKA CECILIA GONZALEZ MARROQUIN</t>
        </is>
      </c>
      <c r="D362" t="n">
        <v>7032</v>
      </c>
      <c r="E362" t="inlineStr">
        <is>
          <t>PRACTICANTE</t>
        </is>
      </c>
      <c r="F362" t="inlineStr">
        <is>
          <t>MONTERREY</t>
        </is>
      </c>
      <c r="I362" t="n">
        <v>5112</v>
      </c>
      <c r="J362" t="inlineStr">
        <is>
          <t>GERENTE DE BACK REGULATORIO</t>
        </is>
      </c>
      <c r="K362" t="n">
        <v>1</v>
      </c>
      <c r="L362" t="inlineStr">
        <is>
          <t>PRESIDENCIA EJECUTIVA DEL CONSEJO</t>
        </is>
      </c>
      <c r="M362" t="n">
        <v>40</v>
      </c>
      <c r="N362" t="inlineStr">
        <is>
          <t>DIRECCION GENERAL BANCO BASE</t>
        </is>
      </c>
      <c r="O362" t="n">
        <v>440</v>
      </c>
      <c r="P362" t="inlineStr">
        <is>
          <t>DIRECCION DE CONTRALORIA Y PREVENCION</t>
        </is>
      </c>
      <c r="Q362" t="n">
        <v>4931</v>
      </c>
      <c r="R362" t="inlineStr">
        <is>
          <t>CUMPLIMIENTO NORMATIVO</t>
        </is>
      </c>
      <c r="S362" t="n">
        <v>49310</v>
      </c>
      <c r="T362" t="inlineStr">
        <is>
          <t>CUMPLIMIENTO NORMATIVO</t>
        </is>
      </c>
      <c r="U362" t="n">
        <v>493100</v>
      </c>
      <c r="V362" t="inlineStr">
        <is>
          <t>CUMPLIMIENTO NORMATIVO</t>
        </is>
      </c>
      <c r="W362" t="n">
        <v>100101</v>
      </c>
      <c r="X362" t="inlineStr">
        <is>
          <t>CORPORATIVO</t>
        </is>
      </c>
      <c r="Y362" t="n">
        <v>4</v>
      </c>
      <c r="Z362" t="inlineStr">
        <is>
          <t>CORPORATIVO</t>
        </is>
      </c>
      <c r="AA362" t="n">
        <v>1</v>
      </c>
      <c r="AB362" t="inlineStr">
        <is>
          <t>NEGOCIO EN MARCHA</t>
        </is>
      </c>
      <c r="AC362" t="n">
        <v>1</v>
      </c>
      <c r="AD362" t="inlineStr">
        <is>
          <t>BANCO</t>
        </is>
      </c>
      <c r="AE362" t="n">
        <v>1</v>
      </c>
      <c r="AF362" t="inlineStr">
        <is>
          <t>BACK</t>
        </is>
      </c>
      <c r="AG362" t="n">
        <v>100101</v>
      </c>
      <c r="AH362" t="inlineStr">
        <is>
          <t>CORPORATIVO</t>
        </is>
      </c>
      <c r="AI362" t="inlineStr">
        <is>
          <t>EGONZALEZM@BANCOBASE.COM</t>
        </is>
      </c>
      <c r="AJ362" s="151" t="n">
        <v>46204</v>
      </c>
      <c r="AK362" s="151" t="n"/>
      <c r="AL362" s="151" t="n"/>
    </row>
    <row r="363" hidden="1" s="150">
      <c r="A363" t="inlineStr">
        <is>
          <t>CRODRIGUEP</t>
        </is>
      </c>
      <c r="B363" t="n">
        <v>2618</v>
      </c>
      <c r="C363" t="inlineStr">
        <is>
          <t>CARLOS FERNANDO RODRIGUEZ DE LA PEÑA</t>
        </is>
      </c>
      <c r="D363" t="n">
        <v>9519</v>
      </c>
      <c r="E363" t="inlineStr">
        <is>
          <t>DIRECTOR DE SEGURIDAD DE LA INFORMACION</t>
        </is>
      </c>
      <c r="F363" t="inlineStr">
        <is>
          <t>MONTERREY</t>
        </is>
      </c>
      <c r="G363" t="n">
        <v>989</v>
      </c>
      <c r="H363" t="inlineStr">
        <is>
          <t>SERGIO CORTES FERNANDEZ</t>
        </is>
      </c>
      <c r="I363" t="n">
        <v>1007</v>
      </c>
      <c r="J363" t="inlineStr">
        <is>
          <t>DIRECTOR DE CONTRALORIA Y PREVENCION</t>
        </is>
      </c>
      <c r="K363" t="n">
        <v>1</v>
      </c>
      <c r="L363" t="inlineStr">
        <is>
          <t>PRESIDENCIA EJECUTIVA DEL CONSEJO</t>
        </is>
      </c>
      <c r="M363" t="n">
        <v>40</v>
      </c>
      <c r="N363" t="inlineStr">
        <is>
          <t>DIRECCION GENERAL BANCO BASE</t>
        </is>
      </c>
      <c r="O363" t="n">
        <v>440</v>
      </c>
      <c r="P363" t="inlineStr">
        <is>
          <t>DIRECCION DE CONTRALORIA Y PREVENCION</t>
        </is>
      </c>
      <c r="Q363" t="n">
        <v>4490</v>
      </c>
      <c r="R363" t="inlineStr">
        <is>
          <t>SEGURIDAD DE LA INFORMACION</t>
        </is>
      </c>
      <c r="S363" t="n">
        <v>44900</v>
      </c>
      <c r="T363" t="inlineStr">
        <is>
          <t>SEGURIDAD DE LA INFORMACION</t>
        </is>
      </c>
      <c r="U363" t="n">
        <v>449000</v>
      </c>
      <c r="V363" t="inlineStr">
        <is>
          <t>SEGURIDAD DE LA INFORMACION</t>
        </is>
      </c>
      <c r="W363" t="n">
        <v>100101</v>
      </c>
      <c r="X363" t="inlineStr">
        <is>
          <t>CORPORATIVO</t>
        </is>
      </c>
      <c r="Y363" t="n">
        <v>4</v>
      </c>
      <c r="Z363" t="inlineStr">
        <is>
          <t>CORPORATIVO</t>
        </is>
      </c>
      <c r="AA363" t="n">
        <v>1</v>
      </c>
      <c r="AB363" t="inlineStr">
        <is>
          <t>NEGOCIO EN MARCHA</t>
        </is>
      </c>
      <c r="AC363" t="n">
        <v>1</v>
      </c>
      <c r="AD363" t="inlineStr">
        <is>
          <t>BANCO</t>
        </is>
      </c>
      <c r="AE363" t="n">
        <v>1</v>
      </c>
      <c r="AF363" t="inlineStr">
        <is>
          <t>BACK</t>
        </is>
      </c>
      <c r="AG363" t="n">
        <v>100101</v>
      </c>
      <c r="AH363" t="inlineStr">
        <is>
          <t>CORPORATIVO</t>
        </is>
      </c>
      <c r="AI363" t="inlineStr">
        <is>
          <t>CRODRIGUEP@BANCOBASE.COM</t>
        </is>
      </c>
      <c r="AJ363" s="151" t="n">
        <v>44614</v>
      </c>
      <c r="AK363" s="151" t="n"/>
      <c r="AL363" s="151" t="n"/>
    </row>
    <row r="364" hidden="1" s="150">
      <c r="A364" t="inlineStr">
        <is>
          <t>JALFARO</t>
        </is>
      </c>
      <c r="B364" t="n">
        <v>2562</v>
      </c>
      <c r="C364" t="inlineStr">
        <is>
          <t>JIMMY DIEGO ARAMIS ALFARO HERNANDEZ</t>
        </is>
      </c>
      <c r="D364" t="n">
        <v>9690</v>
      </c>
      <c r="E364" t="inlineStr">
        <is>
          <t>SUBDIRECTOR GOBIERNO DE SEGURIDAD APLICATIVA E INFRAESTRUCTURA</t>
        </is>
      </c>
      <c r="F364" t="inlineStr">
        <is>
          <t>MONTERREY</t>
        </is>
      </c>
      <c r="G364" t="n">
        <v>2618</v>
      </c>
      <c r="H364" t="inlineStr">
        <is>
          <t>CARLOS FERNANDO RODRIGUEZ DE LA PEÑA</t>
        </is>
      </c>
      <c r="I364" t="n">
        <v>9519</v>
      </c>
      <c r="J364" t="inlineStr">
        <is>
          <t>DIRECTOR DE SEGURIDAD DE LA INFORMACION</t>
        </is>
      </c>
      <c r="K364" t="n">
        <v>1</v>
      </c>
      <c r="L364" t="inlineStr">
        <is>
          <t>PRESIDENCIA EJECUTIVA DEL CONSEJO</t>
        </is>
      </c>
      <c r="M364" t="n">
        <v>40</v>
      </c>
      <c r="N364" t="inlineStr">
        <is>
          <t>DIRECCION GENERAL BANCO BASE</t>
        </is>
      </c>
      <c r="O364" t="n">
        <v>440</v>
      </c>
      <c r="P364" t="inlineStr">
        <is>
          <t>DIRECCION DE CONTRALORIA Y PREVENCION</t>
        </is>
      </c>
      <c r="Q364" t="n">
        <v>4490</v>
      </c>
      <c r="R364" t="inlineStr">
        <is>
          <t>SEGURIDAD DE LA INFORMACION</t>
        </is>
      </c>
      <c r="S364" t="n">
        <v>44900</v>
      </c>
      <c r="T364" t="inlineStr">
        <is>
          <t>SEGURIDAD DE LA INFORMACION</t>
        </is>
      </c>
      <c r="U364" t="n">
        <v>449000</v>
      </c>
      <c r="V364" t="inlineStr">
        <is>
          <t>SEGURIDAD DE LA INFORMACION</t>
        </is>
      </c>
      <c r="W364" t="n">
        <v>100101</v>
      </c>
      <c r="X364" t="inlineStr">
        <is>
          <t>CORPORATIVO</t>
        </is>
      </c>
      <c r="Y364" t="n">
        <v>4</v>
      </c>
      <c r="Z364" t="inlineStr">
        <is>
          <t>CORPORATIVO</t>
        </is>
      </c>
      <c r="AA364" t="n">
        <v>1</v>
      </c>
      <c r="AB364" t="inlineStr">
        <is>
          <t>NEGOCIO EN MARCHA</t>
        </is>
      </c>
      <c r="AC364" t="n">
        <v>1</v>
      </c>
      <c r="AD364" t="inlineStr">
        <is>
          <t>BANCO</t>
        </is>
      </c>
      <c r="AE364" t="n">
        <v>1</v>
      </c>
      <c r="AF364" t="inlineStr">
        <is>
          <t>BACK</t>
        </is>
      </c>
      <c r="AG364" t="n">
        <v>100101</v>
      </c>
      <c r="AH364" t="inlineStr">
        <is>
          <t>CORPORATIVO</t>
        </is>
      </c>
      <c r="AI364" t="inlineStr">
        <is>
          <t>JALFARO@BANCOBASE.COM</t>
        </is>
      </c>
      <c r="AJ364" s="151" t="n">
        <v>44487</v>
      </c>
      <c r="AK364" s="151" t="n"/>
      <c r="AL364" s="151" t="n"/>
    </row>
    <row r="365" hidden="1" s="150">
      <c r="A365" t="inlineStr">
        <is>
          <t>DPEREZH</t>
        </is>
      </c>
      <c r="B365" t="n">
        <v>3199</v>
      </c>
      <c r="C365" t="inlineStr">
        <is>
          <t>DIANA GERALDINE PEREZ HUERTA</t>
        </is>
      </c>
      <c r="D365" t="n">
        <v>8427</v>
      </c>
      <c r="E365" t="inlineStr">
        <is>
          <t>ESPECIALISTA DE GOBIERNO DE SEGURIDAD DE ARQUITECTURA</t>
        </is>
      </c>
      <c r="F365" t="inlineStr">
        <is>
          <t>MONTERREY</t>
        </is>
      </c>
      <c r="G365" t="n">
        <v>2562</v>
      </c>
      <c r="H365" t="inlineStr">
        <is>
          <t>JIMMY DIEGO ARAMIS ALFARO HERNANDEZ</t>
        </is>
      </c>
      <c r="I365" t="n">
        <v>9690</v>
      </c>
      <c r="J365" t="inlineStr">
        <is>
          <t>SUBDIRECTOR GOBIERNO DE SEGURIDAD APLICATIVA E INFRAESTRUCTURA</t>
        </is>
      </c>
      <c r="K365" t="n">
        <v>1</v>
      </c>
      <c r="L365" t="inlineStr">
        <is>
          <t>PRESIDENCIA EJECUTIVA DEL CONSEJO</t>
        </is>
      </c>
      <c r="M365" t="n">
        <v>40</v>
      </c>
      <c r="N365" t="inlineStr">
        <is>
          <t>DIRECCION GENERAL BANCO BASE</t>
        </is>
      </c>
      <c r="O365" t="n">
        <v>440</v>
      </c>
      <c r="P365" t="inlineStr">
        <is>
          <t>DIRECCION DE CONTRALORIA Y PREVENCION</t>
        </is>
      </c>
      <c r="Q365" t="n">
        <v>4490</v>
      </c>
      <c r="R365" t="inlineStr">
        <is>
          <t>SEGURIDAD DE LA INFORMACION</t>
        </is>
      </c>
      <c r="S365" t="n">
        <v>44900</v>
      </c>
      <c r="T365" t="inlineStr">
        <is>
          <t>SEGURIDAD DE LA INFORMACION</t>
        </is>
      </c>
      <c r="U365" t="n">
        <v>449000</v>
      </c>
      <c r="V365" t="inlineStr">
        <is>
          <t>SEGURIDAD DE LA INFORMACION</t>
        </is>
      </c>
      <c r="W365" t="n">
        <v>100101</v>
      </c>
      <c r="X365" t="inlineStr">
        <is>
          <t>CORPORATIVO</t>
        </is>
      </c>
      <c r="Y365" t="n">
        <v>4</v>
      </c>
      <c r="Z365" t="inlineStr">
        <is>
          <t>CORPORATIVO</t>
        </is>
      </c>
      <c r="AA365" t="n">
        <v>1</v>
      </c>
      <c r="AB365" t="inlineStr">
        <is>
          <t>NEGOCIO EN MARCHA</t>
        </is>
      </c>
      <c r="AC365" t="n">
        <v>1</v>
      </c>
      <c r="AD365" t="inlineStr">
        <is>
          <t>BANCO</t>
        </is>
      </c>
      <c r="AE365" t="n">
        <v>1</v>
      </c>
      <c r="AF365" t="inlineStr">
        <is>
          <t>BACK</t>
        </is>
      </c>
      <c r="AG365" t="n">
        <v>100101</v>
      </c>
      <c r="AH365" t="inlineStr">
        <is>
          <t>CORPORATIVO</t>
        </is>
      </c>
      <c r="AI365" t="inlineStr">
        <is>
          <t>DPEREZH@BANCOBASE.COM</t>
        </is>
      </c>
      <c r="AJ365" s="151" t="n">
        <v>45537</v>
      </c>
      <c r="AK365" s="151" t="n"/>
      <c r="AL365" s="151" t="n"/>
    </row>
    <row r="366" hidden="1" s="150">
      <c r="A366" t="inlineStr">
        <is>
          <t>JALMAZAN</t>
        </is>
      </c>
      <c r="B366" t="n">
        <v>914</v>
      </c>
      <c r="C366" t="inlineStr">
        <is>
          <t>JORGE ANTONIO ALMAZAN PUENTE</t>
        </is>
      </c>
      <c r="D366" t="n">
        <v>9526</v>
      </c>
      <c r="E366" t="inlineStr">
        <is>
          <t xml:space="preserve">ESPECIALISTA DE GOBIERNO DE SEGURIDAD DE INFRAESTRUCTURA </t>
        </is>
      </c>
      <c r="F366" t="inlineStr">
        <is>
          <t>MONTERREY</t>
        </is>
      </c>
      <c r="G366" t="n">
        <v>2562</v>
      </c>
      <c r="H366" t="inlineStr">
        <is>
          <t>JIMMY DIEGO ARAMIS ALFARO HERNANDEZ</t>
        </is>
      </c>
      <c r="I366" t="n">
        <v>9690</v>
      </c>
      <c r="J366" t="inlineStr">
        <is>
          <t>SUBDIRECTOR GOBIERNO DE SEGURIDAD APLICATIVA E INFRAESTRUCTURA</t>
        </is>
      </c>
      <c r="K366" t="n">
        <v>1</v>
      </c>
      <c r="L366" t="inlineStr">
        <is>
          <t>PRESIDENCIA EJECUTIVA DEL CONSEJO</t>
        </is>
      </c>
      <c r="M366" t="n">
        <v>40</v>
      </c>
      <c r="N366" t="inlineStr">
        <is>
          <t>DIRECCION GENERAL BANCO BASE</t>
        </is>
      </c>
      <c r="O366" t="n">
        <v>440</v>
      </c>
      <c r="P366" t="inlineStr">
        <is>
          <t>DIRECCION DE CONTRALORIA Y PREVENCION</t>
        </is>
      </c>
      <c r="Q366" t="n">
        <v>4490</v>
      </c>
      <c r="R366" t="inlineStr">
        <is>
          <t>SEGURIDAD DE LA INFORMACION</t>
        </is>
      </c>
      <c r="S366" t="n">
        <v>44900</v>
      </c>
      <c r="T366" t="inlineStr">
        <is>
          <t>SEGURIDAD DE LA INFORMACION</t>
        </is>
      </c>
      <c r="U366" t="n">
        <v>449000</v>
      </c>
      <c r="V366" t="inlineStr">
        <is>
          <t>SEGURIDAD DE LA INFORMACION</t>
        </is>
      </c>
      <c r="W366" t="n">
        <v>100101</v>
      </c>
      <c r="X366" t="inlineStr">
        <is>
          <t>CORPORATIVO</t>
        </is>
      </c>
      <c r="Y366" t="n">
        <v>4</v>
      </c>
      <c r="Z366" t="inlineStr">
        <is>
          <t>CORPORATIVO</t>
        </is>
      </c>
      <c r="AA366" t="n">
        <v>1</v>
      </c>
      <c r="AB366" t="inlineStr">
        <is>
          <t>NEGOCIO EN MARCHA</t>
        </is>
      </c>
      <c r="AC366" t="n">
        <v>1</v>
      </c>
      <c r="AD366" t="inlineStr">
        <is>
          <t>BANCO</t>
        </is>
      </c>
      <c r="AE366" t="n">
        <v>1</v>
      </c>
      <c r="AF366" t="inlineStr">
        <is>
          <t>BACK</t>
        </is>
      </c>
      <c r="AG366" t="n">
        <v>100101</v>
      </c>
      <c r="AH366" t="inlineStr">
        <is>
          <t>CORPORATIVO</t>
        </is>
      </c>
      <c r="AI366" t="inlineStr">
        <is>
          <t>JALMAZAN@BANCOBASE.COM</t>
        </is>
      </c>
      <c r="AJ366" s="151" t="n">
        <v>41092</v>
      </c>
      <c r="AK366" s="151" t="n"/>
      <c r="AL366" s="151" t="n"/>
    </row>
    <row r="367" hidden="1" s="150">
      <c r="A367" t="inlineStr">
        <is>
          <t>MGONZALED</t>
        </is>
      </c>
      <c r="B367" t="n">
        <v>3217</v>
      </c>
      <c r="C367" t="inlineStr">
        <is>
          <t>MARIA FERNANDA GONZALEZ DEL ANGEL</t>
        </is>
      </c>
      <c r="D367" t="n">
        <v>8428</v>
      </c>
      <c r="E367" t="inlineStr">
        <is>
          <t>ESPECIALISTA DE GOBIERNO DE SEGURIDAD APLICATIVA</t>
        </is>
      </c>
      <c r="F367" t="inlineStr">
        <is>
          <t>MONTERREY</t>
        </is>
      </c>
      <c r="G367" t="n">
        <v>2562</v>
      </c>
      <c r="H367" t="inlineStr">
        <is>
          <t>JIMMY DIEGO ARAMIS ALFARO HERNANDEZ</t>
        </is>
      </c>
      <c r="I367" t="n">
        <v>9690</v>
      </c>
      <c r="J367" t="inlineStr">
        <is>
          <t>SUBDIRECTOR GOBIERNO DE SEGURIDAD APLICATIVA E INFRAESTRUCTURA</t>
        </is>
      </c>
      <c r="K367" t="n">
        <v>1</v>
      </c>
      <c r="L367" t="inlineStr">
        <is>
          <t>PRESIDENCIA EJECUTIVA DEL CONSEJO</t>
        </is>
      </c>
      <c r="M367" t="n">
        <v>40</v>
      </c>
      <c r="N367" t="inlineStr">
        <is>
          <t>DIRECCION GENERAL BANCO BASE</t>
        </is>
      </c>
      <c r="O367" t="n">
        <v>440</v>
      </c>
      <c r="P367" t="inlineStr">
        <is>
          <t>DIRECCION DE CONTRALORIA Y PREVENCION</t>
        </is>
      </c>
      <c r="Q367" t="n">
        <v>4490</v>
      </c>
      <c r="R367" t="inlineStr">
        <is>
          <t>SEGURIDAD DE LA INFORMACION</t>
        </is>
      </c>
      <c r="S367" t="n">
        <v>44900</v>
      </c>
      <c r="T367" t="inlineStr">
        <is>
          <t>SEGURIDAD DE LA INFORMACION</t>
        </is>
      </c>
      <c r="U367" t="n">
        <v>449000</v>
      </c>
      <c r="V367" t="inlineStr">
        <is>
          <t>SEGURIDAD DE LA INFORMACION</t>
        </is>
      </c>
      <c r="W367" t="n">
        <v>100101</v>
      </c>
      <c r="X367" t="inlineStr">
        <is>
          <t>CORPORATIVO</t>
        </is>
      </c>
      <c r="Y367" t="n">
        <v>4</v>
      </c>
      <c r="Z367" t="inlineStr">
        <is>
          <t>CORPORATIVO</t>
        </is>
      </c>
      <c r="AA367" t="n">
        <v>1</v>
      </c>
      <c r="AB367" t="inlineStr">
        <is>
          <t>NEGOCIO EN MARCHA</t>
        </is>
      </c>
      <c r="AC367" t="n">
        <v>1</v>
      </c>
      <c r="AD367" t="inlineStr">
        <is>
          <t>BANCO</t>
        </is>
      </c>
      <c r="AE367" t="n">
        <v>1</v>
      </c>
      <c r="AF367" t="inlineStr">
        <is>
          <t>BACK</t>
        </is>
      </c>
      <c r="AG367" t="n">
        <v>100101</v>
      </c>
      <c r="AH367" t="inlineStr">
        <is>
          <t>CORPORATIVO</t>
        </is>
      </c>
      <c r="AI367" t="inlineStr">
        <is>
          <t>MGONZALED@BANCOBASE.COM</t>
        </is>
      </c>
      <c r="AJ367" s="151" t="n">
        <v>45567</v>
      </c>
      <c r="AK367" s="151" t="n"/>
      <c r="AL367" s="151" t="n"/>
    </row>
    <row r="368" hidden="1" s="150">
      <c r="A368" t="inlineStr">
        <is>
          <t>VJAUREGUI</t>
        </is>
      </c>
      <c r="B368" t="n">
        <v>2027</v>
      </c>
      <c r="C368" t="inlineStr">
        <is>
          <t>VALERIA MONSERRAT JAUREGUI IBAÑEZ</t>
        </is>
      </c>
      <c r="D368" t="n">
        <v>8762</v>
      </c>
      <c r="E368" t="inlineStr">
        <is>
          <t>GERENTE PROTECCION Y PRIVACIDAD DE DATOS</t>
        </is>
      </c>
      <c r="F368" t="inlineStr">
        <is>
          <t>MONTERREY</t>
        </is>
      </c>
      <c r="G368" t="n">
        <v>2618</v>
      </c>
      <c r="H368" t="inlineStr">
        <is>
          <t>CARLOS FERNANDO RODRIGUEZ DE LA PEÑA</t>
        </is>
      </c>
      <c r="I368" t="n">
        <v>9519</v>
      </c>
      <c r="J368" t="inlineStr">
        <is>
          <t>DIRECTOR DE SEGURIDAD DE LA INFORMACION</t>
        </is>
      </c>
      <c r="K368" t="n">
        <v>1</v>
      </c>
      <c r="L368" t="inlineStr">
        <is>
          <t>PRESIDENCIA EJECUTIVA DEL CONSEJO</t>
        </is>
      </c>
      <c r="M368" t="n">
        <v>40</v>
      </c>
      <c r="N368" t="inlineStr">
        <is>
          <t>DIRECCION GENERAL BANCO BASE</t>
        </is>
      </c>
      <c r="O368" t="n">
        <v>440</v>
      </c>
      <c r="P368" t="inlineStr">
        <is>
          <t>DIRECCION DE CONTRALORIA Y PREVENCION</t>
        </is>
      </c>
      <c r="Q368" t="n">
        <v>4490</v>
      </c>
      <c r="R368" t="inlineStr">
        <is>
          <t>SEGURIDAD DE LA INFORMACION</t>
        </is>
      </c>
      <c r="S368" t="n">
        <v>44900</v>
      </c>
      <c r="T368" t="inlineStr">
        <is>
          <t>SEGURIDAD DE LA INFORMACION</t>
        </is>
      </c>
      <c r="U368" t="n">
        <v>449000</v>
      </c>
      <c r="V368" t="inlineStr">
        <is>
          <t>SEGURIDAD DE LA INFORMACION</t>
        </is>
      </c>
      <c r="W368" t="n">
        <v>100101</v>
      </c>
      <c r="X368" t="inlineStr">
        <is>
          <t>CORPORATIVO</t>
        </is>
      </c>
      <c r="Y368" t="n">
        <v>4</v>
      </c>
      <c r="Z368" t="inlineStr">
        <is>
          <t>CORPORATIVO</t>
        </is>
      </c>
      <c r="AA368" t="n">
        <v>1</v>
      </c>
      <c r="AB368" t="inlineStr">
        <is>
          <t>NEGOCIO EN MARCHA</t>
        </is>
      </c>
      <c r="AC368" t="n">
        <v>1</v>
      </c>
      <c r="AD368" t="inlineStr">
        <is>
          <t>BANCO</t>
        </is>
      </c>
      <c r="AE368" t="n">
        <v>1</v>
      </c>
      <c r="AF368" t="inlineStr">
        <is>
          <t>BACK</t>
        </is>
      </c>
      <c r="AG368" t="n">
        <v>100101</v>
      </c>
      <c r="AH368" t="inlineStr">
        <is>
          <t>CORPORATIVO</t>
        </is>
      </c>
      <c r="AI368" t="inlineStr">
        <is>
          <t>VJAUREGUI@BANCOBASE.COM</t>
        </is>
      </c>
      <c r="AJ368" s="151" t="n">
        <v>43252</v>
      </c>
      <c r="AK368" s="151" t="n"/>
      <c r="AL368" s="151" t="n"/>
    </row>
    <row r="369" hidden="1" s="150">
      <c r="A369" t="inlineStr">
        <is>
          <t>DDELGADO</t>
        </is>
      </c>
      <c r="B369" t="n">
        <v>3695</v>
      </c>
      <c r="C369" t="inlineStr">
        <is>
          <t>DANIELA IVON DELGADO AVALOS</t>
        </is>
      </c>
      <c r="D369" t="n">
        <v>8763</v>
      </c>
      <c r="E369" t="inlineStr">
        <is>
          <t>ESPECIALISTA DE PROTECCION Y PRIVACIDAD DE DATOS</t>
        </is>
      </c>
      <c r="F369" t="inlineStr">
        <is>
          <t>MONTERREY</t>
        </is>
      </c>
      <c r="G369" t="n">
        <v>2027</v>
      </c>
      <c r="H369" t="inlineStr">
        <is>
          <t>VALERIA MONSERRAT JAUREGUI IBAÑEZ</t>
        </is>
      </c>
      <c r="I369" t="n">
        <v>8762</v>
      </c>
      <c r="J369" t="inlineStr">
        <is>
          <t>GERENTE PROTECCION Y PRIVACIDAD DE DATOS</t>
        </is>
      </c>
      <c r="K369" t="n">
        <v>1</v>
      </c>
      <c r="L369" t="inlineStr">
        <is>
          <t>PRESIDENCIA EJECUTIVA DEL CONSEJO</t>
        </is>
      </c>
      <c r="M369" t="n">
        <v>40</v>
      </c>
      <c r="N369" t="inlineStr">
        <is>
          <t>DIRECCION GENERAL BANCO BASE</t>
        </is>
      </c>
      <c r="O369" t="n">
        <v>440</v>
      </c>
      <c r="P369" t="inlineStr">
        <is>
          <t>DIRECCION DE CONTRALORIA Y PREVENCION</t>
        </is>
      </c>
      <c r="Q369" t="n">
        <v>4490</v>
      </c>
      <c r="R369" t="inlineStr">
        <is>
          <t>SEGURIDAD DE LA INFORMACION</t>
        </is>
      </c>
      <c r="S369" t="n">
        <v>44900</v>
      </c>
      <c r="T369" t="inlineStr">
        <is>
          <t>SEGURIDAD DE LA INFORMACION</t>
        </is>
      </c>
      <c r="U369" t="n">
        <v>449000</v>
      </c>
      <c r="V369" t="inlineStr">
        <is>
          <t>SEGURIDAD DE LA INFORMACION</t>
        </is>
      </c>
      <c r="W369" t="n">
        <v>100101</v>
      </c>
      <c r="X369" t="inlineStr">
        <is>
          <t>CORPORATIVO</t>
        </is>
      </c>
      <c r="Y369" t="n">
        <v>4</v>
      </c>
      <c r="Z369" t="inlineStr">
        <is>
          <t>CORPORATIVO</t>
        </is>
      </c>
      <c r="AA369" t="n">
        <v>1</v>
      </c>
      <c r="AB369" t="inlineStr">
        <is>
          <t>NEGOCIO EN MARCHA</t>
        </is>
      </c>
      <c r="AC369" t="n">
        <v>1</v>
      </c>
      <c r="AD369" t="inlineStr">
        <is>
          <t>BANCO</t>
        </is>
      </c>
      <c r="AE369" t="n">
        <v>1</v>
      </c>
      <c r="AF369" t="inlineStr">
        <is>
          <t>BACK</t>
        </is>
      </c>
      <c r="AG369" t="n">
        <v>100101</v>
      </c>
      <c r="AH369" t="inlineStr">
        <is>
          <t>CORPORATIVO</t>
        </is>
      </c>
      <c r="AI369" t="inlineStr">
        <is>
          <t>DDELGADO@BANCOBASE.COM</t>
        </is>
      </c>
      <c r="AJ369" s="151" t="n">
        <v>45992</v>
      </c>
      <c r="AK369" s="151" t="n"/>
      <c r="AL369" s="151" t="n"/>
    </row>
    <row r="370" hidden="1" s="150">
      <c r="A370" t="inlineStr">
        <is>
          <t>EPEREZC</t>
        </is>
      </c>
      <c r="B370" t="n">
        <v>3696</v>
      </c>
      <c r="C370" t="inlineStr">
        <is>
          <t>EDELMIRO OTONIEL PEREZ CARMONA</t>
        </is>
      </c>
      <c r="D370" t="n">
        <v>8761</v>
      </c>
      <c r="E370" t="inlineStr">
        <is>
          <t>SUBDIRECTOR GOBIERNO RIESGO Y CUMPLIMIENTO DE SI</t>
        </is>
      </c>
      <c r="F370" t="inlineStr">
        <is>
          <t>MONTERREY</t>
        </is>
      </c>
      <c r="G370" t="n">
        <v>2618</v>
      </c>
      <c r="H370" t="inlineStr">
        <is>
          <t>CARLOS FERNANDO RODRIGUEZ DE LA PEÑA</t>
        </is>
      </c>
      <c r="I370" t="n">
        <v>9519</v>
      </c>
      <c r="J370" t="inlineStr">
        <is>
          <t>DIRECTOR DE SEGURIDAD DE LA INFORMACION</t>
        </is>
      </c>
      <c r="K370" t="n">
        <v>1</v>
      </c>
      <c r="L370" t="inlineStr">
        <is>
          <t>PRESIDENCIA EJECUTIVA DEL CONSEJO</t>
        </is>
      </c>
      <c r="M370" t="n">
        <v>40</v>
      </c>
      <c r="N370" t="inlineStr">
        <is>
          <t>DIRECCION GENERAL BANCO BASE</t>
        </is>
      </c>
      <c r="O370" t="n">
        <v>440</v>
      </c>
      <c r="P370" t="inlineStr">
        <is>
          <t>DIRECCION DE CONTRALORIA Y PREVENCION</t>
        </is>
      </c>
      <c r="Q370" t="n">
        <v>4490</v>
      </c>
      <c r="R370" t="inlineStr">
        <is>
          <t>SEGURIDAD DE LA INFORMACION</t>
        </is>
      </c>
      <c r="S370" t="n">
        <v>44900</v>
      </c>
      <c r="T370" t="inlineStr">
        <is>
          <t>SEGURIDAD DE LA INFORMACION</t>
        </is>
      </c>
      <c r="U370" t="n">
        <v>449000</v>
      </c>
      <c r="V370" t="inlineStr">
        <is>
          <t>SEGURIDAD DE LA INFORMACION</t>
        </is>
      </c>
      <c r="W370" t="n">
        <v>100101</v>
      </c>
      <c r="X370" t="inlineStr">
        <is>
          <t>CORPORATIVO</t>
        </is>
      </c>
      <c r="Y370" t="n">
        <v>4</v>
      </c>
      <c r="Z370" t="inlineStr">
        <is>
          <t>CORPORATIVO</t>
        </is>
      </c>
      <c r="AA370" t="n">
        <v>1</v>
      </c>
      <c r="AB370" t="inlineStr">
        <is>
          <t>NEGOCIO EN MARCHA</t>
        </is>
      </c>
      <c r="AC370" t="n">
        <v>1</v>
      </c>
      <c r="AD370" t="inlineStr">
        <is>
          <t>BANCO</t>
        </is>
      </c>
      <c r="AE370" t="n">
        <v>1</v>
      </c>
      <c r="AF370" t="inlineStr">
        <is>
          <t>BACK</t>
        </is>
      </c>
      <c r="AG370" t="n">
        <v>100101</v>
      </c>
      <c r="AH370" t="inlineStr">
        <is>
          <t>CORPORATIVO</t>
        </is>
      </c>
      <c r="AI370" t="inlineStr">
        <is>
          <t>EPEREZC@BANCOBASE.COM</t>
        </is>
      </c>
      <c r="AJ370" s="151" t="n">
        <v>45992</v>
      </c>
      <c r="AK370" s="151" t="n"/>
      <c r="AL370" s="151" t="n"/>
    </row>
    <row r="371" hidden="1" s="150">
      <c r="A371" t="inlineStr">
        <is>
          <t>EALVARADOA</t>
        </is>
      </c>
      <c r="B371" t="n">
        <v>2182</v>
      </c>
      <c r="C371" t="inlineStr">
        <is>
          <t>ERIKA ALVARADO ALMAGUER</t>
        </is>
      </c>
      <c r="D371" t="n">
        <v>10193</v>
      </c>
      <c r="E371" t="inlineStr">
        <is>
          <t>COORDINADOR DE GOBIERNO Y CUMPLIMIENTO DE SEGURIDAD</t>
        </is>
      </c>
      <c r="F371" t="inlineStr">
        <is>
          <t>MONTERREY</t>
        </is>
      </c>
      <c r="G371" t="n">
        <v>3696</v>
      </c>
      <c r="H371" t="inlineStr">
        <is>
          <t>EDELMIRO OTONIEL PEREZ CARMONA</t>
        </is>
      </c>
      <c r="I371" t="n">
        <v>8761</v>
      </c>
      <c r="J371" t="inlineStr">
        <is>
          <t>SUBDIRECTOR GOBIERNO RIESGO Y CUMPLIMIENTO DE SI</t>
        </is>
      </c>
      <c r="K371" t="n">
        <v>1</v>
      </c>
      <c r="L371" t="inlineStr">
        <is>
          <t>PRESIDENCIA EJECUTIVA DEL CONSEJO</t>
        </is>
      </c>
      <c r="M371" t="n">
        <v>40</v>
      </c>
      <c r="N371" t="inlineStr">
        <is>
          <t>DIRECCION GENERAL BANCO BASE</t>
        </is>
      </c>
      <c r="O371" t="n">
        <v>440</v>
      </c>
      <c r="P371" t="inlineStr">
        <is>
          <t>DIRECCION DE CONTRALORIA Y PREVENCION</t>
        </is>
      </c>
      <c r="Q371" t="n">
        <v>4490</v>
      </c>
      <c r="R371" t="inlineStr">
        <is>
          <t>SEGURIDAD DE LA INFORMACION</t>
        </is>
      </c>
      <c r="S371" t="n">
        <v>44900</v>
      </c>
      <c r="T371" t="inlineStr">
        <is>
          <t>SEGURIDAD DE LA INFORMACION</t>
        </is>
      </c>
      <c r="U371" t="n">
        <v>449000</v>
      </c>
      <c r="V371" t="inlineStr">
        <is>
          <t>SEGURIDAD DE LA INFORMACION</t>
        </is>
      </c>
      <c r="W371" t="n">
        <v>100101</v>
      </c>
      <c r="X371" t="inlineStr">
        <is>
          <t>CORPORATIVO</t>
        </is>
      </c>
      <c r="Y371" t="n">
        <v>4</v>
      </c>
      <c r="Z371" t="inlineStr">
        <is>
          <t>CORPORATIVO</t>
        </is>
      </c>
      <c r="AA371" t="n">
        <v>1</v>
      </c>
      <c r="AB371" t="inlineStr">
        <is>
          <t>NEGOCIO EN MARCHA</t>
        </is>
      </c>
      <c r="AC371" t="n">
        <v>1</v>
      </c>
      <c r="AD371" t="inlineStr">
        <is>
          <t>BANCO</t>
        </is>
      </c>
      <c r="AE371" t="n">
        <v>1</v>
      </c>
      <c r="AF371" t="inlineStr">
        <is>
          <t>BACK</t>
        </is>
      </c>
      <c r="AG371" t="n">
        <v>100101</v>
      </c>
      <c r="AH371" t="inlineStr">
        <is>
          <t>CORPORATIVO</t>
        </is>
      </c>
      <c r="AI371" t="inlineStr">
        <is>
          <t>EALVARADOA@BANCOBASE.COM</t>
        </is>
      </c>
      <c r="AJ371" s="151" t="n">
        <v>43514</v>
      </c>
      <c r="AK371" s="151" t="n"/>
      <c r="AL371" s="151" t="n"/>
    </row>
    <row r="372" hidden="1" s="150">
      <c r="A372" t="inlineStr">
        <is>
          <t>MCASTILLOJ</t>
        </is>
      </c>
      <c r="B372" t="n">
        <v>3727</v>
      </c>
      <c r="C372" t="inlineStr">
        <is>
          <t>MICAELA GUADALUPE CASTILLO JIMENEZ</t>
        </is>
      </c>
      <c r="D372" t="n">
        <v>8764</v>
      </c>
      <c r="E372" t="inlineStr">
        <is>
          <t>ANALISTA CUMPLIMIENTO REGULATORIO Y AUDITORIA DE SI</t>
        </is>
      </c>
      <c r="F372" t="inlineStr">
        <is>
          <t>MONTERREY</t>
        </is>
      </c>
      <c r="G372" t="n">
        <v>2182</v>
      </c>
      <c r="H372" t="inlineStr">
        <is>
          <t>ERIKA ALVARADO ALMAGUER</t>
        </is>
      </c>
      <c r="I372" t="n">
        <v>10193</v>
      </c>
      <c r="J372" t="inlineStr">
        <is>
          <t>COORDINADOR DE GOBIERNO Y CUMPLIMIENTO DE SEGURIDAD</t>
        </is>
      </c>
      <c r="K372" t="n">
        <v>1</v>
      </c>
      <c r="L372" t="inlineStr">
        <is>
          <t>PRESIDENCIA EJECUTIVA DEL CONSEJO</t>
        </is>
      </c>
      <c r="M372" t="n">
        <v>40</v>
      </c>
      <c r="N372" t="inlineStr">
        <is>
          <t>DIRECCION GENERAL BANCO BASE</t>
        </is>
      </c>
      <c r="O372" t="n">
        <v>440</v>
      </c>
      <c r="P372" t="inlineStr">
        <is>
          <t>DIRECCION DE CONTRALORIA Y PREVENCION</t>
        </is>
      </c>
      <c r="Q372" t="n">
        <v>4490</v>
      </c>
      <c r="R372" t="inlineStr">
        <is>
          <t>SEGURIDAD DE LA INFORMACION</t>
        </is>
      </c>
      <c r="S372" t="n">
        <v>44900</v>
      </c>
      <c r="T372" t="inlineStr">
        <is>
          <t>SEGURIDAD DE LA INFORMACION</t>
        </is>
      </c>
      <c r="U372" t="n">
        <v>449000</v>
      </c>
      <c r="V372" t="inlineStr">
        <is>
          <t>SEGURIDAD DE LA INFORMACION</t>
        </is>
      </c>
      <c r="W372" t="n">
        <v>100101</v>
      </c>
      <c r="X372" t="inlineStr">
        <is>
          <t>CORPORATIVO</t>
        </is>
      </c>
      <c r="Y372" t="n">
        <v>4</v>
      </c>
      <c r="Z372" t="inlineStr">
        <is>
          <t>CORPORATIVO</t>
        </is>
      </c>
      <c r="AA372" t="n">
        <v>1</v>
      </c>
      <c r="AB372" t="inlineStr">
        <is>
          <t>NEGOCIO EN MARCHA</t>
        </is>
      </c>
      <c r="AC372" t="n">
        <v>1</v>
      </c>
      <c r="AD372" t="inlineStr">
        <is>
          <t>BANCO</t>
        </is>
      </c>
      <c r="AE372" t="n">
        <v>1</v>
      </c>
      <c r="AF372" t="inlineStr">
        <is>
          <t>BACK</t>
        </is>
      </c>
      <c r="AG372" t="n">
        <v>100101</v>
      </c>
      <c r="AH372" t="inlineStr">
        <is>
          <t>CORPORATIVO</t>
        </is>
      </c>
      <c r="AI372" t="inlineStr">
        <is>
          <t>MCASTILLOJ@BANCOBASE.COM</t>
        </is>
      </c>
      <c r="AJ372" s="151" t="n">
        <v>46027</v>
      </c>
      <c r="AK372" s="151" t="n"/>
      <c r="AL372" s="151" t="n"/>
    </row>
    <row r="373" hidden="1" s="150">
      <c r="A373" t="inlineStr">
        <is>
          <t>JPORTILLO</t>
        </is>
      </c>
      <c r="B373" t="n">
        <v>3339</v>
      </c>
      <c r="C373" t="inlineStr">
        <is>
          <t>JOSE ALEJANDRO PORTILLO CRUZ</t>
        </is>
      </c>
      <c r="D373" t="n">
        <v>8669</v>
      </c>
      <c r="E373" t="inlineStr">
        <is>
          <t>ESPECIALISTA DE GOBIERNO Y CUMPLIMIENTO DE SEGURIDAD</t>
        </is>
      </c>
      <c r="F373" t="inlineStr">
        <is>
          <t>MONTERREY</t>
        </is>
      </c>
      <c r="G373" t="n">
        <v>3696</v>
      </c>
      <c r="H373" t="inlineStr">
        <is>
          <t>EDELMIRO OTONIEL PEREZ CARMONA</t>
        </is>
      </c>
      <c r="I373" t="n">
        <v>8761</v>
      </c>
      <c r="J373" t="inlineStr">
        <is>
          <t>SUBDIRECTOR GOBIERNO RIESGO Y CUMPLIMIENTO DE SI</t>
        </is>
      </c>
      <c r="K373" t="n">
        <v>1</v>
      </c>
      <c r="L373" t="inlineStr">
        <is>
          <t>PRESIDENCIA EJECUTIVA DEL CONSEJO</t>
        </is>
      </c>
      <c r="M373" t="n">
        <v>40</v>
      </c>
      <c r="N373" t="inlineStr">
        <is>
          <t>DIRECCION GENERAL BANCO BASE</t>
        </is>
      </c>
      <c r="O373" t="n">
        <v>440</v>
      </c>
      <c r="P373" t="inlineStr">
        <is>
          <t>DIRECCION DE CONTRALORIA Y PREVENCION</t>
        </is>
      </c>
      <c r="Q373" t="n">
        <v>4490</v>
      </c>
      <c r="R373" t="inlineStr">
        <is>
          <t>SEGURIDAD DE LA INFORMACION</t>
        </is>
      </c>
      <c r="S373" t="n">
        <v>44900</v>
      </c>
      <c r="T373" t="inlineStr">
        <is>
          <t>SEGURIDAD DE LA INFORMACION</t>
        </is>
      </c>
      <c r="U373" t="n">
        <v>449000</v>
      </c>
      <c r="V373" t="inlineStr">
        <is>
          <t>SEGURIDAD DE LA INFORMACION</t>
        </is>
      </c>
      <c r="W373" t="n">
        <v>100101</v>
      </c>
      <c r="X373" t="inlineStr">
        <is>
          <t>CORPORATIVO</t>
        </is>
      </c>
      <c r="Y373" t="n">
        <v>4</v>
      </c>
      <c r="Z373" t="inlineStr">
        <is>
          <t>CORPORATIVO</t>
        </is>
      </c>
      <c r="AA373" t="n">
        <v>1</v>
      </c>
      <c r="AB373" t="inlineStr">
        <is>
          <t>NEGOCIO EN MARCHA</t>
        </is>
      </c>
      <c r="AC373" t="n">
        <v>1</v>
      </c>
      <c r="AD373" t="inlineStr">
        <is>
          <t>BANCO</t>
        </is>
      </c>
      <c r="AE373" t="n">
        <v>1</v>
      </c>
      <c r="AF373" t="inlineStr">
        <is>
          <t>BACK</t>
        </is>
      </c>
      <c r="AG373" t="n">
        <v>100101</v>
      </c>
      <c r="AH373" t="inlineStr">
        <is>
          <t>CORPORATIVO</t>
        </is>
      </c>
      <c r="AI373" t="inlineStr">
        <is>
          <t>JPORTILLO@BANCOBASE.COM</t>
        </is>
      </c>
      <c r="AJ373" s="151" t="n">
        <v>45705</v>
      </c>
      <c r="AK373" s="151" t="n"/>
      <c r="AL373" s="151" t="n"/>
    </row>
    <row r="374" hidden="1" s="150">
      <c r="A374" t="inlineStr">
        <is>
          <t>MJURADO</t>
        </is>
      </c>
      <c r="B374" t="n">
        <v>2121</v>
      </c>
      <c r="C374" t="inlineStr">
        <is>
          <t>MIGUEL ANGEL JURADO LOPEZ</t>
        </is>
      </c>
      <c r="D374" t="n">
        <v>10282</v>
      </c>
      <c r="E374" t="inlineStr">
        <is>
          <t>GERENTE DE GOBIERNO DE IDENTIDADES Y ACCESOS</t>
        </is>
      </c>
      <c r="F374" t="inlineStr">
        <is>
          <t>MONTERREY</t>
        </is>
      </c>
      <c r="G374" t="n">
        <v>2618</v>
      </c>
      <c r="H374" t="inlineStr">
        <is>
          <t>CARLOS FERNANDO RODRIGUEZ DE LA PEÑA</t>
        </is>
      </c>
      <c r="I374" t="n">
        <v>9519</v>
      </c>
      <c r="J374" t="inlineStr">
        <is>
          <t>DIRECTOR DE SEGURIDAD DE LA INFORMACION</t>
        </is>
      </c>
      <c r="K374" t="n">
        <v>1</v>
      </c>
      <c r="L374" t="inlineStr">
        <is>
          <t>PRESIDENCIA EJECUTIVA DEL CONSEJO</t>
        </is>
      </c>
      <c r="M374" t="n">
        <v>40</v>
      </c>
      <c r="N374" t="inlineStr">
        <is>
          <t>DIRECCION GENERAL BANCO BASE</t>
        </is>
      </c>
      <c r="O374" t="n">
        <v>440</v>
      </c>
      <c r="P374" t="inlineStr">
        <is>
          <t>DIRECCION DE CONTRALORIA Y PREVENCION</t>
        </is>
      </c>
      <c r="Q374" t="n">
        <v>4490</v>
      </c>
      <c r="R374" t="inlineStr">
        <is>
          <t>SEGURIDAD DE LA INFORMACION</t>
        </is>
      </c>
      <c r="S374" t="n">
        <v>44900</v>
      </c>
      <c r="T374" t="inlineStr">
        <is>
          <t>SEGURIDAD DE LA INFORMACION</t>
        </is>
      </c>
      <c r="U374" t="n">
        <v>449000</v>
      </c>
      <c r="V374" t="inlineStr">
        <is>
          <t>SEGURIDAD DE LA INFORMACION</t>
        </is>
      </c>
      <c r="W374" t="n">
        <v>100101</v>
      </c>
      <c r="X374" t="inlineStr">
        <is>
          <t>CORPORATIVO</t>
        </is>
      </c>
      <c r="Y374" t="n">
        <v>4</v>
      </c>
      <c r="Z374" t="inlineStr">
        <is>
          <t>CORPORATIVO</t>
        </is>
      </c>
      <c r="AA374" t="n">
        <v>1</v>
      </c>
      <c r="AB374" t="inlineStr">
        <is>
          <t>NEGOCIO EN MARCHA</t>
        </is>
      </c>
      <c r="AC374" t="n">
        <v>1</v>
      </c>
      <c r="AD374" t="inlineStr">
        <is>
          <t>BANCO</t>
        </is>
      </c>
      <c r="AE374" t="n">
        <v>1</v>
      </c>
      <c r="AF374" t="inlineStr">
        <is>
          <t>BACK</t>
        </is>
      </c>
      <c r="AG374" t="n">
        <v>100101</v>
      </c>
      <c r="AH374" t="inlineStr">
        <is>
          <t>CORPORATIVO</t>
        </is>
      </c>
      <c r="AI374" t="inlineStr">
        <is>
          <t>MJURADO@BANCOBASE.COM</t>
        </is>
      </c>
      <c r="AJ374" s="151" t="n">
        <v>43389</v>
      </c>
      <c r="AK374" s="151" t="n"/>
      <c r="AL374" s="151" t="n"/>
    </row>
    <row r="375" hidden="1" s="150">
      <c r="A375" t="inlineStr">
        <is>
          <t>BGARZAR</t>
        </is>
      </c>
      <c r="B375" t="n">
        <v>2701</v>
      </c>
      <c r="C375" t="inlineStr">
        <is>
          <t>BRAYAN GARZA RODRIGUEZ</t>
        </is>
      </c>
      <c r="D375" t="n">
        <v>9079</v>
      </c>
      <c r="E375" t="inlineStr">
        <is>
          <t>ESPECIALISTA DE GESTION DE ACCESOS Y SOD</t>
        </is>
      </c>
      <c r="F375" t="inlineStr">
        <is>
          <t>MONTERREY</t>
        </is>
      </c>
      <c r="G375" t="n">
        <v>2121</v>
      </c>
      <c r="H375" t="inlineStr">
        <is>
          <t>MIGUEL ANGEL JURADO LOPEZ</t>
        </is>
      </c>
      <c r="I375" t="n">
        <v>10282</v>
      </c>
      <c r="J375" t="inlineStr">
        <is>
          <t>GERENTE DE GOBIERNO DE IDENTIDADES Y ACCESOS</t>
        </is>
      </c>
      <c r="K375" t="n">
        <v>1</v>
      </c>
      <c r="L375" t="inlineStr">
        <is>
          <t>PRESIDENCIA EJECUTIVA DEL CONSEJO</t>
        </is>
      </c>
      <c r="M375" t="n">
        <v>40</v>
      </c>
      <c r="N375" t="inlineStr">
        <is>
          <t>DIRECCION GENERAL BANCO BASE</t>
        </is>
      </c>
      <c r="O375" t="n">
        <v>440</v>
      </c>
      <c r="P375" t="inlineStr">
        <is>
          <t>DIRECCION DE CONTRALORIA Y PREVENCION</t>
        </is>
      </c>
      <c r="Q375" t="n">
        <v>4490</v>
      </c>
      <c r="R375" t="inlineStr">
        <is>
          <t>SEGURIDAD DE LA INFORMACION</t>
        </is>
      </c>
      <c r="S375" t="n">
        <v>44900</v>
      </c>
      <c r="T375" t="inlineStr">
        <is>
          <t>SEGURIDAD DE LA INFORMACION</t>
        </is>
      </c>
      <c r="U375" t="n">
        <v>449000</v>
      </c>
      <c r="V375" t="inlineStr">
        <is>
          <t>SEGURIDAD DE LA INFORMACION</t>
        </is>
      </c>
      <c r="W375" t="n">
        <v>100101</v>
      </c>
      <c r="X375" t="inlineStr">
        <is>
          <t>CORPORATIVO</t>
        </is>
      </c>
      <c r="Y375" t="n">
        <v>4</v>
      </c>
      <c r="Z375" t="inlineStr">
        <is>
          <t>CORPORATIVO</t>
        </is>
      </c>
      <c r="AA375" t="n">
        <v>1</v>
      </c>
      <c r="AB375" t="inlineStr">
        <is>
          <t>NEGOCIO EN MARCHA</t>
        </is>
      </c>
      <c r="AC375" t="n">
        <v>1</v>
      </c>
      <c r="AD375" t="inlineStr">
        <is>
          <t>BANCO</t>
        </is>
      </c>
      <c r="AE375" t="n">
        <v>1</v>
      </c>
      <c r="AF375" t="inlineStr">
        <is>
          <t>BACK</t>
        </is>
      </c>
      <c r="AG375" t="n">
        <v>100101</v>
      </c>
      <c r="AH375" t="inlineStr">
        <is>
          <t>CORPORATIVO</t>
        </is>
      </c>
      <c r="AI375" t="inlineStr">
        <is>
          <t>BGARZAR@BANCOBASE.COM</t>
        </is>
      </c>
      <c r="AJ375" s="151" t="n">
        <v>44774</v>
      </c>
      <c r="AK375" s="151" t="n"/>
      <c r="AL375" s="151" t="n"/>
    </row>
    <row r="376" hidden="1" s="150">
      <c r="A376" t="inlineStr">
        <is>
          <t>DARODRIGUE</t>
        </is>
      </c>
      <c r="B376" t="n">
        <v>3340</v>
      </c>
      <c r="C376" t="inlineStr">
        <is>
          <t>DANIEL ALBERTO RODRIGUEZ SALAZAR</t>
        </is>
      </c>
      <c r="D376" t="n">
        <v>6077</v>
      </c>
      <c r="E376" t="inlineStr">
        <is>
          <t>ESPECIALISTA DE GESTION DE IDENTIDADES</t>
        </is>
      </c>
      <c r="F376" t="inlineStr">
        <is>
          <t>MONTERREY</t>
        </is>
      </c>
      <c r="G376" t="n">
        <v>2121</v>
      </c>
      <c r="H376" t="inlineStr">
        <is>
          <t>MIGUEL ANGEL JURADO LOPEZ</t>
        </is>
      </c>
      <c r="I376" t="n">
        <v>10282</v>
      </c>
      <c r="J376" t="inlineStr">
        <is>
          <t>GERENTE DE GOBIERNO DE IDENTIDADES Y ACCESOS</t>
        </is>
      </c>
      <c r="K376" t="n">
        <v>1</v>
      </c>
      <c r="L376" t="inlineStr">
        <is>
          <t>PRESIDENCIA EJECUTIVA DEL CONSEJO</t>
        </is>
      </c>
      <c r="M376" t="n">
        <v>40</v>
      </c>
      <c r="N376" t="inlineStr">
        <is>
          <t>DIRECCION GENERAL BANCO BASE</t>
        </is>
      </c>
      <c r="O376" t="n">
        <v>440</v>
      </c>
      <c r="P376" t="inlineStr">
        <is>
          <t>DIRECCION DE CONTRALORIA Y PREVENCION</t>
        </is>
      </c>
      <c r="Q376" t="n">
        <v>4490</v>
      </c>
      <c r="R376" t="inlineStr">
        <is>
          <t>SEGURIDAD DE LA INFORMACION</t>
        </is>
      </c>
      <c r="S376" t="n">
        <v>44900</v>
      </c>
      <c r="T376" t="inlineStr">
        <is>
          <t>SEGURIDAD DE LA INFORMACION</t>
        </is>
      </c>
      <c r="U376" t="n">
        <v>449000</v>
      </c>
      <c r="V376" t="inlineStr">
        <is>
          <t>SEGURIDAD DE LA INFORMACION</t>
        </is>
      </c>
      <c r="W376" t="n">
        <v>100101</v>
      </c>
      <c r="X376" t="inlineStr">
        <is>
          <t>CORPORATIVO</t>
        </is>
      </c>
      <c r="Y376" t="n">
        <v>4</v>
      </c>
      <c r="Z376" t="inlineStr">
        <is>
          <t>CORPORATIVO</t>
        </is>
      </c>
      <c r="AA376" t="n">
        <v>1</v>
      </c>
      <c r="AB376" t="inlineStr">
        <is>
          <t>NEGOCIO EN MARCHA</t>
        </is>
      </c>
      <c r="AC376" t="n">
        <v>1</v>
      </c>
      <c r="AD376" t="inlineStr">
        <is>
          <t>BANCO</t>
        </is>
      </c>
      <c r="AE376" t="n">
        <v>1</v>
      </c>
      <c r="AF376" t="inlineStr">
        <is>
          <t>BACK</t>
        </is>
      </c>
      <c r="AG376" t="n">
        <v>100101</v>
      </c>
      <c r="AH376" t="inlineStr">
        <is>
          <t>CORPORATIVO</t>
        </is>
      </c>
      <c r="AI376" t="inlineStr">
        <is>
          <t>DARODRIGUE@BANCOBASE.COM</t>
        </is>
      </c>
      <c r="AJ376" s="151" t="n">
        <v>45705</v>
      </c>
      <c r="AK376" s="151" t="n"/>
      <c r="AL376" s="151" t="n"/>
    </row>
    <row r="377" hidden="1" s="150">
      <c r="A377" t="inlineStr">
        <is>
          <t>DMAGANA</t>
        </is>
      </c>
      <c r="B377" t="n">
        <v>3346</v>
      </c>
      <c r="C377" t="inlineStr">
        <is>
          <t>DIEGO ALEJANDRO MAGAÑA SALAZAR</t>
        </is>
      </c>
      <c r="D377" t="n">
        <v>8668</v>
      </c>
      <c r="E377" t="inlineStr">
        <is>
          <t>ANALISTA DE ROLES Y SEGREGACION DE FUNCIONES</t>
        </is>
      </c>
      <c r="F377" t="inlineStr">
        <is>
          <t>MONTERREY</t>
        </is>
      </c>
      <c r="G377" t="n">
        <v>2121</v>
      </c>
      <c r="H377" t="inlineStr">
        <is>
          <t>MIGUEL ANGEL JURADO LOPEZ</t>
        </is>
      </c>
      <c r="I377" t="n">
        <v>10282</v>
      </c>
      <c r="J377" t="inlineStr">
        <is>
          <t>GERENTE DE GOBIERNO DE IDENTIDADES Y ACCESOS</t>
        </is>
      </c>
      <c r="K377" t="n">
        <v>1</v>
      </c>
      <c r="L377" t="inlineStr">
        <is>
          <t>PRESIDENCIA EJECUTIVA DEL CONSEJO</t>
        </is>
      </c>
      <c r="M377" t="n">
        <v>40</v>
      </c>
      <c r="N377" t="inlineStr">
        <is>
          <t>DIRECCION GENERAL BANCO BASE</t>
        </is>
      </c>
      <c r="O377" t="n">
        <v>440</v>
      </c>
      <c r="P377" t="inlineStr">
        <is>
          <t>DIRECCION DE CONTRALORIA Y PREVENCION</t>
        </is>
      </c>
      <c r="Q377" t="n">
        <v>4490</v>
      </c>
      <c r="R377" t="inlineStr">
        <is>
          <t>SEGURIDAD DE LA INFORMACION</t>
        </is>
      </c>
      <c r="S377" t="n">
        <v>44900</v>
      </c>
      <c r="T377" t="inlineStr">
        <is>
          <t>SEGURIDAD DE LA INFORMACION</t>
        </is>
      </c>
      <c r="U377" t="n">
        <v>449000</v>
      </c>
      <c r="V377" t="inlineStr">
        <is>
          <t>SEGURIDAD DE LA INFORMACION</t>
        </is>
      </c>
      <c r="W377" t="n">
        <v>100101</v>
      </c>
      <c r="X377" t="inlineStr">
        <is>
          <t>CORPORATIVO</t>
        </is>
      </c>
      <c r="Y377" t="n">
        <v>4</v>
      </c>
      <c r="Z377" t="inlineStr">
        <is>
          <t>CORPORATIVO</t>
        </is>
      </c>
      <c r="AA377" t="n">
        <v>1</v>
      </c>
      <c r="AB377" t="inlineStr">
        <is>
          <t>NEGOCIO EN MARCHA</t>
        </is>
      </c>
      <c r="AC377" t="n">
        <v>1</v>
      </c>
      <c r="AD377" t="inlineStr">
        <is>
          <t>BANCO</t>
        </is>
      </c>
      <c r="AE377" t="n">
        <v>1</v>
      </c>
      <c r="AF377" t="inlineStr">
        <is>
          <t>BACK</t>
        </is>
      </c>
      <c r="AG377" t="n">
        <v>100101</v>
      </c>
      <c r="AH377" t="inlineStr">
        <is>
          <t>CORPORATIVO</t>
        </is>
      </c>
      <c r="AI377" t="inlineStr">
        <is>
          <t>DMAGANA@BANCOBASE.COM</t>
        </is>
      </c>
      <c r="AJ377" s="151" t="n">
        <v>45719</v>
      </c>
      <c r="AK377" s="151" t="n"/>
      <c r="AL377" s="151" t="n"/>
    </row>
    <row r="378" hidden="1" s="150">
      <c r="A378" t="inlineStr">
        <is>
          <t>DLUNAC</t>
        </is>
      </c>
      <c r="B378" t="n">
        <v>2269</v>
      </c>
      <c r="C378" t="inlineStr">
        <is>
          <t>DORA ELIA LUNA CAMPOS</t>
        </is>
      </c>
      <c r="D378" t="n">
        <v>10299</v>
      </c>
      <c r="E378" t="inlineStr">
        <is>
          <t>GERENTE DE CONTINUIDAD DE NEGOCIO</t>
        </is>
      </c>
      <c r="F378" t="inlineStr">
        <is>
          <t>MONTERREY</t>
        </is>
      </c>
      <c r="G378" t="n">
        <v>2618</v>
      </c>
      <c r="H378" t="inlineStr">
        <is>
          <t>CARLOS FERNANDO RODRIGUEZ DE LA PEÑA</t>
        </is>
      </c>
      <c r="I378" t="n">
        <v>9519</v>
      </c>
      <c r="J378" t="inlineStr">
        <is>
          <t>DIRECTOR DE SEGURIDAD DE LA INFORMACION</t>
        </is>
      </c>
      <c r="K378" t="n">
        <v>1</v>
      </c>
      <c r="L378" t="inlineStr">
        <is>
          <t>PRESIDENCIA EJECUTIVA DEL CONSEJO</t>
        </is>
      </c>
      <c r="M378" t="n">
        <v>40</v>
      </c>
      <c r="N378" t="inlineStr">
        <is>
          <t>DIRECCION GENERAL BANCO BASE</t>
        </is>
      </c>
      <c r="O378" t="n">
        <v>440</v>
      </c>
      <c r="P378" t="inlineStr">
        <is>
          <t>DIRECCION DE CONTRALORIA Y PREVENCION</t>
        </is>
      </c>
      <c r="Q378" t="n">
        <v>4490</v>
      </c>
      <c r="R378" t="inlineStr">
        <is>
          <t>SEGURIDAD DE LA INFORMACION</t>
        </is>
      </c>
      <c r="S378" t="n">
        <v>44900</v>
      </c>
      <c r="T378" t="inlineStr">
        <is>
          <t>SEGURIDAD DE LA INFORMACION</t>
        </is>
      </c>
      <c r="U378" t="n">
        <v>449000</v>
      </c>
      <c r="V378" t="inlineStr">
        <is>
          <t>SEGURIDAD DE LA INFORMACION</t>
        </is>
      </c>
      <c r="W378" t="n">
        <v>100101</v>
      </c>
      <c r="X378" t="inlineStr">
        <is>
          <t>CORPORATIVO</t>
        </is>
      </c>
      <c r="Y378" t="n">
        <v>4</v>
      </c>
      <c r="Z378" t="inlineStr">
        <is>
          <t>CORPORATIVO</t>
        </is>
      </c>
      <c r="AA378" t="n">
        <v>1</v>
      </c>
      <c r="AB378" t="inlineStr">
        <is>
          <t>NEGOCIO EN MARCHA</t>
        </is>
      </c>
      <c r="AC378" t="n">
        <v>1</v>
      </c>
      <c r="AD378" t="inlineStr">
        <is>
          <t>BANCO</t>
        </is>
      </c>
      <c r="AE378" t="n">
        <v>1</v>
      </c>
      <c r="AF378" t="inlineStr">
        <is>
          <t>BACK</t>
        </is>
      </c>
      <c r="AG378" t="n">
        <v>100101</v>
      </c>
      <c r="AH378" t="inlineStr">
        <is>
          <t>CORPORATIVO</t>
        </is>
      </c>
      <c r="AI378" t="inlineStr">
        <is>
          <t>DLUNAC@BANCOBASE.COM</t>
        </is>
      </c>
      <c r="AJ378" s="151" t="n">
        <v>43647</v>
      </c>
      <c r="AK378" s="151" t="n"/>
      <c r="AL378" s="151" t="n"/>
    </row>
    <row r="379" hidden="1" s="150">
      <c r="A379" t="inlineStr">
        <is>
          <t>LMARFILENO</t>
        </is>
      </c>
      <c r="B379" t="n">
        <v>2996</v>
      </c>
      <c r="C379" t="inlineStr">
        <is>
          <t>LAURA MARIFER MARFILEÑO RIVERA</t>
        </is>
      </c>
      <c r="D379" t="n">
        <v>8269</v>
      </c>
      <c r="E379" t="inlineStr">
        <is>
          <t>ESPECIALISTA DE CONTINUIDAD DE NEGOCIO</t>
        </is>
      </c>
      <c r="F379" t="inlineStr">
        <is>
          <t>MONTERREY</t>
        </is>
      </c>
      <c r="G379" t="n">
        <v>2269</v>
      </c>
      <c r="H379" t="inlineStr">
        <is>
          <t>DORA ELIA LUNA CAMPOS</t>
        </is>
      </c>
      <c r="I379" t="n">
        <v>10299</v>
      </c>
      <c r="J379" t="inlineStr">
        <is>
          <t>GERENTE DE CONTINUIDAD DE NEGOCIO</t>
        </is>
      </c>
      <c r="K379" t="n">
        <v>1</v>
      </c>
      <c r="L379" t="inlineStr">
        <is>
          <t>PRESIDENCIA EJECUTIVA DEL CONSEJO</t>
        </is>
      </c>
      <c r="M379" t="n">
        <v>40</v>
      </c>
      <c r="N379" t="inlineStr">
        <is>
          <t>DIRECCION GENERAL BANCO BASE</t>
        </is>
      </c>
      <c r="O379" t="n">
        <v>440</v>
      </c>
      <c r="P379" t="inlineStr">
        <is>
          <t>DIRECCION DE CONTRALORIA Y PREVENCION</t>
        </is>
      </c>
      <c r="Q379" t="n">
        <v>4490</v>
      </c>
      <c r="R379" t="inlineStr">
        <is>
          <t>SEGURIDAD DE LA INFORMACION</t>
        </is>
      </c>
      <c r="S379" t="n">
        <v>44900</v>
      </c>
      <c r="T379" t="inlineStr">
        <is>
          <t>SEGURIDAD DE LA INFORMACION</t>
        </is>
      </c>
      <c r="U379" t="n">
        <v>449000</v>
      </c>
      <c r="V379" t="inlineStr">
        <is>
          <t>SEGURIDAD DE LA INFORMACION</t>
        </is>
      </c>
      <c r="W379" t="n">
        <v>100101</v>
      </c>
      <c r="X379" t="inlineStr">
        <is>
          <t>CORPORATIVO</t>
        </is>
      </c>
      <c r="Y379" t="n">
        <v>4</v>
      </c>
      <c r="Z379" t="inlineStr">
        <is>
          <t>CORPORATIVO</t>
        </is>
      </c>
      <c r="AA379" t="n">
        <v>1</v>
      </c>
      <c r="AB379" t="inlineStr">
        <is>
          <t>NEGOCIO EN MARCHA</t>
        </is>
      </c>
      <c r="AC379" t="n">
        <v>1</v>
      </c>
      <c r="AD379" t="inlineStr">
        <is>
          <t>BANCO</t>
        </is>
      </c>
      <c r="AE379" t="n">
        <v>1</v>
      </c>
      <c r="AF379" t="inlineStr">
        <is>
          <t>BACK</t>
        </is>
      </c>
      <c r="AG379" t="n">
        <v>100101</v>
      </c>
      <c r="AH379" t="inlineStr">
        <is>
          <t>CORPORATIVO</t>
        </is>
      </c>
      <c r="AI379" t="inlineStr">
        <is>
          <t>LMARFILENO@BANCOBASE.COM</t>
        </is>
      </c>
      <c r="AJ379" s="151" t="n">
        <v>45261</v>
      </c>
      <c r="AK379" s="151" t="n"/>
      <c r="AL379" s="151" t="n"/>
    </row>
    <row r="380" hidden="1" s="150">
      <c r="A380" t="inlineStr">
        <is>
          <t>MGARCIAR</t>
        </is>
      </c>
      <c r="B380" t="n">
        <v>3718</v>
      </c>
      <c r="C380" t="inlineStr">
        <is>
          <t>MARIBEL GARCIA REYES</t>
        </is>
      </c>
      <c r="D380" t="n">
        <v>8760</v>
      </c>
      <c r="E380" t="inlineStr">
        <is>
          <t>ESPECIALISTA DE CONTINUIDAD DE NEGOCIO</t>
        </is>
      </c>
      <c r="F380" t="inlineStr">
        <is>
          <t>MONTERREY</t>
        </is>
      </c>
      <c r="G380" t="n">
        <v>2269</v>
      </c>
      <c r="H380" t="inlineStr">
        <is>
          <t>DORA ELIA LUNA CAMPOS</t>
        </is>
      </c>
      <c r="I380" t="n">
        <v>10299</v>
      </c>
      <c r="J380" t="inlineStr">
        <is>
          <t>GERENTE DE CONTINUIDAD DE NEGOCIO</t>
        </is>
      </c>
      <c r="K380" t="n">
        <v>1</v>
      </c>
      <c r="L380" t="inlineStr">
        <is>
          <t>PRESIDENCIA EJECUTIVA DEL CONSEJO</t>
        </is>
      </c>
      <c r="M380" t="n">
        <v>40</v>
      </c>
      <c r="N380" t="inlineStr">
        <is>
          <t>DIRECCION GENERAL BANCO BASE</t>
        </is>
      </c>
      <c r="O380" t="n">
        <v>440</v>
      </c>
      <c r="P380" t="inlineStr">
        <is>
          <t>DIRECCION DE CONTRALORIA Y PREVENCION</t>
        </is>
      </c>
      <c r="Q380" t="n">
        <v>4490</v>
      </c>
      <c r="R380" t="inlineStr">
        <is>
          <t>SEGURIDAD DE LA INFORMACION</t>
        </is>
      </c>
      <c r="S380" t="n">
        <v>44900</v>
      </c>
      <c r="T380" t="inlineStr">
        <is>
          <t>SEGURIDAD DE LA INFORMACION</t>
        </is>
      </c>
      <c r="U380" t="n">
        <v>449000</v>
      </c>
      <c r="V380" t="inlineStr">
        <is>
          <t>SEGURIDAD DE LA INFORMACION</t>
        </is>
      </c>
      <c r="W380" t="n">
        <v>100101</v>
      </c>
      <c r="X380" t="inlineStr">
        <is>
          <t>CORPORATIVO</t>
        </is>
      </c>
      <c r="Y380" t="n">
        <v>4</v>
      </c>
      <c r="Z380" t="inlineStr">
        <is>
          <t>CORPORATIVO</t>
        </is>
      </c>
      <c r="AA380" t="n">
        <v>1</v>
      </c>
      <c r="AB380" t="inlineStr">
        <is>
          <t>NEGOCIO EN MARCHA</t>
        </is>
      </c>
      <c r="AC380" t="n">
        <v>1</v>
      </c>
      <c r="AD380" t="inlineStr">
        <is>
          <t>BANCO</t>
        </is>
      </c>
      <c r="AE380" t="n">
        <v>1</v>
      </c>
      <c r="AF380" t="inlineStr">
        <is>
          <t>BACK</t>
        </is>
      </c>
      <c r="AG380" t="n">
        <v>100101</v>
      </c>
      <c r="AH380" t="inlineStr">
        <is>
          <t>CORPORATIVO</t>
        </is>
      </c>
      <c r="AI380" t="inlineStr">
        <is>
          <t>MGARCIAR@BANCOBASE.COM</t>
        </is>
      </c>
      <c r="AJ380" s="151" t="n">
        <v>46027</v>
      </c>
      <c r="AK380" s="151" t="n"/>
      <c r="AL380" s="151" t="n"/>
    </row>
    <row r="381" hidden="1" s="150">
      <c r="A381" t="inlineStr">
        <is>
          <t>EGARCIAP</t>
        </is>
      </c>
      <c r="B381" t="n">
        <v>2361</v>
      </c>
      <c r="C381" t="inlineStr">
        <is>
          <t>EDUARDO IVAN GARCIA PEQUEÑO</t>
        </is>
      </c>
      <c r="D381" t="n">
        <v>10381</v>
      </c>
      <c r="E381" t="inlineStr">
        <is>
          <t>COORDINADOR DE DETECCION Y RESPUESTA DE SI</t>
        </is>
      </c>
      <c r="F381" t="inlineStr">
        <is>
          <t>MONTERREY</t>
        </is>
      </c>
      <c r="G381" t="n">
        <v>2618</v>
      </c>
      <c r="H381" t="inlineStr">
        <is>
          <t>CARLOS FERNANDO RODRIGUEZ DE LA PEÑA</t>
        </is>
      </c>
      <c r="I381" t="n">
        <v>9519</v>
      </c>
      <c r="J381" t="inlineStr">
        <is>
          <t>DIRECTOR DE SEGURIDAD DE LA INFORMACION</t>
        </is>
      </c>
      <c r="K381" t="n">
        <v>1</v>
      </c>
      <c r="L381" t="inlineStr">
        <is>
          <t>PRESIDENCIA EJECUTIVA DEL CONSEJO</t>
        </is>
      </c>
      <c r="M381" t="n">
        <v>40</v>
      </c>
      <c r="N381" t="inlineStr">
        <is>
          <t>DIRECCION GENERAL BANCO BASE</t>
        </is>
      </c>
      <c r="O381" t="n">
        <v>440</v>
      </c>
      <c r="P381" t="inlineStr">
        <is>
          <t>DIRECCION DE CONTRALORIA Y PREVENCION</t>
        </is>
      </c>
      <c r="Q381" t="n">
        <v>4490</v>
      </c>
      <c r="R381" t="inlineStr">
        <is>
          <t>SEGURIDAD DE LA INFORMACION</t>
        </is>
      </c>
      <c r="S381" t="n">
        <v>44900</v>
      </c>
      <c r="T381" t="inlineStr">
        <is>
          <t>SEGURIDAD DE LA INFORMACION</t>
        </is>
      </c>
      <c r="U381" t="n">
        <v>449000</v>
      </c>
      <c r="V381" t="inlineStr">
        <is>
          <t>SEGURIDAD DE LA INFORMACION</t>
        </is>
      </c>
      <c r="W381" t="n">
        <v>100101</v>
      </c>
      <c r="X381" t="inlineStr">
        <is>
          <t>CORPORATIVO</t>
        </is>
      </c>
      <c r="Y381" t="n">
        <v>4</v>
      </c>
      <c r="Z381" t="inlineStr">
        <is>
          <t>CORPORATIVO</t>
        </is>
      </c>
      <c r="AA381" t="n">
        <v>1</v>
      </c>
      <c r="AB381" t="inlineStr">
        <is>
          <t>NEGOCIO EN MARCHA</t>
        </is>
      </c>
      <c r="AC381" t="n">
        <v>1</v>
      </c>
      <c r="AD381" t="inlineStr">
        <is>
          <t>BANCO</t>
        </is>
      </c>
      <c r="AE381" t="n">
        <v>1</v>
      </c>
      <c r="AF381" t="inlineStr">
        <is>
          <t>BACK</t>
        </is>
      </c>
      <c r="AG381" t="n">
        <v>100101</v>
      </c>
      <c r="AH381" t="inlineStr">
        <is>
          <t>CORPORATIVO</t>
        </is>
      </c>
      <c r="AI381" t="inlineStr">
        <is>
          <t>EGARCIAP@BANCOBASE.COM</t>
        </is>
      </c>
      <c r="AJ381" s="151" t="n">
        <v>43808</v>
      </c>
      <c r="AK381" s="151" t="n"/>
      <c r="AL381" s="151" t="n"/>
    </row>
    <row r="382" hidden="1" s="150">
      <c r="A382" t="inlineStr">
        <is>
          <t>JMONTOYA</t>
        </is>
      </c>
      <c r="B382" t="n">
        <v>1976</v>
      </c>
      <c r="C382" t="inlineStr">
        <is>
          <t>JOSE LUIS MONTOYA SANCHEZ</t>
        </is>
      </c>
      <c r="D382" t="n">
        <v>8208</v>
      </c>
      <c r="E382" t="inlineStr">
        <is>
          <t>GERENTE DE DETECCION E INTELIGENCIA DE PDF</t>
        </is>
      </c>
      <c r="F382" t="inlineStr">
        <is>
          <t>MONTERREY</t>
        </is>
      </c>
      <c r="G382" t="n">
        <v>2618</v>
      </c>
      <c r="H382" t="inlineStr">
        <is>
          <t>CARLOS FERNANDO RODRIGUEZ DE LA PEÑA</t>
        </is>
      </c>
      <c r="I382" t="n">
        <v>9519</v>
      </c>
      <c r="J382" t="inlineStr">
        <is>
          <t>DIRECTOR DE SEGURIDAD DE LA INFORMACION</t>
        </is>
      </c>
      <c r="K382" t="n">
        <v>1</v>
      </c>
      <c r="L382" t="inlineStr">
        <is>
          <t>PRESIDENCIA EJECUTIVA DEL CONSEJO</t>
        </is>
      </c>
      <c r="M382" t="n">
        <v>40</v>
      </c>
      <c r="N382" t="inlineStr">
        <is>
          <t>DIRECCION GENERAL BANCO BASE</t>
        </is>
      </c>
      <c r="O382" t="n">
        <v>440</v>
      </c>
      <c r="P382" t="inlineStr">
        <is>
          <t>DIRECCION DE CONTRALORIA Y PREVENCION</t>
        </is>
      </c>
      <c r="Q382" t="n">
        <v>4490</v>
      </c>
      <c r="R382" t="inlineStr">
        <is>
          <t>SEGURIDAD DE LA INFORMACION</t>
        </is>
      </c>
      <c r="S382" t="n">
        <v>49130</v>
      </c>
      <c r="T382" t="inlineStr">
        <is>
          <t>GERENCIA DE DETECCION E INTELIGENCIA DE PDF</t>
        </is>
      </c>
      <c r="U382" t="n">
        <v>491300</v>
      </c>
      <c r="V382" t="inlineStr">
        <is>
          <t>PREVENCION DE FRAUDES</t>
        </is>
      </c>
      <c r="W382" t="n">
        <v>100101</v>
      </c>
      <c r="X382" t="inlineStr">
        <is>
          <t>CORPORATIVO</t>
        </is>
      </c>
      <c r="Y382" t="n">
        <v>4</v>
      </c>
      <c r="Z382" t="inlineStr">
        <is>
          <t>CORPORATIVO</t>
        </is>
      </c>
      <c r="AA382" t="n">
        <v>1</v>
      </c>
      <c r="AB382" t="inlineStr">
        <is>
          <t>NEGOCIO EN MARCHA</t>
        </is>
      </c>
      <c r="AC382" t="n">
        <v>1</v>
      </c>
      <c r="AD382" t="inlineStr">
        <is>
          <t>BANCO</t>
        </is>
      </c>
      <c r="AE382" t="n">
        <v>1</v>
      </c>
      <c r="AF382" t="inlineStr">
        <is>
          <t>BACK</t>
        </is>
      </c>
      <c r="AG382" t="n">
        <v>100101</v>
      </c>
      <c r="AH382" t="inlineStr">
        <is>
          <t>CORPORATIVO</t>
        </is>
      </c>
      <c r="AI382" t="inlineStr">
        <is>
          <t>JMONTOYA@BANCOBASE.COM</t>
        </is>
      </c>
      <c r="AJ382" s="151" t="n">
        <v>43192</v>
      </c>
      <c r="AK382" s="151" t="n"/>
      <c r="AL382" s="151" t="n"/>
    </row>
    <row r="383" hidden="1" s="150">
      <c r="A383" t="inlineStr">
        <is>
          <t>SLOPEZR</t>
        </is>
      </c>
      <c r="B383" t="n">
        <v>1098</v>
      </c>
      <c r="C383" t="inlineStr">
        <is>
          <t>SERGIO ANTONIO LOPEZ RANGEL</t>
        </is>
      </c>
      <c r="D383" t="n">
        <v>8231</v>
      </c>
      <c r="E383" t="inlineStr">
        <is>
          <t>COORDINADOR DE CONTROL OPERATIVO Y MITIGACION</t>
        </is>
      </c>
      <c r="F383" t="inlineStr">
        <is>
          <t>MONTERREY</t>
        </is>
      </c>
      <c r="G383" t="n">
        <v>1976</v>
      </c>
      <c r="H383" t="inlineStr">
        <is>
          <t>JOSE LUIS MONTOYA SANCHEZ</t>
        </is>
      </c>
      <c r="I383" t="n">
        <v>8208</v>
      </c>
      <c r="J383" t="inlineStr">
        <is>
          <t>GERENTE DE DETECCION E INTELIGENCIA DE PDF</t>
        </is>
      </c>
      <c r="K383" t="n">
        <v>1</v>
      </c>
      <c r="L383" t="inlineStr">
        <is>
          <t>PRESIDENCIA EJECUTIVA DEL CONSEJO</t>
        </is>
      </c>
      <c r="M383" t="n">
        <v>40</v>
      </c>
      <c r="N383" t="inlineStr">
        <is>
          <t>DIRECCION GENERAL BANCO BASE</t>
        </is>
      </c>
      <c r="O383" t="n">
        <v>440</v>
      </c>
      <c r="P383" t="inlineStr">
        <is>
          <t>DIRECCION DE CONTRALORIA Y PREVENCION</t>
        </is>
      </c>
      <c r="Q383" t="n">
        <v>4490</v>
      </c>
      <c r="R383" t="inlineStr">
        <is>
          <t>SEGURIDAD DE LA INFORMACION</t>
        </is>
      </c>
      <c r="S383" t="n">
        <v>49130</v>
      </c>
      <c r="T383" t="inlineStr">
        <is>
          <t>GERENCIA DE DETECCION E INTELIGENCIA DE PDF</t>
        </is>
      </c>
      <c r="U383" t="n">
        <v>491300</v>
      </c>
      <c r="V383" t="inlineStr">
        <is>
          <t>PREVENCION DE FRAUDES</t>
        </is>
      </c>
      <c r="W383" t="n">
        <v>100101</v>
      </c>
      <c r="X383" t="inlineStr">
        <is>
          <t>CORPORATIVO</t>
        </is>
      </c>
      <c r="Y383" t="n">
        <v>4</v>
      </c>
      <c r="Z383" t="inlineStr">
        <is>
          <t>CORPORATIVO</t>
        </is>
      </c>
      <c r="AA383" t="n">
        <v>1</v>
      </c>
      <c r="AB383" t="inlineStr">
        <is>
          <t>NEGOCIO EN MARCHA</t>
        </is>
      </c>
      <c r="AC383" t="n">
        <v>1</v>
      </c>
      <c r="AD383" t="inlineStr">
        <is>
          <t>BANCO</t>
        </is>
      </c>
      <c r="AE383" t="n">
        <v>1</v>
      </c>
      <c r="AF383" t="inlineStr">
        <is>
          <t>BACK</t>
        </is>
      </c>
      <c r="AG383" t="n">
        <v>100101</v>
      </c>
      <c r="AH383" t="inlineStr">
        <is>
          <t>CORPORATIVO</t>
        </is>
      </c>
      <c r="AI383" t="inlineStr">
        <is>
          <t>SLOPEZR@BANCOBASE.COM</t>
        </is>
      </c>
      <c r="AJ383" s="151" t="n">
        <v>41641</v>
      </c>
      <c r="AK383" s="151" t="n"/>
      <c r="AL383" s="151" t="n"/>
    </row>
    <row r="384" hidden="1" s="150">
      <c r="A384" t="inlineStr">
        <is>
          <t>FMARTINEZD</t>
        </is>
      </c>
      <c r="B384" t="n">
        <v>3545</v>
      </c>
      <c r="C384" t="inlineStr">
        <is>
          <t>FELIPE ARIAN MARTINEZ DAVILA</t>
        </is>
      </c>
      <c r="D384" t="n">
        <v>8705</v>
      </c>
      <c r="E384" t="inlineStr">
        <is>
          <t>ANALISTA DE CONTENCION Y GESTION OPERATIVA</t>
        </is>
      </c>
      <c r="F384" t="inlineStr">
        <is>
          <t>MONTERREY</t>
        </is>
      </c>
      <c r="G384" t="n">
        <v>1098</v>
      </c>
      <c r="H384" t="inlineStr">
        <is>
          <t>SERGIO ANTONIO LOPEZ RANGEL</t>
        </is>
      </c>
      <c r="I384" t="n">
        <v>8231</v>
      </c>
      <c r="J384" t="inlineStr">
        <is>
          <t>COORDINADOR DE CONTROL OPERATIVO Y MITIGACION</t>
        </is>
      </c>
      <c r="K384" t="n">
        <v>1</v>
      </c>
      <c r="L384" t="inlineStr">
        <is>
          <t>PRESIDENCIA EJECUTIVA DEL CONSEJO</t>
        </is>
      </c>
      <c r="M384" t="n">
        <v>40</v>
      </c>
      <c r="N384" t="inlineStr">
        <is>
          <t>DIRECCION GENERAL BANCO BASE</t>
        </is>
      </c>
      <c r="O384" t="n">
        <v>440</v>
      </c>
      <c r="P384" t="inlineStr">
        <is>
          <t>DIRECCION DE CONTRALORIA Y PREVENCION</t>
        </is>
      </c>
      <c r="Q384" t="n">
        <v>4490</v>
      </c>
      <c r="R384" t="inlineStr">
        <is>
          <t>SEGURIDAD DE LA INFORMACION</t>
        </is>
      </c>
      <c r="S384" t="n">
        <v>49130</v>
      </c>
      <c r="T384" t="inlineStr">
        <is>
          <t>GERENCIA DE DETECCION E INTELIGENCIA DE PDF</t>
        </is>
      </c>
      <c r="U384" t="n">
        <v>491300</v>
      </c>
      <c r="V384" t="inlineStr">
        <is>
          <t>PREVENCION DE FRAUDES</t>
        </is>
      </c>
      <c r="W384" t="n">
        <v>100101</v>
      </c>
      <c r="X384" t="inlineStr">
        <is>
          <t>CORPORATIVO</t>
        </is>
      </c>
      <c r="Y384" t="n">
        <v>4</v>
      </c>
      <c r="Z384" t="inlineStr">
        <is>
          <t>CORPORATIVO</t>
        </is>
      </c>
      <c r="AA384" t="n">
        <v>1</v>
      </c>
      <c r="AB384" t="inlineStr">
        <is>
          <t>NEGOCIO EN MARCHA</t>
        </is>
      </c>
      <c r="AC384" t="n">
        <v>1</v>
      </c>
      <c r="AD384" t="inlineStr">
        <is>
          <t>BANCO</t>
        </is>
      </c>
      <c r="AE384" t="n">
        <v>1</v>
      </c>
      <c r="AF384" t="inlineStr">
        <is>
          <t>BACK</t>
        </is>
      </c>
      <c r="AG384" t="n">
        <v>100101</v>
      </c>
      <c r="AH384" t="inlineStr">
        <is>
          <t>CORPORATIVO</t>
        </is>
      </c>
      <c r="AI384" t="inlineStr">
        <is>
          <t>FMARTINEZD@BANCOBASE.COM</t>
        </is>
      </c>
      <c r="AJ384" s="151" t="n">
        <v>45901</v>
      </c>
      <c r="AK384" s="151" t="n"/>
      <c r="AL384" s="151" t="n"/>
    </row>
    <row r="385" hidden="1" s="150">
      <c r="A385" t="inlineStr">
        <is>
          <t>RVIEZCA</t>
        </is>
      </c>
      <c r="B385" t="n">
        <v>3305</v>
      </c>
      <c r="C385" t="inlineStr">
        <is>
          <t>ROBERTO ALEJANDRO VIEZCA GARCIA</t>
        </is>
      </c>
      <c r="D385" t="n">
        <v>8474</v>
      </c>
      <c r="E385" t="inlineStr">
        <is>
          <t>ANALISTA DE CONTENCION Y GESTION OPERATIVA</t>
        </is>
      </c>
      <c r="F385" t="inlineStr">
        <is>
          <t>MONTERREY</t>
        </is>
      </c>
      <c r="G385" t="n">
        <v>1098</v>
      </c>
      <c r="H385" t="inlineStr">
        <is>
          <t>SERGIO ANTONIO LOPEZ RANGEL</t>
        </is>
      </c>
      <c r="I385" t="n">
        <v>8231</v>
      </c>
      <c r="J385" t="inlineStr">
        <is>
          <t>COORDINADOR DE CONTROL OPERATIVO Y MITIGACION</t>
        </is>
      </c>
      <c r="K385" t="n">
        <v>1</v>
      </c>
      <c r="L385" t="inlineStr">
        <is>
          <t>PRESIDENCIA EJECUTIVA DEL CONSEJO</t>
        </is>
      </c>
      <c r="M385" t="n">
        <v>40</v>
      </c>
      <c r="N385" t="inlineStr">
        <is>
          <t>DIRECCION GENERAL BANCO BASE</t>
        </is>
      </c>
      <c r="O385" t="n">
        <v>440</v>
      </c>
      <c r="P385" t="inlineStr">
        <is>
          <t>DIRECCION DE CONTRALORIA Y PREVENCION</t>
        </is>
      </c>
      <c r="Q385" t="n">
        <v>4490</v>
      </c>
      <c r="R385" t="inlineStr">
        <is>
          <t>SEGURIDAD DE LA INFORMACION</t>
        </is>
      </c>
      <c r="S385" t="n">
        <v>49130</v>
      </c>
      <c r="T385" t="inlineStr">
        <is>
          <t>GERENCIA DE DETECCION E INTELIGENCIA DE PDF</t>
        </is>
      </c>
      <c r="U385" t="n">
        <v>491300</v>
      </c>
      <c r="V385" t="inlineStr">
        <is>
          <t>PREVENCION DE FRAUDES</t>
        </is>
      </c>
      <c r="W385" t="n">
        <v>100101</v>
      </c>
      <c r="X385" t="inlineStr">
        <is>
          <t>CORPORATIVO</t>
        </is>
      </c>
      <c r="Y385" t="n">
        <v>4</v>
      </c>
      <c r="Z385" t="inlineStr">
        <is>
          <t>CORPORATIVO</t>
        </is>
      </c>
      <c r="AA385" t="n">
        <v>1</v>
      </c>
      <c r="AB385" t="inlineStr">
        <is>
          <t>NEGOCIO EN MARCHA</t>
        </is>
      </c>
      <c r="AC385" t="n">
        <v>1</v>
      </c>
      <c r="AD385" t="inlineStr">
        <is>
          <t>BANCO</t>
        </is>
      </c>
      <c r="AE385" t="n">
        <v>1</v>
      </c>
      <c r="AF385" t="inlineStr">
        <is>
          <t>BACK</t>
        </is>
      </c>
      <c r="AG385" t="n">
        <v>100101</v>
      </c>
      <c r="AH385" t="inlineStr">
        <is>
          <t>CORPORATIVO</t>
        </is>
      </c>
      <c r="AI385" t="inlineStr">
        <is>
          <t>RVIEZCA@BANCOBASE.COM</t>
        </is>
      </c>
      <c r="AJ385" s="151" t="n">
        <v>45663</v>
      </c>
      <c r="AK385" s="151" t="n"/>
      <c r="AL385" s="151" t="n"/>
    </row>
    <row r="386" hidden="1" s="150">
      <c r="A386" t="inlineStr">
        <is>
          <t>GGARZAO</t>
        </is>
      </c>
      <c r="B386" t="n">
        <v>2995</v>
      </c>
      <c r="C386" t="inlineStr">
        <is>
          <t>GABRIELA LIZBETH GARZA OCHOA</t>
        </is>
      </c>
      <c r="D386" t="n">
        <v>8268</v>
      </c>
      <c r="E386" t="inlineStr">
        <is>
          <t>ANALISTA DE MONITOREO TRANSACCIONAL PDF</t>
        </is>
      </c>
      <c r="F386" t="inlineStr">
        <is>
          <t>MONTERREY</t>
        </is>
      </c>
      <c r="G386" t="n">
        <v>1976</v>
      </c>
      <c r="H386" t="inlineStr">
        <is>
          <t>JOSE LUIS MONTOYA SANCHEZ</t>
        </is>
      </c>
      <c r="I386" t="n">
        <v>8208</v>
      </c>
      <c r="J386" t="inlineStr">
        <is>
          <t>GERENTE DE DETECCION E INTELIGENCIA DE PDF</t>
        </is>
      </c>
      <c r="K386" t="n">
        <v>1</v>
      </c>
      <c r="L386" t="inlineStr">
        <is>
          <t>PRESIDENCIA EJECUTIVA DEL CONSEJO</t>
        </is>
      </c>
      <c r="M386" t="n">
        <v>40</v>
      </c>
      <c r="N386" t="inlineStr">
        <is>
          <t>DIRECCION GENERAL BANCO BASE</t>
        </is>
      </c>
      <c r="O386" t="n">
        <v>440</v>
      </c>
      <c r="P386" t="inlineStr">
        <is>
          <t>DIRECCION DE CONTRALORIA Y PREVENCION</t>
        </is>
      </c>
      <c r="Q386" t="n">
        <v>4490</v>
      </c>
      <c r="R386" t="inlineStr">
        <is>
          <t>SEGURIDAD DE LA INFORMACION</t>
        </is>
      </c>
      <c r="S386" t="n">
        <v>49130</v>
      </c>
      <c r="T386" t="inlineStr">
        <is>
          <t>GERENCIA DE DETECCION E INTELIGENCIA DE PDF</t>
        </is>
      </c>
      <c r="U386" t="n">
        <v>491300</v>
      </c>
      <c r="V386" t="inlineStr">
        <is>
          <t>PREVENCION DE FRAUDES</t>
        </is>
      </c>
      <c r="W386" t="n">
        <v>100101</v>
      </c>
      <c r="X386" t="inlineStr">
        <is>
          <t>CORPORATIVO</t>
        </is>
      </c>
      <c r="Y386" t="n">
        <v>4</v>
      </c>
      <c r="Z386" t="inlineStr">
        <is>
          <t>CORPORATIVO</t>
        </is>
      </c>
      <c r="AA386" t="n">
        <v>1</v>
      </c>
      <c r="AB386" t="inlineStr">
        <is>
          <t>NEGOCIO EN MARCHA</t>
        </is>
      </c>
      <c r="AC386" t="n">
        <v>1</v>
      </c>
      <c r="AD386" t="inlineStr">
        <is>
          <t>BANCO</t>
        </is>
      </c>
      <c r="AE386" t="n">
        <v>1</v>
      </c>
      <c r="AF386" t="inlineStr">
        <is>
          <t>BACK</t>
        </is>
      </c>
      <c r="AG386" t="n">
        <v>100101</v>
      </c>
      <c r="AH386" t="inlineStr">
        <is>
          <t>CORPORATIVO</t>
        </is>
      </c>
      <c r="AI386" t="inlineStr">
        <is>
          <t>GGARZAO@BANCOBASE.COM</t>
        </is>
      </c>
      <c r="AJ386" s="151" t="n">
        <v>45261</v>
      </c>
      <c r="AK386" s="151" t="n"/>
      <c r="AL386" s="151" t="n"/>
    </row>
    <row r="387" hidden="1" s="150">
      <c r="A387" t="inlineStr">
        <is>
          <t>EGONZALEZ</t>
        </is>
      </c>
      <c r="B387" t="n">
        <v>364</v>
      </c>
      <c r="C387" t="inlineStr">
        <is>
          <t>EDITH GONZALEZ VILLARREAL</t>
        </is>
      </c>
      <c r="D387" t="n">
        <v>9452</v>
      </c>
      <c r="E387" t="inlineStr">
        <is>
          <t>DIRECTOR DE TALENTO, SOSTENIBILIDAD Y COMUNICACION</t>
        </is>
      </c>
      <c r="F387" t="inlineStr">
        <is>
          <t>MONTERREY</t>
        </is>
      </c>
      <c r="G387" t="n">
        <v>386</v>
      </c>
      <c r="H387" t="inlineStr">
        <is>
          <t>JULIO RICARDO ESCANDON JIMENEZ</t>
        </is>
      </c>
      <c r="I387" t="n">
        <v>10324</v>
      </c>
      <c r="J387" t="inlineStr">
        <is>
          <t>DIRECTOR GENERAL</t>
        </is>
      </c>
      <c r="K387" t="n">
        <v>1</v>
      </c>
      <c r="L387" t="inlineStr">
        <is>
          <t>PRESIDENCIA EJECUTIVA DEL CONSEJO</t>
        </is>
      </c>
      <c r="M387" t="n">
        <v>40</v>
      </c>
      <c r="N387" t="inlineStr">
        <is>
          <t>DIRECCION GENERAL BANCO BASE</t>
        </is>
      </c>
      <c r="O387" t="n">
        <v>430</v>
      </c>
      <c r="P387" t="inlineStr">
        <is>
          <t>DIRECCION DE TALENTO SOSTENIBILIDAD Y COMUNICACION</t>
        </is>
      </c>
      <c r="Q387" t="n">
        <v>4300</v>
      </c>
      <c r="R387" t="inlineStr">
        <is>
          <t>DIRECCION DE TALENTO SOSTENIBILIDAD Y COMUNICACION</t>
        </is>
      </c>
      <c r="S387" t="n">
        <v>43000</v>
      </c>
      <c r="T387" t="inlineStr">
        <is>
          <t>DIRECCION DE TALENTO SOSTENIBILIDAD Y COMUNICACION</t>
        </is>
      </c>
      <c r="U387" t="n">
        <v>430000</v>
      </c>
      <c r="V387" t="inlineStr">
        <is>
          <t>DIRECCION DE TALENTO SOSTENIBILIDAD Y COMUNICACION</t>
        </is>
      </c>
      <c r="W387" t="n">
        <v>100101</v>
      </c>
      <c r="X387" t="inlineStr">
        <is>
          <t>CORPORATIVO</t>
        </is>
      </c>
      <c r="Y387" t="n">
        <v>4</v>
      </c>
      <c r="Z387" t="inlineStr">
        <is>
          <t>CORPORATIVO</t>
        </is>
      </c>
      <c r="AA387" t="n">
        <v>1</v>
      </c>
      <c r="AB387" t="inlineStr">
        <is>
          <t>NEGOCIO EN MARCHA</t>
        </is>
      </c>
      <c r="AC387" t="n">
        <v>1</v>
      </c>
      <c r="AD387" t="inlineStr">
        <is>
          <t>BANCO</t>
        </is>
      </c>
      <c r="AE387" t="n">
        <v>1</v>
      </c>
      <c r="AF387" t="inlineStr">
        <is>
          <t>BACK</t>
        </is>
      </c>
      <c r="AG387" t="n">
        <v>100101</v>
      </c>
      <c r="AH387" t="inlineStr">
        <is>
          <t>CORPORATIVO</t>
        </is>
      </c>
      <c r="AI387" t="inlineStr">
        <is>
          <t>EGONZALEZ@BANCOBASE.COM</t>
        </is>
      </c>
      <c r="AJ387" s="151" t="n">
        <v>39022</v>
      </c>
      <c r="AK387" s="151" t="n"/>
      <c r="AL387" s="151" t="n"/>
    </row>
    <row r="388" hidden="1" s="150">
      <c r="A388" t="inlineStr">
        <is>
          <t>DVALDIVIA</t>
        </is>
      </c>
      <c r="B388" t="n">
        <v>3711</v>
      </c>
      <c r="C388" t="inlineStr">
        <is>
          <t>DEBANHI PAOLA VALDIVIA MENDOZA</t>
        </is>
      </c>
      <c r="D388" t="n">
        <v>9128</v>
      </c>
      <c r="E388" t="inlineStr">
        <is>
          <t>ANALISTA DE GESTION DE TALENTO Y CULTURA</t>
        </is>
      </c>
      <c r="F388" t="inlineStr">
        <is>
          <t>MONTERREY</t>
        </is>
      </c>
      <c r="G388" t="n">
        <v>364</v>
      </c>
      <c r="H388" t="inlineStr">
        <is>
          <t>EDITH GONZALEZ VILLARREAL</t>
        </is>
      </c>
      <c r="I388" t="n">
        <v>9452</v>
      </c>
      <c r="J388" t="inlineStr">
        <is>
          <t>DIRECTOR DE TALENTO, SOSTENIBILIDAD Y COMUNICACION</t>
        </is>
      </c>
      <c r="K388" t="n">
        <v>1</v>
      </c>
      <c r="L388" t="inlineStr">
        <is>
          <t>PRESIDENCIA EJECUTIVA DEL CONSEJO</t>
        </is>
      </c>
      <c r="M388" t="n">
        <v>40</v>
      </c>
      <c r="N388" t="inlineStr">
        <is>
          <t>DIRECCION GENERAL BANCO BASE</t>
        </is>
      </c>
      <c r="O388" t="n">
        <v>430</v>
      </c>
      <c r="P388" t="inlineStr">
        <is>
          <t>DIRECCION DE TALENTO SOSTENIBILIDAD Y COMUNICACION</t>
        </is>
      </c>
      <c r="Q388" t="n">
        <v>4300</v>
      </c>
      <c r="R388" t="inlineStr">
        <is>
          <t>DIRECCION DE TALENTO SOSTENIBILIDAD Y COMUNICACION</t>
        </is>
      </c>
      <c r="S388" t="n">
        <v>43000</v>
      </c>
      <c r="T388" t="inlineStr">
        <is>
          <t>DIRECCION DE TALENTO SOSTENIBILIDAD Y COMUNICACION</t>
        </is>
      </c>
      <c r="U388" t="n">
        <v>430000</v>
      </c>
      <c r="V388" t="inlineStr">
        <is>
          <t>DIRECCION DE TALENTO SOSTENIBILIDAD Y COMUNICACION</t>
        </is>
      </c>
      <c r="W388" t="n">
        <v>100101</v>
      </c>
      <c r="X388" t="inlineStr">
        <is>
          <t>CORPORATIVO</t>
        </is>
      </c>
      <c r="Y388" t="n">
        <v>4</v>
      </c>
      <c r="Z388" t="inlineStr">
        <is>
          <t>CORPORATIVO</t>
        </is>
      </c>
      <c r="AA388" t="n">
        <v>1</v>
      </c>
      <c r="AB388" t="inlineStr">
        <is>
          <t>NEGOCIO EN MARCHA</t>
        </is>
      </c>
      <c r="AC388" t="n">
        <v>1</v>
      </c>
      <c r="AD388" t="inlineStr">
        <is>
          <t>BANCO</t>
        </is>
      </c>
      <c r="AE388" t="n">
        <v>1</v>
      </c>
      <c r="AF388" t="inlineStr">
        <is>
          <t>BACK</t>
        </is>
      </c>
      <c r="AG388" t="n">
        <v>100101</v>
      </c>
      <c r="AH388" t="inlineStr">
        <is>
          <t>CORPORATIVO</t>
        </is>
      </c>
      <c r="AI388" t="inlineStr">
        <is>
          <t>DVALDIVIA@BANCOBASE.COM</t>
        </is>
      </c>
      <c r="AJ388" s="151" t="n">
        <v>46023</v>
      </c>
      <c r="AK388" s="151" t="n"/>
      <c r="AL388" s="151" t="n"/>
    </row>
    <row r="389" hidden="1" s="150">
      <c r="A389" t="inlineStr">
        <is>
          <t>MCALDERON</t>
        </is>
      </c>
      <c r="B389" t="n">
        <v>1848</v>
      </c>
      <c r="C389" t="inlineStr">
        <is>
          <t>MARIANA CALDERON DE LA BARCA MARTINEZ</t>
        </is>
      </c>
      <c r="D389" t="n">
        <v>33</v>
      </c>
      <c r="E389" t="inlineStr">
        <is>
          <t>SUBDIRECTOR DE TALENTO Y CULTURA</t>
        </is>
      </c>
      <c r="F389" t="inlineStr">
        <is>
          <t>MEXICO</t>
        </is>
      </c>
      <c r="G389" t="n">
        <v>364</v>
      </c>
      <c r="H389" t="inlineStr">
        <is>
          <t>EDITH GONZALEZ VILLARREAL</t>
        </is>
      </c>
      <c r="I389" t="n">
        <v>9452</v>
      </c>
      <c r="J389" t="inlineStr">
        <is>
          <t>DIRECTOR DE TALENTO, SOSTENIBILIDAD Y COMUNICACION</t>
        </is>
      </c>
      <c r="K389" t="n">
        <v>1</v>
      </c>
      <c r="L389" t="inlineStr">
        <is>
          <t>PRESIDENCIA EJECUTIVA DEL CONSEJO</t>
        </is>
      </c>
      <c r="M389" t="n">
        <v>40</v>
      </c>
      <c r="N389" t="inlineStr">
        <is>
          <t>DIRECCION GENERAL BANCO BASE</t>
        </is>
      </c>
      <c r="O389" t="n">
        <v>430</v>
      </c>
      <c r="P389" t="inlineStr">
        <is>
          <t>DIRECCION DE TALENTO SOSTENIBILIDAD Y COMUNICACION</t>
        </is>
      </c>
      <c r="Q389" t="n">
        <v>4310</v>
      </c>
      <c r="R389" t="inlineStr">
        <is>
          <t>SUBDIRECCION DE TALENTO Y CULTURA</t>
        </is>
      </c>
      <c r="S389" t="n">
        <v>43100</v>
      </c>
      <c r="T389" t="inlineStr">
        <is>
          <t>SUBDIRECCION DE TALENTO Y CULTURA</t>
        </is>
      </c>
      <c r="U389" t="n">
        <v>431000</v>
      </c>
      <c r="V389" t="inlineStr">
        <is>
          <t>DIRECCION DE TALENTO Y CULTURA</t>
        </is>
      </c>
      <c r="W389" t="n">
        <v>134111</v>
      </c>
      <c r="X389" t="inlineStr">
        <is>
          <t>LOMAS</t>
        </is>
      </c>
      <c r="Y389" t="n">
        <v>4</v>
      </c>
      <c r="Z389" t="inlineStr">
        <is>
          <t>CORPORATIVO</t>
        </is>
      </c>
      <c r="AA389" t="n">
        <v>1</v>
      </c>
      <c r="AB389" t="inlineStr">
        <is>
          <t>NEGOCIO EN MARCHA</t>
        </is>
      </c>
      <c r="AC389" t="n">
        <v>1</v>
      </c>
      <c r="AD389" t="inlineStr">
        <is>
          <t>BANCO</t>
        </is>
      </c>
      <c r="AE389" t="n">
        <v>1</v>
      </c>
      <c r="AF389" t="inlineStr">
        <is>
          <t>BACK</t>
        </is>
      </c>
      <c r="AG389" t="n">
        <v>134111</v>
      </c>
      <c r="AH389" t="inlineStr">
        <is>
          <t>LOMAS</t>
        </is>
      </c>
      <c r="AI389" t="inlineStr">
        <is>
          <t>MCALDERON@BANCOBASE.COM</t>
        </is>
      </c>
      <c r="AJ389" s="151" t="n">
        <v>42996</v>
      </c>
      <c r="AK389" s="151" t="n"/>
      <c r="AL389" s="151" t="n"/>
    </row>
    <row r="390" hidden="1" s="150">
      <c r="A390" t="inlineStr">
        <is>
          <t>MDUENAS</t>
        </is>
      </c>
      <c r="B390" t="n">
        <v>3764</v>
      </c>
      <c r="C390" t="inlineStr">
        <is>
          <t>MARISOL DUENAS SANCHEZ</t>
        </is>
      </c>
      <c r="D390" t="n">
        <v>8967</v>
      </c>
      <c r="E390" t="inlineStr">
        <is>
          <t>ESPECIALISTA DE INCORPORACION DE TALENTO</t>
        </is>
      </c>
      <c r="F390" t="inlineStr">
        <is>
          <t>GUADALAJARA</t>
        </is>
      </c>
      <c r="G390" t="n">
        <v>1848</v>
      </c>
      <c r="H390" t="inlineStr">
        <is>
          <t>MARIANA CALDERON DE LA BARCA MARTINEZ</t>
        </is>
      </c>
      <c r="I390" t="n">
        <v>33</v>
      </c>
      <c r="J390" t="inlineStr">
        <is>
          <t>SUBDIRECTOR DE TALENTO Y CULTURA</t>
        </is>
      </c>
      <c r="K390" t="n">
        <v>1</v>
      </c>
      <c r="L390" t="inlineStr">
        <is>
          <t>PRESIDENCIA EJECUTIVA DEL CONSEJO</t>
        </is>
      </c>
      <c r="M390" t="n">
        <v>40</v>
      </c>
      <c r="N390" t="inlineStr">
        <is>
          <t>DIRECCION GENERAL BANCO BASE</t>
        </is>
      </c>
      <c r="O390" t="n">
        <v>430</v>
      </c>
      <c r="P390" t="inlineStr">
        <is>
          <t>DIRECCION DE TALENTO SOSTENIBILIDAD Y COMUNICACION</t>
        </is>
      </c>
      <c r="Q390" t="n">
        <v>4310</v>
      </c>
      <c r="R390" t="inlineStr">
        <is>
          <t>SUBDIRECCION DE TALENTO Y CULTURA</t>
        </is>
      </c>
      <c r="S390" t="n">
        <v>43100</v>
      </c>
      <c r="T390" t="inlineStr">
        <is>
          <t>SUBDIRECCION DE TALENTO Y CULTURA</t>
        </is>
      </c>
      <c r="U390" t="n">
        <v>431000</v>
      </c>
      <c r="V390" t="inlineStr">
        <is>
          <t>DIRECCION DE TALENTO Y CULTURA</t>
        </is>
      </c>
      <c r="W390" t="n">
        <v>126107</v>
      </c>
      <c r="X390" t="inlineStr">
        <is>
          <t>GUADALAJARA</t>
        </is>
      </c>
      <c r="Y390" t="n">
        <v>4</v>
      </c>
      <c r="Z390" t="inlineStr">
        <is>
          <t>CORPORATIVO</t>
        </is>
      </c>
      <c r="AA390" t="n">
        <v>1</v>
      </c>
      <c r="AB390" t="inlineStr">
        <is>
          <t>NEGOCIO EN MARCHA</t>
        </is>
      </c>
      <c r="AC390" t="n">
        <v>1</v>
      </c>
      <c r="AD390" t="inlineStr">
        <is>
          <t>BANCO</t>
        </is>
      </c>
      <c r="AE390" t="n">
        <v>1</v>
      </c>
      <c r="AF390" t="inlineStr">
        <is>
          <t>BACK</t>
        </is>
      </c>
      <c r="AG390" t="n">
        <v>126107</v>
      </c>
      <c r="AH390" t="inlineStr">
        <is>
          <t>GUADALAJARA</t>
        </is>
      </c>
      <c r="AI390" t="inlineStr">
        <is>
          <t>MDUENAS@BANCOBASE.COM</t>
        </is>
      </c>
      <c r="AJ390" s="151" t="n">
        <v>46069</v>
      </c>
      <c r="AK390" s="151" t="n"/>
      <c r="AL390" s="151" t="n"/>
    </row>
    <row r="391" hidden="1" s="150">
      <c r="A391" t="inlineStr">
        <is>
          <t>JMENDEZG</t>
        </is>
      </c>
      <c r="B391" t="n">
        <v>3553</v>
      </c>
      <c r="C391" t="inlineStr">
        <is>
          <t>JONATHAN ADRIAN MENDEZ GUZMAN</t>
        </is>
      </c>
      <c r="D391" t="n">
        <v>8778</v>
      </c>
      <c r="E391" t="inlineStr">
        <is>
          <t>ESPECIALISTA DE INCORPORACION DE TALENTO</t>
        </is>
      </c>
      <c r="F391" t="inlineStr">
        <is>
          <t>MEXICO</t>
        </is>
      </c>
      <c r="G391" t="n">
        <v>1848</v>
      </c>
      <c r="H391" t="inlineStr">
        <is>
          <t>MARIANA CALDERON DE LA BARCA MARTINEZ</t>
        </is>
      </c>
      <c r="I391" t="n">
        <v>33</v>
      </c>
      <c r="J391" t="inlineStr">
        <is>
          <t>SUBDIRECTOR DE TALENTO Y CULTURA</t>
        </is>
      </c>
      <c r="K391" t="n">
        <v>1</v>
      </c>
      <c r="L391" t="inlineStr">
        <is>
          <t>PRESIDENCIA EJECUTIVA DEL CONSEJO</t>
        </is>
      </c>
      <c r="M391" t="n">
        <v>40</v>
      </c>
      <c r="N391" t="inlineStr">
        <is>
          <t>DIRECCION GENERAL BANCO BASE</t>
        </is>
      </c>
      <c r="O391" t="n">
        <v>430</v>
      </c>
      <c r="P391" t="inlineStr">
        <is>
          <t>DIRECCION DE TALENTO SOSTENIBILIDAD Y COMUNICACION</t>
        </is>
      </c>
      <c r="Q391" t="n">
        <v>4310</v>
      </c>
      <c r="R391" t="inlineStr">
        <is>
          <t>SUBDIRECCION DE TALENTO Y CULTURA</t>
        </is>
      </c>
      <c r="S391" t="n">
        <v>43100</v>
      </c>
      <c r="T391" t="inlineStr">
        <is>
          <t>SUBDIRECCION DE TALENTO Y CULTURA</t>
        </is>
      </c>
      <c r="U391" t="n">
        <v>431000</v>
      </c>
      <c r="V391" t="inlineStr">
        <is>
          <t>DIRECCION DE TALENTO Y CULTURA</t>
        </is>
      </c>
      <c r="W391" t="n">
        <v>134111</v>
      </c>
      <c r="X391" t="inlineStr">
        <is>
          <t>LOMAS</t>
        </is>
      </c>
      <c r="Y391" t="n">
        <v>4</v>
      </c>
      <c r="Z391" t="inlineStr">
        <is>
          <t>CORPORATIVO</t>
        </is>
      </c>
      <c r="AA391" t="n">
        <v>1</v>
      </c>
      <c r="AB391" t="inlineStr">
        <is>
          <t>NEGOCIO EN MARCHA</t>
        </is>
      </c>
      <c r="AC391" t="n">
        <v>1</v>
      </c>
      <c r="AD391" t="inlineStr">
        <is>
          <t>BANCO</t>
        </is>
      </c>
      <c r="AE391" t="n">
        <v>1</v>
      </c>
      <c r="AF391" t="inlineStr">
        <is>
          <t>BACK</t>
        </is>
      </c>
      <c r="AG391" t="n">
        <v>134111</v>
      </c>
      <c r="AH391" t="inlineStr">
        <is>
          <t>LOMAS</t>
        </is>
      </c>
      <c r="AI391" t="inlineStr">
        <is>
          <t>JMENDEZG@BANCOBASE.COM</t>
        </is>
      </c>
      <c r="AJ391" s="151" t="n">
        <v>45901</v>
      </c>
      <c r="AK391" s="151" t="n"/>
      <c r="AL391" s="151" t="n"/>
    </row>
    <row r="392" hidden="1" s="150">
      <c r="A392" t="inlineStr">
        <is>
          <t>ESANCHEZSA</t>
        </is>
      </c>
      <c r="B392" t="n">
        <v>3715</v>
      </c>
      <c r="C392" t="inlineStr">
        <is>
          <t>ELIZABETH SANCHEZ SAMANIEGO</t>
        </is>
      </c>
      <c r="D392" t="n">
        <v>8953</v>
      </c>
      <c r="E392" t="inlineStr">
        <is>
          <t>ESPECIALISTA DE INCORPORACION DE TALENTO</t>
        </is>
      </c>
      <c r="F392" t="inlineStr">
        <is>
          <t>MONTERREY</t>
        </is>
      </c>
      <c r="G392" t="n">
        <v>1848</v>
      </c>
      <c r="H392" t="inlineStr">
        <is>
          <t>MARIANA CALDERON DE LA BARCA MARTINEZ</t>
        </is>
      </c>
      <c r="I392" t="n">
        <v>33</v>
      </c>
      <c r="J392" t="inlineStr">
        <is>
          <t>SUBDIRECTOR DE TALENTO Y CULTURA</t>
        </is>
      </c>
      <c r="K392" t="n">
        <v>1</v>
      </c>
      <c r="L392" t="inlineStr">
        <is>
          <t>PRESIDENCIA EJECUTIVA DEL CONSEJO</t>
        </is>
      </c>
      <c r="M392" t="n">
        <v>40</v>
      </c>
      <c r="N392" t="inlineStr">
        <is>
          <t>DIRECCION GENERAL BANCO BASE</t>
        </is>
      </c>
      <c r="O392" t="n">
        <v>430</v>
      </c>
      <c r="P392" t="inlineStr">
        <is>
          <t>DIRECCION DE TALENTO SOSTENIBILIDAD Y COMUNICACION</t>
        </is>
      </c>
      <c r="Q392" t="n">
        <v>4310</v>
      </c>
      <c r="R392" t="inlineStr">
        <is>
          <t>SUBDIRECCION DE TALENTO Y CULTURA</t>
        </is>
      </c>
      <c r="S392" t="n">
        <v>43100</v>
      </c>
      <c r="T392" t="inlineStr">
        <is>
          <t>SUBDIRECCION DE TALENTO Y CULTURA</t>
        </is>
      </c>
      <c r="U392" t="n">
        <v>431000</v>
      </c>
      <c r="V392" t="inlineStr">
        <is>
          <t>DIRECCION DE TALENTO Y CULTURA</t>
        </is>
      </c>
      <c r="W392" t="n">
        <v>100101</v>
      </c>
      <c r="X392" t="inlineStr">
        <is>
          <t>CORPORATIVO</t>
        </is>
      </c>
      <c r="Y392" t="n">
        <v>4</v>
      </c>
      <c r="Z392" t="inlineStr">
        <is>
          <t>CORPORATIVO</t>
        </is>
      </c>
      <c r="AA392" t="n">
        <v>1</v>
      </c>
      <c r="AB392" t="inlineStr">
        <is>
          <t>NEGOCIO EN MARCHA</t>
        </is>
      </c>
      <c r="AC392" t="n">
        <v>1</v>
      </c>
      <c r="AD392" t="inlineStr">
        <is>
          <t>BANCO</t>
        </is>
      </c>
      <c r="AE392" t="n">
        <v>1</v>
      </c>
      <c r="AF392" t="inlineStr">
        <is>
          <t>BACK</t>
        </is>
      </c>
      <c r="AG392" t="n">
        <v>100101</v>
      </c>
      <c r="AH392" t="inlineStr">
        <is>
          <t>CORPORATIVO</t>
        </is>
      </c>
      <c r="AI392" t="inlineStr">
        <is>
          <t>ESANCHEZSA@BANCOBASE.COM</t>
        </is>
      </c>
      <c r="AJ392" s="151" t="n">
        <v>46027</v>
      </c>
      <c r="AK392" s="151" t="n"/>
      <c r="AL392" s="151" t="n"/>
    </row>
    <row r="393" hidden="1" s="150">
      <c r="A393" t="inlineStr">
        <is>
          <t>JARECHIGA</t>
        </is>
      </c>
      <c r="B393" t="n">
        <v>3469</v>
      </c>
      <c r="C393" t="inlineStr">
        <is>
          <t>JORGE ISRAEL ARECHIGA FLORES</t>
        </is>
      </c>
      <c r="D393" t="n">
        <v>8699</v>
      </c>
      <c r="E393" t="inlineStr">
        <is>
          <t>ANALISTA DE ITAL</t>
        </is>
      </c>
      <c r="F393" t="inlineStr">
        <is>
          <t>MONTERREY</t>
        </is>
      </c>
      <c r="G393" t="n">
        <v>1848</v>
      </c>
      <c r="H393" t="inlineStr">
        <is>
          <t>MARIANA CALDERON DE LA BARCA MARTINEZ</t>
        </is>
      </c>
      <c r="I393" t="n">
        <v>33</v>
      </c>
      <c r="J393" t="inlineStr">
        <is>
          <t>SUBDIRECTOR DE TALENTO Y CULTURA</t>
        </is>
      </c>
      <c r="K393" t="n">
        <v>1</v>
      </c>
      <c r="L393" t="inlineStr">
        <is>
          <t>PRESIDENCIA EJECUTIVA DEL CONSEJO</t>
        </is>
      </c>
      <c r="M393" t="n">
        <v>40</v>
      </c>
      <c r="N393" t="inlineStr">
        <is>
          <t>DIRECCION GENERAL BANCO BASE</t>
        </is>
      </c>
      <c r="O393" t="n">
        <v>430</v>
      </c>
      <c r="P393" t="inlineStr">
        <is>
          <t>DIRECCION DE TALENTO SOSTENIBILIDAD Y COMUNICACION</t>
        </is>
      </c>
      <c r="Q393" t="n">
        <v>4310</v>
      </c>
      <c r="R393" t="inlineStr">
        <is>
          <t>SUBDIRECCION DE TALENTO Y CULTURA</t>
        </is>
      </c>
      <c r="S393" t="n">
        <v>43100</v>
      </c>
      <c r="T393" t="inlineStr">
        <is>
          <t>SUBDIRECCION DE TALENTO Y CULTURA</t>
        </is>
      </c>
      <c r="U393" t="n">
        <v>431000</v>
      </c>
      <c r="V393" t="inlineStr">
        <is>
          <t>DIRECCION DE TALENTO Y CULTURA</t>
        </is>
      </c>
      <c r="W393" t="n">
        <v>100101</v>
      </c>
      <c r="X393" t="inlineStr">
        <is>
          <t>CORPORATIVO</t>
        </is>
      </c>
      <c r="Y393" t="n">
        <v>4</v>
      </c>
      <c r="Z393" t="inlineStr">
        <is>
          <t>CORPORATIVO</t>
        </is>
      </c>
      <c r="AA393" t="n">
        <v>1</v>
      </c>
      <c r="AB393" t="inlineStr">
        <is>
          <t>NEGOCIO EN MARCHA</t>
        </is>
      </c>
      <c r="AC393" t="n">
        <v>1</v>
      </c>
      <c r="AD393" t="inlineStr">
        <is>
          <t>BANCO</t>
        </is>
      </c>
      <c r="AE393" t="n">
        <v>1</v>
      </c>
      <c r="AF393" t="inlineStr">
        <is>
          <t>BACK</t>
        </is>
      </c>
      <c r="AG393" t="n">
        <v>100101</v>
      </c>
      <c r="AH393" t="inlineStr">
        <is>
          <t>CORPORATIVO</t>
        </is>
      </c>
      <c r="AI393" t="inlineStr">
        <is>
          <t>JARECHIGA@BANCOBASE.COM</t>
        </is>
      </c>
      <c r="AJ393" s="151" t="n">
        <v>45839</v>
      </c>
      <c r="AK393" s="151" t="n"/>
      <c r="AL393" s="151" t="n"/>
    </row>
    <row r="394" hidden="1" s="150">
      <c r="A394" t="inlineStr">
        <is>
          <t>SOROZCO</t>
        </is>
      </c>
      <c r="B394" t="n">
        <v>99532</v>
      </c>
      <c r="C394" t="inlineStr">
        <is>
          <t>SANDRA BELEN OROZCO GOMEZ</t>
        </is>
      </c>
      <c r="D394" t="n">
        <v>7019</v>
      </c>
      <c r="E394" t="inlineStr">
        <is>
          <t>PRACTICANTE</t>
        </is>
      </c>
      <c r="F394" t="inlineStr">
        <is>
          <t>MEXICO</t>
        </is>
      </c>
      <c r="G394" t="n">
        <v>1848</v>
      </c>
      <c r="H394" t="inlineStr">
        <is>
          <t>MARIANA CALDERON DE LA BARCA MARTINEZ</t>
        </is>
      </c>
      <c r="I394" t="n">
        <v>33</v>
      </c>
      <c r="J394" t="inlineStr">
        <is>
          <t>SUBDIRECTOR DE TALENTO Y CULTURA</t>
        </is>
      </c>
      <c r="K394" t="n">
        <v>1</v>
      </c>
      <c r="L394" t="inlineStr">
        <is>
          <t>PRESIDENCIA EJECUTIVA DEL CONSEJO</t>
        </is>
      </c>
      <c r="M394" t="n">
        <v>40</v>
      </c>
      <c r="N394" t="inlineStr">
        <is>
          <t>DIRECCION GENERAL BANCO BASE</t>
        </is>
      </c>
      <c r="O394" t="n">
        <v>430</v>
      </c>
      <c r="P394" t="inlineStr">
        <is>
          <t>DIRECCION DE TALENTO SOSTENIBILIDAD Y COMUNICACION</t>
        </is>
      </c>
      <c r="Q394" t="n">
        <v>4310</v>
      </c>
      <c r="R394" t="inlineStr">
        <is>
          <t>SUBDIRECCION DE TALENTO Y CULTURA</t>
        </is>
      </c>
      <c r="S394" t="n">
        <v>43100</v>
      </c>
      <c r="T394" t="inlineStr">
        <is>
          <t>SUBDIRECCION DE TALENTO Y CULTURA</t>
        </is>
      </c>
      <c r="U394" t="n">
        <v>431000</v>
      </c>
      <c r="V394" t="inlineStr">
        <is>
          <t>DIRECCION DE TALENTO Y CULTURA</t>
        </is>
      </c>
      <c r="W394" t="n">
        <v>100101</v>
      </c>
      <c r="X394" t="inlineStr">
        <is>
          <t>CORPORATIVO</t>
        </is>
      </c>
      <c r="Y394" t="n">
        <v>4</v>
      </c>
      <c r="Z394" t="inlineStr">
        <is>
          <t>CORPORATIVO</t>
        </is>
      </c>
      <c r="AA394" t="n">
        <v>1</v>
      </c>
      <c r="AB394" t="inlineStr">
        <is>
          <t>NEGOCIO EN MARCHA</t>
        </is>
      </c>
      <c r="AC394" t="n">
        <v>1</v>
      </c>
      <c r="AD394" t="inlineStr">
        <is>
          <t>BANCO</t>
        </is>
      </c>
      <c r="AE394" t="n">
        <v>1</v>
      </c>
      <c r="AF394" t="inlineStr">
        <is>
          <t>BACK</t>
        </is>
      </c>
      <c r="AG394" t="n">
        <v>126102</v>
      </c>
      <c r="AH394" t="inlineStr">
        <is>
          <t>MONTERREY</t>
        </is>
      </c>
      <c r="AI394" t="inlineStr">
        <is>
          <t>SOROZCO@BANCOBASE.COM</t>
        </is>
      </c>
      <c r="AJ394" s="151" t="n">
        <v>46098</v>
      </c>
      <c r="AK394" s="151" t="n"/>
      <c r="AL394" s="151" t="n"/>
    </row>
    <row r="395" hidden="1" s="150">
      <c r="A395" t="inlineStr">
        <is>
          <t>MMEDINAH</t>
        </is>
      </c>
      <c r="B395" t="n">
        <v>99556</v>
      </c>
      <c r="C395" t="inlineStr">
        <is>
          <t>MARIANA ALEJANDRA MEDINA HERRERA</t>
        </is>
      </c>
      <c r="D395" t="n">
        <v>7005</v>
      </c>
      <c r="E395" t="inlineStr">
        <is>
          <t>PRACTICANTE</t>
        </is>
      </c>
      <c r="F395" t="inlineStr">
        <is>
          <t>MONTERREY</t>
        </is>
      </c>
      <c r="G395" t="n">
        <v>1848</v>
      </c>
      <c r="H395" t="inlineStr">
        <is>
          <t>MARIANA CALDERON DE LA BARCA MARTINEZ</t>
        </is>
      </c>
      <c r="I395" t="n">
        <v>33</v>
      </c>
      <c r="J395" t="inlineStr">
        <is>
          <t>SUBDIRECTOR DE TALENTO Y CULTURA</t>
        </is>
      </c>
      <c r="K395" t="n">
        <v>1</v>
      </c>
      <c r="L395" t="inlineStr">
        <is>
          <t>PRESIDENCIA EJECUTIVA DEL CONSEJO</t>
        </is>
      </c>
      <c r="M395" t="n">
        <v>40</v>
      </c>
      <c r="N395" t="inlineStr">
        <is>
          <t>DIRECCION GENERAL BANCO BASE</t>
        </is>
      </c>
      <c r="O395" t="n">
        <v>430</v>
      </c>
      <c r="P395" t="inlineStr">
        <is>
          <t>DIRECCION DE TALENTO SOSTENIBILIDAD Y COMUNICACION</t>
        </is>
      </c>
      <c r="Q395" t="n">
        <v>4310</v>
      </c>
      <c r="R395" t="inlineStr">
        <is>
          <t>SUBDIRECCION DE TALENTO Y CULTURA</t>
        </is>
      </c>
      <c r="S395" t="n">
        <v>43100</v>
      </c>
      <c r="T395" t="inlineStr">
        <is>
          <t>SUBDIRECCION DE TALENTO Y CULTURA</t>
        </is>
      </c>
      <c r="U395" t="n">
        <v>431000</v>
      </c>
      <c r="V395" t="inlineStr">
        <is>
          <t>DIRECCION DE TALENTO Y CULTURA</t>
        </is>
      </c>
      <c r="W395" t="n">
        <v>100101</v>
      </c>
      <c r="X395" t="inlineStr">
        <is>
          <t>CORPORATIVO</t>
        </is>
      </c>
      <c r="Y395" t="n">
        <v>4</v>
      </c>
      <c r="Z395" t="inlineStr">
        <is>
          <t>CORPORATIVO</t>
        </is>
      </c>
      <c r="AA395" t="n">
        <v>1</v>
      </c>
      <c r="AB395" t="inlineStr">
        <is>
          <t>NEGOCIO EN MARCHA</t>
        </is>
      </c>
      <c r="AC395" t="n">
        <v>1</v>
      </c>
      <c r="AD395" t="inlineStr">
        <is>
          <t>BANCO</t>
        </is>
      </c>
      <c r="AE395" t="n">
        <v>1</v>
      </c>
      <c r="AF395" t="inlineStr">
        <is>
          <t>BACK</t>
        </is>
      </c>
      <c r="AG395" t="n">
        <v>100101</v>
      </c>
      <c r="AH395" t="inlineStr">
        <is>
          <t>CORPORATIVO</t>
        </is>
      </c>
      <c r="AI395" t="inlineStr">
        <is>
          <t>MMEDINAH@BANCOBASE.COM</t>
        </is>
      </c>
      <c r="AJ395" s="151" t="n">
        <v>46244</v>
      </c>
      <c r="AK395" s="151" t="n"/>
      <c r="AL395" s="151" t="n"/>
    </row>
    <row r="396" hidden="1" s="150">
      <c r="A396" t="inlineStr">
        <is>
          <t>AMIYAR</t>
        </is>
      </c>
      <c r="B396" t="n">
        <v>492</v>
      </c>
      <c r="C396" t="inlineStr">
        <is>
          <t>ADRIANA JIMENA MIYAR ESPINOSA</t>
        </is>
      </c>
      <c r="D396" t="n">
        <v>192</v>
      </c>
      <c r="E396" t="inlineStr">
        <is>
          <t>SUBDIRECTOR DE ORGANIZACION Y COMPENSACIONES</t>
        </is>
      </c>
      <c r="F396" t="inlineStr">
        <is>
          <t>MONTERREY</t>
        </is>
      </c>
      <c r="G396" t="n">
        <v>364</v>
      </c>
      <c r="H396" t="inlineStr">
        <is>
          <t>EDITH GONZALEZ VILLARREAL</t>
        </is>
      </c>
      <c r="I396" t="n">
        <v>9452</v>
      </c>
      <c r="J396" t="inlineStr">
        <is>
          <t>DIRECTOR DE TALENTO, SOSTENIBILIDAD Y COMUNICACION</t>
        </is>
      </c>
      <c r="K396" t="n">
        <v>1</v>
      </c>
      <c r="L396" t="inlineStr">
        <is>
          <t>PRESIDENCIA EJECUTIVA DEL CONSEJO</t>
        </is>
      </c>
      <c r="M396" t="n">
        <v>40</v>
      </c>
      <c r="N396" t="inlineStr">
        <is>
          <t>DIRECCION GENERAL BANCO BASE</t>
        </is>
      </c>
      <c r="O396" t="n">
        <v>430</v>
      </c>
      <c r="P396" t="inlineStr">
        <is>
          <t>DIRECCION DE TALENTO SOSTENIBILIDAD Y COMUNICACION</t>
        </is>
      </c>
      <c r="Q396" t="n">
        <v>4320</v>
      </c>
      <c r="R396" t="inlineStr">
        <is>
          <t>SUBDIRECCION DE ORGANIZACION Y COMPENSACIONES</t>
        </is>
      </c>
      <c r="S396" t="n">
        <v>43200</v>
      </c>
      <c r="T396" t="inlineStr">
        <is>
          <t>SUBDIRECCION DE ORGANIZACION Y COMPENSACIONES</t>
        </is>
      </c>
      <c r="U396" t="n">
        <v>432000</v>
      </c>
      <c r="V396" t="inlineStr">
        <is>
          <t>SUBDIRECCION DE ORGANIZACION Y COMPENSACIONES</t>
        </is>
      </c>
      <c r="W396" t="n">
        <v>100101</v>
      </c>
      <c r="X396" t="inlineStr">
        <is>
          <t>CORPORATIVO</t>
        </is>
      </c>
      <c r="Y396" t="n">
        <v>4</v>
      </c>
      <c r="Z396" t="inlineStr">
        <is>
          <t>CORPORATIVO</t>
        </is>
      </c>
      <c r="AA396" t="n">
        <v>1</v>
      </c>
      <c r="AB396" t="inlineStr">
        <is>
          <t>NEGOCIO EN MARCHA</t>
        </is>
      </c>
      <c r="AC396" t="n">
        <v>1</v>
      </c>
      <c r="AD396" t="inlineStr">
        <is>
          <t>BANCO</t>
        </is>
      </c>
      <c r="AE396" t="n">
        <v>1</v>
      </c>
      <c r="AF396" t="inlineStr">
        <is>
          <t>BACK</t>
        </is>
      </c>
      <c r="AG396" t="n">
        <v>100101</v>
      </c>
      <c r="AH396" t="inlineStr">
        <is>
          <t>CORPORATIVO</t>
        </is>
      </c>
      <c r="AI396" t="inlineStr">
        <is>
          <t>AMIYAR@BANCOBASE.COM</t>
        </is>
      </c>
      <c r="AJ396" s="151" t="n">
        <v>39630</v>
      </c>
      <c r="AK396" s="151" t="n"/>
      <c r="AL396" s="151" t="n"/>
    </row>
    <row r="397" hidden="1" s="150">
      <c r="A397" t="inlineStr">
        <is>
          <t>FGONZALEZV</t>
        </is>
      </c>
      <c r="B397" t="n">
        <v>1099</v>
      </c>
      <c r="C397" t="inlineStr">
        <is>
          <t>FRANCISCO JAVIER GONZALEZ VELAZQUEZ</t>
        </is>
      </c>
      <c r="D397" t="n">
        <v>9320</v>
      </c>
      <c r="E397" t="inlineStr">
        <is>
          <t>GERENTE DE COMPENSACIONES</t>
        </is>
      </c>
      <c r="F397" t="inlineStr">
        <is>
          <t>MONTERREY</t>
        </is>
      </c>
      <c r="G397" t="n">
        <v>492</v>
      </c>
      <c r="H397" t="inlineStr">
        <is>
          <t>ADRIANA JIMENA MIYAR ESPINOSA</t>
        </is>
      </c>
      <c r="I397" t="n">
        <v>192</v>
      </c>
      <c r="J397" t="inlineStr">
        <is>
          <t>SUBDIRECTOR DE ORGANIZACION Y COMPENSACIONES</t>
        </is>
      </c>
      <c r="K397" t="n">
        <v>1</v>
      </c>
      <c r="L397" t="inlineStr">
        <is>
          <t>PRESIDENCIA EJECUTIVA DEL CONSEJO</t>
        </is>
      </c>
      <c r="M397" t="n">
        <v>40</v>
      </c>
      <c r="N397" t="inlineStr">
        <is>
          <t>DIRECCION GENERAL BANCO BASE</t>
        </is>
      </c>
      <c r="O397" t="n">
        <v>430</v>
      </c>
      <c r="P397" t="inlineStr">
        <is>
          <t>DIRECCION DE TALENTO SOSTENIBILIDAD Y COMUNICACION</t>
        </is>
      </c>
      <c r="Q397" t="n">
        <v>4320</v>
      </c>
      <c r="R397" t="inlineStr">
        <is>
          <t>SUBDIRECCION DE ORGANIZACION Y COMPENSACIONES</t>
        </is>
      </c>
      <c r="S397" t="n">
        <v>43200</v>
      </c>
      <c r="T397" t="inlineStr">
        <is>
          <t>SUBDIRECCION DE ORGANIZACION Y COMPENSACIONES</t>
        </is>
      </c>
      <c r="U397" t="n">
        <v>432000</v>
      </c>
      <c r="V397" t="inlineStr">
        <is>
          <t>SUBDIRECCION DE ORGANIZACION Y COMPENSACIONES</t>
        </is>
      </c>
      <c r="W397" t="n">
        <v>100101</v>
      </c>
      <c r="X397" t="inlineStr">
        <is>
          <t>CORPORATIVO</t>
        </is>
      </c>
      <c r="Y397" t="n">
        <v>4</v>
      </c>
      <c r="Z397" t="inlineStr">
        <is>
          <t>CORPORATIVO</t>
        </is>
      </c>
      <c r="AA397" t="n">
        <v>1</v>
      </c>
      <c r="AB397" t="inlineStr">
        <is>
          <t>NEGOCIO EN MARCHA</t>
        </is>
      </c>
      <c r="AC397" t="n">
        <v>1</v>
      </c>
      <c r="AD397" t="inlineStr">
        <is>
          <t>BANCO</t>
        </is>
      </c>
      <c r="AE397" t="n">
        <v>1</v>
      </c>
      <c r="AF397" t="inlineStr">
        <is>
          <t>BACK</t>
        </is>
      </c>
      <c r="AG397" t="n">
        <v>100101</v>
      </c>
      <c r="AH397" t="inlineStr">
        <is>
          <t>CORPORATIVO</t>
        </is>
      </c>
      <c r="AI397" t="inlineStr">
        <is>
          <t>FGONZALEZV@BANCOBASE.COM</t>
        </is>
      </c>
      <c r="AJ397" s="151" t="n">
        <v>41645</v>
      </c>
      <c r="AK397" s="151" t="n"/>
      <c r="AL397" s="151" t="n"/>
    </row>
    <row r="398" hidden="1" s="150">
      <c r="A398" t="inlineStr">
        <is>
          <t>FGONZALEZP</t>
        </is>
      </c>
      <c r="B398" t="n">
        <v>3057</v>
      </c>
      <c r="C398" t="inlineStr">
        <is>
          <t>FERNANDA SULETH GONZALEZ PADILLA</t>
        </is>
      </c>
      <c r="D398" t="n">
        <v>193</v>
      </c>
      <c r="E398" t="inlineStr">
        <is>
          <t>ANALISTA DE COMPENSACIONES</t>
        </is>
      </c>
      <c r="F398" t="inlineStr">
        <is>
          <t>MONTERREY</t>
        </is>
      </c>
      <c r="G398" t="n">
        <v>1099</v>
      </c>
      <c r="H398" t="inlineStr">
        <is>
          <t>FRANCISCO JAVIER GONZALEZ VELAZQUEZ</t>
        </is>
      </c>
      <c r="I398" t="n">
        <v>9320</v>
      </c>
      <c r="J398" t="inlineStr">
        <is>
          <t>GERENTE DE COMPENSACIONES</t>
        </is>
      </c>
      <c r="K398" t="n">
        <v>1</v>
      </c>
      <c r="L398" t="inlineStr">
        <is>
          <t>PRESIDENCIA EJECUTIVA DEL CONSEJO</t>
        </is>
      </c>
      <c r="M398" t="n">
        <v>40</v>
      </c>
      <c r="N398" t="inlineStr">
        <is>
          <t>DIRECCION GENERAL BANCO BASE</t>
        </is>
      </c>
      <c r="O398" t="n">
        <v>430</v>
      </c>
      <c r="P398" t="inlineStr">
        <is>
          <t>DIRECCION DE TALENTO SOSTENIBILIDAD Y COMUNICACION</t>
        </is>
      </c>
      <c r="Q398" t="n">
        <v>4320</v>
      </c>
      <c r="R398" t="inlineStr">
        <is>
          <t>SUBDIRECCION DE ORGANIZACION Y COMPENSACIONES</t>
        </is>
      </c>
      <c r="S398" t="n">
        <v>43200</v>
      </c>
      <c r="T398" t="inlineStr">
        <is>
          <t>SUBDIRECCION DE ORGANIZACION Y COMPENSACIONES</t>
        </is>
      </c>
      <c r="U398" t="n">
        <v>432000</v>
      </c>
      <c r="V398" t="inlineStr">
        <is>
          <t>SUBDIRECCION DE ORGANIZACION Y COMPENSACIONES</t>
        </is>
      </c>
      <c r="W398" t="n">
        <v>100101</v>
      </c>
      <c r="X398" t="inlineStr">
        <is>
          <t>CORPORATIVO</t>
        </is>
      </c>
      <c r="Y398" t="n">
        <v>4</v>
      </c>
      <c r="Z398" t="inlineStr">
        <is>
          <t>CORPORATIVO</t>
        </is>
      </c>
      <c r="AA398" t="n">
        <v>1</v>
      </c>
      <c r="AB398" t="inlineStr">
        <is>
          <t>NEGOCIO EN MARCHA</t>
        </is>
      </c>
      <c r="AC398" t="n">
        <v>1</v>
      </c>
      <c r="AD398" t="inlineStr">
        <is>
          <t>BANCO</t>
        </is>
      </c>
      <c r="AE398" t="n">
        <v>1</v>
      </c>
      <c r="AF398" t="inlineStr">
        <is>
          <t>BACK</t>
        </is>
      </c>
      <c r="AG398" t="n">
        <v>100101</v>
      </c>
      <c r="AH398" t="inlineStr">
        <is>
          <t>CORPORATIVO</t>
        </is>
      </c>
      <c r="AI398" t="inlineStr">
        <is>
          <t>FGONZALEZP@BANCOBASE.COM</t>
        </is>
      </c>
      <c r="AJ398" s="151" t="n">
        <v>45370</v>
      </c>
      <c r="AK398" s="151" t="n"/>
      <c r="AL398" s="151" t="n"/>
    </row>
    <row r="399" hidden="1" s="150">
      <c r="A399" t="inlineStr">
        <is>
          <t>JDELEON</t>
        </is>
      </c>
      <c r="B399" t="n">
        <v>1259</v>
      </c>
      <c r="C399" t="inlineStr">
        <is>
          <t>JULIA VERONICA DE LEON AGUILAR</t>
        </is>
      </c>
      <c r="D399" t="n">
        <v>9960</v>
      </c>
      <c r="E399" t="inlineStr">
        <is>
          <t>ANALISTA DE NOMINAS</t>
        </is>
      </c>
      <c r="F399" t="inlineStr">
        <is>
          <t>TELETRABAJO</t>
        </is>
      </c>
      <c r="G399" t="n">
        <v>1099</v>
      </c>
      <c r="H399" t="inlineStr">
        <is>
          <t>FRANCISCO JAVIER GONZALEZ VELAZQUEZ</t>
        </is>
      </c>
      <c r="I399" t="n">
        <v>9320</v>
      </c>
      <c r="J399" t="inlineStr">
        <is>
          <t>GERENTE DE COMPENSACIONES</t>
        </is>
      </c>
      <c r="K399" t="n">
        <v>1</v>
      </c>
      <c r="L399" t="inlineStr">
        <is>
          <t>PRESIDENCIA EJECUTIVA DEL CONSEJO</t>
        </is>
      </c>
      <c r="M399" t="n">
        <v>40</v>
      </c>
      <c r="N399" t="inlineStr">
        <is>
          <t>DIRECCION GENERAL BANCO BASE</t>
        </is>
      </c>
      <c r="O399" t="n">
        <v>430</v>
      </c>
      <c r="P399" t="inlineStr">
        <is>
          <t>DIRECCION DE TALENTO SOSTENIBILIDAD Y COMUNICACION</t>
        </is>
      </c>
      <c r="Q399" t="n">
        <v>4320</v>
      </c>
      <c r="R399" t="inlineStr">
        <is>
          <t>SUBDIRECCION DE ORGANIZACION Y COMPENSACIONES</t>
        </is>
      </c>
      <c r="S399" t="n">
        <v>43200</v>
      </c>
      <c r="T399" t="inlineStr">
        <is>
          <t>SUBDIRECCION DE ORGANIZACION Y COMPENSACIONES</t>
        </is>
      </c>
      <c r="U399" t="n">
        <v>432000</v>
      </c>
      <c r="V399" t="inlineStr">
        <is>
          <t>SUBDIRECCION DE ORGANIZACION Y COMPENSACIONES</t>
        </is>
      </c>
      <c r="W399" t="n">
        <v>100101</v>
      </c>
      <c r="X399" t="inlineStr">
        <is>
          <t>CORPORATIVO</t>
        </is>
      </c>
      <c r="Y399" t="n">
        <v>4</v>
      </c>
      <c r="Z399" t="inlineStr">
        <is>
          <t>CORPORATIVO</t>
        </is>
      </c>
      <c r="AA399" t="n">
        <v>1</v>
      </c>
      <c r="AB399" t="inlineStr">
        <is>
          <t>NEGOCIO EN MARCHA</t>
        </is>
      </c>
      <c r="AC399" t="n">
        <v>1</v>
      </c>
      <c r="AD399" t="inlineStr">
        <is>
          <t>BANCO</t>
        </is>
      </c>
      <c r="AE399" t="n">
        <v>1</v>
      </c>
      <c r="AF399" t="inlineStr">
        <is>
          <t>BACK</t>
        </is>
      </c>
      <c r="AG399" t="n">
        <v>100101</v>
      </c>
      <c r="AH399" t="inlineStr">
        <is>
          <t>CORPORATIVO</t>
        </is>
      </c>
      <c r="AI399" t="inlineStr">
        <is>
          <t>JDELEON@BANCOBASE.COM</t>
        </is>
      </c>
      <c r="AJ399" s="151" t="n">
        <v>42051</v>
      </c>
      <c r="AK399" s="151" t="n"/>
      <c r="AL399" s="151" t="n"/>
    </row>
    <row r="400" hidden="1" s="150">
      <c r="A400" t="inlineStr">
        <is>
          <t>DRODRIGUEZ</t>
        </is>
      </c>
      <c r="B400" t="n">
        <v>80</v>
      </c>
      <c r="C400" t="inlineStr">
        <is>
          <t>DIANA EDNA RODRIGUEZ RUIZ</t>
        </is>
      </c>
      <c r="D400" t="n">
        <v>41</v>
      </c>
      <c r="E400" t="inlineStr">
        <is>
          <t>COORDINADOR DE NOMINAS</t>
        </is>
      </c>
      <c r="F400" t="inlineStr">
        <is>
          <t>TELETRABAJO</t>
        </is>
      </c>
      <c r="G400" t="n">
        <v>492</v>
      </c>
      <c r="H400" t="inlineStr">
        <is>
          <t>ADRIANA JIMENA MIYAR ESPINOSA</t>
        </is>
      </c>
      <c r="I400" t="n">
        <v>192</v>
      </c>
      <c r="J400" t="inlineStr">
        <is>
          <t>SUBDIRECTOR DE ORGANIZACION Y COMPENSACIONES</t>
        </is>
      </c>
      <c r="K400" t="n">
        <v>1</v>
      </c>
      <c r="L400" t="inlineStr">
        <is>
          <t>PRESIDENCIA EJECUTIVA DEL CONSEJO</t>
        </is>
      </c>
      <c r="M400" t="n">
        <v>40</v>
      </c>
      <c r="N400" t="inlineStr">
        <is>
          <t>DIRECCION GENERAL BANCO BASE</t>
        </is>
      </c>
      <c r="O400" t="n">
        <v>430</v>
      </c>
      <c r="P400" t="inlineStr">
        <is>
          <t>DIRECCION DE TALENTO SOSTENIBILIDAD Y COMUNICACION</t>
        </is>
      </c>
      <c r="Q400" t="n">
        <v>4320</v>
      </c>
      <c r="R400" t="inlineStr">
        <is>
          <t>SUBDIRECCION DE ORGANIZACION Y COMPENSACIONES</t>
        </is>
      </c>
      <c r="S400" t="n">
        <v>43200</v>
      </c>
      <c r="T400" t="inlineStr">
        <is>
          <t>SUBDIRECCION DE ORGANIZACION Y COMPENSACIONES</t>
        </is>
      </c>
      <c r="U400" t="n">
        <v>432000</v>
      </c>
      <c r="V400" t="inlineStr">
        <is>
          <t>SUBDIRECCION DE ORGANIZACION Y COMPENSACIONES</t>
        </is>
      </c>
      <c r="W400" t="n">
        <v>100101</v>
      </c>
      <c r="X400" t="inlineStr">
        <is>
          <t>CORPORATIVO</t>
        </is>
      </c>
      <c r="Y400" t="n">
        <v>4</v>
      </c>
      <c r="Z400" t="inlineStr">
        <is>
          <t>CORPORATIVO</t>
        </is>
      </c>
      <c r="AA400" t="n">
        <v>1</v>
      </c>
      <c r="AB400" t="inlineStr">
        <is>
          <t>NEGOCIO EN MARCHA</t>
        </is>
      </c>
      <c r="AC400" t="n">
        <v>1</v>
      </c>
      <c r="AD400" t="inlineStr">
        <is>
          <t>BANCO</t>
        </is>
      </c>
      <c r="AE400" t="n">
        <v>1</v>
      </c>
      <c r="AF400" t="inlineStr">
        <is>
          <t>BACK</t>
        </is>
      </c>
      <c r="AG400" t="n">
        <v>100101</v>
      </c>
      <c r="AH400" t="inlineStr">
        <is>
          <t>CORPORATIVO</t>
        </is>
      </c>
      <c r="AI400" t="inlineStr">
        <is>
          <t>DRODRIGUEZ@BANCOBASE.COM</t>
        </is>
      </c>
      <c r="AJ400" s="151" t="n">
        <v>35247</v>
      </c>
      <c r="AK400" s="151" t="n"/>
      <c r="AL400" s="151" t="n"/>
    </row>
    <row r="401" hidden="1" s="150">
      <c r="A401" t="inlineStr">
        <is>
          <t>MSANCHEZT</t>
        </is>
      </c>
      <c r="B401" t="n">
        <v>3125</v>
      </c>
      <c r="C401" t="inlineStr">
        <is>
          <t>MARCELA SANCHEZ TORRES</t>
        </is>
      </c>
      <c r="D401" t="n">
        <v>9790</v>
      </c>
      <c r="E401" t="inlineStr">
        <is>
          <t>ESPECIALISTA DE ORGANIZACION</t>
        </is>
      </c>
      <c r="F401" t="inlineStr">
        <is>
          <t>MONTERREY</t>
        </is>
      </c>
      <c r="G401" t="n">
        <v>492</v>
      </c>
      <c r="H401" t="inlineStr">
        <is>
          <t>ADRIANA JIMENA MIYAR ESPINOSA</t>
        </is>
      </c>
      <c r="I401" t="n">
        <v>192</v>
      </c>
      <c r="J401" t="inlineStr">
        <is>
          <t>SUBDIRECTOR DE ORGANIZACION Y COMPENSACIONES</t>
        </is>
      </c>
      <c r="K401" t="n">
        <v>1</v>
      </c>
      <c r="L401" t="inlineStr">
        <is>
          <t>PRESIDENCIA EJECUTIVA DEL CONSEJO</t>
        </is>
      </c>
      <c r="M401" t="n">
        <v>40</v>
      </c>
      <c r="N401" t="inlineStr">
        <is>
          <t>DIRECCION GENERAL BANCO BASE</t>
        </is>
      </c>
      <c r="O401" t="n">
        <v>430</v>
      </c>
      <c r="P401" t="inlineStr">
        <is>
          <t>DIRECCION DE TALENTO SOSTENIBILIDAD Y COMUNICACION</t>
        </is>
      </c>
      <c r="Q401" t="n">
        <v>4320</v>
      </c>
      <c r="R401" t="inlineStr">
        <is>
          <t>SUBDIRECCION DE ORGANIZACION Y COMPENSACIONES</t>
        </is>
      </c>
      <c r="S401" t="n">
        <v>43200</v>
      </c>
      <c r="T401" t="inlineStr">
        <is>
          <t>SUBDIRECCION DE ORGANIZACION Y COMPENSACIONES</t>
        </is>
      </c>
      <c r="U401" t="n">
        <v>432000</v>
      </c>
      <c r="V401" t="inlineStr">
        <is>
          <t>SUBDIRECCION DE ORGANIZACION Y COMPENSACIONES</t>
        </is>
      </c>
      <c r="W401" t="n">
        <v>100101</v>
      </c>
      <c r="X401" t="inlineStr">
        <is>
          <t>CORPORATIVO</t>
        </is>
      </c>
      <c r="Y401" t="n">
        <v>4</v>
      </c>
      <c r="Z401" t="inlineStr">
        <is>
          <t>CORPORATIVO</t>
        </is>
      </c>
      <c r="AA401" t="n">
        <v>1</v>
      </c>
      <c r="AB401" t="inlineStr">
        <is>
          <t>NEGOCIO EN MARCHA</t>
        </is>
      </c>
      <c r="AC401" t="n">
        <v>1</v>
      </c>
      <c r="AD401" t="inlineStr">
        <is>
          <t>BANCO</t>
        </is>
      </c>
      <c r="AE401" t="n">
        <v>1</v>
      </c>
      <c r="AF401" t="inlineStr">
        <is>
          <t>BACK</t>
        </is>
      </c>
      <c r="AG401" t="n">
        <v>100101</v>
      </c>
      <c r="AH401" t="inlineStr">
        <is>
          <t>CORPORATIVO</t>
        </is>
      </c>
      <c r="AI401" t="inlineStr">
        <is>
          <t>MSANCHEZT@BANCOBASE.COM</t>
        </is>
      </c>
      <c r="AJ401" s="151" t="n">
        <v>45446</v>
      </c>
      <c r="AK401" s="151" t="n"/>
      <c r="AL401" s="151" t="n"/>
    </row>
    <row r="402" hidden="1" s="150">
      <c r="A402" t="inlineStr">
        <is>
          <t>HSANDOVAL</t>
        </is>
      </c>
      <c r="B402" t="n">
        <v>2911</v>
      </c>
      <c r="C402" t="inlineStr">
        <is>
          <t>HECTOR ALFONSO SANDOVAL GAONA</t>
        </is>
      </c>
      <c r="D402" t="n">
        <v>8398</v>
      </c>
      <c r="E402" t="inlineStr">
        <is>
          <t>PEOPLE ANALYTICS</t>
        </is>
      </c>
      <c r="F402" t="inlineStr">
        <is>
          <t>MONTERREY</t>
        </is>
      </c>
      <c r="G402" t="n">
        <v>492</v>
      </c>
      <c r="H402" t="inlineStr">
        <is>
          <t>ADRIANA JIMENA MIYAR ESPINOSA</t>
        </is>
      </c>
      <c r="I402" t="n">
        <v>192</v>
      </c>
      <c r="J402" t="inlineStr">
        <is>
          <t>SUBDIRECTOR DE ORGANIZACION Y COMPENSACIONES</t>
        </is>
      </c>
      <c r="K402" t="n">
        <v>1</v>
      </c>
      <c r="L402" t="inlineStr">
        <is>
          <t>PRESIDENCIA EJECUTIVA DEL CONSEJO</t>
        </is>
      </c>
      <c r="M402" t="n">
        <v>40</v>
      </c>
      <c r="N402" t="inlineStr">
        <is>
          <t>DIRECCION GENERAL BANCO BASE</t>
        </is>
      </c>
      <c r="O402" t="n">
        <v>430</v>
      </c>
      <c r="P402" t="inlineStr">
        <is>
          <t>DIRECCION DE TALENTO SOSTENIBILIDAD Y COMUNICACION</t>
        </is>
      </c>
      <c r="Q402" t="n">
        <v>4320</v>
      </c>
      <c r="R402" t="inlineStr">
        <is>
          <t>SUBDIRECCION DE ORGANIZACION Y COMPENSACIONES</t>
        </is>
      </c>
      <c r="S402" t="n">
        <v>43200</v>
      </c>
      <c r="T402" t="inlineStr">
        <is>
          <t>SUBDIRECCION DE ORGANIZACION Y COMPENSACIONES</t>
        </is>
      </c>
      <c r="U402" t="n">
        <v>432000</v>
      </c>
      <c r="V402" t="inlineStr">
        <is>
          <t>SUBDIRECCION DE ORGANIZACION Y COMPENSACIONES</t>
        </is>
      </c>
      <c r="W402" t="n">
        <v>100101</v>
      </c>
      <c r="X402" t="inlineStr">
        <is>
          <t>CORPORATIVO</t>
        </is>
      </c>
      <c r="Y402" t="n">
        <v>4</v>
      </c>
      <c r="Z402" t="inlineStr">
        <is>
          <t>CORPORATIVO</t>
        </is>
      </c>
      <c r="AA402" t="n">
        <v>1</v>
      </c>
      <c r="AB402" t="inlineStr">
        <is>
          <t>NEGOCIO EN MARCHA</t>
        </is>
      </c>
      <c r="AC402" t="n">
        <v>1</v>
      </c>
      <c r="AD402" t="inlineStr">
        <is>
          <t>BANCO</t>
        </is>
      </c>
      <c r="AE402" t="n">
        <v>1</v>
      </c>
      <c r="AF402" t="inlineStr">
        <is>
          <t>BACK</t>
        </is>
      </c>
      <c r="AG402" t="n">
        <v>100101</v>
      </c>
      <c r="AH402" t="inlineStr">
        <is>
          <t>CORPORATIVO</t>
        </is>
      </c>
      <c r="AI402" t="inlineStr">
        <is>
          <t>HSANDOVAL@BANCOBASE.COM</t>
        </is>
      </c>
      <c r="AJ402" s="151" t="n">
        <v>45093</v>
      </c>
      <c r="AK402" s="151" t="n"/>
      <c r="AL402" s="151" t="n"/>
    </row>
    <row r="403" hidden="1" s="150">
      <c r="A403" t="inlineStr">
        <is>
          <t>ANAVARRO</t>
        </is>
      </c>
      <c r="B403" t="n">
        <v>2097</v>
      </c>
      <c r="C403" t="inlineStr">
        <is>
          <t>ANNA GABRIELA NAVARRO GARCIA</t>
        </is>
      </c>
      <c r="D403" t="n">
        <v>9522</v>
      </c>
      <c r="E403" t="inlineStr">
        <is>
          <t>ANALISTA DE BENEFICIOS</t>
        </is>
      </c>
      <c r="F403" t="inlineStr">
        <is>
          <t>MONTERREY</t>
        </is>
      </c>
      <c r="G403" t="n">
        <v>492</v>
      </c>
      <c r="H403" t="inlineStr">
        <is>
          <t>ADRIANA JIMENA MIYAR ESPINOSA</t>
        </is>
      </c>
      <c r="I403" t="n">
        <v>192</v>
      </c>
      <c r="J403" t="inlineStr">
        <is>
          <t>SUBDIRECTOR DE ORGANIZACION Y COMPENSACIONES</t>
        </is>
      </c>
      <c r="K403" t="n">
        <v>1</v>
      </c>
      <c r="L403" t="inlineStr">
        <is>
          <t>PRESIDENCIA EJECUTIVA DEL CONSEJO</t>
        </is>
      </c>
      <c r="M403" t="n">
        <v>40</v>
      </c>
      <c r="N403" t="inlineStr">
        <is>
          <t>DIRECCION GENERAL BANCO BASE</t>
        </is>
      </c>
      <c r="O403" t="n">
        <v>430</v>
      </c>
      <c r="P403" t="inlineStr">
        <is>
          <t>DIRECCION DE TALENTO SOSTENIBILIDAD Y COMUNICACION</t>
        </is>
      </c>
      <c r="Q403" t="n">
        <v>4320</v>
      </c>
      <c r="R403" t="inlineStr">
        <is>
          <t>SUBDIRECCION DE ORGANIZACION Y COMPENSACIONES</t>
        </is>
      </c>
      <c r="S403" t="n">
        <v>43200</v>
      </c>
      <c r="T403" t="inlineStr">
        <is>
          <t>SUBDIRECCION DE ORGANIZACION Y COMPENSACIONES</t>
        </is>
      </c>
      <c r="U403" t="n">
        <v>432000</v>
      </c>
      <c r="V403" t="inlineStr">
        <is>
          <t>SUBDIRECCION DE ORGANIZACION Y COMPENSACIONES</t>
        </is>
      </c>
      <c r="W403" t="n">
        <v>100101</v>
      </c>
      <c r="X403" t="inlineStr">
        <is>
          <t>CORPORATIVO</t>
        </is>
      </c>
      <c r="Y403" t="n">
        <v>4</v>
      </c>
      <c r="Z403" t="inlineStr">
        <is>
          <t>CORPORATIVO</t>
        </is>
      </c>
      <c r="AA403" t="n">
        <v>1</v>
      </c>
      <c r="AB403" t="inlineStr">
        <is>
          <t>NEGOCIO EN MARCHA</t>
        </is>
      </c>
      <c r="AC403" t="n">
        <v>1</v>
      </c>
      <c r="AD403" t="inlineStr">
        <is>
          <t>BANCO</t>
        </is>
      </c>
      <c r="AE403" t="n">
        <v>1</v>
      </c>
      <c r="AF403" t="inlineStr">
        <is>
          <t>BACK</t>
        </is>
      </c>
      <c r="AG403" t="n">
        <v>100101</v>
      </c>
      <c r="AH403" t="inlineStr">
        <is>
          <t>CORPORATIVO</t>
        </is>
      </c>
      <c r="AI403" t="inlineStr">
        <is>
          <t>ANAVARRO@BANCOBASE.COM</t>
        </is>
      </c>
      <c r="AJ403" s="151" t="n">
        <v>43353</v>
      </c>
      <c r="AK403" s="151" t="n"/>
      <c r="AL403" s="151" t="n"/>
    </row>
    <row r="404" hidden="1" s="150">
      <c r="A404" t="inlineStr">
        <is>
          <t>CFLORESG</t>
        </is>
      </c>
      <c r="B404" t="n">
        <v>1800</v>
      </c>
      <c r="C404" t="inlineStr">
        <is>
          <t>CARMEN ALEJANDRINA FLORES GARCIA</t>
        </is>
      </c>
      <c r="D404" t="n">
        <v>10188</v>
      </c>
      <c r="E404" t="inlineStr">
        <is>
          <t>SUBDIRECTOR DE GESTION DE TALENTO</t>
        </is>
      </c>
      <c r="F404" t="inlineStr">
        <is>
          <t>MONTERREY</t>
        </is>
      </c>
      <c r="G404" t="n">
        <v>364</v>
      </c>
      <c r="H404" t="inlineStr">
        <is>
          <t>EDITH GONZALEZ VILLARREAL</t>
        </is>
      </c>
      <c r="I404" t="n">
        <v>9452</v>
      </c>
      <c r="J404" t="inlineStr">
        <is>
          <t>DIRECTOR DE TALENTO, SOSTENIBILIDAD Y COMUNICACION</t>
        </is>
      </c>
      <c r="K404" t="n">
        <v>1</v>
      </c>
      <c r="L404" t="inlineStr">
        <is>
          <t>PRESIDENCIA EJECUTIVA DEL CONSEJO</t>
        </is>
      </c>
      <c r="M404" t="n">
        <v>40</v>
      </c>
      <c r="N404" t="inlineStr">
        <is>
          <t>DIRECCION GENERAL BANCO BASE</t>
        </is>
      </c>
      <c r="O404" t="n">
        <v>430</v>
      </c>
      <c r="P404" t="inlineStr">
        <is>
          <t>DIRECCION DE TALENTO SOSTENIBILIDAD Y COMUNICACION</t>
        </is>
      </c>
      <c r="Q404" t="n">
        <v>4350</v>
      </c>
      <c r="R404" t="inlineStr">
        <is>
          <t>SUBDIRECCION DE GESTION DE TALENTO</t>
        </is>
      </c>
      <c r="S404" t="n">
        <v>43500</v>
      </c>
      <c r="T404" t="inlineStr">
        <is>
          <t>SUBDIRECCION DE GESTION DE TALENTO</t>
        </is>
      </c>
      <c r="U404" t="n">
        <v>435000</v>
      </c>
      <c r="V404" t="inlineStr">
        <is>
          <t>SUBDIRECCION DE CAPACITACION Y DESARROLLO</t>
        </is>
      </c>
      <c r="W404" t="n">
        <v>100101</v>
      </c>
      <c r="X404" t="inlineStr">
        <is>
          <t>CORPORATIVO</t>
        </is>
      </c>
      <c r="Y404" t="n">
        <v>4</v>
      </c>
      <c r="Z404" t="inlineStr">
        <is>
          <t>CORPORATIVO</t>
        </is>
      </c>
      <c r="AA404" t="n">
        <v>1</v>
      </c>
      <c r="AB404" t="inlineStr">
        <is>
          <t>NEGOCIO EN MARCHA</t>
        </is>
      </c>
      <c r="AC404" t="n">
        <v>1</v>
      </c>
      <c r="AD404" t="inlineStr">
        <is>
          <t>BANCO</t>
        </is>
      </c>
      <c r="AE404" t="n">
        <v>1</v>
      </c>
      <c r="AF404" t="inlineStr">
        <is>
          <t>BACK</t>
        </is>
      </c>
      <c r="AG404" t="n">
        <v>100101</v>
      </c>
      <c r="AH404" t="inlineStr">
        <is>
          <t>CORPORATIVO</t>
        </is>
      </c>
      <c r="AI404" t="inlineStr">
        <is>
          <t>CFLORESG@BANCOBASE.COM</t>
        </is>
      </c>
      <c r="AJ404" s="151" t="n">
        <v>42926</v>
      </c>
      <c r="AK404" s="151" t="n"/>
      <c r="AL404" s="151" t="n"/>
    </row>
    <row r="405" hidden="1" s="150">
      <c r="A405" t="inlineStr">
        <is>
          <t>SESPINOSA</t>
        </is>
      </c>
      <c r="B405" t="n">
        <v>1184</v>
      </c>
      <c r="C405" t="inlineStr">
        <is>
          <t>SUSANA ALEJANDRA ESPINOSA RODRIGUEZ</t>
        </is>
      </c>
      <c r="D405" t="n">
        <v>8397</v>
      </c>
      <c r="E405" t="inlineStr">
        <is>
          <t>GERENTE DE PROCESOS DE ITAL</t>
        </is>
      </c>
      <c r="F405" t="inlineStr">
        <is>
          <t>MONTERREY</t>
        </is>
      </c>
      <c r="G405" t="n">
        <v>1800</v>
      </c>
      <c r="H405" t="inlineStr">
        <is>
          <t>CARMEN ALEJANDRINA FLORES GARCIA</t>
        </is>
      </c>
      <c r="I405" t="n">
        <v>10188</v>
      </c>
      <c r="J405" t="inlineStr">
        <is>
          <t>SUBDIRECTOR DE GESTION DE TALENTO</t>
        </is>
      </c>
      <c r="K405" t="n">
        <v>1</v>
      </c>
      <c r="L405" t="inlineStr">
        <is>
          <t>PRESIDENCIA EJECUTIVA DEL CONSEJO</t>
        </is>
      </c>
      <c r="M405" t="n">
        <v>40</v>
      </c>
      <c r="N405" t="inlineStr">
        <is>
          <t>DIRECCION GENERAL BANCO BASE</t>
        </is>
      </c>
      <c r="O405" t="n">
        <v>430</v>
      </c>
      <c r="P405" t="inlineStr">
        <is>
          <t>DIRECCION DE TALENTO SOSTENIBILIDAD Y COMUNICACION</t>
        </is>
      </c>
      <c r="Q405" t="n">
        <v>4350</v>
      </c>
      <c r="R405" t="inlineStr">
        <is>
          <t>SUBDIRECCION DE GESTION DE TALENTO</t>
        </is>
      </c>
      <c r="S405" t="n">
        <v>43500</v>
      </c>
      <c r="T405" t="inlineStr">
        <is>
          <t>SUBDIRECCION DE GESTION DE TALENTO</t>
        </is>
      </c>
      <c r="U405" t="n">
        <v>435000</v>
      </c>
      <c r="V405" t="inlineStr">
        <is>
          <t>SUBDIRECCION DE CAPACITACION Y DESARROLLO</t>
        </is>
      </c>
      <c r="W405" t="n">
        <v>100101</v>
      </c>
      <c r="X405" t="inlineStr">
        <is>
          <t>CORPORATIVO</t>
        </is>
      </c>
      <c r="Y405" t="n">
        <v>4</v>
      </c>
      <c r="Z405" t="inlineStr">
        <is>
          <t>CORPORATIVO</t>
        </is>
      </c>
      <c r="AA405" t="n">
        <v>1</v>
      </c>
      <c r="AB405" t="inlineStr">
        <is>
          <t>NEGOCIO EN MARCHA</t>
        </is>
      </c>
      <c r="AC405" t="n">
        <v>1</v>
      </c>
      <c r="AD405" t="inlineStr">
        <is>
          <t>BANCO</t>
        </is>
      </c>
      <c r="AE405" t="n">
        <v>1</v>
      </c>
      <c r="AF405" t="inlineStr">
        <is>
          <t>BACK</t>
        </is>
      </c>
      <c r="AG405" t="n">
        <v>100101</v>
      </c>
      <c r="AH405" t="inlineStr">
        <is>
          <t>CORPORATIVO</t>
        </is>
      </c>
      <c r="AI405" t="inlineStr">
        <is>
          <t>SESPINOSA@BANCOBASE.COM</t>
        </is>
      </c>
      <c r="AJ405" s="151" t="n">
        <v>41836</v>
      </c>
      <c r="AK405" s="151" t="n"/>
      <c r="AL405" s="151" t="n"/>
    </row>
    <row r="406" hidden="1" s="150">
      <c r="A406" t="inlineStr">
        <is>
          <t>IPACHECO</t>
        </is>
      </c>
      <c r="B406" t="n">
        <v>3984</v>
      </c>
      <c r="C406" t="inlineStr">
        <is>
          <t>ISABELLA PACHECO HERNANDEZ</t>
        </is>
      </c>
      <c r="D406" t="n">
        <v>8651</v>
      </c>
      <c r="E406" t="inlineStr">
        <is>
          <t>ANALISTA DE PROCESOS DE ITAL</t>
        </is>
      </c>
      <c r="F406" t="inlineStr">
        <is>
          <t>MONTERREY</t>
        </is>
      </c>
      <c r="G406" t="n">
        <v>1184</v>
      </c>
      <c r="H406" t="inlineStr">
        <is>
          <t>SUSANA ALEJANDRA ESPINOSA RODRIGUEZ</t>
        </is>
      </c>
      <c r="I406" t="n">
        <v>8397</v>
      </c>
      <c r="J406" t="inlineStr">
        <is>
          <t>GERENTE DE PROCESOS DE ITAL</t>
        </is>
      </c>
      <c r="K406" t="n">
        <v>1</v>
      </c>
      <c r="L406" t="inlineStr">
        <is>
          <t>PRESIDENCIA EJECUTIVA DEL CONSEJO</t>
        </is>
      </c>
      <c r="M406" t="n">
        <v>40</v>
      </c>
      <c r="N406" t="inlineStr">
        <is>
          <t>DIRECCION GENERAL BANCO BASE</t>
        </is>
      </c>
      <c r="O406" t="n">
        <v>430</v>
      </c>
      <c r="P406" t="inlineStr">
        <is>
          <t>DIRECCION DE TALENTO SOSTENIBILIDAD Y COMUNICACION</t>
        </is>
      </c>
      <c r="Q406" t="n">
        <v>4350</v>
      </c>
      <c r="R406" t="inlineStr">
        <is>
          <t>SUBDIRECCION DE GESTION DE TALENTO</t>
        </is>
      </c>
      <c r="S406" t="n">
        <v>43500</v>
      </c>
      <c r="T406" t="inlineStr">
        <is>
          <t>SUBDIRECCION DE GESTION DE TALENTO</t>
        </is>
      </c>
      <c r="U406" t="n">
        <v>435000</v>
      </c>
      <c r="V406" t="inlineStr">
        <is>
          <t>SUBDIRECCION DE CAPACITACION Y DESARROLLO</t>
        </is>
      </c>
      <c r="W406" t="n">
        <v>100101</v>
      </c>
      <c r="X406" t="inlineStr">
        <is>
          <t>CORPORATIVO</t>
        </is>
      </c>
      <c r="Y406" t="n">
        <v>4</v>
      </c>
      <c r="Z406" t="inlineStr">
        <is>
          <t>CORPORATIVO</t>
        </is>
      </c>
      <c r="AA406" t="n">
        <v>1</v>
      </c>
      <c r="AB406" t="inlineStr">
        <is>
          <t>NEGOCIO EN MARCHA</t>
        </is>
      </c>
      <c r="AC406" t="n">
        <v>1</v>
      </c>
      <c r="AD406" t="inlineStr">
        <is>
          <t>BANCO</t>
        </is>
      </c>
      <c r="AE406" t="n">
        <v>1</v>
      </c>
      <c r="AF406" t="inlineStr">
        <is>
          <t>BACK</t>
        </is>
      </c>
      <c r="AG406" t="n">
        <v>100101</v>
      </c>
      <c r="AH406" t="inlineStr">
        <is>
          <t>CORPORATIVO</t>
        </is>
      </c>
      <c r="AI406" t="inlineStr">
        <is>
          <t>IPACHECO@BANCOBASE.COM</t>
        </is>
      </c>
      <c r="AJ406" s="151" t="n">
        <v>46250</v>
      </c>
      <c r="AK406" s="151" t="n"/>
      <c r="AL406" s="151" t="n"/>
    </row>
    <row r="407" hidden="1" s="150">
      <c r="A407" t="inlineStr">
        <is>
          <t>NMANRIQUE</t>
        </is>
      </c>
      <c r="B407" t="n">
        <v>3529</v>
      </c>
      <c r="C407" t="inlineStr">
        <is>
          <t>NATZIRIELI MANRIQUE CUEVAS</t>
        </is>
      </c>
      <c r="D407" t="n">
        <v>8697</v>
      </c>
      <c r="E407" t="inlineStr">
        <is>
          <t>GERENTE DE CAPACITACION Y DESARROLLO</t>
        </is>
      </c>
      <c r="F407" t="inlineStr">
        <is>
          <t>MONTERREY</t>
        </is>
      </c>
      <c r="G407" t="n">
        <v>1800</v>
      </c>
      <c r="H407" t="inlineStr">
        <is>
          <t>CARMEN ALEJANDRINA FLORES GARCIA</t>
        </is>
      </c>
      <c r="I407" t="n">
        <v>10188</v>
      </c>
      <c r="J407" t="inlineStr">
        <is>
          <t>SUBDIRECTOR DE GESTION DE TALENTO</t>
        </is>
      </c>
      <c r="K407" t="n">
        <v>1</v>
      </c>
      <c r="L407" t="inlineStr">
        <is>
          <t>PRESIDENCIA EJECUTIVA DEL CONSEJO</t>
        </is>
      </c>
      <c r="M407" t="n">
        <v>40</v>
      </c>
      <c r="N407" t="inlineStr">
        <is>
          <t>DIRECCION GENERAL BANCO BASE</t>
        </is>
      </c>
      <c r="O407" t="n">
        <v>430</v>
      </c>
      <c r="P407" t="inlineStr">
        <is>
          <t>DIRECCION DE TALENTO SOSTENIBILIDAD Y COMUNICACION</t>
        </is>
      </c>
      <c r="Q407" t="n">
        <v>4350</v>
      </c>
      <c r="R407" t="inlineStr">
        <is>
          <t>SUBDIRECCION DE GESTION DE TALENTO</t>
        </is>
      </c>
      <c r="S407" t="n">
        <v>43500</v>
      </c>
      <c r="T407" t="inlineStr">
        <is>
          <t>SUBDIRECCION DE GESTION DE TALENTO</t>
        </is>
      </c>
      <c r="U407" t="n">
        <v>435000</v>
      </c>
      <c r="V407" t="inlineStr">
        <is>
          <t>SUBDIRECCION DE CAPACITACION Y DESARROLLO</t>
        </is>
      </c>
      <c r="W407" t="n">
        <v>100101</v>
      </c>
      <c r="X407" t="inlineStr">
        <is>
          <t>CORPORATIVO</t>
        </is>
      </c>
      <c r="Y407" t="n">
        <v>4</v>
      </c>
      <c r="Z407" t="inlineStr">
        <is>
          <t>CORPORATIVO</t>
        </is>
      </c>
      <c r="AA407" t="n">
        <v>1</v>
      </c>
      <c r="AB407" t="inlineStr">
        <is>
          <t>NEGOCIO EN MARCHA</t>
        </is>
      </c>
      <c r="AC407" t="n">
        <v>1</v>
      </c>
      <c r="AD407" t="inlineStr">
        <is>
          <t>BANCO</t>
        </is>
      </c>
      <c r="AE407" t="n">
        <v>1</v>
      </c>
      <c r="AF407" t="inlineStr">
        <is>
          <t>BACK</t>
        </is>
      </c>
      <c r="AG407" t="n">
        <v>100101</v>
      </c>
      <c r="AH407" t="inlineStr">
        <is>
          <t>CORPORATIVO</t>
        </is>
      </c>
      <c r="AI407" t="inlineStr">
        <is>
          <t>NMANRIQUE@BANCOBASE.COM</t>
        </is>
      </c>
      <c r="AJ407" s="151" t="n">
        <v>45887</v>
      </c>
      <c r="AK407" s="151" t="n"/>
      <c r="AL407" s="151" t="n"/>
    </row>
    <row r="408" hidden="1" s="150">
      <c r="A408" t="inlineStr">
        <is>
          <t>FSANDOVAL</t>
        </is>
      </c>
      <c r="B408" t="n">
        <v>3298</v>
      </c>
      <c r="C408" t="inlineStr">
        <is>
          <t>FATIMA SANDOVAL OYERVIDES</t>
        </is>
      </c>
      <c r="D408" t="n">
        <v>8266</v>
      </c>
      <c r="E408" t="inlineStr">
        <is>
          <t>ANALISTA DE CAPACITACION</t>
        </is>
      </c>
      <c r="F408" t="inlineStr">
        <is>
          <t>MONTERREY</t>
        </is>
      </c>
      <c r="G408" t="n">
        <v>3529</v>
      </c>
      <c r="H408" t="inlineStr">
        <is>
          <t>NATZIRIELI MANRIQUE CUEVAS</t>
        </is>
      </c>
      <c r="I408" t="n">
        <v>8697</v>
      </c>
      <c r="J408" t="inlineStr">
        <is>
          <t>GERENTE DE CAPACITACION Y DESARROLLO</t>
        </is>
      </c>
      <c r="K408" t="n">
        <v>1</v>
      </c>
      <c r="L408" t="inlineStr">
        <is>
          <t>PRESIDENCIA EJECUTIVA DEL CONSEJO</t>
        </is>
      </c>
      <c r="M408" t="n">
        <v>40</v>
      </c>
      <c r="N408" t="inlineStr">
        <is>
          <t>DIRECCION GENERAL BANCO BASE</t>
        </is>
      </c>
      <c r="O408" t="n">
        <v>430</v>
      </c>
      <c r="P408" t="inlineStr">
        <is>
          <t>DIRECCION DE TALENTO SOSTENIBILIDAD Y COMUNICACION</t>
        </is>
      </c>
      <c r="Q408" t="n">
        <v>4350</v>
      </c>
      <c r="R408" t="inlineStr">
        <is>
          <t>SUBDIRECCION DE GESTION DE TALENTO</t>
        </is>
      </c>
      <c r="S408" t="n">
        <v>43500</v>
      </c>
      <c r="T408" t="inlineStr">
        <is>
          <t>SUBDIRECCION DE GESTION DE TALENTO</t>
        </is>
      </c>
      <c r="U408" t="n">
        <v>435000</v>
      </c>
      <c r="V408" t="inlineStr">
        <is>
          <t>SUBDIRECCION DE CAPACITACION Y DESARROLLO</t>
        </is>
      </c>
      <c r="W408" t="n">
        <v>100101</v>
      </c>
      <c r="X408" t="inlineStr">
        <is>
          <t>CORPORATIVO</t>
        </is>
      </c>
      <c r="Y408" t="n">
        <v>4</v>
      </c>
      <c r="Z408" t="inlineStr">
        <is>
          <t>CORPORATIVO</t>
        </is>
      </c>
      <c r="AA408" t="n">
        <v>1</v>
      </c>
      <c r="AB408" t="inlineStr">
        <is>
          <t>NEGOCIO EN MARCHA</t>
        </is>
      </c>
      <c r="AC408" t="n">
        <v>1</v>
      </c>
      <c r="AD408" t="inlineStr">
        <is>
          <t>BANCO</t>
        </is>
      </c>
      <c r="AE408" t="n">
        <v>1</v>
      </c>
      <c r="AF408" t="inlineStr">
        <is>
          <t>BACK</t>
        </is>
      </c>
      <c r="AG408" t="n">
        <v>100101</v>
      </c>
      <c r="AH408" t="inlineStr">
        <is>
          <t>CORPORATIVO</t>
        </is>
      </c>
      <c r="AI408" t="inlineStr">
        <is>
          <t>FSANDOVAL@BANCOBASE.COM</t>
        </is>
      </c>
      <c r="AJ408" s="151" t="n">
        <v>45642</v>
      </c>
      <c r="AK408" s="151" t="n"/>
      <c r="AL408" s="151" t="n"/>
    </row>
    <row r="409" hidden="1" s="150">
      <c r="A409" t="inlineStr">
        <is>
          <t>EJAIME</t>
        </is>
      </c>
      <c r="B409" t="n">
        <v>942</v>
      </c>
      <c r="C409" t="inlineStr">
        <is>
          <t>ERNESTO SALOMON JAIME MORENO</t>
        </is>
      </c>
      <c r="D409" t="n">
        <v>9959</v>
      </c>
      <c r="E409" t="inlineStr">
        <is>
          <t>SUBDIRECTOR DE RELACIONES LABORALES</t>
        </is>
      </c>
      <c r="F409" t="inlineStr">
        <is>
          <t>MONTERREY</t>
        </is>
      </c>
      <c r="G409" t="n">
        <v>364</v>
      </c>
      <c r="H409" t="inlineStr">
        <is>
          <t>EDITH GONZALEZ VILLARREAL</t>
        </is>
      </c>
      <c r="I409" t="n">
        <v>9452</v>
      </c>
      <c r="J409" t="inlineStr">
        <is>
          <t>DIRECTOR DE TALENTO, SOSTENIBILIDAD Y COMUNICACION</t>
        </is>
      </c>
      <c r="K409" t="n">
        <v>1</v>
      </c>
      <c r="L409" t="inlineStr">
        <is>
          <t>PRESIDENCIA EJECUTIVA DEL CONSEJO</t>
        </is>
      </c>
      <c r="M409" t="n">
        <v>40</v>
      </c>
      <c r="N409" t="inlineStr">
        <is>
          <t>DIRECCION GENERAL BANCO BASE</t>
        </is>
      </c>
      <c r="O409" t="n">
        <v>430</v>
      </c>
      <c r="P409" t="inlineStr">
        <is>
          <t>DIRECCION DE TALENTO SOSTENIBILIDAD Y COMUNICACION</t>
        </is>
      </c>
      <c r="Q409" t="n">
        <v>4340</v>
      </c>
      <c r="R409" t="inlineStr">
        <is>
          <t>SUBDIRECCION DE RELACIONES LABORALES Y SEGURIDAD</t>
        </is>
      </c>
      <c r="S409" t="n">
        <v>43400</v>
      </c>
      <c r="T409" t="inlineStr">
        <is>
          <t>SUBDIRECCION DE RELACIONES LABORALES Y SEGURIDAD</t>
        </is>
      </c>
      <c r="U409" t="n">
        <v>434000</v>
      </c>
      <c r="V409" t="inlineStr">
        <is>
          <t>SUBDIRECCION DE RELACIONES LABORALES</t>
        </is>
      </c>
      <c r="W409" t="n">
        <v>100101</v>
      </c>
      <c r="X409" t="inlineStr">
        <is>
          <t>CORPORATIVO</t>
        </is>
      </c>
      <c r="Y409" t="n">
        <v>4</v>
      </c>
      <c r="Z409" t="inlineStr">
        <is>
          <t>CORPORATIVO</t>
        </is>
      </c>
      <c r="AA409" t="n">
        <v>1</v>
      </c>
      <c r="AB409" t="inlineStr">
        <is>
          <t>NEGOCIO EN MARCHA</t>
        </is>
      </c>
      <c r="AC409" t="n">
        <v>1</v>
      </c>
      <c r="AD409" t="inlineStr">
        <is>
          <t>BANCO</t>
        </is>
      </c>
      <c r="AE409" t="n">
        <v>1</v>
      </c>
      <c r="AF409" t="inlineStr">
        <is>
          <t>BACK</t>
        </is>
      </c>
      <c r="AG409" t="n">
        <v>100101</v>
      </c>
      <c r="AH409" t="inlineStr">
        <is>
          <t>CORPORATIVO</t>
        </is>
      </c>
      <c r="AI409" t="inlineStr">
        <is>
          <t>EJAIME@BANCOBASE.COM</t>
        </is>
      </c>
      <c r="AJ409" s="151" t="n">
        <v>41163</v>
      </c>
      <c r="AL409" s="151" t="n"/>
    </row>
    <row r="410" hidden="1" s="150">
      <c r="A410" t="inlineStr">
        <is>
          <t>MVILLAG</t>
        </is>
      </c>
      <c r="B410" t="n">
        <v>3155</v>
      </c>
      <c r="C410" t="inlineStr">
        <is>
          <t>MARCELA VILLA VILLA GARCIA</t>
        </is>
      </c>
      <c r="D410" t="n">
        <v>9670</v>
      </c>
      <c r="E410" t="inlineStr">
        <is>
          <t>ANALISTA DE RELACIONES LABORALES</t>
        </is>
      </c>
      <c r="F410" t="inlineStr">
        <is>
          <t>MONTERREY</t>
        </is>
      </c>
      <c r="G410" t="n">
        <v>942</v>
      </c>
      <c r="H410" t="inlineStr">
        <is>
          <t>ERNESTO SALOMON JAIME MORENO</t>
        </is>
      </c>
      <c r="I410" t="n">
        <v>9959</v>
      </c>
      <c r="J410" t="inlineStr">
        <is>
          <t>SUBDIRECTOR DE RELACIONES LABORALES</t>
        </is>
      </c>
      <c r="K410" t="n">
        <v>1</v>
      </c>
      <c r="L410" t="inlineStr">
        <is>
          <t>PRESIDENCIA EJECUTIVA DEL CONSEJO</t>
        </is>
      </c>
      <c r="M410" t="n">
        <v>40</v>
      </c>
      <c r="N410" t="inlineStr">
        <is>
          <t>DIRECCION GENERAL BANCO BASE</t>
        </is>
      </c>
      <c r="O410" t="n">
        <v>430</v>
      </c>
      <c r="P410" t="inlineStr">
        <is>
          <t>DIRECCION DE TALENTO SOSTENIBILIDAD Y COMUNICACION</t>
        </is>
      </c>
      <c r="Q410" t="n">
        <v>4340</v>
      </c>
      <c r="R410" t="inlineStr">
        <is>
          <t>SUBDIRECCION DE RELACIONES LABORALES Y SEGURIDAD</t>
        </is>
      </c>
      <c r="S410" t="n">
        <v>43400</v>
      </c>
      <c r="T410" t="inlineStr">
        <is>
          <t>SUBDIRECCION DE RELACIONES LABORALES Y SEGURIDAD</t>
        </is>
      </c>
      <c r="U410" t="n">
        <v>434000</v>
      </c>
      <c r="V410" t="inlineStr">
        <is>
          <t>SUBDIRECCION DE RELACIONES LABORALES</t>
        </is>
      </c>
      <c r="W410" t="n">
        <v>100101</v>
      </c>
      <c r="X410" t="inlineStr">
        <is>
          <t>CORPORATIVO</t>
        </is>
      </c>
      <c r="Y410" t="n">
        <v>4</v>
      </c>
      <c r="Z410" t="inlineStr">
        <is>
          <t>CORPORATIVO</t>
        </is>
      </c>
      <c r="AA410" t="n">
        <v>1</v>
      </c>
      <c r="AB410" t="inlineStr">
        <is>
          <t>NEGOCIO EN MARCHA</t>
        </is>
      </c>
      <c r="AC410" t="n">
        <v>1</v>
      </c>
      <c r="AD410" t="inlineStr">
        <is>
          <t>BANCO</t>
        </is>
      </c>
      <c r="AE410" t="n">
        <v>1</v>
      </c>
      <c r="AF410" t="inlineStr">
        <is>
          <t>BACK</t>
        </is>
      </c>
      <c r="AG410" t="n">
        <v>100101</v>
      </c>
      <c r="AH410" t="inlineStr">
        <is>
          <t>CORPORATIVO</t>
        </is>
      </c>
      <c r="AI410" t="inlineStr">
        <is>
          <t>MVILLAG@BANCOBASE.COM</t>
        </is>
      </c>
      <c r="AJ410" s="151" t="n">
        <v>45474</v>
      </c>
      <c r="AK410" s="151" t="n"/>
      <c r="AL410" s="151" t="n"/>
    </row>
    <row r="411" hidden="1" s="150">
      <c r="A411" t="inlineStr">
        <is>
          <t>IGARCIARA</t>
        </is>
      </c>
      <c r="B411" t="n">
        <v>99545</v>
      </c>
      <c r="C411" t="inlineStr">
        <is>
          <t>IRMA MARGARITA GARCIA RAMOS</t>
        </is>
      </c>
      <c r="D411" t="n">
        <v>7017</v>
      </c>
      <c r="E411" t="inlineStr">
        <is>
          <t>PRACTICANTE</t>
        </is>
      </c>
      <c r="F411" t="inlineStr">
        <is>
          <t>MONTERREY</t>
        </is>
      </c>
      <c r="G411" t="n">
        <v>942</v>
      </c>
      <c r="H411" t="inlineStr">
        <is>
          <t>ERNESTO SALOMON JAIME MORENO</t>
        </is>
      </c>
      <c r="I411" t="n">
        <v>9959</v>
      </c>
      <c r="J411" t="inlineStr">
        <is>
          <t>SUBDIRECTOR DE RELACIONES LABORALES</t>
        </is>
      </c>
      <c r="K411" t="n">
        <v>1</v>
      </c>
      <c r="L411" t="inlineStr">
        <is>
          <t>PRESIDENCIA EJECUTIVA DEL CONSEJO</t>
        </is>
      </c>
      <c r="M411" t="n">
        <v>40</v>
      </c>
      <c r="N411" t="inlineStr">
        <is>
          <t>DIRECCION GENERAL BANCO BASE</t>
        </is>
      </c>
      <c r="O411" t="n">
        <v>430</v>
      </c>
      <c r="P411" t="inlineStr">
        <is>
          <t>DIRECCION DE TALENTO SOSTENIBILIDAD Y COMUNICACION</t>
        </is>
      </c>
      <c r="Q411" t="n">
        <v>4340</v>
      </c>
      <c r="R411" t="inlineStr">
        <is>
          <t>SUBDIRECCION DE RELACIONES LABORALES Y SEGURIDAD</t>
        </is>
      </c>
      <c r="S411" t="n">
        <v>43400</v>
      </c>
      <c r="T411" t="inlineStr">
        <is>
          <t>SUBDIRECCION DE RELACIONES LABORALES Y SEGURIDAD</t>
        </is>
      </c>
      <c r="U411" t="n">
        <v>434000</v>
      </c>
      <c r="V411" t="inlineStr">
        <is>
          <t>SUBDIRECCION DE RELACIONES LABORALES</t>
        </is>
      </c>
      <c r="W411" t="n">
        <v>100101</v>
      </c>
      <c r="X411" t="inlineStr">
        <is>
          <t>CORPORATIVO</t>
        </is>
      </c>
      <c r="Y411" t="n">
        <v>4</v>
      </c>
      <c r="Z411" t="inlineStr">
        <is>
          <t>CORPORATIVO</t>
        </is>
      </c>
      <c r="AA411" t="n">
        <v>1</v>
      </c>
      <c r="AB411" t="inlineStr">
        <is>
          <t>NEGOCIO EN MARCHA</t>
        </is>
      </c>
      <c r="AC411" t="n">
        <v>1</v>
      </c>
      <c r="AD411" t="inlineStr">
        <is>
          <t>BANCO</t>
        </is>
      </c>
      <c r="AE411" t="n">
        <v>1</v>
      </c>
      <c r="AF411" t="inlineStr">
        <is>
          <t>BACK</t>
        </is>
      </c>
      <c r="AG411" t="n">
        <v>100101</v>
      </c>
      <c r="AH411" t="inlineStr">
        <is>
          <t>CORPORATIVO</t>
        </is>
      </c>
      <c r="AI411" t="inlineStr">
        <is>
          <t>IGARCIARA@BANCOBASE.COM</t>
        </is>
      </c>
      <c r="AJ411" s="151" t="n">
        <v>46204</v>
      </c>
      <c r="AK411" s="151" t="n"/>
      <c r="AL411" s="151" t="n"/>
    </row>
    <row r="412" hidden="1" s="150">
      <c r="A412" t="inlineStr">
        <is>
          <t>LMARTINEZE</t>
        </is>
      </c>
      <c r="B412" t="n">
        <v>595</v>
      </c>
      <c r="C412" t="inlineStr">
        <is>
          <t>LAURA CECILIA MARTINEZ ESPINOSA</t>
        </is>
      </c>
      <c r="D412" t="n">
        <v>10075</v>
      </c>
      <c r="E412" t="inlineStr">
        <is>
          <t>SUBDIRECTOR DE SOSTENIBILIDAD</t>
        </is>
      </c>
      <c r="F412" t="inlineStr">
        <is>
          <t>MONTERREY</t>
        </is>
      </c>
      <c r="G412" t="n">
        <v>364</v>
      </c>
      <c r="H412" t="inlineStr">
        <is>
          <t>EDITH GONZALEZ VILLARREAL</t>
        </is>
      </c>
      <c r="I412" t="n">
        <v>9452</v>
      </c>
      <c r="J412" t="inlineStr">
        <is>
          <t>DIRECTOR DE TALENTO, SOSTENIBILIDAD Y COMUNICACION</t>
        </is>
      </c>
      <c r="K412" t="n">
        <v>1</v>
      </c>
      <c r="L412" t="inlineStr">
        <is>
          <t>PRESIDENCIA EJECUTIVA DEL CONSEJO</t>
        </is>
      </c>
      <c r="M412" t="n">
        <v>40</v>
      </c>
      <c r="N412" t="inlineStr">
        <is>
          <t>DIRECCION GENERAL BANCO BASE</t>
        </is>
      </c>
      <c r="O412" t="n">
        <v>430</v>
      </c>
      <c r="P412" t="inlineStr">
        <is>
          <t>DIRECCION DE TALENTO SOSTENIBILIDAD Y COMUNICACION</t>
        </is>
      </c>
      <c r="Q412" t="n">
        <v>4330</v>
      </c>
      <c r="R412" t="inlineStr">
        <is>
          <t>SOSTENIBILIDAD</t>
        </is>
      </c>
      <c r="S412" t="n">
        <v>43300</v>
      </c>
      <c r="T412" t="inlineStr">
        <is>
          <t>SOSTENIBILIDAD</t>
        </is>
      </c>
      <c r="U412" t="n">
        <v>433000</v>
      </c>
      <c r="V412" t="inlineStr">
        <is>
          <t>SOSTENIBILIDAD</t>
        </is>
      </c>
      <c r="W412" t="n">
        <v>100101</v>
      </c>
      <c r="X412" t="inlineStr">
        <is>
          <t>CORPORATIVO</t>
        </is>
      </c>
      <c r="Y412" t="n">
        <v>4</v>
      </c>
      <c r="Z412" t="inlineStr">
        <is>
          <t>CORPORATIVO</t>
        </is>
      </c>
      <c r="AA412" t="n">
        <v>1</v>
      </c>
      <c r="AB412" t="inlineStr">
        <is>
          <t>NEGOCIO EN MARCHA</t>
        </is>
      </c>
      <c r="AC412" t="n">
        <v>1</v>
      </c>
      <c r="AD412" t="inlineStr">
        <is>
          <t>BANCO</t>
        </is>
      </c>
      <c r="AE412" t="n">
        <v>1</v>
      </c>
      <c r="AF412" t="inlineStr">
        <is>
          <t>BACK</t>
        </is>
      </c>
      <c r="AG412" t="n">
        <v>100101</v>
      </c>
      <c r="AH412" t="inlineStr">
        <is>
          <t>CORPORATIVO</t>
        </is>
      </c>
      <c r="AI412" t="inlineStr">
        <is>
          <t>LMARTINEZE@BANCOBASE.COM</t>
        </is>
      </c>
      <c r="AJ412" s="151" t="n">
        <v>40225</v>
      </c>
      <c r="AK412" s="151" t="n"/>
      <c r="AL412" s="151" t="n"/>
    </row>
    <row r="413" hidden="1" s="150">
      <c r="A413" t="inlineStr">
        <is>
          <t>ADELARIVA</t>
        </is>
      </c>
      <c r="B413" t="n">
        <v>99525</v>
      </c>
      <c r="C413" t="inlineStr">
        <is>
          <t>ANGELICA CATALINA DE LA RIVA GUTIERREZ</t>
        </is>
      </c>
      <c r="D413" t="n">
        <v>7027</v>
      </c>
      <c r="E413" t="inlineStr">
        <is>
          <t>PRACTICANTE</t>
        </is>
      </c>
      <c r="F413" t="inlineStr">
        <is>
          <t>MONTERREY</t>
        </is>
      </c>
      <c r="G413" t="n">
        <v>595</v>
      </c>
      <c r="H413" t="inlineStr">
        <is>
          <t>LAURA CECILIA MARTINEZ ESPINOSA</t>
        </is>
      </c>
      <c r="I413" t="n">
        <v>10075</v>
      </c>
      <c r="J413" t="inlineStr">
        <is>
          <t>SUBDIRECTOR DE SOSTENIBILIDAD</t>
        </is>
      </c>
      <c r="K413" t="n">
        <v>1</v>
      </c>
      <c r="L413" t="inlineStr">
        <is>
          <t>PRESIDENCIA EJECUTIVA DEL CONSEJO</t>
        </is>
      </c>
      <c r="M413" t="n">
        <v>40</v>
      </c>
      <c r="N413" t="inlineStr">
        <is>
          <t>DIRECCION GENERAL BANCO BASE</t>
        </is>
      </c>
      <c r="O413" t="n">
        <v>430</v>
      </c>
      <c r="P413" t="inlineStr">
        <is>
          <t>DIRECCION DE TALENTO SOSTENIBILIDAD Y COMUNICACION</t>
        </is>
      </c>
      <c r="Q413" t="n">
        <v>4330</v>
      </c>
      <c r="R413" t="inlineStr">
        <is>
          <t>SOSTENIBILIDAD</t>
        </is>
      </c>
      <c r="S413" t="n">
        <v>43300</v>
      </c>
      <c r="T413" t="inlineStr">
        <is>
          <t>SOSTENIBILIDAD</t>
        </is>
      </c>
      <c r="U413" t="n">
        <v>433000</v>
      </c>
      <c r="V413" t="inlineStr">
        <is>
          <t>SOSTENIBILIDAD</t>
        </is>
      </c>
      <c r="W413" t="n">
        <v>100101</v>
      </c>
      <c r="X413" t="inlineStr">
        <is>
          <t>CORPORATIVO</t>
        </is>
      </c>
      <c r="Y413" t="n">
        <v>4</v>
      </c>
      <c r="Z413" t="inlineStr">
        <is>
          <t>CORPORATIVO</t>
        </is>
      </c>
      <c r="AA413" t="n">
        <v>1</v>
      </c>
      <c r="AB413" t="inlineStr">
        <is>
          <t>NEGOCIO EN MARCHA</t>
        </is>
      </c>
      <c r="AC413" t="n">
        <v>1</v>
      </c>
      <c r="AD413" t="inlineStr">
        <is>
          <t>BANCO</t>
        </is>
      </c>
      <c r="AE413" t="n">
        <v>1</v>
      </c>
      <c r="AF413" t="inlineStr">
        <is>
          <t>BACK</t>
        </is>
      </c>
      <c r="AG413" t="n">
        <v>100101</v>
      </c>
      <c r="AH413" t="inlineStr">
        <is>
          <t>CORPORATIVO</t>
        </is>
      </c>
      <c r="AI413" t="inlineStr">
        <is>
          <t>ADELARIVA@BANCOBASE.COM</t>
        </is>
      </c>
      <c r="AJ413" s="151" t="n">
        <v>46027</v>
      </c>
      <c r="AK413" s="151" t="n"/>
      <c r="AL413" s="151" t="n"/>
    </row>
    <row r="414" hidden="1" s="150">
      <c r="A414" t="inlineStr">
        <is>
          <t>EMARROQUIN</t>
        </is>
      </c>
      <c r="B414" t="n">
        <v>2000</v>
      </c>
      <c r="C414" t="inlineStr">
        <is>
          <t>EDGAR EDUARDO MARROQUIN CAVAZOS</t>
        </is>
      </c>
      <c r="D414" t="n">
        <v>8267</v>
      </c>
      <c r="E414" t="inlineStr">
        <is>
          <t>GERENTE DE EXPERIENCIA AL COLABORADOR</t>
        </is>
      </c>
      <c r="F414" t="inlineStr">
        <is>
          <t>MONTERREY</t>
        </is>
      </c>
      <c r="G414" t="n">
        <v>364</v>
      </c>
      <c r="H414" t="inlineStr">
        <is>
          <t>EDITH GONZALEZ VILLARREAL</t>
        </is>
      </c>
      <c r="I414" t="n">
        <v>9452</v>
      </c>
      <c r="J414" t="inlineStr">
        <is>
          <t>DIRECTOR DE TALENTO, SOSTENIBILIDAD Y COMUNICACION</t>
        </is>
      </c>
      <c r="K414" t="n">
        <v>1</v>
      </c>
      <c r="L414" t="inlineStr">
        <is>
          <t>PRESIDENCIA EJECUTIVA DEL CONSEJO</t>
        </is>
      </c>
      <c r="M414" t="n">
        <v>40</v>
      </c>
      <c r="N414" t="inlineStr">
        <is>
          <t>DIRECCION GENERAL BANCO BASE</t>
        </is>
      </c>
      <c r="O414" t="n">
        <v>430</v>
      </c>
      <c r="P414" t="inlineStr">
        <is>
          <t>DIRECCION DE TALENTO SOSTENIBILIDAD Y COMUNICACION</t>
        </is>
      </c>
      <c r="Q414" t="n">
        <v>4360</v>
      </c>
      <c r="R414" t="inlineStr">
        <is>
          <t>EXPERIENCIA AL COLABORADOR Y CHANGE MGMT</t>
        </is>
      </c>
      <c r="S414" t="n">
        <v>43600</v>
      </c>
      <c r="T414" t="inlineStr">
        <is>
          <t>EXPERIENCIA AL COLABORADOR Y CHANGE MGMT</t>
        </is>
      </c>
      <c r="U414" t="n">
        <v>436000</v>
      </c>
      <c r="V414" t="inlineStr">
        <is>
          <t>EXPERIENCIA AL COLABORADOR Y CHANGE MGMT</t>
        </is>
      </c>
      <c r="W414" t="n">
        <v>100101</v>
      </c>
      <c r="X414" t="inlineStr">
        <is>
          <t>CORPORATIVO</t>
        </is>
      </c>
      <c r="Y414" t="n">
        <v>4</v>
      </c>
      <c r="Z414" t="inlineStr">
        <is>
          <t>CORPORATIVO</t>
        </is>
      </c>
      <c r="AA414" t="n">
        <v>1</v>
      </c>
      <c r="AB414" t="inlineStr">
        <is>
          <t>NEGOCIO EN MARCHA</t>
        </is>
      </c>
      <c r="AC414" t="n">
        <v>1</v>
      </c>
      <c r="AD414" t="inlineStr">
        <is>
          <t>BANCO</t>
        </is>
      </c>
      <c r="AE414" t="n">
        <v>1</v>
      </c>
      <c r="AF414" t="inlineStr">
        <is>
          <t>BACK</t>
        </is>
      </c>
      <c r="AG414" t="n">
        <v>100101</v>
      </c>
      <c r="AH414" t="inlineStr">
        <is>
          <t>CORPORATIVO</t>
        </is>
      </c>
      <c r="AI414" t="inlineStr">
        <is>
          <t>EMARROQUIN@BANCOBASE.COM</t>
        </is>
      </c>
      <c r="AJ414" s="151" t="n">
        <v>43221</v>
      </c>
      <c r="AK414" s="151" t="n"/>
      <c r="AL414" s="151" t="n"/>
    </row>
    <row r="415" hidden="1" s="150">
      <c r="A415" t="inlineStr">
        <is>
          <t>ISANCHEZB</t>
        </is>
      </c>
      <c r="B415" t="n">
        <v>2331</v>
      </c>
      <c r="C415" t="inlineStr">
        <is>
          <t>ILSE ANDREA SANCHEZ BERNAL</t>
        </is>
      </c>
      <c r="D415" t="n">
        <v>8056</v>
      </c>
      <c r="E415" t="inlineStr">
        <is>
          <t>ESPECIALISTA DE EXPERIENCIA AL COLABORADOR</t>
        </is>
      </c>
      <c r="F415" t="inlineStr">
        <is>
          <t>MONTERREY</t>
        </is>
      </c>
      <c r="G415" t="n">
        <v>2000</v>
      </c>
      <c r="H415" t="inlineStr">
        <is>
          <t>EDGAR EDUARDO MARROQUIN CAVAZOS</t>
        </is>
      </c>
      <c r="I415" t="n">
        <v>8267</v>
      </c>
      <c r="J415" t="inlineStr">
        <is>
          <t>GERENTE DE EXPERIENCIA AL COLABORADOR</t>
        </is>
      </c>
      <c r="K415" t="n">
        <v>1</v>
      </c>
      <c r="L415" t="inlineStr">
        <is>
          <t>PRESIDENCIA EJECUTIVA DEL CONSEJO</t>
        </is>
      </c>
      <c r="M415" t="n">
        <v>40</v>
      </c>
      <c r="N415" t="inlineStr">
        <is>
          <t>DIRECCION GENERAL BANCO BASE</t>
        </is>
      </c>
      <c r="O415" t="n">
        <v>430</v>
      </c>
      <c r="P415" t="inlineStr">
        <is>
          <t>DIRECCION DE TALENTO SOSTENIBILIDAD Y COMUNICACION</t>
        </is>
      </c>
      <c r="Q415" t="n">
        <v>4360</v>
      </c>
      <c r="R415" t="inlineStr">
        <is>
          <t>EXPERIENCIA AL COLABORADOR Y CHANGE MGMT</t>
        </is>
      </c>
      <c r="S415" t="n">
        <v>43600</v>
      </c>
      <c r="T415" t="inlineStr">
        <is>
          <t>EXPERIENCIA AL COLABORADOR Y CHANGE MGMT</t>
        </is>
      </c>
      <c r="U415" t="n">
        <v>436000</v>
      </c>
      <c r="V415" t="inlineStr">
        <is>
          <t>EXPERIENCIA AL COLABORADOR Y CHANGE MGMT</t>
        </is>
      </c>
      <c r="W415" t="n">
        <v>100101</v>
      </c>
      <c r="X415" t="inlineStr">
        <is>
          <t>CORPORATIVO</t>
        </is>
      </c>
      <c r="Y415" t="n">
        <v>4</v>
      </c>
      <c r="Z415" t="inlineStr">
        <is>
          <t>CORPORATIVO</t>
        </is>
      </c>
      <c r="AA415" t="n">
        <v>1</v>
      </c>
      <c r="AB415" t="inlineStr">
        <is>
          <t>NEGOCIO EN MARCHA</t>
        </is>
      </c>
      <c r="AC415" t="n">
        <v>1</v>
      </c>
      <c r="AD415" t="inlineStr">
        <is>
          <t>BANCO</t>
        </is>
      </c>
      <c r="AE415" t="n">
        <v>1</v>
      </c>
      <c r="AF415" t="inlineStr">
        <is>
          <t>BACK</t>
        </is>
      </c>
      <c r="AG415" t="n">
        <v>100101</v>
      </c>
      <c r="AH415" t="inlineStr">
        <is>
          <t>CORPORATIVO</t>
        </is>
      </c>
      <c r="AI415" t="inlineStr">
        <is>
          <t>ISANCHEZB@BANCOBASE.COM</t>
        </is>
      </c>
      <c r="AJ415" s="151" t="n">
        <v>43731</v>
      </c>
      <c r="AK415" s="151" t="n"/>
      <c r="AL415" s="151" t="n"/>
    </row>
    <row r="416" hidden="1" s="150">
      <c r="A416" t="inlineStr">
        <is>
          <t>SMANCHA</t>
        </is>
      </c>
      <c r="B416" t="n">
        <v>2770</v>
      </c>
      <c r="C416" t="inlineStr">
        <is>
          <t>SHARON PATRICIA MANCHA MIRANDA</t>
        </is>
      </c>
      <c r="D416" t="n">
        <v>8396</v>
      </c>
      <c r="E416" t="inlineStr">
        <is>
          <t>DISEÑADOR ORGANIZACIONAL Y EFECTIVIDAD</t>
        </is>
      </c>
      <c r="F416" t="inlineStr">
        <is>
          <t>MONTERREY</t>
        </is>
      </c>
      <c r="G416" t="n">
        <v>364</v>
      </c>
      <c r="H416" t="inlineStr">
        <is>
          <t>EDITH GONZALEZ VILLARREAL</t>
        </is>
      </c>
      <c r="I416" t="n">
        <v>9452</v>
      </c>
      <c r="J416" t="inlineStr">
        <is>
          <t>DIRECTOR DE TALENTO, SOSTENIBILIDAD Y COMUNICACION</t>
        </is>
      </c>
      <c r="K416" t="n">
        <v>1</v>
      </c>
      <c r="L416" t="inlineStr">
        <is>
          <t>PRESIDENCIA EJECUTIVA DEL CONSEJO</t>
        </is>
      </c>
      <c r="M416" t="n">
        <v>40</v>
      </c>
      <c r="N416" t="inlineStr">
        <is>
          <t>DIRECCION GENERAL BANCO BASE</t>
        </is>
      </c>
      <c r="O416" t="n">
        <v>430</v>
      </c>
      <c r="P416" t="inlineStr">
        <is>
          <t>DIRECCION DE TALENTO SOSTENIBILIDAD Y COMUNICACION</t>
        </is>
      </c>
      <c r="Q416" t="n">
        <v>4300</v>
      </c>
      <c r="R416" t="inlineStr">
        <is>
          <t>DIRECCION DE TALENTO SOSTENIBILIDAD Y COMUNICACION</t>
        </is>
      </c>
      <c r="S416" t="n">
        <v>43000</v>
      </c>
      <c r="T416" t="inlineStr">
        <is>
          <t>DIRECCION DE TALENTO SOSTENIBILIDAD Y COMUNICACION</t>
        </is>
      </c>
      <c r="U416" t="n">
        <v>430000</v>
      </c>
      <c r="V416" t="inlineStr">
        <is>
          <t>DIRECCION DE TALENTO SOSTENIBILIDAD Y COMUNICACION</t>
        </is>
      </c>
      <c r="W416" t="n">
        <v>100101</v>
      </c>
      <c r="X416" t="inlineStr">
        <is>
          <t>CORPORATIVO</t>
        </is>
      </c>
      <c r="Y416" t="n">
        <v>4</v>
      </c>
      <c r="Z416" t="inlineStr">
        <is>
          <t>CORPORATIVO</t>
        </is>
      </c>
      <c r="AA416" t="n">
        <v>1</v>
      </c>
      <c r="AB416" t="inlineStr">
        <is>
          <t>NEGOCIO EN MARCHA</t>
        </is>
      </c>
      <c r="AC416" t="n">
        <v>1</v>
      </c>
      <c r="AD416" t="inlineStr">
        <is>
          <t>BANCO</t>
        </is>
      </c>
      <c r="AE416" t="n">
        <v>1</v>
      </c>
      <c r="AF416" t="inlineStr">
        <is>
          <t>BACK</t>
        </is>
      </c>
      <c r="AG416" t="n">
        <v>100101</v>
      </c>
      <c r="AH416" t="inlineStr">
        <is>
          <t>CORPORATIVO</t>
        </is>
      </c>
      <c r="AI416" t="inlineStr">
        <is>
          <t>SMANCHA@BANCOBASE.COM</t>
        </is>
      </c>
      <c r="AJ416" s="151" t="n">
        <v>44866</v>
      </c>
      <c r="AK416" s="151" t="n"/>
      <c r="AL416" s="151" t="n"/>
    </row>
    <row r="417" hidden="1" s="150">
      <c r="A417" t="inlineStr">
        <is>
          <t>HMONTELONG</t>
        </is>
      </c>
      <c r="B417" t="n">
        <v>2582</v>
      </c>
      <c r="C417" t="inlineStr">
        <is>
          <t>HECTOR EDER MONTELONGO RODULFO</t>
        </is>
      </c>
      <c r="D417" t="n">
        <v>9535</v>
      </c>
      <c r="E417" t="inlineStr">
        <is>
          <t>PRODUCT OWNER TWR</t>
        </is>
      </c>
      <c r="F417" t="inlineStr">
        <is>
          <t>MONTERREY</t>
        </is>
      </c>
      <c r="G417" t="n">
        <v>364</v>
      </c>
      <c r="H417" t="inlineStr">
        <is>
          <t>EDITH GONZALEZ VILLARREAL</t>
        </is>
      </c>
      <c r="I417" t="n">
        <v>9452</v>
      </c>
      <c r="J417" t="inlineStr">
        <is>
          <t>DIRECTOR DE TALENTO, SOSTENIBILIDAD Y COMUNICACION</t>
        </is>
      </c>
      <c r="K417" t="n">
        <v>1</v>
      </c>
      <c r="L417" t="inlineStr">
        <is>
          <t>PRESIDENCIA EJECUTIVA DEL CONSEJO</t>
        </is>
      </c>
      <c r="M417" t="n">
        <v>30</v>
      </c>
      <c r="N417" t="inlineStr">
        <is>
          <t>DIRECCION GENERAL ADJUNTA PRODUCTO Y TRANSFORMACIO</t>
        </is>
      </c>
      <c r="O417" t="n">
        <v>301</v>
      </c>
      <c r="P417" t="inlineStr">
        <is>
          <t>DOMINIO</t>
        </is>
      </c>
      <c r="Q417" t="n">
        <v>4300</v>
      </c>
      <c r="R417" t="inlineStr">
        <is>
          <t>DIRECCION DE TALENTO SOSTENIBILIDAD Y COMUNICACION</t>
        </is>
      </c>
      <c r="S417" t="n">
        <v>43100</v>
      </c>
      <c r="T417" t="inlineStr">
        <is>
          <t>SUBDIRECCION DE TALENTO Y CULTURA</t>
        </is>
      </c>
      <c r="U417" t="n">
        <v>301300</v>
      </c>
      <c r="V417" t="inlineStr">
        <is>
          <t>EQUIPO HABILITADOR</t>
        </is>
      </c>
      <c r="W417" t="n">
        <v>100101</v>
      </c>
      <c r="X417" t="inlineStr">
        <is>
          <t>CORPORATIVO</t>
        </is>
      </c>
      <c r="Y417" t="n">
        <v>4</v>
      </c>
      <c r="Z417" t="inlineStr">
        <is>
          <t>CORPORATIVO</t>
        </is>
      </c>
      <c r="AA417" t="n">
        <v>11</v>
      </c>
      <c r="AB417" t="inlineStr">
        <is>
          <t>DOMINIO HA</t>
        </is>
      </c>
      <c r="AC417" t="n">
        <v>1</v>
      </c>
      <c r="AD417" t="inlineStr">
        <is>
          <t>BANCO</t>
        </is>
      </c>
      <c r="AE417" t="n">
        <v>1</v>
      </c>
      <c r="AF417" t="inlineStr">
        <is>
          <t>BACK</t>
        </is>
      </c>
      <c r="AG417" t="n">
        <v>100101</v>
      </c>
      <c r="AH417" t="inlineStr">
        <is>
          <t>CORPORATIVO</t>
        </is>
      </c>
      <c r="AI417" t="inlineStr">
        <is>
          <t>HMONTELONG@BANCOBASE.COM</t>
        </is>
      </c>
      <c r="AJ417" s="151" t="n">
        <v>44531</v>
      </c>
      <c r="AK417" s="151" t="n"/>
      <c r="AL417" s="151" t="n"/>
    </row>
    <row r="418" hidden="1" s="150">
      <c r="A418" t="inlineStr">
        <is>
          <t>LLOA</t>
        </is>
      </c>
      <c r="B418" t="n">
        <v>3767</v>
      </c>
      <c r="C418" t="inlineStr">
        <is>
          <t>LUIS IVAN LOA ALBO</t>
        </is>
      </c>
      <c r="D418" t="n">
        <v>8992</v>
      </c>
      <c r="E418" t="inlineStr">
        <is>
          <t>ESPECIALISTA DE INCORPORACION DE TALENTO DIGITAL</t>
        </is>
      </c>
      <c r="F418" t="inlineStr">
        <is>
          <t>MONTERREY</t>
        </is>
      </c>
      <c r="G418" t="n">
        <v>2582</v>
      </c>
      <c r="H418" t="inlineStr">
        <is>
          <t>HECTOR EDER MONTELONGO RODULFO</t>
        </is>
      </c>
      <c r="I418" t="n">
        <v>9535</v>
      </c>
      <c r="J418" t="inlineStr">
        <is>
          <t>PRODUCT OWNER TWR</t>
        </is>
      </c>
      <c r="K418" t="n">
        <v>1</v>
      </c>
      <c r="L418" t="inlineStr">
        <is>
          <t>PRESIDENCIA EJECUTIVA DEL CONSEJO</t>
        </is>
      </c>
      <c r="M418" t="n">
        <v>30</v>
      </c>
      <c r="N418" t="inlineStr">
        <is>
          <t>DIRECCION GENERAL ADJUNTA PRODUCTO Y TRANSFORMACIO</t>
        </is>
      </c>
      <c r="O418" t="n">
        <v>301</v>
      </c>
      <c r="P418" t="inlineStr">
        <is>
          <t>DOMINIO</t>
        </is>
      </c>
      <c r="Q418" t="n">
        <v>4300</v>
      </c>
      <c r="R418" t="inlineStr">
        <is>
          <t>DIRECCION DE TALENTO SOSTENIBILIDAD Y COMUNICACION</t>
        </is>
      </c>
      <c r="S418" t="n">
        <v>43100</v>
      </c>
      <c r="T418" t="inlineStr">
        <is>
          <t>SUBDIRECCION DE TALENTO Y CULTURA</t>
        </is>
      </c>
      <c r="U418" t="n">
        <v>301300</v>
      </c>
      <c r="V418" t="inlineStr">
        <is>
          <t>EQUIPO HABILITADOR</t>
        </is>
      </c>
      <c r="W418" t="n">
        <v>100101</v>
      </c>
      <c r="X418" t="inlineStr">
        <is>
          <t>CORPORATIVO</t>
        </is>
      </c>
      <c r="Y418" t="n">
        <v>4</v>
      </c>
      <c r="Z418" t="inlineStr">
        <is>
          <t>CORPORATIVO</t>
        </is>
      </c>
      <c r="AA418" t="n">
        <v>11</v>
      </c>
      <c r="AB418" t="inlineStr">
        <is>
          <t>DOMINIO HA</t>
        </is>
      </c>
      <c r="AC418" t="n">
        <v>1</v>
      </c>
      <c r="AD418" t="inlineStr">
        <is>
          <t>BANCO</t>
        </is>
      </c>
      <c r="AE418" t="n">
        <v>1</v>
      </c>
      <c r="AF418" t="inlineStr">
        <is>
          <t>BACK</t>
        </is>
      </c>
      <c r="AG418" t="n">
        <v>100101</v>
      </c>
      <c r="AH418" t="inlineStr">
        <is>
          <t>CORPORATIVO</t>
        </is>
      </c>
      <c r="AI418" t="inlineStr">
        <is>
          <t>LLOA@BANCOBASE.COM</t>
        </is>
      </c>
      <c r="AJ418" s="151" t="n">
        <v>46069</v>
      </c>
      <c r="AK418" s="151" t="n"/>
      <c r="AL418" s="151" t="n"/>
    </row>
    <row r="419" hidden="1" s="150">
      <c r="A419" t="inlineStr">
        <is>
          <t>MVILLARRED</t>
        </is>
      </c>
      <c r="B419" t="inlineStr">
        <is>
          <t>EXT-99510</t>
        </is>
      </c>
      <c r="C419" t="inlineStr">
        <is>
          <t>MICHELLE ALEJANDRA VILLARREAL DAVILA</t>
        </is>
      </c>
      <c r="D419" t="n">
        <v>8352</v>
      </c>
      <c r="E419" t="inlineStr">
        <is>
          <t>ESPECIALISTA EN GESTION DE TALENTO DIGITAL</t>
        </is>
      </c>
      <c r="F419" t="inlineStr">
        <is>
          <t>MONTERREY</t>
        </is>
      </c>
      <c r="G419" t="n">
        <v>2582</v>
      </c>
      <c r="H419" t="inlineStr">
        <is>
          <t>HECTOR EDER MONTELONGO RODULFO</t>
        </is>
      </c>
      <c r="I419" t="n">
        <v>9535</v>
      </c>
      <c r="J419" t="inlineStr">
        <is>
          <t>PRODUCT OWNER TWR</t>
        </is>
      </c>
      <c r="K419" t="n">
        <v>1</v>
      </c>
      <c r="L419" t="inlineStr">
        <is>
          <t>PRESIDENCIA EJECUTIVA DEL CONSEJO</t>
        </is>
      </c>
      <c r="M419" t="n">
        <v>30</v>
      </c>
      <c r="N419" t="inlineStr">
        <is>
          <t>DIRECCION GENERAL ADJUNTA PRODUCTO Y TRANSFORMACIO</t>
        </is>
      </c>
      <c r="O419" t="n">
        <v>301</v>
      </c>
      <c r="P419" t="inlineStr">
        <is>
          <t>DOMINIO</t>
        </is>
      </c>
      <c r="Q419" t="n">
        <v>4300</v>
      </c>
      <c r="R419" t="inlineStr">
        <is>
          <t>DIRECCION DE TALENTO SOSTENIBILIDAD Y COMUNICACION</t>
        </is>
      </c>
      <c r="S419" t="n">
        <v>43100</v>
      </c>
      <c r="T419" t="inlineStr">
        <is>
          <t>SUBDIRECCION DE TALENTO Y CULTURA</t>
        </is>
      </c>
      <c r="U419" t="n">
        <v>301300</v>
      </c>
      <c r="V419" t="inlineStr">
        <is>
          <t>EQUIPO HABILITADOR</t>
        </is>
      </c>
      <c r="W419" t="n">
        <v>100101</v>
      </c>
      <c r="X419" t="inlineStr">
        <is>
          <t>CORPORATIVO</t>
        </is>
      </c>
      <c r="Y419" t="n">
        <v>4</v>
      </c>
      <c r="Z419" t="inlineStr">
        <is>
          <t>CORPORATIVO</t>
        </is>
      </c>
      <c r="AA419" t="n">
        <v>11</v>
      </c>
      <c r="AB419" t="inlineStr">
        <is>
          <t>DOMINIO HA</t>
        </is>
      </c>
      <c r="AC419" t="n">
        <v>1</v>
      </c>
      <c r="AD419" t="inlineStr">
        <is>
          <t>BANCO</t>
        </is>
      </c>
      <c r="AE419" t="n">
        <v>1</v>
      </c>
      <c r="AF419" t="inlineStr">
        <is>
          <t>BACK</t>
        </is>
      </c>
      <c r="AG419" t="n">
        <v>100101</v>
      </c>
      <c r="AH419" t="inlineStr">
        <is>
          <t>CORPORATIVO</t>
        </is>
      </c>
      <c r="AI419" t="inlineStr">
        <is>
          <t>MVILLARRED@BANCOBASE.COM</t>
        </is>
      </c>
      <c r="AJ419" s="151" t="n">
        <v>45918</v>
      </c>
      <c r="AK419" s="151" t="n"/>
      <c r="AL419" s="151" t="n"/>
    </row>
    <row r="420" hidden="1" s="150">
      <c r="A420" t="inlineStr">
        <is>
          <t>VMAGALLON</t>
        </is>
      </c>
      <c r="B420" t="n">
        <v>3968</v>
      </c>
      <c r="C420" t="inlineStr">
        <is>
          <t>VIVIANA MAGALLON BENAVIDES</t>
        </is>
      </c>
      <c r="D420" t="n">
        <v>8069</v>
      </c>
      <c r="E420" t="inlineStr">
        <is>
          <t>ESPECIALISTA DE INCORPORACION DE TALENTO DIGITAL SR</t>
        </is>
      </c>
      <c r="F420" t="inlineStr">
        <is>
          <t>TELETRABAJO</t>
        </is>
      </c>
      <c r="G420" t="n">
        <v>2582</v>
      </c>
      <c r="H420" t="inlineStr">
        <is>
          <t>HECTOR EDER MONTELONGO RODULFO</t>
        </is>
      </c>
      <c r="I420" t="n">
        <v>9535</v>
      </c>
      <c r="J420" t="inlineStr">
        <is>
          <t>PRODUCT OWNER TWR</t>
        </is>
      </c>
      <c r="K420" t="n">
        <v>1</v>
      </c>
      <c r="L420" t="inlineStr">
        <is>
          <t>PRESIDENCIA EJECUTIVA DEL CONSEJO</t>
        </is>
      </c>
      <c r="M420" t="n">
        <v>30</v>
      </c>
      <c r="N420" t="inlineStr">
        <is>
          <t>DIRECCION GENERAL ADJUNTA PRODUCTO Y TRANSFORMACIO</t>
        </is>
      </c>
      <c r="O420" t="n">
        <v>301</v>
      </c>
      <c r="P420" t="inlineStr">
        <is>
          <t>DOMINIO</t>
        </is>
      </c>
      <c r="Q420" t="n">
        <v>4300</v>
      </c>
      <c r="R420" t="inlineStr">
        <is>
          <t>DIRECCION DE TALENTO SOSTENIBILIDAD Y COMUNICACION</t>
        </is>
      </c>
      <c r="S420" t="n">
        <v>43100</v>
      </c>
      <c r="T420" t="inlineStr">
        <is>
          <t>SUBDIRECCION DE TALENTO Y CULTURA</t>
        </is>
      </c>
      <c r="U420" t="n">
        <v>301300</v>
      </c>
      <c r="V420" t="inlineStr">
        <is>
          <t>EQUIPO HABILITADOR</t>
        </is>
      </c>
      <c r="W420" t="n">
        <v>134111</v>
      </c>
      <c r="X420" t="inlineStr">
        <is>
          <t>LOMAS</t>
        </is>
      </c>
      <c r="Y420" t="n">
        <v>4</v>
      </c>
      <c r="Z420" t="inlineStr">
        <is>
          <t>CORPORATIVO</t>
        </is>
      </c>
      <c r="AA420" t="n">
        <v>11</v>
      </c>
      <c r="AB420" t="inlineStr">
        <is>
          <t>DOMINIO HA</t>
        </is>
      </c>
      <c r="AC420" t="n">
        <v>1</v>
      </c>
      <c r="AD420" t="inlineStr">
        <is>
          <t>BANCO</t>
        </is>
      </c>
      <c r="AE420" t="n">
        <v>1</v>
      </c>
      <c r="AF420" t="inlineStr">
        <is>
          <t>BACK</t>
        </is>
      </c>
      <c r="AG420" t="n">
        <v>134111</v>
      </c>
      <c r="AH420" t="inlineStr">
        <is>
          <t>LOMAS</t>
        </is>
      </c>
      <c r="AI420" t="inlineStr">
        <is>
          <t>VMAGALLON@BANCOBASE.COM</t>
        </is>
      </c>
      <c r="AJ420" s="151" t="n">
        <v>46237</v>
      </c>
      <c r="AK420" s="151" t="n"/>
      <c r="AL420" s="151" t="n"/>
    </row>
    <row r="421" hidden="1" s="150">
      <c r="A421" t="inlineStr">
        <is>
          <t>BHERRERAP</t>
        </is>
      </c>
      <c r="B421" t="n">
        <v>3757</v>
      </c>
      <c r="C421" t="inlineStr">
        <is>
          <t>BERNARDO ANDRES HERRERA PARIS</t>
        </is>
      </c>
      <c r="D421" t="n">
        <v>8993</v>
      </c>
      <c r="E421" t="inlineStr">
        <is>
          <t>ESPECIALISTA DE INCORPORACION DE TALENTO TI</t>
        </is>
      </c>
      <c r="F421" t="inlineStr">
        <is>
          <t>MONTERREY</t>
        </is>
      </c>
      <c r="G421" t="n">
        <v>2582</v>
      </c>
      <c r="H421" t="inlineStr">
        <is>
          <t>HECTOR EDER MONTELONGO RODULFO</t>
        </is>
      </c>
      <c r="I421" t="n">
        <v>9535</v>
      </c>
      <c r="J421" t="inlineStr">
        <is>
          <t>PRODUCT OWNER TWR</t>
        </is>
      </c>
      <c r="K421" t="n">
        <v>1</v>
      </c>
      <c r="L421" t="inlineStr">
        <is>
          <t>PRESIDENCIA EJECUTIVA DEL CONSEJO</t>
        </is>
      </c>
      <c r="M421" t="n">
        <v>40</v>
      </c>
      <c r="N421" t="inlineStr">
        <is>
          <t>DIRECCION GENERAL BANCO BASE</t>
        </is>
      </c>
      <c r="O421" t="n">
        <v>430</v>
      </c>
      <c r="P421" t="inlineStr">
        <is>
          <t>DIRECCION DE TALENTO SOSTENIBILIDAD Y COMUNICACION</t>
        </is>
      </c>
      <c r="Q421" t="n">
        <v>4310</v>
      </c>
      <c r="R421" t="inlineStr">
        <is>
          <t>SUBDIRECCION DE TALENTO Y CULTURA</t>
        </is>
      </c>
      <c r="S421" t="n">
        <v>43100</v>
      </c>
      <c r="T421" t="inlineStr">
        <is>
          <t>SUBDIRECCION DE TALENTO Y CULTURA</t>
        </is>
      </c>
      <c r="U421" t="n">
        <v>431000</v>
      </c>
      <c r="V421" t="inlineStr">
        <is>
          <t>DIRECCION DE TALENTO Y CULTURA</t>
        </is>
      </c>
      <c r="W421" t="n">
        <v>100101</v>
      </c>
      <c r="X421" t="inlineStr">
        <is>
          <t>CORPORATIVO</t>
        </is>
      </c>
      <c r="Y421" t="n">
        <v>4</v>
      </c>
      <c r="Z421" t="inlineStr">
        <is>
          <t>CORPORATIVO</t>
        </is>
      </c>
      <c r="AA421" t="n">
        <v>1</v>
      </c>
      <c r="AB421" t="inlineStr">
        <is>
          <t>NEGOCIO EN MARCHA</t>
        </is>
      </c>
      <c r="AC421" t="n">
        <v>1</v>
      </c>
      <c r="AD421" t="inlineStr">
        <is>
          <t>BANCO</t>
        </is>
      </c>
      <c r="AE421" t="n">
        <v>1</v>
      </c>
      <c r="AF421" t="inlineStr">
        <is>
          <t>BACK</t>
        </is>
      </c>
      <c r="AG421" t="n">
        <v>100101</v>
      </c>
      <c r="AH421" t="inlineStr">
        <is>
          <t>CORPORATIVO</t>
        </is>
      </c>
      <c r="AI421" t="inlineStr">
        <is>
          <t>BHERRERAP@BANCOBASE.COM</t>
        </is>
      </c>
      <c r="AJ421" s="151" t="n">
        <v>46062</v>
      </c>
      <c r="AK421" s="151" t="n"/>
      <c r="AL421" s="151" t="n"/>
    </row>
    <row r="422" hidden="1" s="150">
      <c r="A422" t="inlineStr">
        <is>
          <t>MORTEGAA</t>
        </is>
      </c>
      <c r="B422" t="n">
        <v>3065</v>
      </c>
      <c r="C422" t="inlineStr">
        <is>
          <t>MONICA ELIZABETH ORTEGA ALVAREZ</t>
        </is>
      </c>
      <c r="D422" t="n">
        <v>8340</v>
      </c>
      <c r="E422" t="inlineStr">
        <is>
          <t>TYC BUSINESS PARTNER</t>
        </is>
      </c>
      <c r="F422" t="inlineStr">
        <is>
          <t>MONTERREY</t>
        </is>
      </c>
      <c r="G422" t="n">
        <v>364</v>
      </c>
      <c r="H422" t="inlineStr">
        <is>
          <t>EDITH GONZALEZ VILLARREAL</t>
        </is>
      </c>
      <c r="I422" t="n">
        <v>9452</v>
      </c>
      <c r="J422" t="inlineStr">
        <is>
          <t>DIRECTOR DE TALENTO, SOSTENIBILIDAD Y COMUNICACION</t>
        </is>
      </c>
      <c r="K422" t="n">
        <v>1</v>
      </c>
      <c r="L422" t="inlineStr">
        <is>
          <t>PRESIDENCIA EJECUTIVA DEL CONSEJO</t>
        </is>
      </c>
      <c r="M422" t="n">
        <v>40</v>
      </c>
      <c r="N422" t="inlineStr">
        <is>
          <t>DIRECCION GENERAL BANCO BASE</t>
        </is>
      </c>
      <c r="O422" t="n">
        <v>430</v>
      </c>
      <c r="P422" t="inlineStr">
        <is>
          <t>DIRECCION DE TALENTO SOSTENIBILIDAD Y COMUNICACION</t>
        </is>
      </c>
      <c r="Q422" t="n">
        <v>4310</v>
      </c>
      <c r="R422" t="inlineStr">
        <is>
          <t>SUBDIRECCION DE TALENTO Y CULTURA</t>
        </is>
      </c>
      <c r="S422" t="n">
        <v>43100</v>
      </c>
      <c r="T422" t="inlineStr">
        <is>
          <t>SUBDIRECCION DE TALENTO Y CULTURA</t>
        </is>
      </c>
      <c r="U422" t="n">
        <v>431000</v>
      </c>
      <c r="V422" t="inlineStr">
        <is>
          <t>DIRECCION DE TALENTO Y CULTURA</t>
        </is>
      </c>
      <c r="W422" t="n">
        <v>100101</v>
      </c>
      <c r="X422" t="inlineStr">
        <is>
          <t>CORPORATIVO</t>
        </is>
      </c>
      <c r="Y422" t="n">
        <v>4</v>
      </c>
      <c r="Z422" t="inlineStr">
        <is>
          <t>CORPORATIVO</t>
        </is>
      </c>
      <c r="AA422" t="n">
        <v>1</v>
      </c>
      <c r="AB422" t="inlineStr">
        <is>
          <t>NEGOCIO EN MARCHA</t>
        </is>
      </c>
      <c r="AC422" t="n">
        <v>1</v>
      </c>
      <c r="AD422" t="inlineStr">
        <is>
          <t>BANCO</t>
        </is>
      </c>
      <c r="AE422" t="n">
        <v>1</v>
      </c>
      <c r="AF422" t="inlineStr">
        <is>
          <t>BACK</t>
        </is>
      </c>
      <c r="AG422" t="n">
        <v>100101</v>
      </c>
      <c r="AH422" t="inlineStr">
        <is>
          <t>CORPORATIVO</t>
        </is>
      </c>
      <c r="AI422" t="inlineStr">
        <is>
          <t>MORTEGAA@BANCOBASE.COM</t>
        </is>
      </c>
      <c r="AJ422" s="151" t="n">
        <v>45383</v>
      </c>
      <c r="AK422" s="151" t="n"/>
      <c r="AL422" s="151" t="n"/>
    </row>
    <row r="423" hidden="1" s="150">
      <c r="A423" t="inlineStr">
        <is>
          <t>CNUNCIO</t>
        </is>
      </c>
      <c r="B423" t="n">
        <v>3896</v>
      </c>
      <c r="C423" t="inlineStr">
        <is>
          <t>CHEYENNE ABIGAIL NUNCIO DE LA CRUZ</t>
        </is>
      </c>
      <c r="D423" t="n">
        <v>5120</v>
      </c>
      <c r="E423" t="inlineStr">
        <is>
          <t>ESPECIALISTA DE INCORPORACION DE TALENTO</t>
        </is>
      </c>
      <c r="F423" t="inlineStr">
        <is>
          <t>MONTERREY</t>
        </is>
      </c>
      <c r="G423" t="n">
        <v>3065</v>
      </c>
      <c r="H423" t="inlineStr">
        <is>
          <t>MONICA ELIZABETH ORTEGA ALVAREZ</t>
        </is>
      </c>
      <c r="I423" t="n">
        <v>8340</v>
      </c>
      <c r="J423" t="inlineStr">
        <is>
          <t>TYC BUSINESS PARTNER</t>
        </is>
      </c>
      <c r="K423" t="n">
        <v>1</v>
      </c>
      <c r="L423" t="inlineStr">
        <is>
          <t>PRESIDENCIA EJECUTIVA DEL CONSEJO</t>
        </is>
      </c>
      <c r="M423" t="n">
        <v>40</v>
      </c>
      <c r="N423" t="inlineStr">
        <is>
          <t>DIRECCION GENERAL BANCO BASE</t>
        </is>
      </c>
      <c r="O423" t="n">
        <v>430</v>
      </c>
      <c r="P423" t="inlineStr">
        <is>
          <t>DIRECCION DE TALENTO SOSTENIBILIDAD Y COMUNICACION</t>
        </is>
      </c>
      <c r="Q423" t="n">
        <v>4310</v>
      </c>
      <c r="R423" t="inlineStr">
        <is>
          <t>SUBDIRECCION DE TALENTO Y CULTURA</t>
        </is>
      </c>
      <c r="S423" t="n">
        <v>43100</v>
      </c>
      <c r="T423" t="inlineStr">
        <is>
          <t>SUBDIRECCION DE TALENTO Y CULTURA</t>
        </is>
      </c>
      <c r="U423" t="n">
        <v>431000</v>
      </c>
      <c r="V423" t="inlineStr">
        <is>
          <t>DIRECCION DE TALENTO Y CULTURA</t>
        </is>
      </c>
      <c r="W423" t="n">
        <v>100101</v>
      </c>
      <c r="X423" t="inlineStr">
        <is>
          <t>CORPORATIVO</t>
        </is>
      </c>
      <c r="Y423" t="n">
        <v>4</v>
      </c>
      <c r="Z423" t="inlineStr">
        <is>
          <t>CORPORATIVO</t>
        </is>
      </c>
      <c r="AA423" t="n">
        <v>1</v>
      </c>
      <c r="AB423" t="inlineStr">
        <is>
          <t>NEGOCIO EN MARCHA</t>
        </is>
      </c>
      <c r="AC423" t="n">
        <v>1</v>
      </c>
      <c r="AD423" t="inlineStr">
        <is>
          <t>BANCO</t>
        </is>
      </c>
      <c r="AE423" t="n">
        <v>1</v>
      </c>
      <c r="AF423" t="inlineStr">
        <is>
          <t>BACK</t>
        </is>
      </c>
      <c r="AG423" t="n">
        <v>100101</v>
      </c>
      <c r="AH423" t="inlineStr">
        <is>
          <t>CORPORATIVO</t>
        </is>
      </c>
      <c r="AI423" t="inlineStr">
        <is>
          <t>CNUNCIO@BANCOBASE.COM</t>
        </is>
      </c>
      <c r="AJ423" s="151" t="n">
        <v>46174</v>
      </c>
      <c r="AK423" s="151" t="n"/>
      <c r="AL423" s="151" t="n"/>
    </row>
    <row r="424" hidden="1" s="150">
      <c r="A424" t="inlineStr">
        <is>
          <t>JRIVERAS</t>
        </is>
      </c>
      <c r="B424" t="n">
        <v>3710</v>
      </c>
      <c r="C424" t="inlineStr">
        <is>
          <t>JOSE RUBEN RIVERA SILVA</t>
        </is>
      </c>
      <c r="D424" t="n">
        <v>8671</v>
      </c>
      <c r="E424" t="inlineStr">
        <is>
          <t>SUBDIRECTOR DE COMUNICACION CORPORATIVA</t>
        </is>
      </c>
      <c r="F424" t="inlineStr">
        <is>
          <t>MEXICO</t>
        </is>
      </c>
      <c r="G424" t="n">
        <v>364</v>
      </c>
      <c r="H424" t="inlineStr">
        <is>
          <t>EDITH GONZALEZ VILLARREAL</t>
        </is>
      </c>
      <c r="I424" t="n">
        <v>9452</v>
      </c>
      <c r="J424" t="inlineStr">
        <is>
          <t>DIRECTOR DE TALENTO, SOSTENIBILIDAD Y COMUNICACION</t>
        </is>
      </c>
      <c r="K424" t="n">
        <v>1</v>
      </c>
      <c r="L424" t="inlineStr">
        <is>
          <t>PRESIDENCIA EJECUTIVA DEL CONSEJO</t>
        </is>
      </c>
      <c r="M424" t="n">
        <v>40</v>
      </c>
      <c r="N424" t="inlineStr">
        <is>
          <t>DIRECCION GENERAL BANCO BASE</t>
        </is>
      </c>
      <c r="O424" t="n">
        <v>430</v>
      </c>
      <c r="P424" t="inlineStr">
        <is>
          <t>DIRECCION DE TALENTO SOSTENIBILIDAD Y COMUNICACION</t>
        </is>
      </c>
      <c r="Q424" t="n">
        <v>4361</v>
      </c>
      <c r="R424" t="inlineStr">
        <is>
          <t>SUBDIRECCION DE COMUNICACION CORPORATIVA</t>
        </is>
      </c>
      <c r="S424" t="n">
        <v>43610</v>
      </c>
      <c r="T424" t="inlineStr">
        <is>
          <t>SUBDIRECCION DE COMUNICACION CORPORATIVA</t>
        </is>
      </c>
      <c r="U424" t="n">
        <v>436100</v>
      </c>
      <c r="V424" t="inlineStr">
        <is>
          <t>SUBDIRECCION DE COMUNICACION CORPORATIVA</t>
        </is>
      </c>
      <c r="W424" t="n">
        <v>134111</v>
      </c>
      <c r="X424" t="inlineStr">
        <is>
          <t>LOMAS</t>
        </is>
      </c>
      <c r="Y424" t="n">
        <v>4</v>
      </c>
      <c r="Z424" t="inlineStr">
        <is>
          <t>CORPORATIVO</t>
        </is>
      </c>
      <c r="AA424" t="n">
        <v>1</v>
      </c>
      <c r="AB424" t="inlineStr">
        <is>
          <t>NEGOCIO EN MARCHA</t>
        </is>
      </c>
      <c r="AC424" t="n">
        <v>1</v>
      </c>
      <c r="AD424" t="inlineStr">
        <is>
          <t>BANCO</t>
        </is>
      </c>
      <c r="AE424" t="n">
        <v>1</v>
      </c>
      <c r="AF424" t="inlineStr">
        <is>
          <t>BACK</t>
        </is>
      </c>
      <c r="AG424" t="n">
        <v>134111</v>
      </c>
      <c r="AH424" t="inlineStr">
        <is>
          <t>LOMAS</t>
        </is>
      </c>
      <c r="AI424" t="inlineStr">
        <is>
          <t>JRIVERAS@BANCOBASE.COM</t>
        </is>
      </c>
      <c r="AJ424" s="151" t="n">
        <v>46023</v>
      </c>
      <c r="AK424" s="151" t="n"/>
      <c r="AL424" s="151" t="n"/>
    </row>
    <row r="425" hidden="1" s="150">
      <c r="A425" t="inlineStr">
        <is>
          <t>ACABALLERO</t>
        </is>
      </c>
      <c r="B425" t="n">
        <v>3014</v>
      </c>
      <c r="C425" t="inlineStr">
        <is>
          <t>AMANDA RENEE CABALLERO RODRIGUEZ</t>
        </is>
      </c>
      <c r="D425" t="n">
        <v>6052</v>
      </c>
      <c r="E425" t="inlineStr">
        <is>
          <t>ANALISTA DE COMUNICACION CORPORATIVA</t>
        </is>
      </c>
      <c r="F425" t="inlineStr">
        <is>
          <t>MONTERREY</t>
        </is>
      </c>
      <c r="G425" t="n">
        <v>3710</v>
      </c>
      <c r="H425" t="inlineStr">
        <is>
          <t>JOSE RUBEN RIVERA SILVA</t>
        </is>
      </c>
      <c r="I425" t="n">
        <v>8671</v>
      </c>
      <c r="J425" t="inlineStr">
        <is>
          <t>SUBDIRECTOR DE COMUNICACION CORPORATIVA</t>
        </is>
      </c>
      <c r="K425" t="n">
        <v>1</v>
      </c>
      <c r="L425" t="inlineStr">
        <is>
          <t>PRESIDENCIA EJECUTIVA DEL CONSEJO</t>
        </is>
      </c>
      <c r="M425" t="n">
        <v>40</v>
      </c>
      <c r="N425" t="inlineStr">
        <is>
          <t>DIRECCION GENERAL BANCO BASE</t>
        </is>
      </c>
      <c r="O425" t="n">
        <v>430</v>
      </c>
      <c r="P425" t="inlineStr">
        <is>
          <t>DIRECCION DE TALENTO SOSTENIBILIDAD Y COMUNICACION</t>
        </is>
      </c>
      <c r="Q425" t="n">
        <v>4361</v>
      </c>
      <c r="R425" t="inlineStr">
        <is>
          <t>SUBDIRECCION DE COMUNICACION CORPORATIVA</t>
        </is>
      </c>
      <c r="S425" t="n">
        <v>43610</v>
      </c>
      <c r="T425" t="inlineStr">
        <is>
          <t>SUBDIRECCION DE COMUNICACION CORPORATIVA</t>
        </is>
      </c>
      <c r="U425" t="n">
        <v>436100</v>
      </c>
      <c r="V425" t="inlineStr">
        <is>
          <t>SUBDIRECCION DE COMUNICACION CORPORATIVA</t>
        </is>
      </c>
      <c r="W425" t="n">
        <v>100101</v>
      </c>
      <c r="X425" t="inlineStr">
        <is>
          <t>CORPORATIVO</t>
        </is>
      </c>
      <c r="Y425" t="n">
        <v>4</v>
      </c>
      <c r="Z425" t="inlineStr">
        <is>
          <t>CORPORATIVO</t>
        </is>
      </c>
      <c r="AA425" t="n">
        <v>1</v>
      </c>
      <c r="AB425" t="inlineStr">
        <is>
          <t>NEGOCIO EN MARCHA</t>
        </is>
      </c>
      <c r="AC425" t="n">
        <v>1</v>
      </c>
      <c r="AD425" t="inlineStr">
        <is>
          <t>BANCO</t>
        </is>
      </c>
      <c r="AE425" t="n">
        <v>1</v>
      </c>
      <c r="AF425" t="inlineStr">
        <is>
          <t>BACK</t>
        </is>
      </c>
      <c r="AG425" t="n">
        <v>100101</v>
      </c>
      <c r="AH425" t="inlineStr">
        <is>
          <t>CORPORATIVO</t>
        </is>
      </c>
      <c r="AI425" t="inlineStr">
        <is>
          <t>ACABALLERO@BANCOBASE.COM</t>
        </is>
      </c>
      <c r="AJ425" s="151" t="n">
        <v>45307</v>
      </c>
      <c r="AK425" s="151" t="n"/>
      <c r="AL425" s="151" t="n"/>
    </row>
    <row r="426" hidden="1" s="150">
      <c r="A426" t="inlineStr">
        <is>
          <t>AGUERRA</t>
        </is>
      </c>
      <c r="B426" t="n">
        <v>1512</v>
      </c>
      <c r="C426" t="inlineStr">
        <is>
          <t>ARTURO MANUEL GUERRA ANZALDUA</t>
        </is>
      </c>
      <c r="D426" t="n">
        <v>9649</v>
      </c>
      <c r="E426" t="inlineStr">
        <is>
          <t>DIRECTOR COMERCIAL NACIONAL</t>
        </is>
      </c>
      <c r="F426" t="inlineStr">
        <is>
          <t>MONTERREY</t>
        </is>
      </c>
      <c r="G426" t="n">
        <v>386</v>
      </c>
      <c r="H426" t="inlineStr">
        <is>
          <t>JULIO RICARDO ESCANDON JIMENEZ</t>
        </is>
      </c>
      <c r="I426" t="n">
        <v>10324</v>
      </c>
      <c r="J426" t="inlineStr">
        <is>
          <t>DIRECTOR GENERAL</t>
        </is>
      </c>
      <c r="K426" t="n">
        <v>1</v>
      </c>
      <c r="L426" t="inlineStr">
        <is>
          <t>PRESIDENCIA EJECUTIVA DEL CONSEJO</t>
        </is>
      </c>
      <c r="M426" t="n">
        <v>40</v>
      </c>
      <c r="N426" t="inlineStr">
        <is>
          <t>DIRECCION GENERAL BANCO BASE</t>
        </is>
      </c>
      <c r="O426" t="n">
        <v>410</v>
      </c>
      <c r="P426" t="inlineStr">
        <is>
          <t>DIRECCION COMERCIAL</t>
        </is>
      </c>
      <c r="Q426" t="n">
        <v>4100</v>
      </c>
      <c r="R426" t="inlineStr">
        <is>
          <t>DIRECCION COMERCIAL</t>
        </is>
      </c>
      <c r="S426" t="n">
        <v>41000</v>
      </c>
      <c r="T426" t="inlineStr">
        <is>
          <t>DIRECCION COMERCIAL</t>
        </is>
      </c>
      <c r="U426" t="n">
        <v>410000</v>
      </c>
      <c r="V426" t="inlineStr">
        <is>
          <t>DIRECCION COMERCIAL</t>
        </is>
      </c>
      <c r="W426" t="n">
        <v>100101</v>
      </c>
      <c r="X426" t="inlineStr">
        <is>
          <t>CORPORATIVO</t>
        </is>
      </c>
      <c r="Y426" t="n">
        <v>4</v>
      </c>
      <c r="Z426" t="inlineStr">
        <is>
          <t>CORPORATIVO</t>
        </is>
      </c>
      <c r="AA426" t="n">
        <v>1</v>
      </c>
      <c r="AB426" t="inlineStr">
        <is>
          <t>NEGOCIO EN MARCHA</t>
        </is>
      </c>
      <c r="AC426" t="n">
        <v>1</v>
      </c>
      <c r="AD426" t="inlineStr">
        <is>
          <t>BANCO</t>
        </is>
      </c>
      <c r="AE426" t="n">
        <v>3</v>
      </c>
      <c r="AF426" t="inlineStr">
        <is>
          <t>FRONT</t>
        </is>
      </c>
      <c r="AG426" t="n">
        <v>100101</v>
      </c>
      <c r="AH426" t="inlineStr">
        <is>
          <t>CORPORATIVO</t>
        </is>
      </c>
      <c r="AI426" t="inlineStr">
        <is>
          <t>AGUERRA@BANCOBASE.COM</t>
        </is>
      </c>
      <c r="AJ426" s="151" t="n">
        <v>42443</v>
      </c>
      <c r="AK426" s="151" t="n"/>
      <c r="AL426" s="151" t="n"/>
    </row>
    <row r="427" hidden="1" s="150">
      <c r="A427" t="inlineStr">
        <is>
          <t>MGONZALEZG</t>
        </is>
      </c>
      <c r="B427" t="n">
        <v>1856</v>
      </c>
      <c r="C427" t="inlineStr">
        <is>
          <t>MELISSA CONCEPCION GONZALEZ GAYTAN</t>
        </is>
      </c>
      <c r="D427" t="n">
        <v>9837</v>
      </c>
      <c r="E427" t="inlineStr">
        <is>
          <t>ASISTENTE DE DIRECCION</t>
        </is>
      </c>
      <c r="F427" t="inlineStr">
        <is>
          <t>MONTERREY</t>
        </is>
      </c>
      <c r="G427" t="n">
        <v>1512</v>
      </c>
      <c r="H427" t="inlineStr">
        <is>
          <t>ARTURO MANUEL GUERRA ANZALDUA</t>
        </is>
      </c>
      <c r="I427" t="n">
        <v>9649</v>
      </c>
      <c r="J427" t="inlineStr">
        <is>
          <t>DIRECTOR COMERCIAL NACIONAL</t>
        </is>
      </c>
      <c r="K427" t="n">
        <v>1</v>
      </c>
      <c r="L427" t="inlineStr">
        <is>
          <t>PRESIDENCIA EJECUTIVA DEL CONSEJO</t>
        </is>
      </c>
      <c r="M427" t="n">
        <v>40</v>
      </c>
      <c r="N427" t="inlineStr">
        <is>
          <t>DIRECCION GENERAL BANCO BASE</t>
        </is>
      </c>
      <c r="O427" t="n">
        <v>410</v>
      </c>
      <c r="P427" t="inlineStr">
        <is>
          <t>DIRECCION COMERCIAL</t>
        </is>
      </c>
      <c r="Q427" t="n">
        <v>4100</v>
      </c>
      <c r="R427" t="inlineStr">
        <is>
          <t>DIRECCION COMERCIAL</t>
        </is>
      </c>
      <c r="S427" t="n">
        <v>41000</v>
      </c>
      <c r="T427" t="inlineStr">
        <is>
          <t>DIRECCION COMERCIAL</t>
        </is>
      </c>
      <c r="U427" t="n">
        <v>410000</v>
      </c>
      <c r="V427" t="inlineStr">
        <is>
          <t>DIRECCION COMERCIAL</t>
        </is>
      </c>
      <c r="W427" t="n">
        <v>100101</v>
      </c>
      <c r="X427" t="inlineStr">
        <is>
          <t>CORPORATIVO</t>
        </is>
      </c>
      <c r="Y427" t="n">
        <v>4</v>
      </c>
      <c r="Z427" t="inlineStr">
        <is>
          <t>CORPORATIVO</t>
        </is>
      </c>
      <c r="AA427" t="n">
        <v>1</v>
      </c>
      <c r="AB427" t="inlineStr">
        <is>
          <t>NEGOCIO EN MARCHA</t>
        </is>
      </c>
      <c r="AC427" t="n">
        <v>1</v>
      </c>
      <c r="AD427" t="inlineStr">
        <is>
          <t>BANCO</t>
        </is>
      </c>
      <c r="AE427" t="n">
        <v>1</v>
      </c>
      <c r="AF427" t="inlineStr">
        <is>
          <t>BACK</t>
        </is>
      </c>
      <c r="AG427" t="n">
        <v>100101</v>
      </c>
      <c r="AH427" t="inlineStr">
        <is>
          <t>CORPORATIVO</t>
        </is>
      </c>
      <c r="AI427" t="inlineStr">
        <is>
          <t>MGONZALEZG@BANCOBASE.COM</t>
        </is>
      </c>
      <c r="AJ427" s="151" t="n">
        <v>43013</v>
      </c>
      <c r="AK427" s="151" t="n"/>
      <c r="AL427" s="151" t="n"/>
    </row>
    <row r="428" hidden="1" s="150">
      <c r="A428" t="inlineStr">
        <is>
          <t>DBARRERA</t>
        </is>
      </c>
      <c r="B428" t="inlineStr">
        <is>
          <t>EXT-99317</t>
        </is>
      </c>
      <c r="C428" t="inlineStr">
        <is>
          <t>DAVID BARRERA JAIME</t>
        </is>
      </c>
      <c r="D428" t="n">
        <v>9961</v>
      </c>
      <c r="E428" t="inlineStr">
        <is>
          <t>INTERNATIONAL BUSINESS DEVELOPMENT DIRECTOR</t>
        </is>
      </c>
      <c r="F428" t="inlineStr">
        <is>
          <t>MONTERREY</t>
        </is>
      </c>
      <c r="G428" t="n">
        <v>1512</v>
      </c>
      <c r="H428" t="inlineStr">
        <is>
          <t>ARTURO MANUEL GUERRA ANZALDUA</t>
        </is>
      </c>
      <c r="I428" t="n">
        <v>9649</v>
      </c>
      <c r="J428" t="inlineStr">
        <is>
          <t>DIRECTOR COMERCIAL NACIONAL</t>
        </is>
      </c>
      <c r="K428" t="n">
        <v>1</v>
      </c>
      <c r="L428" t="inlineStr">
        <is>
          <t>PRESIDENCIA EJECUTIVA DEL CONSEJO</t>
        </is>
      </c>
      <c r="M428" t="n">
        <v>40</v>
      </c>
      <c r="N428" t="inlineStr">
        <is>
          <t>DIRECCION GENERAL BANCO BASE</t>
        </is>
      </c>
      <c r="O428" t="n">
        <v>410</v>
      </c>
      <c r="P428" t="inlineStr">
        <is>
          <t>DIRECCION COMERCIAL</t>
        </is>
      </c>
      <c r="Q428" t="n">
        <v>4101</v>
      </c>
      <c r="R428" t="inlineStr">
        <is>
          <t>DIRECCION CAMBIARIA IND</t>
        </is>
      </c>
      <c r="S428" t="n">
        <v>41010</v>
      </c>
      <c r="T428" t="inlineStr">
        <is>
          <t>DIRECCION CAMBIARIA IND</t>
        </is>
      </c>
      <c r="U428" t="n">
        <v>410100</v>
      </c>
      <c r="V428" t="inlineStr">
        <is>
          <t>SUBDIRECCION CAMBIARIA IND</t>
        </is>
      </c>
      <c r="W428" t="n">
        <v>126102</v>
      </c>
      <c r="X428" t="inlineStr">
        <is>
          <t>VALLE ORIENTE</t>
        </is>
      </c>
      <c r="Y428" t="n">
        <v>3</v>
      </c>
      <c r="Z428" t="inlineStr">
        <is>
          <t>CAMBIARIO</t>
        </is>
      </c>
      <c r="AA428" t="n">
        <v>1</v>
      </c>
      <c r="AB428" t="inlineStr">
        <is>
          <t>NEGOCIO EN MARCHA</t>
        </is>
      </c>
      <c r="AC428" t="n">
        <v>1</v>
      </c>
      <c r="AD428" t="inlineStr">
        <is>
          <t>BANCO</t>
        </is>
      </c>
      <c r="AE428" t="n">
        <v>3</v>
      </c>
      <c r="AF428" t="inlineStr">
        <is>
          <t>FRONT</t>
        </is>
      </c>
      <c r="AG428" t="n">
        <v>126102</v>
      </c>
      <c r="AH428" t="inlineStr">
        <is>
          <t>MONTERREY</t>
        </is>
      </c>
      <c r="AI428" t="inlineStr">
        <is>
          <t>DBARRERA@BANCOBASE.COM</t>
        </is>
      </c>
      <c r="AJ428" s="151" t="n">
        <v>43646</v>
      </c>
      <c r="AK428" s="151" t="n"/>
      <c r="AL428" s="151" t="n"/>
    </row>
    <row r="429" hidden="1" s="150">
      <c r="A429" t="inlineStr">
        <is>
          <t>CESTRELLA</t>
        </is>
      </c>
      <c r="B429" t="n">
        <v>952</v>
      </c>
      <c r="C429" t="inlineStr">
        <is>
          <t>CYNTHIA NAYELLI ESTRELLA RODRIGUEZ</t>
        </is>
      </c>
      <c r="D429" t="n">
        <v>8182</v>
      </c>
      <c r="E429" t="inlineStr">
        <is>
          <t>EJECUTIVO DE PROMOCION CAMBIARIO</t>
        </is>
      </c>
      <c r="F429" t="inlineStr">
        <is>
          <t>MONTERREY</t>
        </is>
      </c>
      <c r="G429" t="n">
        <v>99317</v>
      </c>
      <c r="H429" t="inlineStr">
        <is>
          <t>DAVID BARRERA JAIME</t>
        </is>
      </c>
      <c r="I429" t="n">
        <v>9961</v>
      </c>
      <c r="J429" t="inlineStr">
        <is>
          <t>INTERNATIONAL BUSINESS DEVELOPMENT DIRECTOR</t>
        </is>
      </c>
      <c r="K429" t="n">
        <v>1</v>
      </c>
      <c r="L429" t="inlineStr">
        <is>
          <t>PRESIDENCIA EJECUTIVA DEL CONSEJO</t>
        </is>
      </c>
      <c r="M429" t="n">
        <v>40</v>
      </c>
      <c r="N429" t="inlineStr">
        <is>
          <t>DIRECCION GENERAL BANCO BASE</t>
        </is>
      </c>
      <c r="O429" t="n">
        <v>410</v>
      </c>
      <c r="P429" t="inlineStr">
        <is>
          <t>DIRECCION COMERCIAL</t>
        </is>
      </c>
      <c r="Q429" t="n">
        <v>4101</v>
      </c>
      <c r="R429" t="inlineStr">
        <is>
          <t>DIRECCION CAMBIARIA IND</t>
        </is>
      </c>
      <c r="S429" t="n">
        <v>41010</v>
      </c>
      <c r="T429" t="inlineStr">
        <is>
          <t>DIRECCION CAMBIARIA IND</t>
        </is>
      </c>
      <c r="U429" t="n">
        <v>410100</v>
      </c>
      <c r="V429" t="inlineStr">
        <is>
          <t>SUBDIRECCION CAMBIARIA IND</t>
        </is>
      </c>
      <c r="W429" t="n">
        <v>126102</v>
      </c>
      <c r="X429" t="inlineStr">
        <is>
          <t>VALLE ORIENTE</t>
        </is>
      </c>
      <c r="Y429" t="n">
        <v>3</v>
      </c>
      <c r="Z429" t="inlineStr">
        <is>
          <t>CAMBIARIO</t>
        </is>
      </c>
      <c r="AA429" t="n">
        <v>1</v>
      </c>
      <c r="AB429" t="inlineStr">
        <is>
          <t>NEGOCIO EN MARCHA</t>
        </is>
      </c>
      <c r="AC429" t="n">
        <v>1</v>
      </c>
      <c r="AD429" t="inlineStr">
        <is>
          <t>BANCO</t>
        </is>
      </c>
      <c r="AE429" t="n">
        <v>2</v>
      </c>
      <c r="AF429" t="inlineStr">
        <is>
          <t>MIDDLE</t>
        </is>
      </c>
      <c r="AG429" t="n">
        <v>126102</v>
      </c>
      <c r="AH429" t="inlineStr">
        <is>
          <t>MONTERREY</t>
        </is>
      </c>
      <c r="AI429" t="inlineStr">
        <is>
          <t>CESTRELLA@BANCOBASE.COM</t>
        </is>
      </c>
      <c r="AJ429" s="151" t="n">
        <v>44805</v>
      </c>
      <c r="AK429" s="151" t="n"/>
      <c r="AL429" s="151" t="n"/>
    </row>
    <row r="430" hidden="1" s="150">
      <c r="A430" t="inlineStr">
        <is>
          <t>CRODRIGUEM</t>
        </is>
      </c>
      <c r="B430" t="n">
        <v>2764</v>
      </c>
      <c r="C430" t="inlineStr">
        <is>
          <t>CARLOS EDUARDO RODRIGUEZ MARTINEZ</t>
        </is>
      </c>
      <c r="D430" t="n">
        <v>8181</v>
      </c>
      <c r="E430" t="inlineStr">
        <is>
          <t>EJECUTIVO DE PROMOCION CAMBIARIO</t>
        </is>
      </c>
      <c r="F430" t="inlineStr">
        <is>
          <t>MONTERREY</t>
        </is>
      </c>
      <c r="G430" t="n">
        <v>99317</v>
      </c>
      <c r="H430" t="inlineStr">
        <is>
          <t>DAVID BARRERA JAIME</t>
        </is>
      </c>
      <c r="I430" t="n">
        <v>9961</v>
      </c>
      <c r="J430" t="inlineStr">
        <is>
          <t>INTERNATIONAL BUSINESS DEVELOPMENT DIRECTOR</t>
        </is>
      </c>
      <c r="K430" t="n">
        <v>1</v>
      </c>
      <c r="L430" t="inlineStr">
        <is>
          <t>PRESIDENCIA EJECUTIVA DEL CONSEJO</t>
        </is>
      </c>
      <c r="M430" t="n">
        <v>40</v>
      </c>
      <c r="N430" t="inlineStr">
        <is>
          <t>DIRECCION GENERAL BANCO BASE</t>
        </is>
      </c>
      <c r="O430" t="n">
        <v>410</v>
      </c>
      <c r="P430" t="inlineStr">
        <is>
          <t>DIRECCION COMERCIAL</t>
        </is>
      </c>
      <c r="Q430" t="n">
        <v>4101</v>
      </c>
      <c r="R430" t="inlineStr">
        <is>
          <t>DIRECCION CAMBIARIA IND</t>
        </is>
      </c>
      <c r="S430" t="n">
        <v>41010</v>
      </c>
      <c r="T430" t="inlineStr">
        <is>
          <t>DIRECCION CAMBIARIA IND</t>
        </is>
      </c>
      <c r="U430" t="n">
        <v>410100</v>
      </c>
      <c r="V430" t="inlineStr">
        <is>
          <t>SUBDIRECCION CAMBIARIA IND</t>
        </is>
      </c>
      <c r="W430" t="n">
        <v>126102</v>
      </c>
      <c r="X430" t="inlineStr">
        <is>
          <t>VALLE ORIENTE</t>
        </is>
      </c>
      <c r="Y430" t="n">
        <v>3</v>
      </c>
      <c r="Z430" t="inlineStr">
        <is>
          <t>CAMBIARIO</t>
        </is>
      </c>
      <c r="AA430" t="n">
        <v>1</v>
      </c>
      <c r="AB430" t="inlineStr">
        <is>
          <t>NEGOCIO EN MARCHA</t>
        </is>
      </c>
      <c r="AC430" t="n">
        <v>1</v>
      </c>
      <c r="AD430" t="inlineStr">
        <is>
          <t>BANCO</t>
        </is>
      </c>
      <c r="AE430" t="n">
        <v>2</v>
      </c>
      <c r="AF430" t="inlineStr">
        <is>
          <t>MIDDLE</t>
        </is>
      </c>
      <c r="AG430" t="n">
        <v>126102</v>
      </c>
      <c r="AH430" t="inlineStr">
        <is>
          <t>MONTERREY</t>
        </is>
      </c>
      <c r="AI430" t="inlineStr">
        <is>
          <t>CRODRIGUEM@BANCOBASE.COM</t>
        </is>
      </c>
      <c r="AJ430" s="151" t="n">
        <v>44866</v>
      </c>
      <c r="AK430" s="151" t="n"/>
      <c r="AL430" s="151" t="n"/>
    </row>
    <row r="431" hidden="1" s="150">
      <c r="A431" t="inlineStr">
        <is>
          <t>RLOPEZ</t>
        </is>
      </c>
      <c r="B431" t="n">
        <v>2238</v>
      </c>
      <c r="C431" t="inlineStr">
        <is>
          <t>RODOLFO MAURICIO LOPEZ CORTES</t>
        </is>
      </c>
      <c r="D431" t="n">
        <v>8180</v>
      </c>
      <c r="E431" t="inlineStr">
        <is>
          <t>EJECUTIVO DE PROMOCION CAMBIARIO</t>
        </is>
      </c>
      <c r="F431" t="inlineStr">
        <is>
          <t>MONTERREY</t>
        </is>
      </c>
      <c r="G431" t="n">
        <v>99317</v>
      </c>
      <c r="H431" t="inlineStr">
        <is>
          <t>DAVID BARRERA JAIME</t>
        </is>
      </c>
      <c r="I431" t="n">
        <v>9961</v>
      </c>
      <c r="J431" t="inlineStr">
        <is>
          <t>INTERNATIONAL BUSINESS DEVELOPMENT DIRECTOR</t>
        </is>
      </c>
      <c r="K431" t="n">
        <v>1</v>
      </c>
      <c r="L431" t="inlineStr">
        <is>
          <t>PRESIDENCIA EJECUTIVA DEL CONSEJO</t>
        </is>
      </c>
      <c r="M431" t="n">
        <v>40</v>
      </c>
      <c r="N431" t="inlineStr">
        <is>
          <t>DIRECCION GENERAL BANCO BASE</t>
        </is>
      </c>
      <c r="O431" t="n">
        <v>410</v>
      </c>
      <c r="P431" t="inlineStr">
        <is>
          <t>DIRECCION COMERCIAL</t>
        </is>
      </c>
      <c r="Q431" t="n">
        <v>4101</v>
      </c>
      <c r="R431" t="inlineStr">
        <is>
          <t>DIRECCION CAMBIARIA IND</t>
        </is>
      </c>
      <c r="S431" t="n">
        <v>41010</v>
      </c>
      <c r="T431" t="inlineStr">
        <is>
          <t>DIRECCION CAMBIARIA IND</t>
        </is>
      </c>
      <c r="U431" t="n">
        <v>410100</v>
      </c>
      <c r="V431" t="inlineStr">
        <is>
          <t>SUBDIRECCION CAMBIARIA IND</t>
        </is>
      </c>
      <c r="W431" t="n">
        <v>126102</v>
      </c>
      <c r="X431" t="inlineStr">
        <is>
          <t>VALLE ORIENTE</t>
        </is>
      </c>
      <c r="Y431" t="n">
        <v>3</v>
      </c>
      <c r="Z431" t="inlineStr">
        <is>
          <t>CAMBIARIO</t>
        </is>
      </c>
      <c r="AA431" t="n">
        <v>1</v>
      </c>
      <c r="AB431" t="inlineStr">
        <is>
          <t>NEGOCIO EN MARCHA</t>
        </is>
      </c>
      <c r="AC431" t="n">
        <v>1</v>
      </c>
      <c r="AD431" t="inlineStr">
        <is>
          <t>BANCO</t>
        </is>
      </c>
      <c r="AE431" t="n">
        <v>2</v>
      </c>
      <c r="AF431" t="inlineStr">
        <is>
          <t>MIDDLE</t>
        </is>
      </c>
      <c r="AG431" t="n">
        <v>126102</v>
      </c>
      <c r="AH431" t="inlineStr">
        <is>
          <t>MONTERREY</t>
        </is>
      </c>
      <c r="AI431" t="inlineStr">
        <is>
          <t>RLOPEZ@BANCOBASE.COM</t>
        </is>
      </c>
      <c r="AJ431" s="151" t="n">
        <v>43591</v>
      </c>
      <c r="AK431" s="151" t="n"/>
      <c r="AL431" s="151" t="n"/>
    </row>
    <row r="432" hidden="1" s="150">
      <c r="A432" t="inlineStr">
        <is>
          <t>LAGUILAR</t>
        </is>
      </c>
      <c r="B432" t="n">
        <v>1072</v>
      </c>
      <c r="C432" t="inlineStr">
        <is>
          <t>LIZETH ANABELL AGUILAR MORALES</t>
        </is>
      </c>
      <c r="D432" t="n">
        <v>9962</v>
      </c>
      <c r="E432" t="inlineStr">
        <is>
          <t>EJECUTIVO DE PROMOCION CAMBIARIO</t>
        </is>
      </c>
      <c r="F432" t="inlineStr">
        <is>
          <t>MONTERREY</t>
        </is>
      </c>
      <c r="G432" t="n">
        <v>99317</v>
      </c>
      <c r="H432" t="inlineStr">
        <is>
          <t>DAVID BARRERA JAIME</t>
        </is>
      </c>
      <c r="I432" t="n">
        <v>9961</v>
      </c>
      <c r="J432" t="inlineStr">
        <is>
          <t>INTERNATIONAL BUSINESS DEVELOPMENT DIRECTOR</t>
        </is>
      </c>
      <c r="K432" t="n">
        <v>1</v>
      </c>
      <c r="L432" t="inlineStr">
        <is>
          <t>PRESIDENCIA EJECUTIVA DEL CONSEJO</t>
        </is>
      </c>
      <c r="M432" t="n">
        <v>40</v>
      </c>
      <c r="N432" t="inlineStr">
        <is>
          <t>DIRECCION GENERAL BANCO BASE</t>
        </is>
      </c>
      <c r="O432" t="n">
        <v>410</v>
      </c>
      <c r="P432" t="inlineStr">
        <is>
          <t>DIRECCION COMERCIAL</t>
        </is>
      </c>
      <c r="Q432" t="n">
        <v>4101</v>
      </c>
      <c r="R432" t="inlineStr">
        <is>
          <t>DIRECCION CAMBIARIA IND</t>
        </is>
      </c>
      <c r="S432" t="n">
        <v>41010</v>
      </c>
      <c r="T432" t="inlineStr">
        <is>
          <t>DIRECCION CAMBIARIA IND</t>
        </is>
      </c>
      <c r="U432" t="n">
        <v>410100</v>
      </c>
      <c r="V432" t="inlineStr">
        <is>
          <t>SUBDIRECCION CAMBIARIA IND</t>
        </is>
      </c>
      <c r="W432" t="n">
        <v>126102</v>
      </c>
      <c r="X432" t="inlineStr">
        <is>
          <t>VALLE ORIENTE</t>
        </is>
      </c>
      <c r="Y432" t="n">
        <v>3</v>
      </c>
      <c r="Z432" t="inlineStr">
        <is>
          <t>CAMBIARIO</t>
        </is>
      </c>
      <c r="AA432" t="n">
        <v>1</v>
      </c>
      <c r="AB432" t="inlineStr">
        <is>
          <t>NEGOCIO EN MARCHA</t>
        </is>
      </c>
      <c r="AC432" t="n">
        <v>1</v>
      </c>
      <c r="AD432" t="inlineStr">
        <is>
          <t>BANCO</t>
        </is>
      </c>
      <c r="AE432" t="n">
        <v>2</v>
      </c>
      <c r="AF432" t="inlineStr">
        <is>
          <t>MIDDLE</t>
        </is>
      </c>
      <c r="AG432" t="n">
        <v>126102</v>
      </c>
      <c r="AH432" t="inlineStr">
        <is>
          <t>MONTERREY</t>
        </is>
      </c>
      <c r="AI432" t="inlineStr">
        <is>
          <t>LAGUILAR@BANCOBASE.COM</t>
        </is>
      </c>
      <c r="AJ432" s="151" t="n">
        <v>41549</v>
      </c>
      <c r="AK432" s="151" t="n"/>
      <c r="AL432" s="151" t="n"/>
    </row>
    <row r="433" hidden="1" s="150">
      <c r="A433" t="inlineStr">
        <is>
          <t>GRODAS</t>
        </is>
      </c>
      <c r="B433" t="n">
        <v>1935</v>
      </c>
      <c r="C433" t="inlineStr">
        <is>
          <t>GIOVANNA PAMELA RODAS CANO</t>
        </is>
      </c>
      <c r="D433" t="n">
        <v>10318</v>
      </c>
      <c r="E433" t="inlineStr">
        <is>
          <t>EJECUTIVO DE PROMOCION CAMBIARIO</t>
        </is>
      </c>
      <c r="F433" t="inlineStr">
        <is>
          <t>MONTERREY</t>
        </is>
      </c>
      <c r="G433" t="n">
        <v>99317</v>
      </c>
      <c r="H433" t="inlineStr">
        <is>
          <t>DAVID BARRERA JAIME</t>
        </is>
      </c>
      <c r="I433" t="n">
        <v>9961</v>
      </c>
      <c r="J433" t="inlineStr">
        <is>
          <t>INTERNATIONAL BUSINESS DEVELOPMENT DIRECTOR</t>
        </is>
      </c>
      <c r="K433" t="n">
        <v>1</v>
      </c>
      <c r="L433" t="inlineStr">
        <is>
          <t>PRESIDENCIA EJECUTIVA DEL CONSEJO</t>
        </is>
      </c>
      <c r="M433" t="n">
        <v>40</v>
      </c>
      <c r="N433" t="inlineStr">
        <is>
          <t>DIRECCION GENERAL BANCO BASE</t>
        </is>
      </c>
      <c r="O433" t="n">
        <v>410</v>
      </c>
      <c r="P433" t="inlineStr">
        <is>
          <t>DIRECCION COMERCIAL</t>
        </is>
      </c>
      <c r="Q433" t="n">
        <v>4101</v>
      </c>
      <c r="R433" t="inlineStr">
        <is>
          <t>DIRECCION CAMBIARIA IND</t>
        </is>
      </c>
      <c r="S433" t="n">
        <v>41010</v>
      </c>
      <c r="T433" t="inlineStr">
        <is>
          <t>DIRECCION CAMBIARIA IND</t>
        </is>
      </c>
      <c r="U433" t="n">
        <v>410100</v>
      </c>
      <c r="V433" t="inlineStr">
        <is>
          <t>SUBDIRECCION CAMBIARIA IND</t>
        </is>
      </c>
      <c r="W433" t="n">
        <v>126102</v>
      </c>
      <c r="X433" t="inlineStr">
        <is>
          <t>VALLE ORIENTE</t>
        </is>
      </c>
      <c r="Y433" t="n">
        <v>3</v>
      </c>
      <c r="Z433" t="inlineStr">
        <is>
          <t>CAMBIARIO</t>
        </is>
      </c>
      <c r="AA433" t="n">
        <v>1</v>
      </c>
      <c r="AB433" t="inlineStr">
        <is>
          <t>NEGOCIO EN MARCHA</t>
        </is>
      </c>
      <c r="AC433" t="n">
        <v>1</v>
      </c>
      <c r="AD433" t="inlineStr">
        <is>
          <t>BANCO</t>
        </is>
      </c>
      <c r="AE433" t="n">
        <v>2</v>
      </c>
      <c r="AF433" t="inlineStr">
        <is>
          <t>MIDDLE</t>
        </is>
      </c>
      <c r="AG433" t="n">
        <v>126102</v>
      </c>
      <c r="AH433" t="inlineStr">
        <is>
          <t>MONTERREY</t>
        </is>
      </c>
      <c r="AI433" t="inlineStr">
        <is>
          <t>GRODAS@BANCOBASE.COM</t>
        </is>
      </c>
      <c r="AJ433" s="151" t="n">
        <v>43143</v>
      </c>
      <c r="AK433" s="151" t="n"/>
      <c r="AL433" s="151" t="n"/>
    </row>
    <row r="434" hidden="1" s="150">
      <c r="A434" t="inlineStr">
        <is>
          <t>JTAMEZV</t>
        </is>
      </c>
      <c r="B434" t="n">
        <v>2929</v>
      </c>
      <c r="C434" t="inlineStr">
        <is>
          <t>JENNIFER TAMEZ VALDEZ</t>
        </is>
      </c>
      <c r="D434" t="n">
        <v>8781</v>
      </c>
      <c r="E434" t="inlineStr">
        <is>
          <t>ASESOR COMERCIAL DE PROMOCION</t>
        </is>
      </c>
      <c r="F434" t="inlineStr">
        <is>
          <t>MONTERREY</t>
        </is>
      </c>
      <c r="G434" t="n">
        <v>99317</v>
      </c>
      <c r="H434" t="inlineStr">
        <is>
          <t>DAVID BARRERA JAIME</t>
        </is>
      </c>
      <c r="I434" t="n">
        <v>9961</v>
      </c>
      <c r="J434" t="inlineStr">
        <is>
          <t>INTERNATIONAL BUSINESS DEVELOPMENT DIRECTOR</t>
        </is>
      </c>
      <c r="K434" t="n">
        <v>1</v>
      </c>
      <c r="L434" t="inlineStr">
        <is>
          <t>PRESIDENCIA EJECUTIVA DEL CONSEJO</t>
        </is>
      </c>
      <c r="M434" t="n">
        <v>40</v>
      </c>
      <c r="N434" t="inlineStr">
        <is>
          <t>DIRECCION GENERAL BANCO BASE</t>
        </is>
      </c>
      <c r="O434" t="n">
        <v>410</v>
      </c>
      <c r="P434" t="inlineStr">
        <is>
          <t>DIRECCION COMERCIAL</t>
        </is>
      </c>
      <c r="Q434" t="n">
        <v>4101</v>
      </c>
      <c r="R434" t="inlineStr">
        <is>
          <t>DIRECCION CAMBIARIA IND</t>
        </is>
      </c>
      <c r="S434" t="n">
        <v>41010</v>
      </c>
      <c r="T434" t="inlineStr">
        <is>
          <t>DIRECCION CAMBIARIA IND</t>
        </is>
      </c>
      <c r="U434" t="n">
        <v>410101</v>
      </c>
      <c r="V434" t="inlineStr">
        <is>
          <t>SUBDIRECCION CAMBIARIA IND 1</t>
        </is>
      </c>
      <c r="W434" t="n">
        <v>126102</v>
      </c>
      <c r="X434" t="inlineStr">
        <is>
          <t>VALLE ORIENTE</t>
        </is>
      </c>
      <c r="Y434" t="n">
        <v>3</v>
      </c>
      <c r="Z434" t="inlineStr">
        <is>
          <t>CAMBIARIO</t>
        </is>
      </c>
      <c r="AA434" t="n">
        <v>1</v>
      </c>
      <c r="AB434" t="inlineStr">
        <is>
          <t>NEGOCIO EN MARCHA</t>
        </is>
      </c>
      <c r="AC434" t="n">
        <v>1</v>
      </c>
      <c r="AD434" t="inlineStr">
        <is>
          <t>BANCO</t>
        </is>
      </c>
      <c r="AE434" t="n">
        <v>2</v>
      </c>
      <c r="AF434" t="inlineStr">
        <is>
          <t>MIDDLE</t>
        </is>
      </c>
      <c r="AG434" t="n">
        <v>126102</v>
      </c>
      <c r="AH434" t="inlineStr">
        <is>
          <t>MONTERREY</t>
        </is>
      </c>
      <c r="AI434" t="inlineStr">
        <is>
          <t>JTAMEZV@BANCOBASE.COM</t>
        </is>
      </c>
      <c r="AJ434" s="151" t="n">
        <v>45126</v>
      </c>
      <c r="AK434" s="151" t="n"/>
      <c r="AL434" s="151" t="n"/>
    </row>
    <row r="435" hidden="1" s="150">
      <c r="A435" t="inlineStr">
        <is>
          <t>SSCOTT</t>
        </is>
      </c>
      <c r="B435" t="n">
        <v>3664</v>
      </c>
      <c r="C435" t="inlineStr">
        <is>
          <t>SAMUEL DAVID SCOTT ARSUAGA</t>
        </is>
      </c>
      <c r="D435" t="n">
        <v>8918</v>
      </c>
      <c r="E435" t="inlineStr">
        <is>
          <t>GERENTE DE PROMOCION</t>
        </is>
      </c>
      <c r="F435" t="inlineStr">
        <is>
          <t>MONTERREY</t>
        </is>
      </c>
      <c r="G435" t="n">
        <v>99317</v>
      </c>
      <c r="H435" t="inlineStr">
        <is>
          <t>DAVID BARRERA JAIME</t>
        </is>
      </c>
      <c r="I435" t="n">
        <v>9961</v>
      </c>
      <c r="J435" t="inlineStr">
        <is>
          <t>INTERNATIONAL BUSINESS DEVELOPMENT DIRECTOR</t>
        </is>
      </c>
      <c r="K435" t="n">
        <v>1</v>
      </c>
      <c r="L435" t="inlineStr">
        <is>
          <t>PRESIDENCIA EJECUTIVA DEL CONSEJO</t>
        </is>
      </c>
      <c r="M435" t="n">
        <v>40</v>
      </c>
      <c r="N435" t="inlineStr">
        <is>
          <t>DIRECCION GENERAL BANCO BASE</t>
        </is>
      </c>
      <c r="O435" t="n">
        <v>410</v>
      </c>
      <c r="P435" t="inlineStr">
        <is>
          <t>DIRECCION COMERCIAL</t>
        </is>
      </c>
      <c r="Q435" t="n">
        <v>4101</v>
      </c>
      <c r="R435" t="inlineStr">
        <is>
          <t>DIRECCION CAMBIARIA IND</t>
        </is>
      </c>
      <c r="S435" t="n">
        <v>41010</v>
      </c>
      <c r="T435" t="inlineStr">
        <is>
          <t>DIRECCION CAMBIARIA IND</t>
        </is>
      </c>
      <c r="U435" t="n">
        <v>410102</v>
      </c>
      <c r="V435" t="inlineStr">
        <is>
          <t>SUBDIRECCION CAMBIARIA IND 2</t>
        </is>
      </c>
      <c r="W435" t="n">
        <v>126102</v>
      </c>
      <c r="X435" t="inlineStr">
        <is>
          <t>VALLE ORIENTE</t>
        </is>
      </c>
      <c r="Y435" t="n">
        <v>3</v>
      </c>
      <c r="Z435" t="inlineStr">
        <is>
          <t>CAMBIARIO</t>
        </is>
      </c>
      <c r="AA435" t="n">
        <v>1</v>
      </c>
      <c r="AB435" t="inlineStr">
        <is>
          <t>NEGOCIO EN MARCHA</t>
        </is>
      </c>
      <c r="AC435" t="n">
        <v>1</v>
      </c>
      <c r="AD435" t="inlineStr">
        <is>
          <t>BANCO</t>
        </is>
      </c>
      <c r="AE435" t="n">
        <v>3</v>
      </c>
      <c r="AF435" t="inlineStr">
        <is>
          <t>FRONT</t>
        </is>
      </c>
      <c r="AG435" t="n">
        <v>126102</v>
      </c>
      <c r="AH435" t="inlineStr">
        <is>
          <t>MONTERREY</t>
        </is>
      </c>
      <c r="AI435" t="inlineStr">
        <is>
          <t>SSCOTT@BANCOBASE.COM</t>
        </is>
      </c>
      <c r="AJ435" s="151" t="n">
        <v>45964</v>
      </c>
      <c r="AK435" s="151" t="n"/>
      <c r="AL435" s="151" t="n"/>
    </row>
    <row r="436" hidden="1" s="150">
      <c r="A436" t="inlineStr">
        <is>
          <t>SGARZA</t>
        </is>
      </c>
      <c r="B436" t="n">
        <v>3841</v>
      </c>
      <c r="C436" t="inlineStr">
        <is>
          <t>SEBASTIAN GARZA CASTRO</t>
        </is>
      </c>
      <c r="D436" t="n">
        <v>5051</v>
      </c>
      <c r="E436" t="inlineStr">
        <is>
          <t>EJECUTIVO DE SOPORTE</t>
        </is>
      </c>
      <c r="F436" t="inlineStr">
        <is>
          <t>MONTERREY</t>
        </is>
      </c>
      <c r="G436" t="n">
        <v>99317</v>
      </c>
      <c r="H436" t="inlineStr">
        <is>
          <t>DAVID BARRERA JAIME</t>
        </is>
      </c>
      <c r="I436" t="n">
        <v>9961</v>
      </c>
      <c r="J436" t="inlineStr">
        <is>
          <t>INTERNATIONAL BUSINESS DEVELOPMENT DIRECTOR</t>
        </is>
      </c>
      <c r="K436" t="n">
        <v>1</v>
      </c>
      <c r="L436" t="inlineStr">
        <is>
          <t>PRESIDENCIA EJECUTIVA DEL CONSEJO</t>
        </is>
      </c>
      <c r="M436" t="n">
        <v>40</v>
      </c>
      <c r="N436" t="inlineStr">
        <is>
          <t>DIRECCION GENERAL BANCO BASE</t>
        </is>
      </c>
      <c r="O436" t="n">
        <v>410</v>
      </c>
      <c r="P436" t="inlineStr">
        <is>
          <t>DIRECCION COMERCIAL</t>
        </is>
      </c>
      <c r="Q436" t="n">
        <v>4101</v>
      </c>
      <c r="R436" t="inlineStr">
        <is>
          <t>DIRECCION CAMBIARIA IND</t>
        </is>
      </c>
      <c r="S436" t="n">
        <v>41010</v>
      </c>
      <c r="T436" t="inlineStr">
        <is>
          <t>DIRECCION CAMBIARIA IND</t>
        </is>
      </c>
      <c r="U436" t="n">
        <v>410100</v>
      </c>
      <c r="V436" t="inlineStr">
        <is>
          <t>SUBDIRECCION CAMBIARIA IND</t>
        </is>
      </c>
      <c r="W436" t="n">
        <v>126102</v>
      </c>
      <c r="X436" t="inlineStr">
        <is>
          <t>VALLE ORIENTE</t>
        </is>
      </c>
      <c r="Y436" t="n">
        <v>17</v>
      </c>
      <c r="Z436" t="inlineStr">
        <is>
          <t>SOPORTE</t>
        </is>
      </c>
      <c r="AA436" t="n">
        <v>1</v>
      </c>
      <c r="AB436" t="inlineStr">
        <is>
          <t>NEGOCIO EN MARCHA</t>
        </is>
      </c>
      <c r="AC436" t="n">
        <v>1</v>
      </c>
      <c r="AD436" t="inlineStr">
        <is>
          <t>BANCO</t>
        </is>
      </c>
      <c r="AE436" t="n">
        <v>2</v>
      </c>
      <c r="AF436" t="inlineStr">
        <is>
          <t>MIDDLE</t>
        </is>
      </c>
      <c r="AG436" t="n">
        <v>126102</v>
      </c>
      <c r="AH436" t="inlineStr">
        <is>
          <t>MONTERREY</t>
        </is>
      </c>
      <c r="AI436" t="inlineStr">
        <is>
          <t>SGARZA@BANCOBASE.COM</t>
        </is>
      </c>
      <c r="AJ436" s="151" t="n">
        <v>46132</v>
      </c>
      <c r="AK436" s="151" t="n"/>
      <c r="AL436" s="151" t="n"/>
    </row>
    <row r="437" hidden="1" s="150">
      <c r="A437" t="inlineStr">
        <is>
          <t>DOVALLEM</t>
        </is>
      </c>
      <c r="B437" t="n">
        <v>2199</v>
      </c>
      <c r="C437" t="inlineStr">
        <is>
          <t>DANIELA OVALLE MARTINEZ</t>
        </is>
      </c>
      <c r="D437" t="n">
        <v>8381</v>
      </c>
      <c r="E437" t="inlineStr">
        <is>
          <t>ESPECIALISTA DE FINANCIAMIENTO</t>
        </is>
      </c>
      <c r="F437" t="inlineStr">
        <is>
          <t>MONTERREY</t>
        </is>
      </c>
      <c r="G437" t="n">
        <v>99317</v>
      </c>
      <c r="H437" t="inlineStr">
        <is>
          <t>DAVID BARRERA JAIME</t>
        </is>
      </c>
      <c r="I437" t="n">
        <v>9961</v>
      </c>
      <c r="J437" t="inlineStr">
        <is>
          <t>INTERNATIONAL BUSINESS DEVELOPMENT DIRECTOR</t>
        </is>
      </c>
      <c r="K437" t="n">
        <v>1</v>
      </c>
      <c r="L437" t="inlineStr">
        <is>
          <t>PRESIDENCIA EJECUTIVA DEL CONSEJO</t>
        </is>
      </c>
      <c r="M437" t="n">
        <v>40</v>
      </c>
      <c r="N437" t="inlineStr">
        <is>
          <t>DIRECCION GENERAL BANCO BASE</t>
        </is>
      </c>
      <c r="O437" t="n">
        <v>410</v>
      </c>
      <c r="P437" t="inlineStr">
        <is>
          <t>DIRECCION COMERCIAL</t>
        </is>
      </c>
      <c r="Q437" t="n">
        <v>4101</v>
      </c>
      <c r="R437" t="inlineStr">
        <is>
          <t>DIRECCION CAMBIARIA IND</t>
        </is>
      </c>
      <c r="S437" t="n">
        <v>41010</v>
      </c>
      <c r="T437" t="inlineStr">
        <is>
          <t>DIRECCION CAMBIARIA IND</t>
        </is>
      </c>
      <c r="U437" t="n">
        <v>410100</v>
      </c>
      <c r="V437" t="inlineStr">
        <is>
          <t>SUBDIRECCION CAMBIARIA IND</t>
        </is>
      </c>
      <c r="W437" t="n">
        <v>126102</v>
      </c>
      <c r="X437" t="inlineStr">
        <is>
          <t>VALLE ORIENTE</t>
        </is>
      </c>
      <c r="Y437" t="n">
        <v>13</v>
      </c>
      <c r="Z437" t="inlineStr">
        <is>
          <t>FINANCIAMIENTO</t>
        </is>
      </c>
      <c r="AA437" t="n">
        <v>1</v>
      </c>
      <c r="AB437" t="inlineStr">
        <is>
          <t>NEGOCIO EN MARCHA</t>
        </is>
      </c>
      <c r="AC437" t="n">
        <v>1</v>
      </c>
      <c r="AD437" t="inlineStr">
        <is>
          <t>BANCO</t>
        </is>
      </c>
      <c r="AE437" t="n">
        <v>3</v>
      </c>
      <c r="AF437" t="inlineStr">
        <is>
          <t>FRONT</t>
        </is>
      </c>
      <c r="AG437" t="n">
        <v>126102</v>
      </c>
      <c r="AH437" t="inlineStr">
        <is>
          <t>MONTERREY</t>
        </is>
      </c>
      <c r="AI437" t="inlineStr">
        <is>
          <t>DOVALLEM@BANCOBASE.COM</t>
        </is>
      </c>
      <c r="AJ437" s="151" t="n">
        <v>43535</v>
      </c>
      <c r="AK437" s="151" t="n"/>
      <c r="AL437" s="151" t="n"/>
    </row>
    <row r="438" hidden="1" s="150">
      <c r="A438" t="inlineStr">
        <is>
          <t>KVILLARREV</t>
        </is>
      </c>
      <c r="B438" t="n">
        <v>2242</v>
      </c>
      <c r="C438" t="inlineStr">
        <is>
          <t>KAREN GISELA VILLARREAL VILLARREAL</t>
        </is>
      </c>
      <c r="D438" t="n">
        <v>9047</v>
      </c>
      <c r="E438" t="inlineStr">
        <is>
          <t>EJECUTIVO DE SOPORTE</t>
        </is>
      </c>
      <c r="F438" t="inlineStr">
        <is>
          <t>MONTERREY</t>
        </is>
      </c>
      <c r="G438" t="n">
        <v>2199</v>
      </c>
      <c r="H438" t="inlineStr">
        <is>
          <t>DANIELA OVALLE MARTINEZ</t>
        </is>
      </c>
      <c r="I438" t="n">
        <v>8381</v>
      </c>
      <c r="J438" t="inlineStr">
        <is>
          <t>ESPECIALISTA DE FINANCIAMIENTO</t>
        </is>
      </c>
      <c r="K438" t="n">
        <v>1</v>
      </c>
      <c r="L438" t="inlineStr">
        <is>
          <t>PRESIDENCIA EJECUTIVA DEL CONSEJO</t>
        </is>
      </c>
      <c r="M438" t="n">
        <v>40</v>
      </c>
      <c r="N438" t="inlineStr">
        <is>
          <t>DIRECCION GENERAL BANCO BASE</t>
        </is>
      </c>
      <c r="O438" t="n">
        <v>410</v>
      </c>
      <c r="P438" t="inlineStr">
        <is>
          <t>DIRECCION COMERCIAL</t>
        </is>
      </c>
      <c r="Q438" t="n">
        <v>4101</v>
      </c>
      <c r="R438" t="inlineStr">
        <is>
          <t>DIRECCION CAMBIARIA IND</t>
        </is>
      </c>
      <c r="S438" t="n">
        <v>41010</v>
      </c>
      <c r="T438" t="inlineStr">
        <is>
          <t>DIRECCION CAMBIARIA IND</t>
        </is>
      </c>
      <c r="U438" t="n">
        <v>410100</v>
      </c>
      <c r="V438" t="inlineStr">
        <is>
          <t>SUBDIRECCION CAMBIARIA IND</t>
        </is>
      </c>
      <c r="W438" t="n">
        <v>126102</v>
      </c>
      <c r="X438" t="inlineStr">
        <is>
          <t>VALLE ORIENTE</t>
        </is>
      </c>
      <c r="Y438" t="n">
        <v>17</v>
      </c>
      <c r="Z438" t="inlineStr">
        <is>
          <t>SOPORTE</t>
        </is>
      </c>
      <c r="AA438" t="n">
        <v>1</v>
      </c>
      <c r="AB438" t="inlineStr">
        <is>
          <t>NEGOCIO EN MARCHA</t>
        </is>
      </c>
      <c r="AC438" t="n">
        <v>1</v>
      </c>
      <c r="AD438" t="inlineStr">
        <is>
          <t>BANCO</t>
        </is>
      </c>
      <c r="AE438" t="n">
        <v>2</v>
      </c>
      <c r="AF438" t="inlineStr">
        <is>
          <t>MIDDLE</t>
        </is>
      </c>
      <c r="AG438" t="n">
        <v>126102</v>
      </c>
      <c r="AH438" t="inlineStr">
        <is>
          <t>MONTERREY</t>
        </is>
      </c>
      <c r="AI438" t="inlineStr">
        <is>
          <t>KVILLARREV@BANCOBASE.COM</t>
        </is>
      </c>
      <c r="AJ438" s="151" t="n">
        <v>43598</v>
      </c>
      <c r="AK438" s="151" t="n"/>
      <c r="AL438" s="151" t="n"/>
    </row>
    <row r="439" hidden="1" s="150">
      <c r="A439" t="inlineStr">
        <is>
          <t>JGOGH</t>
        </is>
      </c>
      <c r="B439" t="inlineStr">
        <is>
          <t>EXT-99129</t>
        </is>
      </c>
      <c r="C439" t="inlineStr">
        <is>
          <t xml:space="preserve">JAE KO </t>
        </is>
      </c>
      <c r="D439" t="n">
        <v>9911</v>
      </c>
      <c r="E439" t="inlineStr">
        <is>
          <t>DIRECTOR DE PROMOCION DE MERCADOS ASIATICOS</t>
        </is>
      </c>
      <c r="F439" t="inlineStr">
        <is>
          <t>MONTERREY</t>
        </is>
      </c>
      <c r="G439" t="n">
        <v>1512</v>
      </c>
      <c r="H439" t="inlineStr">
        <is>
          <t>ARTURO MANUEL GUERRA ANZALDUA</t>
        </is>
      </c>
      <c r="I439" t="n">
        <v>9649</v>
      </c>
      <c r="J439" t="inlineStr">
        <is>
          <t>DIRECTOR COMERCIAL NACIONAL</t>
        </is>
      </c>
      <c r="K439" t="n">
        <v>1</v>
      </c>
      <c r="L439" t="inlineStr">
        <is>
          <t>PRESIDENCIA EJECUTIVA DEL CONSEJO</t>
        </is>
      </c>
      <c r="M439" t="n">
        <v>40</v>
      </c>
      <c r="N439" t="inlineStr">
        <is>
          <t>DIRECCION GENERAL BANCO BASE</t>
        </is>
      </c>
      <c r="O439" t="n">
        <v>410</v>
      </c>
      <c r="P439" t="inlineStr">
        <is>
          <t>DIRECCION COMERCIAL</t>
        </is>
      </c>
      <c r="Q439" t="n">
        <v>4170</v>
      </c>
      <c r="R439" t="inlineStr">
        <is>
          <t>DIRECCION DE MERCADO ASIATICO</t>
        </is>
      </c>
      <c r="S439" t="n">
        <v>41700</v>
      </c>
      <c r="T439" t="inlineStr">
        <is>
          <t>DIRECCION DE MERCADO ASIATICO</t>
        </is>
      </c>
      <c r="U439" t="n">
        <v>417000</v>
      </c>
      <c r="V439" t="inlineStr">
        <is>
          <t>DIRECCION DE MERCADO ASIATICO</t>
        </is>
      </c>
      <c r="W439" t="n">
        <v>126102</v>
      </c>
      <c r="X439" t="inlineStr">
        <is>
          <t>VALLE ORIENTE</t>
        </is>
      </c>
      <c r="Y439" t="n">
        <v>3</v>
      </c>
      <c r="Z439" t="inlineStr">
        <is>
          <t>CAMBIARIO</t>
        </is>
      </c>
      <c r="AA439" t="n">
        <v>1</v>
      </c>
      <c r="AB439" t="inlineStr">
        <is>
          <t>NEGOCIO EN MARCHA</t>
        </is>
      </c>
      <c r="AC439" t="n">
        <v>1</v>
      </c>
      <c r="AD439" t="inlineStr">
        <is>
          <t>BANCO</t>
        </is>
      </c>
      <c r="AE439" t="n">
        <v>2</v>
      </c>
      <c r="AF439" t="inlineStr">
        <is>
          <t>MIDDLE</t>
        </is>
      </c>
      <c r="AG439" t="n">
        <v>126102</v>
      </c>
      <c r="AH439" t="inlineStr">
        <is>
          <t>MONTERREY</t>
        </is>
      </c>
      <c r="AI439" t="inlineStr">
        <is>
          <t>JGOGH@BANCOBASE.COM</t>
        </is>
      </c>
      <c r="AJ439" s="151" t="n">
        <v>42384</v>
      </c>
      <c r="AK439" s="151" t="n"/>
      <c r="AL439" s="151" t="n"/>
    </row>
    <row r="440" hidden="1" s="150">
      <c r="A440" t="inlineStr">
        <is>
          <t>DZHANG</t>
        </is>
      </c>
      <c r="B440" t="n">
        <v>3108</v>
      </c>
      <c r="C440" t="inlineStr">
        <is>
          <t xml:space="preserve">DING ZHANG </t>
        </is>
      </c>
      <c r="D440" t="n">
        <v>8346</v>
      </c>
      <c r="E440" t="inlineStr">
        <is>
          <t>GERENTE DE PROMOCION ESPECIALISTA EN MERCADO CHINO</t>
        </is>
      </c>
      <c r="F440" t="inlineStr">
        <is>
          <t>MEXICO</t>
        </is>
      </c>
      <c r="G440" t="n">
        <v>99129</v>
      </c>
      <c r="H440" t="inlineStr">
        <is>
          <t xml:space="preserve">JAE KO </t>
        </is>
      </c>
      <c r="I440" t="n">
        <v>9911</v>
      </c>
      <c r="J440" t="inlineStr">
        <is>
          <t>DIRECTOR DE PROMOCION DE MERCADOS ASIATICOS</t>
        </is>
      </c>
      <c r="K440" t="n">
        <v>1</v>
      </c>
      <c r="L440" t="inlineStr">
        <is>
          <t>PRESIDENCIA EJECUTIVA DEL CONSEJO</t>
        </is>
      </c>
      <c r="M440" t="n">
        <v>40</v>
      </c>
      <c r="N440" t="inlineStr">
        <is>
          <t>DIRECCION GENERAL BANCO BASE</t>
        </is>
      </c>
      <c r="O440" t="n">
        <v>410</v>
      </c>
      <c r="P440" t="inlineStr">
        <is>
          <t>DIRECCION COMERCIAL</t>
        </is>
      </c>
      <c r="Q440" t="n">
        <v>4170</v>
      </c>
      <c r="R440" t="inlineStr">
        <is>
          <t>DIRECCION DE MERCADO ASIATICO</t>
        </is>
      </c>
      <c r="S440" t="n">
        <v>41700</v>
      </c>
      <c r="T440" t="inlineStr">
        <is>
          <t>DIRECCION DE MERCADO ASIATICO</t>
        </is>
      </c>
      <c r="U440" t="n">
        <v>417000</v>
      </c>
      <c r="V440" t="inlineStr">
        <is>
          <t>DIRECCION DE MERCADO ASIATICO</t>
        </is>
      </c>
      <c r="W440" t="n">
        <v>134111</v>
      </c>
      <c r="X440" t="inlineStr">
        <is>
          <t>LOMAS</t>
        </is>
      </c>
      <c r="Y440" t="n">
        <v>3</v>
      </c>
      <c r="Z440" t="inlineStr">
        <is>
          <t>CAMBIARIO</t>
        </is>
      </c>
      <c r="AA440" t="n">
        <v>1</v>
      </c>
      <c r="AB440" t="inlineStr">
        <is>
          <t>NEGOCIO EN MARCHA</t>
        </is>
      </c>
      <c r="AC440" t="n">
        <v>1</v>
      </c>
      <c r="AD440" t="inlineStr">
        <is>
          <t>BANCO</t>
        </is>
      </c>
      <c r="AE440" t="n">
        <v>2</v>
      </c>
      <c r="AF440" t="inlineStr">
        <is>
          <t>MIDDLE</t>
        </is>
      </c>
      <c r="AG440" t="n">
        <v>134111</v>
      </c>
      <c r="AH440" t="inlineStr">
        <is>
          <t>LOMAS</t>
        </is>
      </c>
      <c r="AI440" t="inlineStr">
        <is>
          <t>DZHANG@BANCOBASE.COM</t>
        </is>
      </c>
      <c r="AJ440" s="151" t="n">
        <v>45414</v>
      </c>
      <c r="AK440" s="151" t="n"/>
      <c r="AL440" s="151" t="n"/>
    </row>
    <row r="441" hidden="1" s="150">
      <c r="A441" t="inlineStr">
        <is>
          <t>HJYOO</t>
        </is>
      </c>
      <c r="B441" t="n">
        <v>2636</v>
      </c>
      <c r="C441" t="inlineStr">
        <is>
          <t xml:space="preserve">HYUNJONG YOO </t>
        </is>
      </c>
      <c r="D441" t="n">
        <v>9511</v>
      </c>
      <c r="E441" t="inlineStr">
        <is>
          <t>GERENTE DE PROMOCION ESPECIALISTA EN MERCADO COREANO</t>
        </is>
      </c>
      <c r="F441" t="inlineStr">
        <is>
          <t>MONTERREY</t>
        </is>
      </c>
      <c r="G441" t="n">
        <v>99129</v>
      </c>
      <c r="H441" t="inlineStr">
        <is>
          <t xml:space="preserve">JAE KO </t>
        </is>
      </c>
      <c r="I441" t="n">
        <v>9911</v>
      </c>
      <c r="J441" t="inlineStr">
        <is>
          <t>DIRECTOR DE PROMOCION DE MERCADOS ASIATICOS</t>
        </is>
      </c>
      <c r="K441" t="n">
        <v>1</v>
      </c>
      <c r="L441" t="inlineStr">
        <is>
          <t>PRESIDENCIA EJECUTIVA DEL CONSEJO</t>
        </is>
      </c>
      <c r="M441" t="n">
        <v>40</v>
      </c>
      <c r="N441" t="inlineStr">
        <is>
          <t>DIRECCION GENERAL BANCO BASE</t>
        </is>
      </c>
      <c r="O441" t="n">
        <v>410</v>
      </c>
      <c r="P441" t="inlineStr">
        <is>
          <t>DIRECCION COMERCIAL</t>
        </is>
      </c>
      <c r="Q441" t="n">
        <v>4170</v>
      </c>
      <c r="R441" t="inlineStr">
        <is>
          <t>DIRECCION DE MERCADO ASIATICO</t>
        </is>
      </c>
      <c r="S441" t="n">
        <v>41700</v>
      </c>
      <c r="T441" t="inlineStr">
        <is>
          <t>DIRECCION DE MERCADO ASIATICO</t>
        </is>
      </c>
      <c r="U441" t="n">
        <v>417000</v>
      </c>
      <c r="V441" t="inlineStr">
        <is>
          <t>DIRECCION DE MERCADO ASIATICO</t>
        </is>
      </c>
      <c r="W441" t="n">
        <v>126102</v>
      </c>
      <c r="X441" t="inlineStr">
        <is>
          <t>VALLE ORIENTE</t>
        </is>
      </c>
      <c r="Y441" t="n">
        <v>3</v>
      </c>
      <c r="Z441" t="inlineStr">
        <is>
          <t>CAMBIARIO</t>
        </is>
      </c>
      <c r="AA441" t="n">
        <v>1</v>
      </c>
      <c r="AB441" t="inlineStr">
        <is>
          <t>NEGOCIO EN MARCHA</t>
        </is>
      </c>
      <c r="AC441" t="n">
        <v>1</v>
      </c>
      <c r="AD441" t="inlineStr">
        <is>
          <t>BANCO</t>
        </is>
      </c>
      <c r="AE441" t="n">
        <v>2</v>
      </c>
      <c r="AF441" t="inlineStr">
        <is>
          <t>MIDDLE</t>
        </is>
      </c>
      <c r="AG441" t="n">
        <v>126102</v>
      </c>
      <c r="AH441" t="inlineStr">
        <is>
          <t>MONTERREY</t>
        </is>
      </c>
      <c r="AI441" t="inlineStr">
        <is>
          <t>HJYOO@BANCOBASE.COM</t>
        </is>
      </c>
      <c r="AJ441" s="151" t="n">
        <v>44669</v>
      </c>
      <c r="AK441" s="151" t="n"/>
      <c r="AL441" s="151" t="n"/>
    </row>
    <row r="442" hidden="1" s="150">
      <c r="A442" t="inlineStr">
        <is>
          <t>HYUNMJO</t>
        </is>
      </c>
      <c r="B442" t="n">
        <v>2597</v>
      </c>
      <c r="C442" t="inlineStr">
        <is>
          <t xml:space="preserve">HYUNMYUNG JO </t>
        </is>
      </c>
      <c r="D442" t="n">
        <v>10080</v>
      </c>
      <c r="E442" t="inlineStr">
        <is>
          <t>GERENTE DE PROMOCION ESPECIALISTA EN MERCADO COREANO</t>
        </is>
      </c>
      <c r="F442" t="inlineStr">
        <is>
          <t>MEXICO</t>
        </is>
      </c>
      <c r="G442" t="n">
        <v>99129</v>
      </c>
      <c r="H442" t="inlineStr">
        <is>
          <t xml:space="preserve">JAE KO </t>
        </is>
      </c>
      <c r="I442" t="n">
        <v>9911</v>
      </c>
      <c r="J442" t="inlineStr">
        <is>
          <t>DIRECTOR DE PROMOCION DE MERCADOS ASIATICOS</t>
        </is>
      </c>
      <c r="K442" t="n">
        <v>1</v>
      </c>
      <c r="L442" t="inlineStr">
        <is>
          <t>PRESIDENCIA EJECUTIVA DEL CONSEJO</t>
        </is>
      </c>
      <c r="M442" t="n">
        <v>40</v>
      </c>
      <c r="N442" t="inlineStr">
        <is>
          <t>DIRECCION GENERAL BANCO BASE</t>
        </is>
      </c>
      <c r="O442" t="n">
        <v>410</v>
      </c>
      <c r="P442" t="inlineStr">
        <is>
          <t>DIRECCION COMERCIAL</t>
        </is>
      </c>
      <c r="Q442" t="n">
        <v>4170</v>
      </c>
      <c r="R442" t="inlineStr">
        <is>
          <t>DIRECCION DE MERCADO ASIATICO</t>
        </is>
      </c>
      <c r="S442" t="n">
        <v>41700</v>
      </c>
      <c r="T442" t="inlineStr">
        <is>
          <t>DIRECCION DE MERCADO ASIATICO</t>
        </is>
      </c>
      <c r="U442" t="n">
        <v>417000</v>
      </c>
      <c r="V442" t="inlineStr">
        <is>
          <t>DIRECCION DE MERCADO ASIATICO</t>
        </is>
      </c>
      <c r="W442" t="n">
        <v>134111</v>
      </c>
      <c r="X442" t="inlineStr">
        <is>
          <t>LOMAS</t>
        </is>
      </c>
      <c r="Y442" t="n">
        <v>3</v>
      </c>
      <c r="Z442" t="inlineStr">
        <is>
          <t>CAMBIARIO</t>
        </is>
      </c>
      <c r="AA442" t="n">
        <v>1</v>
      </c>
      <c r="AB442" t="inlineStr">
        <is>
          <t>NEGOCIO EN MARCHA</t>
        </is>
      </c>
      <c r="AC442" t="n">
        <v>1</v>
      </c>
      <c r="AD442" t="inlineStr">
        <is>
          <t>BANCO</t>
        </is>
      </c>
      <c r="AE442" t="n">
        <v>2</v>
      </c>
      <c r="AF442" t="inlineStr">
        <is>
          <t>MIDDLE</t>
        </is>
      </c>
      <c r="AG442" t="n">
        <v>134111</v>
      </c>
      <c r="AH442" t="inlineStr">
        <is>
          <t>LOMAS</t>
        </is>
      </c>
      <c r="AI442" t="inlineStr">
        <is>
          <t>HYUNMJO@BANCOBASE.COM</t>
        </is>
      </c>
      <c r="AJ442" s="151" t="n">
        <v>44564</v>
      </c>
      <c r="AK442" s="151" t="n"/>
      <c r="AL442" s="151" t="n"/>
    </row>
    <row r="443" hidden="1" s="150">
      <c r="A443" t="inlineStr">
        <is>
          <t>BDIAZE</t>
        </is>
      </c>
      <c r="B443" t="n">
        <v>2795</v>
      </c>
      <c r="C443" t="inlineStr">
        <is>
          <t>BARBARA DIAZ ESPINOSA</t>
        </is>
      </c>
      <c r="D443" t="n">
        <v>8041</v>
      </c>
      <c r="E443" t="inlineStr">
        <is>
          <t>DESARROLLO DE NEGOCIO ASIATICO</t>
        </is>
      </c>
      <c r="F443" t="inlineStr">
        <is>
          <t>MONTERREY</t>
        </is>
      </c>
      <c r="G443" t="n">
        <v>99129</v>
      </c>
      <c r="H443" t="inlineStr">
        <is>
          <t xml:space="preserve">JAE KO </t>
        </is>
      </c>
      <c r="I443" t="n">
        <v>9911</v>
      </c>
      <c r="J443" t="inlineStr">
        <is>
          <t>DIRECTOR DE PROMOCION DE MERCADOS ASIATICOS</t>
        </is>
      </c>
      <c r="K443" t="n">
        <v>1</v>
      </c>
      <c r="L443" t="inlineStr">
        <is>
          <t>PRESIDENCIA EJECUTIVA DEL CONSEJO</t>
        </is>
      </c>
      <c r="M443" t="n">
        <v>40</v>
      </c>
      <c r="N443" t="inlineStr">
        <is>
          <t>DIRECCION GENERAL BANCO BASE</t>
        </is>
      </c>
      <c r="O443" t="n">
        <v>410</v>
      </c>
      <c r="P443" t="inlineStr">
        <is>
          <t>DIRECCION COMERCIAL</t>
        </is>
      </c>
      <c r="Q443" t="n">
        <v>4170</v>
      </c>
      <c r="R443" t="inlineStr">
        <is>
          <t>DIRECCION DE MERCADO ASIATICO</t>
        </is>
      </c>
      <c r="S443" t="n">
        <v>41700</v>
      </c>
      <c r="T443" t="inlineStr">
        <is>
          <t>DIRECCION DE MERCADO ASIATICO</t>
        </is>
      </c>
      <c r="U443" t="n">
        <v>417000</v>
      </c>
      <c r="V443" t="inlineStr">
        <is>
          <t>DIRECCION DE MERCADO ASIATICO</t>
        </is>
      </c>
      <c r="W443" t="n">
        <v>126102</v>
      </c>
      <c r="X443" t="inlineStr">
        <is>
          <t>VALLE ORIENTE</t>
        </is>
      </c>
      <c r="Y443" t="n">
        <v>3</v>
      </c>
      <c r="Z443" t="inlineStr">
        <is>
          <t>CAMBIARIO</t>
        </is>
      </c>
      <c r="AA443" t="n">
        <v>1</v>
      </c>
      <c r="AB443" t="inlineStr">
        <is>
          <t>NEGOCIO EN MARCHA</t>
        </is>
      </c>
      <c r="AC443" t="n">
        <v>1</v>
      </c>
      <c r="AD443" t="inlineStr">
        <is>
          <t>BANCO</t>
        </is>
      </c>
      <c r="AE443" t="n">
        <v>2</v>
      </c>
      <c r="AF443" t="inlineStr">
        <is>
          <t>MIDDLE</t>
        </is>
      </c>
      <c r="AG443" t="n">
        <v>126102</v>
      </c>
      <c r="AH443" t="inlineStr">
        <is>
          <t>MONTERREY</t>
        </is>
      </c>
      <c r="AI443" t="inlineStr">
        <is>
          <t>BDIAZE@BANCOBASE.COM</t>
        </is>
      </c>
      <c r="AJ443" s="151" t="n">
        <v>44928</v>
      </c>
      <c r="AK443" s="151" t="n"/>
      <c r="AL443" s="151" t="n"/>
    </row>
    <row r="444" hidden="1" s="150">
      <c r="A444" t="inlineStr">
        <is>
          <t>WHE</t>
        </is>
      </c>
      <c r="B444" t="n">
        <v>3677</v>
      </c>
      <c r="C444" t="inlineStr">
        <is>
          <t xml:space="preserve">WEIHONG HE </t>
        </is>
      </c>
      <c r="D444" t="n">
        <v>8271</v>
      </c>
      <c r="E444" t="inlineStr">
        <is>
          <t>GERENTE DE PROMOCION ESPECIALISTA EN MERCADO CHINO</t>
        </is>
      </c>
      <c r="F444" t="inlineStr">
        <is>
          <t>MONTERREY</t>
        </is>
      </c>
      <c r="G444" t="n">
        <v>99129</v>
      </c>
      <c r="H444" t="inlineStr">
        <is>
          <t xml:space="preserve">JAE KO </t>
        </is>
      </c>
      <c r="I444" t="n">
        <v>9911</v>
      </c>
      <c r="J444" t="inlineStr">
        <is>
          <t>DIRECTOR DE PROMOCION DE MERCADOS ASIATICOS</t>
        </is>
      </c>
      <c r="K444" t="n">
        <v>1</v>
      </c>
      <c r="L444" t="inlineStr">
        <is>
          <t>PRESIDENCIA EJECUTIVA DEL CONSEJO</t>
        </is>
      </c>
      <c r="M444" t="n">
        <v>40</v>
      </c>
      <c r="N444" t="inlineStr">
        <is>
          <t>DIRECCION GENERAL BANCO BASE</t>
        </is>
      </c>
      <c r="O444" t="n">
        <v>410</v>
      </c>
      <c r="P444" t="inlineStr">
        <is>
          <t>DIRECCION COMERCIAL</t>
        </is>
      </c>
      <c r="Q444" t="n">
        <v>4170</v>
      </c>
      <c r="R444" t="inlineStr">
        <is>
          <t>DIRECCION DE MERCADO ASIATICO</t>
        </is>
      </c>
      <c r="S444" t="n">
        <v>41700</v>
      </c>
      <c r="T444" t="inlineStr">
        <is>
          <t>DIRECCION DE MERCADO ASIATICO</t>
        </is>
      </c>
      <c r="U444" t="n">
        <v>417000</v>
      </c>
      <c r="V444" t="inlineStr">
        <is>
          <t>DIRECCION DE MERCADO ASIATICO</t>
        </is>
      </c>
      <c r="W444" t="n">
        <v>126102</v>
      </c>
      <c r="X444" t="inlineStr">
        <is>
          <t>VALLE ORIENTE</t>
        </is>
      </c>
      <c r="Y444" t="n">
        <v>3</v>
      </c>
      <c r="Z444" t="inlineStr">
        <is>
          <t>CAMBIARIO</t>
        </is>
      </c>
      <c r="AA444" t="n">
        <v>1</v>
      </c>
      <c r="AB444" t="inlineStr">
        <is>
          <t>NEGOCIO EN MARCHA</t>
        </is>
      </c>
      <c r="AC444" t="n">
        <v>1</v>
      </c>
      <c r="AD444" t="inlineStr">
        <is>
          <t>BANCO</t>
        </is>
      </c>
      <c r="AE444" t="n">
        <v>2</v>
      </c>
      <c r="AF444" t="inlineStr">
        <is>
          <t>MIDDLE</t>
        </is>
      </c>
      <c r="AG444" t="n">
        <v>126102</v>
      </c>
      <c r="AH444" t="inlineStr">
        <is>
          <t>MONTERREY</t>
        </is>
      </c>
      <c r="AI444" t="inlineStr">
        <is>
          <t>WHE@BANCOBASE.COM</t>
        </is>
      </c>
      <c r="AJ444" s="151" t="n">
        <v>45971</v>
      </c>
      <c r="AK444" s="151" t="n"/>
      <c r="AL444" s="151" t="n"/>
    </row>
    <row r="445" hidden="1" s="150">
      <c r="A445" t="inlineStr">
        <is>
          <t>LEGUIARTE</t>
        </is>
      </c>
      <c r="B445" t="n">
        <v>538</v>
      </c>
      <c r="C445" t="inlineStr">
        <is>
          <t>LUIS NICOLAS EGUIARTE CORONA</t>
        </is>
      </c>
      <c r="D445" t="n">
        <v>8232</v>
      </c>
      <c r="E445" t="inlineStr">
        <is>
          <t>DIRECTOR DE ATRACCION Y VENTAS</t>
        </is>
      </c>
      <c r="F445" t="inlineStr">
        <is>
          <t>MONTERREY</t>
        </is>
      </c>
      <c r="G445" t="n">
        <v>1512</v>
      </c>
      <c r="H445" t="inlineStr">
        <is>
          <t>ARTURO MANUEL GUERRA ANZALDUA</t>
        </is>
      </c>
      <c r="I445" t="n">
        <v>9649</v>
      </c>
      <c r="J445" t="inlineStr">
        <is>
          <t>DIRECTOR COMERCIAL NACIONAL</t>
        </is>
      </c>
      <c r="K445" t="n">
        <v>1</v>
      </c>
      <c r="L445" t="inlineStr">
        <is>
          <t>PRESIDENCIA EJECUTIVA DEL CONSEJO</t>
        </is>
      </c>
      <c r="M445" t="n">
        <v>40</v>
      </c>
      <c r="N445" t="inlineStr">
        <is>
          <t>DIRECCION GENERAL BANCO BASE</t>
        </is>
      </c>
      <c r="O445" t="n">
        <v>410</v>
      </c>
      <c r="P445" t="inlineStr">
        <is>
          <t>DIRECCION COMERCIAL</t>
        </is>
      </c>
      <c r="Q445" t="n">
        <v>4560</v>
      </c>
      <c r="R445" t="inlineStr">
        <is>
          <t>DIRECCION DE ATRACCION Y VENTAS</t>
        </is>
      </c>
      <c r="S445" t="n">
        <v>45600</v>
      </c>
      <c r="T445" t="inlineStr">
        <is>
          <t>DIRECCION DE ATRACCION Y VENTAS</t>
        </is>
      </c>
      <c r="U445" t="n">
        <v>456000</v>
      </c>
      <c r="V445" t="inlineStr">
        <is>
          <t>DIRECCION DE ATRACCION Y VENTAS</t>
        </is>
      </c>
      <c r="W445" t="n">
        <v>100101</v>
      </c>
      <c r="X445" t="inlineStr">
        <is>
          <t>CORPORATIVO</t>
        </is>
      </c>
      <c r="Y445" t="n">
        <v>3</v>
      </c>
      <c r="Z445" t="inlineStr">
        <is>
          <t>CAMBIARIO</t>
        </is>
      </c>
      <c r="AA445" t="n">
        <v>1</v>
      </c>
      <c r="AB445" t="inlineStr">
        <is>
          <t>NEGOCIO EN MARCHA</t>
        </is>
      </c>
      <c r="AC445" t="n">
        <v>1</v>
      </c>
      <c r="AD445" t="inlineStr">
        <is>
          <t>BANCO</t>
        </is>
      </c>
      <c r="AE445" t="n">
        <v>3</v>
      </c>
      <c r="AF445" t="inlineStr">
        <is>
          <t>FRONT</t>
        </is>
      </c>
      <c r="AG445" t="n">
        <v>126102</v>
      </c>
      <c r="AH445" t="inlineStr">
        <is>
          <t>MONTERREY</t>
        </is>
      </c>
      <c r="AI445" t="inlineStr">
        <is>
          <t>LEGUIARTE@BANCOBASE.COM</t>
        </is>
      </c>
      <c r="AJ445" s="151" t="n">
        <v>39860</v>
      </c>
      <c r="AK445" s="151" t="n"/>
      <c r="AL445" s="151" t="n"/>
    </row>
    <row r="446" hidden="1" s="150">
      <c r="A446" t="inlineStr">
        <is>
          <t>TVILLARREA</t>
        </is>
      </c>
      <c r="B446" t="n">
        <v>1828</v>
      </c>
      <c r="C446" t="inlineStr">
        <is>
          <t>TATIANA MONSERRAT VILLARREAL CABALLERO</t>
        </is>
      </c>
      <c r="D446" t="n">
        <v>8107</v>
      </c>
      <c r="E446" t="inlineStr">
        <is>
          <t>GERENTE DE PROMOCION ENLACE MTY</t>
        </is>
      </c>
      <c r="F446" t="inlineStr">
        <is>
          <t>MONTERREY</t>
        </is>
      </c>
      <c r="G446" t="n">
        <v>538</v>
      </c>
      <c r="H446" t="inlineStr">
        <is>
          <t>LUIS NICOLAS EGUIARTE CORONA</t>
        </is>
      </c>
      <c r="I446" t="n">
        <v>8232</v>
      </c>
      <c r="J446" t="inlineStr">
        <is>
          <t>DIRECTOR DE ATRACCION Y VENTAS</t>
        </is>
      </c>
      <c r="K446" t="n">
        <v>1</v>
      </c>
      <c r="L446" t="inlineStr">
        <is>
          <t>PRESIDENCIA EJECUTIVA DEL CONSEJO</t>
        </is>
      </c>
      <c r="M446" t="n">
        <v>40</v>
      </c>
      <c r="N446" t="inlineStr">
        <is>
          <t>DIRECCION GENERAL BANCO BASE</t>
        </is>
      </c>
      <c r="O446" t="n">
        <v>410</v>
      </c>
      <c r="P446" t="inlineStr">
        <is>
          <t>DIRECCION COMERCIAL</t>
        </is>
      </c>
      <c r="Q446" t="n">
        <v>4560</v>
      </c>
      <c r="R446" t="inlineStr">
        <is>
          <t>DIRECCION DE ATRACCION Y VENTAS</t>
        </is>
      </c>
      <c r="S446" t="n">
        <v>45610</v>
      </c>
      <c r="T446" t="inlineStr">
        <is>
          <t>PROMOCION ENLACE</t>
        </is>
      </c>
      <c r="U446" t="n">
        <v>456110</v>
      </c>
      <c r="V446" t="inlineStr">
        <is>
          <t>PROMOCION ENLACE MONTERREY Y FORANEAS</t>
        </is>
      </c>
      <c r="W446" t="n">
        <v>126102</v>
      </c>
      <c r="X446" t="inlineStr">
        <is>
          <t>VALLE ORIENTE</t>
        </is>
      </c>
      <c r="Y446" t="n">
        <v>3</v>
      </c>
      <c r="Z446" t="inlineStr">
        <is>
          <t>CAMBIARIO</t>
        </is>
      </c>
      <c r="AA446" t="n">
        <v>1</v>
      </c>
      <c r="AB446" t="inlineStr">
        <is>
          <t>NEGOCIO EN MARCHA</t>
        </is>
      </c>
      <c r="AC446" t="n">
        <v>1</v>
      </c>
      <c r="AD446" t="inlineStr">
        <is>
          <t>BANCO</t>
        </is>
      </c>
      <c r="AE446" t="n">
        <v>3</v>
      </c>
      <c r="AF446" t="inlineStr">
        <is>
          <t>FRONT</t>
        </is>
      </c>
      <c r="AG446" t="n">
        <v>126102</v>
      </c>
      <c r="AH446" t="inlineStr">
        <is>
          <t>MONTERREY</t>
        </is>
      </c>
      <c r="AI446" t="inlineStr">
        <is>
          <t>TVILLARREA@BANCOBASE.COM</t>
        </is>
      </c>
      <c r="AJ446" s="151" t="n">
        <v>42971</v>
      </c>
      <c r="AK446" s="151" t="n"/>
      <c r="AL446" s="151" t="n"/>
    </row>
    <row r="447" hidden="1" s="150">
      <c r="A447" t="inlineStr">
        <is>
          <t>JRAMIREZRO</t>
        </is>
      </c>
      <c r="B447" t="n">
        <v>3822</v>
      </c>
      <c r="C447" t="inlineStr">
        <is>
          <t>JUAN MANUEL RAMIREZ ROBLEDO</t>
        </is>
      </c>
      <c r="D447" t="n">
        <v>8108</v>
      </c>
      <c r="E447" t="inlineStr">
        <is>
          <t>ASESOR DE DIVISAS ENLACE</t>
        </is>
      </c>
      <c r="F447" t="inlineStr">
        <is>
          <t>MONTERREY</t>
        </is>
      </c>
      <c r="G447" t="n">
        <v>1828</v>
      </c>
      <c r="H447" t="inlineStr">
        <is>
          <t>TATIANA MONSERRAT VILLARREAL CABALLERO</t>
        </is>
      </c>
      <c r="I447" t="n">
        <v>8107</v>
      </c>
      <c r="J447" t="inlineStr">
        <is>
          <t>GERENTE DE PROMOCION ENLACE MTY</t>
        </is>
      </c>
      <c r="K447" t="n">
        <v>1</v>
      </c>
      <c r="L447" t="inlineStr">
        <is>
          <t>PRESIDENCIA EJECUTIVA DEL CONSEJO</t>
        </is>
      </c>
      <c r="M447" t="n">
        <v>40</v>
      </c>
      <c r="N447" t="inlineStr">
        <is>
          <t>DIRECCION GENERAL BANCO BASE</t>
        </is>
      </c>
      <c r="O447" t="n">
        <v>410</v>
      </c>
      <c r="P447" t="inlineStr">
        <is>
          <t>DIRECCION COMERCIAL</t>
        </is>
      </c>
      <c r="Q447" t="n">
        <v>4560</v>
      </c>
      <c r="R447" t="inlineStr">
        <is>
          <t>DIRECCION DE ATRACCION Y VENTAS</t>
        </is>
      </c>
      <c r="S447" t="n">
        <v>45610</v>
      </c>
      <c r="T447" t="inlineStr">
        <is>
          <t>PROMOCION ENLACE</t>
        </is>
      </c>
      <c r="U447" t="n">
        <v>456110</v>
      </c>
      <c r="V447" t="inlineStr">
        <is>
          <t>PROMOCION ENLACE MONTERREY Y FORANEAS</t>
        </is>
      </c>
      <c r="W447" t="n">
        <v>126102</v>
      </c>
      <c r="X447" t="inlineStr">
        <is>
          <t>VALLE ORIENTE</t>
        </is>
      </c>
      <c r="Y447" t="n">
        <v>3</v>
      </c>
      <c r="Z447" t="inlineStr">
        <is>
          <t>CAMBIARIO</t>
        </is>
      </c>
      <c r="AA447" t="n">
        <v>1</v>
      </c>
      <c r="AB447" t="inlineStr">
        <is>
          <t>NEGOCIO EN MARCHA</t>
        </is>
      </c>
      <c r="AC447" t="n">
        <v>1</v>
      </c>
      <c r="AD447" t="inlineStr">
        <is>
          <t>BANCO</t>
        </is>
      </c>
      <c r="AE447" t="n">
        <v>3</v>
      </c>
      <c r="AF447" t="inlineStr">
        <is>
          <t>FRONT</t>
        </is>
      </c>
      <c r="AG447" t="n">
        <v>126102</v>
      </c>
      <c r="AH447" t="inlineStr">
        <is>
          <t>MONTERREY</t>
        </is>
      </c>
      <c r="AI447" t="inlineStr">
        <is>
          <t>JRAMIREZRO@BANCOBASE.COM</t>
        </is>
      </c>
      <c r="AJ447" s="151" t="n">
        <v>46128</v>
      </c>
      <c r="AK447" s="151" t="n"/>
      <c r="AL447" s="151" t="n"/>
    </row>
    <row r="448" hidden="1" s="150">
      <c r="A448" t="inlineStr">
        <is>
          <t>AGUEVARA</t>
        </is>
      </c>
      <c r="B448" t="n">
        <v>3809</v>
      </c>
      <c r="C448" t="inlineStr">
        <is>
          <t>ANDREA PAULINA GUEVARA BARBOZA</t>
        </is>
      </c>
      <c r="D448" t="n">
        <v>8109</v>
      </c>
      <c r="E448" t="inlineStr">
        <is>
          <t>ASESOR DE DIVISAS ENLACE</t>
        </is>
      </c>
      <c r="F448" t="inlineStr">
        <is>
          <t>MONTERREY</t>
        </is>
      </c>
      <c r="G448" t="n">
        <v>1828</v>
      </c>
      <c r="H448" t="inlineStr">
        <is>
          <t>TATIANA MONSERRAT VILLARREAL CABALLERO</t>
        </is>
      </c>
      <c r="I448" t="n">
        <v>8107</v>
      </c>
      <c r="J448" t="inlineStr">
        <is>
          <t>GERENTE DE PROMOCION ENLACE MTY</t>
        </is>
      </c>
      <c r="K448" t="n">
        <v>1</v>
      </c>
      <c r="L448" t="inlineStr">
        <is>
          <t>PRESIDENCIA EJECUTIVA DEL CONSEJO</t>
        </is>
      </c>
      <c r="M448" t="n">
        <v>40</v>
      </c>
      <c r="N448" t="inlineStr">
        <is>
          <t>DIRECCION GENERAL BANCO BASE</t>
        </is>
      </c>
      <c r="O448" t="n">
        <v>410</v>
      </c>
      <c r="P448" t="inlineStr">
        <is>
          <t>DIRECCION COMERCIAL</t>
        </is>
      </c>
      <c r="Q448" t="n">
        <v>4560</v>
      </c>
      <c r="R448" t="inlineStr">
        <is>
          <t>DIRECCION DE ATRACCION Y VENTAS</t>
        </is>
      </c>
      <c r="S448" t="n">
        <v>45610</v>
      </c>
      <c r="T448" t="inlineStr">
        <is>
          <t>PROMOCION ENLACE</t>
        </is>
      </c>
      <c r="U448" t="n">
        <v>456110</v>
      </c>
      <c r="V448" t="inlineStr">
        <is>
          <t>PROMOCION ENLACE MONTERREY Y FORANEAS</t>
        </is>
      </c>
      <c r="W448" t="n">
        <v>126102</v>
      </c>
      <c r="X448" t="inlineStr">
        <is>
          <t>VALLE ORIENTE</t>
        </is>
      </c>
      <c r="Y448" t="n">
        <v>3</v>
      </c>
      <c r="Z448" t="inlineStr">
        <is>
          <t>CAMBIARIO</t>
        </is>
      </c>
      <c r="AA448" t="n">
        <v>1</v>
      </c>
      <c r="AB448" t="inlineStr">
        <is>
          <t>NEGOCIO EN MARCHA</t>
        </is>
      </c>
      <c r="AC448" t="n">
        <v>1</v>
      </c>
      <c r="AD448" t="inlineStr">
        <is>
          <t>BANCO</t>
        </is>
      </c>
      <c r="AE448" t="n">
        <v>3</v>
      </c>
      <c r="AF448" t="inlineStr">
        <is>
          <t>FRONT</t>
        </is>
      </c>
      <c r="AG448" t="n">
        <v>126102</v>
      </c>
      <c r="AH448" t="inlineStr">
        <is>
          <t>MONTERREY</t>
        </is>
      </c>
      <c r="AI448" t="inlineStr">
        <is>
          <t>AGUEVARA@BANCOBASE.COM</t>
        </is>
      </c>
      <c r="AJ448" s="151" t="n">
        <v>46128</v>
      </c>
      <c r="AK448" s="151" t="n"/>
      <c r="AL448" s="151" t="n"/>
    </row>
    <row r="449" hidden="1" s="150">
      <c r="A449" t="inlineStr">
        <is>
          <t>LSORIAL</t>
        </is>
      </c>
      <c r="B449" t="n">
        <v>3974</v>
      </c>
      <c r="C449" t="inlineStr">
        <is>
          <t>LORENA SORIA LOZANO</t>
        </is>
      </c>
      <c r="D449" t="n">
        <v>8110</v>
      </c>
      <c r="E449" t="inlineStr">
        <is>
          <t>ASESOR DE DIVISAS ENLACE</t>
        </is>
      </c>
      <c r="F449" t="inlineStr">
        <is>
          <t>MONTERREY</t>
        </is>
      </c>
      <c r="G449" t="n">
        <v>1828</v>
      </c>
      <c r="H449" t="inlineStr">
        <is>
          <t>TATIANA MONSERRAT VILLARREAL CABALLERO</t>
        </is>
      </c>
      <c r="I449" t="n">
        <v>8107</v>
      </c>
      <c r="J449" t="inlineStr">
        <is>
          <t>GERENTE DE PROMOCION ENLACE MTY</t>
        </is>
      </c>
      <c r="K449" t="n">
        <v>1</v>
      </c>
      <c r="L449" t="inlineStr">
        <is>
          <t>PRESIDENCIA EJECUTIVA DEL CONSEJO</t>
        </is>
      </c>
      <c r="M449" t="n">
        <v>40</v>
      </c>
      <c r="N449" t="inlineStr">
        <is>
          <t>DIRECCION GENERAL BANCO BASE</t>
        </is>
      </c>
      <c r="O449" t="n">
        <v>410</v>
      </c>
      <c r="P449" t="inlineStr">
        <is>
          <t>DIRECCION COMERCIAL</t>
        </is>
      </c>
      <c r="Q449" t="n">
        <v>4560</v>
      </c>
      <c r="R449" t="inlineStr">
        <is>
          <t>DIRECCION DE ATRACCION Y VENTAS</t>
        </is>
      </c>
      <c r="S449" t="n">
        <v>45610</v>
      </c>
      <c r="T449" t="inlineStr">
        <is>
          <t>PROMOCION ENLACE</t>
        </is>
      </c>
      <c r="U449" t="n">
        <v>456110</v>
      </c>
      <c r="V449" t="inlineStr">
        <is>
          <t>PROMOCION ENLACE MONTERREY Y FORANEAS</t>
        </is>
      </c>
      <c r="W449" t="n">
        <v>126102</v>
      </c>
      <c r="X449" t="inlineStr">
        <is>
          <t>VALLE ORIENTE</t>
        </is>
      </c>
      <c r="Y449" t="n">
        <v>3</v>
      </c>
      <c r="Z449" t="inlineStr">
        <is>
          <t>CAMBIARIO</t>
        </is>
      </c>
      <c r="AA449" t="n">
        <v>1</v>
      </c>
      <c r="AB449" t="inlineStr">
        <is>
          <t>NEGOCIO EN MARCHA</t>
        </is>
      </c>
      <c r="AC449" t="n">
        <v>1</v>
      </c>
      <c r="AD449" t="inlineStr">
        <is>
          <t>BANCO</t>
        </is>
      </c>
      <c r="AE449" t="n">
        <v>3</v>
      </c>
      <c r="AF449" t="inlineStr">
        <is>
          <t>FRONT</t>
        </is>
      </c>
      <c r="AG449" t="n">
        <v>126102</v>
      </c>
      <c r="AH449" t="inlineStr">
        <is>
          <t>MONTERREY</t>
        </is>
      </c>
      <c r="AI449" t="inlineStr">
        <is>
          <t>LSORIAL@BANCOBASE.COM</t>
        </is>
      </c>
      <c r="AJ449" s="151" t="n">
        <v>46244</v>
      </c>
      <c r="AK449" s="151" t="n"/>
      <c r="AL449" s="151" t="n"/>
    </row>
    <row r="450" hidden="1" s="150">
      <c r="A450" t="inlineStr">
        <is>
          <t>KCOLYER</t>
        </is>
      </c>
      <c r="B450" t="n">
        <v>3820</v>
      </c>
      <c r="C450" t="inlineStr">
        <is>
          <t>KEVIN COLYER TASSINARI</t>
        </is>
      </c>
      <c r="D450" t="n">
        <v>8093</v>
      </c>
      <c r="E450" t="inlineStr">
        <is>
          <t>ASESOR DE DIVISAS ENLACE</t>
        </is>
      </c>
      <c r="F450" t="inlineStr">
        <is>
          <t>MONTERREY</t>
        </is>
      </c>
      <c r="G450" t="n">
        <v>1828</v>
      </c>
      <c r="H450" t="inlineStr">
        <is>
          <t>TATIANA MONSERRAT VILLARREAL CABALLERO</t>
        </is>
      </c>
      <c r="I450" t="n">
        <v>8107</v>
      </c>
      <c r="J450" t="inlineStr">
        <is>
          <t>GERENTE DE PROMOCION ENLACE MTY</t>
        </is>
      </c>
      <c r="K450" t="n">
        <v>1</v>
      </c>
      <c r="L450" t="inlineStr">
        <is>
          <t>PRESIDENCIA EJECUTIVA DEL CONSEJO</t>
        </is>
      </c>
      <c r="M450" t="n">
        <v>40</v>
      </c>
      <c r="N450" t="inlineStr">
        <is>
          <t>DIRECCION GENERAL BANCO BASE</t>
        </is>
      </c>
      <c r="O450" t="n">
        <v>410</v>
      </c>
      <c r="P450" t="inlineStr">
        <is>
          <t>DIRECCION COMERCIAL</t>
        </is>
      </c>
      <c r="Q450" t="n">
        <v>4560</v>
      </c>
      <c r="R450" t="inlineStr">
        <is>
          <t>DIRECCION DE ATRACCION Y VENTAS</t>
        </is>
      </c>
      <c r="S450" t="n">
        <v>45610</v>
      </c>
      <c r="T450" t="inlineStr">
        <is>
          <t>PROMOCION ENLACE</t>
        </is>
      </c>
      <c r="U450" t="n">
        <v>456110</v>
      </c>
      <c r="V450" t="inlineStr">
        <is>
          <t>PROMOCION ENLACE MONTERREY Y FORANEAS</t>
        </is>
      </c>
      <c r="W450" t="n">
        <v>126102</v>
      </c>
      <c r="X450" t="inlineStr">
        <is>
          <t>VALLE ORIENTE</t>
        </is>
      </c>
      <c r="Y450" t="n">
        <v>3</v>
      </c>
      <c r="Z450" t="inlineStr">
        <is>
          <t>CAMBIARIO</t>
        </is>
      </c>
      <c r="AA450" t="n">
        <v>1</v>
      </c>
      <c r="AB450" t="inlineStr">
        <is>
          <t>NEGOCIO EN MARCHA</t>
        </is>
      </c>
      <c r="AC450" t="n">
        <v>1</v>
      </c>
      <c r="AD450" t="inlineStr">
        <is>
          <t>BANCO</t>
        </is>
      </c>
      <c r="AE450" t="n">
        <v>3</v>
      </c>
      <c r="AF450" t="inlineStr">
        <is>
          <t>FRONT</t>
        </is>
      </c>
      <c r="AG450" t="n">
        <v>126102</v>
      </c>
      <c r="AH450" t="inlineStr">
        <is>
          <t>MONTERREY</t>
        </is>
      </c>
      <c r="AI450" t="inlineStr">
        <is>
          <t>KCOLYER@BANCOBASE.COM</t>
        </is>
      </c>
      <c r="AJ450" s="151" t="n">
        <v>46128</v>
      </c>
      <c r="AK450" s="151" t="n"/>
      <c r="AL450" s="151" t="n"/>
    </row>
    <row r="451" hidden="1" s="150">
      <c r="A451" t="inlineStr">
        <is>
          <t>SHERRERA</t>
        </is>
      </c>
      <c r="B451" t="n">
        <v>3806</v>
      </c>
      <c r="C451" t="inlineStr">
        <is>
          <t>SERGIO HERRERA MANCILLAS</t>
        </is>
      </c>
      <c r="D451" t="n">
        <v>8089</v>
      </c>
      <c r="E451" t="inlineStr">
        <is>
          <t>ASESOR DE DIVISAS ENLACE</t>
        </is>
      </c>
      <c r="F451" t="inlineStr">
        <is>
          <t>MONTERREY</t>
        </is>
      </c>
      <c r="G451" t="n">
        <v>1828</v>
      </c>
      <c r="H451" t="inlineStr">
        <is>
          <t>TATIANA MONSERRAT VILLARREAL CABALLERO</t>
        </is>
      </c>
      <c r="I451" t="n">
        <v>8107</v>
      </c>
      <c r="J451" t="inlineStr">
        <is>
          <t>GERENTE DE PROMOCION ENLACE MTY</t>
        </is>
      </c>
      <c r="K451" t="n">
        <v>1</v>
      </c>
      <c r="L451" t="inlineStr">
        <is>
          <t>PRESIDENCIA EJECUTIVA DEL CONSEJO</t>
        </is>
      </c>
      <c r="M451" t="n">
        <v>40</v>
      </c>
      <c r="N451" t="inlineStr">
        <is>
          <t>DIRECCION GENERAL BANCO BASE</t>
        </is>
      </c>
      <c r="O451" t="n">
        <v>410</v>
      </c>
      <c r="P451" t="inlineStr">
        <is>
          <t>DIRECCION COMERCIAL</t>
        </is>
      </c>
      <c r="Q451" t="n">
        <v>4560</v>
      </c>
      <c r="R451" t="inlineStr">
        <is>
          <t>DIRECCION DE ATRACCION Y VENTAS</t>
        </is>
      </c>
      <c r="S451" t="n">
        <v>45610</v>
      </c>
      <c r="T451" t="inlineStr">
        <is>
          <t>PROMOCION ENLACE</t>
        </is>
      </c>
      <c r="U451" t="n">
        <v>456110</v>
      </c>
      <c r="V451" t="inlineStr">
        <is>
          <t>PROMOCION ENLACE MONTERREY Y FORANEAS</t>
        </is>
      </c>
      <c r="W451" t="n">
        <v>126102</v>
      </c>
      <c r="X451" t="inlineStr">
        <is>
          <t>VALLE ORIENTE</t>
        </is>
      </c>
      <c r="Y451" t="n">
        <v>3</v>
      </c>
      <c r="Z451" t="inlineStr">
        <is>
          <t>CAMBIARIO</t>
        </is>
      </c>
      <c r="AA451" t="n">
        <v>1</v>
      </c>
      <c r="AB451" t="inlineStr">
        <is>
          <t>NEGOCIO EN MARCHA</t>
        </is>
      </c>
      <c r="AC451" t="n">
        <v>1</v>
      </c>
      <c r="AD451" t="inlineStr">
        <is>
          <t>BANCO</t>
        </is>
      </c>
      <c r="AE451" t="n">
        <v>3</v>
      </c>
      <c r="AF451" t="inlineStr">
        <is>
          <t>FRONT</t>
        </is>
      </c>
      <c r="AG451" t="n">
        <v>126102</v>
      </c>
      <c r="AH451" t="inlineStr">
        <is>
          <t>MONTERREY</t>
        </is>
      </c>
      <c r="AI451" t="inlineStr">
        <is>
          <t>SHERRERA@BANCOBASE.COM</t>
        </is>
      </c>
      <c r="AJ451" s="151" t="n">
        <v>46128</v>
      </c>
      <c r="AK451" s="151" t="n"/>
      <c r="AL451" s="151" t="n"/>
    </row>
    <row r="452" hidden="1" s="150">
      <c r="A452" t="inlineStr">
        <is>
          <t>IMARTINETI</t>
        </is>
      </c>
      <c r="B452" t="n">
        <v>3182</v>
      </c>
      <c r="C452" t="inlineStr">
        <is>
          <t>ISAIAS JAAZIEL MARTINEZ TIRADO</t>
        </is>
      </c>
      <c r="D452" t="n">
        <v>8210</v>
      </c>
      <c r="E452" t="inlineStr">
        <is>
          <t>ASESOR DE DIVISAS ENLACE</t>
        </is>
      </c>
      <c r="F452" t="inlineStr">
        <is>
          <t>MONTERREY</t>
        </is>
      </c>
      <c r="G452" t="n">
        <v>1828</v>
      </c>
      <c r="H452" t="inlineStr">
        <is>
          <t>TATIANA MONSERRAT VILLARREAL CABALLERO</t>
        </is>
      </c>
      <c r="I452" t="n">
        <v>8107</v>
      </c>
      <c r="J452" t="inlineStr">
        <is>
          <t>GERENTE DE PROMOCION ENLACE MTY</t>
        </is>
      </c>
      <c r="K452" t="n">
        <v>1</v>
      </c>
      <c r="L452" t="inlineStr">
        <is>
          <t>PRESIDENCIA EJECUTIVA DEL CONSEJO</t>
        </is>
      </c>
      <c r="M452" t="n">
        <v>40</v>
      </c>
      <c r="N452" t="inlineStr">
        <is>
          <t>DIRECCION GENERAL BANCO BASE</t>
        </is>
      </c>
      <c r="O452" t="n">
        <v>410</v>
      </c>
      <c r="P452" t="inlineStr">
        <is>
          <t>DIRECCION COMERCIAL</t>
        </is>
      </c>
      <c r="Q452" t="n">
        <v>4560</v>
      </c>
      <c r="R452" t="inlineStr">
        <is>
          <t>DIRECCION DE ATRACCION Y VENTAS</t>
        </is>
      </c>
      <c r="S452" t="n">
        <v>45610</v>
      </c>
      <c r="T452" t="inlineStr">
        <is>
          <t>PROMOCION ENLACE</t>
        </is>
      </c>
      <c r="U452" t="n">
        <v>456110</v>
      </c>
      <c r="V452" t="inlineStr">
        <is>
          <t>PROMOCION ENLACE MONTERREY Y FORANEAS</t>
        </is>
      </c>
      <c r="W452" t="n">
        <v>126102</v>
      </c>
      <c r="X452" t="inlineStr">
        <is>
          <t>VALLE ORIENTE</t>
        </is>
      </c>
      <c r="Y452" t="n">
        <v>3</v>
      </c>
      <c r="Z452" t="inlineStr">
        <is>
          <t>CAMBIARIO</t>
        </is>
      </c>
      <c r="AA452" t="n">
        <v>1</v>
      </c>
      <c r="AB452" t="inlineStr">
        <is>
          <t>NEGOCIO EN MARCHA</t>
        </is>
      </c>
      <c r="AC452" t="n">
        <v>1</v>
      </c>
      <c r="AD452" t="inlineStr">
        <is>
          <t>BANCO</t>
        </is>
      </c>
      <c r="AE452" t="n">
        <v>3</v>
      </c>
      <c r="AF452" t="inlineStr">
        <is>
          <t>FRONT</t>
        </is>
      </c>
      <c r="AG452" t="n">
        <v>126102</v>
      </c>
      <c r="AH452" t="inlineStr">
        <is>
          <t>MONTERREY</t>
        </is>
      </c>
      <c r="AI452" t="inlineStr">
        <is>
          <t>IMARTINETI@BANCOBASE.COM</t>
        </is>
      </c>
      <c r="AJ452" s="151" t="n">
        <v>45523</v>
      </c>
      <c r="AK452" s="151" t="n"/>
      <c r="AL452" s="151" t="n"/>
    </row>
    <row r="453" hidden="1" s="150">
      <c r="A453" t="inlineStr">
        <is>
          <t>LINOSENCIO</t>
        </is>
      </c>
      <c r="B453" t="n">
        <v>3394</v>
      </c>
      <c r="C453" t="inlineStr">
        <is>
          <t>LUIS ANGEL INOSENCIO VIELMA</t>
        </is>
      </c>
      <c r="D453" t="n">
        <v>8659</v>
      </c>
      <c r="E453" t="inlineStr">
        <is>
          <t>SALES BUSINESS PARTNER</t>
        </is>
      </c>
      <c r="F453" t="inlineStr">
        <is>
          <t>MONTERREY</t>
        </is>
      </c>
      <c r="G453" t="n">
        <v>1828</v>
      </c>
      <c r="H453" t="inlineStr">
        <is>
          <t>TATIANA MONSERRAT VILLARREAL CABALLERO</t>
        </is>
      </c>
      <c r="I453" t="n">
        <v>8107</v>
      </c>
      <c r="J453" t="inlineStr">
        <is>
          <t>GERENTE DE PROMOCION ENLACE MTY</t>
        </is>
      </c>
      <c r="K453" t="n">
        <v>1</v>
      </c>
      <c r="L453" t="inlineStr">
        <is>
          <t>PRESIDENCIA EJECUTIVA DEL CONSEJO</t>
        </is>
      </c>
      <c r="M453" t="n">
        <v>40</v>
      </c>
      <c r="N453" t="inlineStr">
        <is>
          <t>DIRECCION GENERAL BANCO BASE</t>
        </is>
      </c>
      <c r="O453" t="n">
        <v>410</v>
      </c>
      <c r="P453" t="inlineStr">
        <is>
          <t>DIRECCION COMERCIAL</t>
        </is>
      </c>
      <c r="Q453" t="n">
        <v>4560</v>
      </c>
      <c r="R453" t="inlineStr">
        <is>
          <t>DIRECCION DE ATRACCION Y VENTAS</t>
        </is>
      </c>
      <c r="S453" t="n">
        <v>45620</v>
      </c>
      <c r="T453" t="inlineStr">
        <is>
          <t>GERENCIA DE PROCESOS COMERCIALES</t>
        </is>
      </c>
      <c r="U453" t="n">
        <v>456220</v>
      </c>
      <c r="V453" t="inlineStr">
        <is>
          <t>REACTIVACION CAMBIARIA MONTERREY</t>
        </is>
      </c>
      <c r="W453" t="n">
        <v>100101</v>
      </c>
      <c r="X453" t="inlineStr">
        <is>
          <t>CORPORATIVO</t>
        </is>
      </c>
      <c r="Y453" t="n">
        <v>3</v>
      </c>
      <c r="Z453" t="inlineStr">
        <is>
          <t>CAMBIARIO</t>
        </is>
      </c>
      <c r="AA453" t="n">
        <v>1</v>
      </c>
      <c r="AB453" t="inlineStr">
        <is>
          <t>NEGOCIO EN MARCHA</t>
        </is>
      </c>
      <c r="AC453" t="n">
        <v>1</v>
      </c>
      <c r="AD453" t="inlineStr">
        <is>
          <t>BANCO</t>
        </is>
      </c>
      <c r="AE453" t="n">
        <v>2</v>
      </c>
      <c r="AF453" t="inlineStr">
        <is>
          <t>MIDDLE</t>
        </is>
      </c>
      <c r="AG453" t="n">
        <v>126102</v>
      </c>
      <c r="AH453" t="inlineStr">
        <is>
          <t>MONTERREY</t>
        </is>
      </c>
      <c r="AI453" t="inlineStr">
        <is>
          <t>LINOSENCIO@BANCOBASE.COM</t>
        </is>
      </c>
      <c r="AJ453" s="151" t="n">
        <v>45768</v>
      </c>
      <c r="AK453" s="151" t="n"/>
      <c r="AL453" s="151" t="n"/>
    </row>
    <row r="454" hidden="1" s="150">
      <c r="A454" t="inlineStr">
        <is>
          <t>APEDROSA</t>
        </is>
      </c>
      <c r="B454" t="n">
        <v>389</v>
      </c>
      <c r="C454" t="inlineStr">
        <is>
          <t>ADRIANA PEDROSA ROSALES</t>
        </is>
      </c>
      <c r="D454" t="n">
        <v>8432</v>
      </c>
      <c r="E454" t="inlineStr">
        <is>
          <t>GERENTE DE PROMOCION ENLACE GDL</t>
        </is>
      </c>
      <c r="F454" t="inlineStr">
        <is>
          <t>GUADALAJARA</t>
        </is>
      </c>
      <c r="G454" t="n">
        <v>538</v>
      </c>
      <c r="H454" t="inlineStr">
        <is>
          <t>LUIS NICOLAS EGUIARTE CORONA</t>
        </is>
      </c>
      <c r="I454" t="n">
        <v>8232</v>
      </c>
      <c r="J454" t="inlineStr">
        <is>
          <t>DIRECTOR DE ATRACCION Y VENTAS</t>
        </is>
      </c>
      <c r="K454" t="n">
        <v>1</v>
      </c>
      <c r="L454" t="inlineStr">
        <is>
          <t>PRESIDENCIA EJECUTIVA DEL CONSEJO</t>
        </is>
      </c>
      <c r="M454" t="n">
        <v>40</v>
      </c>
      <c r="N454" t="inlineStr">
        <is>
          <t>DIRECCION GENERAL BANCO BASE</t>
        </is>
      </c>
      <c r="O454" t="n">
        <v>410</v>
      </c>
      <c r="P454" t="inlineStr">
        <is>
          <t>DIRECCION COMERCIAL</t>
        </is>
      </c>
      <c r="Q454" t="n">
        <v>4560</v>
      </c>
      <c r="R454" t="inlineStr">
        <is>
          <t>DIRECCION DE ATRACCION Y VENTAS</t>
        </is>
      </c>
      <c r="S454" t="n">
        <v>45610</v>
      </c>
      <c r="T454" t="inlineStr">
        <is>
          <t>PROMOCION ENLACE</t>
        </is>
      </c>
      <c r="U454" t="n">
        <v>456120</v>
      </c>
      <c r="V454" t="inlineStr">
        <is>
          <t>PROMOCION ENLACE GUADALAJARA Y BAJIO</t>
        </is>
      </c>
      <c r="W454" t="n">
        <v>126107</v>
      </c>
      <c r="X454" t="inlineStr">
        <is>
          <t>GUADALAJARA</t>
        </is>
      </c>
      <c r="Y454" t="n">
        <v>3</v>
      </c>
      <c r="Z454" t="inlineStr">
        <is>
          <t>CAMBIARIO</t>
        </is>
      </c>
      <c r="AA454" t="n">
        <v>1</v>
      </c>
      <c r="AB454" t="inlineStr">
        <is>
          <t>NEGOCIO EN MARCHA</t>
        </is>
      </c>
      <c r="AC454" t="n">
        <v>1</v>
      </c>
      <c r="AD454" t="inlineStr">
        <is>
          <t>BANCO</t>
        </is>
      </c>
      <c r="AE454" t="n">
        <v>3</v>
      </c>
      <c r="AF454" t="inlineStr">
        <is>
          <t>FRONT</t>
        </is>
      </c>
      <c r="AG454" t="n">
        <v>126107</v>
      </c>
      <c r="AH454" t="inlineStr">
        <is>
          <t>GUADALAJARA</t>
        </is>
      </c>
      <c r="AI454" t="inlineStr">
        <is>
          <t>APEDROSA@BANCOBASE.COM</t>
        </is>
      </c>
      <c r="AJ454" s="151" t="n">
        <v>39129</v>
      </c>
      <c r="AK454" s="151" t="n"/>
      <c r="AL454" s="151" t="n"/>
    </row>
    <row r="455" hidden="1" s="150">
      <c r="A455" t="inlineStr">
        <is>
          <t>EVELASCO</t>
        </is>
      </c>
      <c r="B455" t="n">
        <v>3814</v>
      </c>
      <c r="C455" t="inlineStr">
        <is>
          <t>ENRIQUE VELASCO JIMENEZ</t>
        </is>
      </c>
      <c r="D455" t="n">
        <v>8092</v>
      </c>
      <c r="E455" t="inlineStr">
        <is>
          <t>ASESOR DE DIVISAS ENLACE</t>
        </is>
      </c>
      <c r="F455" t="inlineStr">
        <is>
          <t>GUADALAJARA</t>
        </is>
      </c>
      <c r="G455" t="n">
        <v>389</v>
      </c>
      <c r="H455" t="inlineStr">
        <is>
          <t>ADRIANA PEDROSA ROSALES</t>
        </is>
      </c>
      <c r="I455" t="n">
        <v>8432</v>
      </c>
      <c r="J455" t="inlineStr">
        <is>
          <t>GERENTE DE PROMOCION ENLACE GDL</t>
        </is>
      </c>
      <c r="K455" t="n">
        <v>1</v>
      </c>
      <c r="L455" t="inlineStr">
        <is>
          <t>PRESIDENCIA EJECUTIVA DEL CONSEJO</t>
        </is>
      </c>
      <c r="M455" t="n">
        <v>40</v>
      </c>
      <c r="N455" t="inlineStr">
        <is>
          <t>DIRECCION GENERAL BANCO BASE</t>
        </is>
      </c>
      <c r="O455" t="n">
        <v>410</v>
      </c>
      <c r="P455" t="inlineStr">
        <is>
          <t>DIRECCION COMERCIAL</t>
        </is>
      </c>
      <c r="Q455" t="n">
        <v>4560</v>
      </c>
      <c r="R455" t="inlineStr">
        <is>
          <t>DIRECCION DE ATRACCION Y VENTAS</t>
        </is>
      </c>
      <c r="S455" t="n">
        <v>45610</v>
      </c>
      <c r="T455" t="inlineStr">
        <is>
          <t>PROMOCION ENLACE</t>
        </is>
      </c>
      <c r="U455" t="n">
        <v>456120</v>
      </c>
      <c r="V455" t="inlineStr">
        <is>
          <t>PROMOCION ENLACE GUADALAJARA Y BAJIO</t>
        </is>
      </c>
      <c r="W455" t="n">
        <v>126107</v>
      </c>
      <c r="X455" t="inlineStr">
        <is>
          <t>GUADALAJARA</t>
        </is>
      </c>
      <c r="Y455" t="n">
        <v>3</v>
      </c>
      <c r="Z455" t="inlineStr">
        <is>
          <t>CAMBIARIO</t>
        </is>
      </c>
      <c r="AA455" t="n">
        <v>1</v>
      </c>
      <c r="AB455" t="inlineStr">
        <is>
          <t>NEGOCIO EN MARCHA</t>
        </is>
      </c>
      <c r="AC455" t="n">
        <v>1</v>
      </c>
      <c r="AD455" t="inlineStr">
        <is>
          <t>BANCO</t>
        </is>
      </c>
      <c r="AE455" t="n">
        <v>3</v>
      </c>
      <c r="AF455" t="inlineStr">
        <is>
          <t>FRONT</t>
        </is>
      </c>
      <c r="AG455" t="n">
        <v>126107</v>
      </c>
      <c r="AH455" t="inlineStr">
        <is>
          <t>GUADALAJARA</t>
        </is>
      </c>
      <c r="AI455" t="inlineStr">
        <is>
          <t>EVELASCO@BANCOBASE.COM</t>
        </is>
      </c>
      <c r="AJ455" s="151" t="n">
        <v>46128</v>
      </c>
      <c r="AK455" s="151" t="n"/>
      <c r="AL455" s="151" t="n"/>
    </row>
    <row r="456" hidden="1" s="150">
      <c r="A456" t="inlineStr">
        <is>
          <t>AFIGUEROAR</t>
        </is>
      </c>
      <c r="B456" t="n">
        <v>3818</v>
      </c>
      <c r="C456" t="inlineStr">
        <is>
          <t>AMERICA AYLEN FIGUEROA ROMAN</t>
        </is>
      </c>
      <c r="D456" t="n">
        <v>8204</v>
      </c>
      <c r="E456" t="inlineStr">
        <is>
          <t>ASESOR DE DIVISAS ENLACE</t>
        </is>
      </c>
      <c r="F456" t="inlineStr">
        <is>
          <t>GUADALAJARA</t>
        </is>
      </c>
      <c r="G456" t="n">
        <v>389</v>
      </c>
      <c r="H456" t="inlineStr">
        <is>
          <t>ADRIANA PEDROSA ROSALES</t>
        </is>
      </c>
      <c r="I456" t="n">
        <v>8432</v>
      </c>
      <c r="J456" t="inlineStr">
        <is>
          <t>GERENTE DE PROMOCION ENLACE GDL</t>
        </is>
      </c>
      <c r="K456" t="n">
        <v>1</v>
      </c>
      <c r="L456" t="inlineStr">
        <is>
          <t>PRESIDENCIA EJECUTIVA DEL CONSEJO</t>
        </is>
      </c>
      <c r="M456" t="n">
        <v>40</v>
      </c>
      <c r="N456" t="inlineStr">
        <is>
          <t>DIRECCION GENERAL BANCO BASE</t>
        </is>
      </c>
      <c r="O456" t="n">
        <v>410</v>
      </c>
      <c r="P456" t="inlineStr">
        <is>
          <t>DIRECCION COMERCIAL</t>
        </is>
      </c>
      <c r="Q456" t="n">
        <v>4560</v>
      </c>
      <c r="R456" t="inlineStr">
        <is>
          <t>DIRECCION DE ATRACCION Y VENTAS</t>
        </is>
      </c>
      <c r="S456" t="n">
        <v>45610</v>
      </c>
      <c r="T456" t="inlineStr">
        <is>
          <t>PROMOCION ENLACE</t>
        </is>
      </c>
      <c r="U456" t="n">
        <v>456120</v>
      </c>
      <c r="V456" t="inlineStr">
        <is>
          <t>PROMOCION ENLACE GUADALAJARA Y BAJIO</t>
        </is>
      </c>
      <c r="W456" t="n">
        <v>126107</v>
      </c>
      <c r="X456" t="inlineStr">
        <is>
          <t>GUADALAJARA</t>
        </is>
      </c>
      <c r="Y456" t="n">
        <v>3</v>
      </c>
      <c r="Z456" t="inlineStr">
        <is>
          <t>CAMBIARIO</t>
        </is>
      </c>
      <c r="AA456" t="n">
        <v>1</v>
      </c>
      <c r="AB456" t="inlineStr">
        <is>
          <t>NEGOCIO EN MARCHA</t>
        </is>
      </c>
      <c r="AC456" t="n">
        <v>1</v>
      </c>
      <c r="AD456" t="inlineStr">
        <is>
          <t>BANCO</t>
        </is>
      </c>
      <c r="AE456" t="n">
        <v>3</v>
      </c>
      <c r="AF456" t="inlineStr">
        <is>
          <t>FRONT</t>
        </is>
      </c>
      <c r="AG456" t="n">
        <v>126107</v>
      </c>
      <c r="AH456" t="inlineStr">
        <is>
          <t>GUADALAJARA</t>
        </is>
      </c>
      <c r="AI456" t="inlineStr">
        <is>
          <t>AFIGUEROAR@BANCOBASE.COM</t>
        </is>
      </c>
      <c r="AJ456" s="151" t="n">
        <v>46128</v>
      </c>
      <c r="AK456" s="151" t="n"/>
      <c r="AL456" s="151" t="n"/>
    </row>
    <row r="457" hidden="1" s="150">
      <c r="A457" t="inlineStr">
        <is>
          <t>RVALDEZ</t>
        </is>
      </c>
      <c r="B457" t="n">
        <v>3819</v>
      </c>
      <c r="C457" t="inlineStr">
        <is>
          <t>RAFAEL VALDEZ COTA</t>
        </is>
      </c>
      <c r="D457" t="n">
        <v>8091</v>
      </c>
      <c r="E457" t="inlineStr">
        <is>
          <t>ASESOR DE DIVISAS ENLACE</t>
        </is>
      </c>
      <c r="F457" t="inlineStr">
        <is>
          <t>GUADALAJARA</t>
        </is>
      </c>
      <c r="G457" t="n">
        <v>389</v>
      </c>
      <c r="H457" t="inlineStr">
        <is>
          <t>ADRIANA PEDROSA ROSALES</t>
        </is>
      </c>
      <c r="I457" t="n">
        <v>8432</v>
      </c>
      <c r="J457" t="inlineStr">
        <is>
          <t>GERENTE DE PROMOCION ENLACE GDL</t>
        </is>
      </c>
      <c r="K457" t="n">
        <v>1</v>
      </c>
      <c r="L457" t="inlineStr">
        <is>
          <t>PRESIDENCIA EJECUTIVA DEL CONSEJO</t>
        </is>
      </c>
      <c r="M457" t="n">
        <v>40</v>
      </c>
      <c r="N457" t="inlineStr">
        <is>
          <t>DIRECCION GENERAL BANCO BASE</t>
        </is>
      </c>
      <c r="O457" t="n">
        <v>410</v>
      </c>
      <c r="P457" t="inlineStr">
        <is>
          <t>DIRECCION COMERCIAL</t>
        </is>
      </c>
      <c r="Q457" t="n">
        <v>4560</v>
      </c>
      <c r="R457" t="inlineStr">
        <is>
          <t>DIRECCION DE ATRACCION Y VENTAS</t>
        </is>
      </c>
      <c r="S457" t="n">
        <v>45610</v>
      </c>
      <c r="T457" t="inlineStr">
        <is>
          <t>PROMOCION ENLACE</t>
        </is>
      </c>
      <c r="U457" t="n">
        <v>456120</v>
      </c>
      <c r="V457" t="inlineStr">
        <is>
          <t>PROMOCION ENLACE GUADALAJARA Y BAJIO</t>
        </is>
      </c>
      <c r="W457" t="n">
        <v>126107</v>
      </c>
      <c r="X457" t="inlineStr">
        <is>
          <t>GUADALAJARA</t>
        </is>
      </c>
      <c r="Y457" t="n">
        <v>3</v>
      </c>
      <c r="Z457" t="inlineStr">
        <is>
          <t>CAMBIARIO</t>
        </is>
      </c>
      <c r="AA457" t="n">
        <v>1</v>
      </c>
      <c r="AB457" t="inlineStr">
        <is>
          <t>NEGOCIO EN MARCHA</t>
        </is>
      </c>
      <c r="AC457" t="n">
        <v>1</v>
      </c>
      <c r="AD457" t="inlineStr">
        <is>
          <t>BANCO</t>
        </is>
      </c>
      <c r="AE457" t="n">
        <v>3</v>
      </c>
      <c r="AF457" t="inlineStr">
        <is>
          <t>FRONT</t>
        </is>
      </c>
      <c r="AG457" t="n">
        <v>126107</v>
      </c>
      <c r="AH457" t="inlineStr">
        <is>
          <t>GUADALAJARA</t>
        </is>
      </c>
      <c r="AI457" t="inlineStr">
        <is>
          <t>RVALDEZ@BANCOBASE.COM</t>
        </is>
      </c>
      <c r="AJ457" s="151" t="n">
        <v>46128</v>
      </c>
      <c r="AK457" s="151" t="n"/>
      <c r="AL457" s="151" t="n"/>
    </row>
    <row r="458" hidden="1" s="150">
      <c r="A458" t="inlineStr">
        <is>
          <t>AGUZMAN</t>
        </is>
      </c>
      <c r="B458" t="n">
        <v>3831</v>
      </c>
      <c r="C458" t="inlineStr">
        <is>
          <t>ANDREA MONTSERRAT GUZMAN HERNANDEZ</t>
        </is>
      </c>
      <c r="D458" t="n">
        <v>8094</v>
      </c>
      <c r="E458" t="inlineStr">
        <is>
          <t>ASESOR DE DIVISAS ENLACE</t>
        </is>
      </c>
      <c r="F458" t="inlineStr">
        <is>
          <t>LEON</t>
        </is>
      </c>
      <c r="G458" t="n">
        <v>389</v>
      </c>
      <c r="H458" t="inlineStr">
        <is>
          <t>ADRIANA PEDROSA ROSALES</t>
        </is>
      </c>
      <c r="I458" t="n">
        <v>8432</v>
      </c>
      <c r="J458" t="inlineStr">
        <is>
          <t>GERENTE DE PROMOCION ENLACE GDL</t>
        </is>
      </c>
      <c r="K458" t="n">
        <v>1</v>
      </c>
      <c r="L458" t="inlineStr">
        <is>
          <t>PRESIDENCIA EJECUTIVA DEL CONSEJO</t>
        </is>
      </c>
      <c r="M458" t="n">
        <v>40</v>
      </c>
      <c r="N458" t="inlineStr">
        <is>
          <t>DIRECCION GENERAL BANCO BASE</t>
        </is>
      </c>
      <c r="O458" t="n">
        <v>410</v>
      </c>
      <c r="P458" t="inlineStr">
        <is>
          <t>DIRECCION COMERCIAL</t>
        </is>
      </c>
      <c r="Q458" t="n">
        <v>4560</v>
      </c>
      <c r="R458" t="inlineStr">
        <is>
          <t>DIRECCION DE ATRACCION Y VENTAS</t>
        </is>
      </c>
      <c r="S458" t="n">
        <v>45610</v>
      </c>
      <c r="T458" t="inlineStr">
        <is>
          <t>PROMOCION ENLACE</t>
        </is>
      </c>
      <c r="U458" t="n">
        <v>456120</v>
      </c>
      <c r="V458" t="inlineStr">
        <is>
          <t>PROMOCION ENLACE GUADALAJARA Y BAJIO</t>
        </is>
      </c>
      <c r="W458" t="n">
        <v>126128</v>
      </c>
      <c r="X458" t="inlineStr">
        <is>
          <t>LEON</t>
        </is>
      </c>
      <c r="Y458" t="n">
        <v>3</v>
      </c>
      <c r="Z458" t="inlineStr">
        <is>
          <t>CAMBIARIO</t>
        </is>
      </c>
      <c r="AA458" t="n">
        <v>1</v>
      </c>
      <c r="AB458" t="inlineStr">
        <is>
          <t>NEGOCIO EN MARCHA</t>
        </is>
      </c>
      <c r="AC458" t="n">
        <v>1</v>
      </c>
      <c r="AD458" t="inlineStr">
        <is>
          <t>BANCO</t>
        </is>
      </c>
      <c r="AE458" t="n">
        <v>3</v>
      </c>
      <c r="AF458" t="inlineStr">
        <is>
          <t>FRONT</t>
        </is>
      </c>
      <c r="AG458" t="n">
        <v>126128</v>
      </c>
      <c r="AH458" t="inlineStr">
        <is>
          <t>LEON</t>
        </is>
      </c>
      <c r="AI458" t="inlineStr">
        <is>
          <t>AGUZMAN@BANCOBASE.COM</t>
        </is>
      </c>
      <c r="AJ458" s="151" t="n">
        <v>46128</v>
      </c>
      <c r="AK458" s="151" t="n"/>
      <c r="AL458" s="151" t="n"/>
    </row>
    <row r="459" hidden="1" s="150">
      <c r="A459" t="inlineStr">
        <is>
          <t>JJAIME</t>
        </is>
      </c>
      <c r="B459" t="n">
        <v>3837</v>
      </c>
      <c r="C459" t="inlineStr">
        <is>
          <t>JENNIFER DANIELLA JAIME GALLARDO</t>
        </is>
      </c>
      <c r="D459" t="n">
        <v>8095</v>
      </c>
      <c r="E459" t="inlineStr">
        <is>
          <t>ASESOR DE DIVISAS ENLACE</t>
        </is>
      </c>
      <c r="F459" t="inlineStr">
        <is>
          <t>LEON</t>
        </is>
      </c>
      <c r="G459" t="n">
        <v>389</v>
      </c>
      <c r="H459" t="inlineStr">
        <is>
          <t>ADRIANA PEDROSA ROSALES</t>
        </is>
      </c>
      <c r="I459" t="n">
        <v>8432</v>
      </c>
      <c r="J459" t="inlineStr">
        <is>
          <t>GERENTE DE PROMOCION ENLACE GDL</t>
        </is>
      </c>
      <c r="K459" t="n">
        <v>1</v>
      </c>
      <c r="L459" t="inlineStr">
        <is>
          <t>PRESIDENCIA EJECUTIVA DEL CONSEJO</t>
        </is>
      </c>
      <c r="M459" t="n">
        <v>40</v>
      </c>
      <c r="N459" t="inlineStr">
        <is>
          <t>DIRECCION GENERAL BANCO BASE</t>
        </is>
      </c>
      <c r="O459" t="n">
        <v>410</v>
      </c>
      <c r="P459" t="inlineStr">
        <is>
          <t>DIRECCION COMERCIAL</t>
        </is>
      </c>
      <c r="Q459" t="n">
        <v>4560</v>
      </c>
      <c r="R459" t="inlineStr">
        <is>
          <t>DIRECCION DE ATRACCION Y VENTAS</t>
        </is>
      </c>
      <c r="S459" t="n">
        <v>45610</v>
      </c>
      <c r="T459" t="inlineStr">
        <is>
          <t>PROMOCION ENLACE</t>
        </is>
      </c>
      <c r="U459" t="n">
        <v>456120</v>
      </c>
      <c r="V459" t="inlineStr">
        <is>
          <t>PROMOCION ENLACE GUADALAJARA Y BAJIO</t>
        </is>
      </c>
      <c r="W459" t="n">
        <v>126128</v>
      </c>
      <c r="X459" t="inlineStr">
        <is>
          <t>LEON</t>
        </is>
      </c>
      <c r="Y459" t="n">
        <v>3</v>
      </c>
      <c r="Z459" t="inlineStr">
        <is>
          <t>CAMBIARIO</t>
        </is>
      </c>
      <c r="AA459" t="n">
        <v>1</v>
      </c>
      <c r="AB459" t="inlineStr">
        <is>
          <t>NEGOCIO EN MARCHA</t>
        </is>
      </c>
      <c r="AC459" t="n">
        <v>1</v>
      </c>
      <c r="AD459" t="inlineStr">
        <is>
          <t>BANCO</t>
        </is>
      </c>
      <c r="AE459" t="n">
        <v>3</v>
      </c>
      <c r="AF459" t="inlineStr">
        <is>
          <t>FRONT</t>
        </is>
      </c>
      <c r="AG459" t="n">
        <v>126128</v>
      </c>
      <c r="AH459" t="inlineStr">
        <is>
          <t>LEON</t>
        </is>
      </c>
      <c r="AI459" t="inlineStr">
        <is>
          <t>JJAIME@BANCOBASE.COM</t>
        </is>
      </c>
      <c r="AJ459" s="151" t="n">
        <v>46128</v>
      </c>
      <c r="AK459" s="151" t="n"/>
      <c r="AL459" s="151" t="n"/>
    </row>
    <row r="460" hidden="1" s="150">
      <c r="A460" t="inlineStr">
        <is>
          <t>JUGALDE</t>
        </is>
      </c>
      <c r="B460" t="n">
        <v>3805</v>
      </c>
      <c r="C460" t="inlineStr">
        <is>
          <t>JESUS ANTERO UGALDE MENDIVIL</t>
        </is>
      </c>
      <c r="D460" t="n">
        <v>8206</v>
      </c>
      <c r="E460" t="inlineStr">
        <is>
          <t>ASESOR DE DIVISAS ENLACE</t>
        </is>
      </c>
      <c r="F460" t="inlineStr">
        <is>
          <t>GUADALAJARA</t>
        </is>
      </c>
      <c r="G460" t="n">
        <v>389</v>
      </c>
      <c r="H460" t="inlineStr">
        <is>
          <t>ADRIANA PEDROSA ROSALES</t>
        </is>
      </c>
      <c r="I460" t="n">
        <v>8432</v>
      </c>
      <c r="J460" t="inlineStr">
        <is>
          <t>GERENTE DE PROMOCION ENLACE GDL</t>
        </is>
      </c>
      <c r="K460" t="n">
        <v>1</v>
      </c>
      <c r="L460" t="inlineStr">
        <is>
          <t>PRESIDENCIA EJECUTIVA DEL CONSEJO</t>
        </is>
      </c>
      <c r="M460" t="n">
        <v>40</v>
      </c>
      <c r="N460" t="inlineStr">
        <is>
          <t>DIRECCION GENERAL BANCO BASE</t>
        </is>
      </c>
      <c r="O460" t="n">
        <v>410</v>
      </c>
      <c r="P460" t="inlineStr">
        <is>
          <t>DIRECCION COMERCIAL</t>
        </is>
      </c>
      <c r="Q460" t="n">
        <v>4560</v>
      </c>
      <c r="R460" t="inlineStr">
        <is>
          <t>DIRECCION DE ATRACCION Y VENTAS</t>
        </is>
      </c>
      <c r="S460" t="n">
        <v>45610</v>
      </c>
      <c r="T460" t="inlineStr">
        <is>
          <t>PROMOCION ENLACE</t>
        </is>
      </c>
      <c r="U460" t="n">
        <v>456120</v>
      </c>
      <c r="V460" t="inlineStr">
        <is>
          <t>PROMOCION ENLACE GUADALAJARA Y BAJIO</t>
        </is>
      </c>
      <c r="W460" t="n">
        <v>126107</v>
      </c>
      <c r="X460" t="inlineStr">
        <is>
          <t>GUADALAJARA</t>
        </is>
      </c>
      <c r="Y460" t="n">
        <v>3</v>
      </c>
      <c r="Z460" t="inlineStr">
        <is>
          <t>CAMBIARIO</t>
        </is>
      </c>
      <c r="AA460" t="n">
        <v>1</v>
      </c>
      <c r="AB460" t="inlineStr">
        <is>
          <t>NEGOCIO EN MARCHA</t>
        </is>
      </c>
      <c r="AC460" t="n">
        <v>1</v>
      </c>
      <c r="AD460" t="inlineStr">
        <is>
          <t>BANCO</t>
        </is>
      </c>
      <c r="AE460" t="n">
        <v>3</v>
      </c>
      <c r="AF460" t="inlineStr">
        <is>
          <t>FRONT</t>
        </is>
      </c>
      <c r="AG460" t="n">
        <v>126107</v>
      </c>
      <c r="AH460" t="inlineStr">
        <is>
          <t>GUADALAJARA</t>
        </is>
      </c>
      <c r="AI460" t="inlineStr">
        <is>
          <t>JUGALDE@BANCOBASE.COM</t>
        </is>
      </c>
      <c r="AJ460" s="151" t="n">
        <v>46128</v>
      </c>
      <c r="AK460" s="151" t="n"/>
      <c r="AL460" s="151" t="n"/>
    </row>
    <row r="461" hidden="1" s="150">
      <c r="A461" t="inlineStr">
        <is>
          <t>NGOCHAR</t>
        </is>
      </c>
      <c r="B461" t="n">
        <v>2551</v>
      </c>
      <c r="C461" t="inlineStr">
        <is>
          <t>EVELYN NATIVIDAD GOCHAR CALDERON</t>
        </is>
      </c>
      <c r="D461" t="n">
        <v>8068</v>
      </c>
      <c r="E461" t="inlineStr">
        <is>
          <t>GERENTE DE PROMOCION ENLACE CDMX</t>
        </is>
      </c>
      <c r="F461" t="inlineStr">
        <is>
          <t>MEXICO</t>
        </is>
      </c>
      <c r="G461" t="n">
        <v>538</v>
      </c>
      <c r="H461" t="inlineStr">
        <is>
          <t>LUIS NICOLAS EGUIARTE CORONA</t>
        </is>
      </c>
      <c r="I461" t="n">
        <v>8232</v>
      </c>
      <c r="J461" t="inlineStr">
        <is>
          <t>DIRECTOR DE ATRACCION Y VENTAS</t>
        </is>
      </c>
      <c r="K461" t="n">
        <v>1</v>
      </c>
      <c r="L461" t="inlineStr">
        <is>
          <t>PRESIDENCIA EJECUTIVA DEL CONSEJO</t>
        </is>
      </c>
      <c r="M461" t="n">
        <v>40</v>
      </c>
      <c r="N461" t="inlineStr">
        <is>
          <t>DIRECCION GENERAL BANCO BASE</t>
        </is>
      </c>
      <c r="O461" t="n">
        <v>410</v>
      </c>
      <c r="P461" t="inlineStr">
        <is>
          <t>DIRECCION COMERCIAL</t>
        </is>
      </c>
      <c r="Q461" t="n">
        <v>4560</v>
      </c>
      <c r="R461" t="inlineStr">
        <is>
          <t>DIRECCION DE ATRACCION Y VENTAS</t>
        </is>
      </c>
      <c r="S461" t="n">
        <v>45610</v>
      </c>
      <c r="T461" t="inlineStr">
        <is>
          <t>PROMOCION ENLACE</t>
        </is>
      </c>
      <c r="U461" t="n">
        <v>456100</v>
      </c>
      <c r="V461" t="inlineStr">
        <is>
          <t>PROMOCION ENLACE CIUDAD DE MEXICO</t>
        </is>
      </c>
      <c r="W461" t="n">
        <v>134111</v>
      </c>
      <c r="X461" t="inlineStr">
        <is>
          <t>LOMAS</t>
        </is>
      </c>
      <c r="Y461" t="n">
        <v>3</v>
      </c>
      <c r="Z461" t="inlineStr">
        <is>
          <t>CAMBIARIO</t>
        </is>
      </c>
      <c r="AA461" t="n">
        <v>1</v>
      </c>
      <c r="AB461" t="inlineStr">
        <is>
          <t>NEGOCIO EN MARCHA</t>
        </is>
      </c>
      <c r="AC461" t="n">
        <v>1</v>
      </c>
      <c r="AD461" t="inlineStr">
        <is>
          <t>BANCO</t>
        </is>
      </c>
      <c r="AE461" t="n">
        <v>3</v>
      </c>
      <c r="AF461" t="inlineStr">
        <is>
          <t>FRONT</t>
        </is>
      </c>
      <c r="AG461" t="n">
        <v>134111</v>
      </c>
      <c r="AH461" t="inlineStr">
        <is>
          <t>LOMAS</t>
        </is>
      </c>
      <c r="AI461" t="inlineStr">
        <is>
          <t>NGOCHAR@BANCOBASE.COM</t>
        </is>
      </c>
      <c r="AJ461" s="151" t="n">
        <v>44470</v>
      </c>
      <c r="AK461" s="151" t="n"/>
      <c r="AL461" s="151" t="n"/>
    </row>
    <row r="462" hidden="1" s="150">
      <c r="A462" t="inlineStr">
        <is>
          <t>ASAUCEDOA</t>
        </is>
      </c>
      <c r="B462" t="n">
        <v>3834</v>
      </c>
      <c r="C462" t="inlineStr">
        <is>
          <t>ALAN ALDAIR SAUCEDO ALMONTE</t>
        </is>
      </c>
      <c r="D462" t="n">
        <v>8202</v>
      </c>
      <c r="E462" t="inlineStr">
        <is>
          <t>ASESOR DE DIVISAS ENLACE</t>
        </is>
      </c>
      <c r="F462" t="inlineStr">
        <is>
          <t>MEXICO</t>
        </is>
      </c>
      <c r="G462" t="n">
        <v>2551</v>
      </c>
      <c r="H462" t="inlineStr">
        <is>
          <t>EVELYN NATIVIDAD GOCHAR CALDERON</t>
        </is>
      </c>
      <c r="I462" t="n">
        <v>8068</v>
      </c>
      <c r="J462" t="inlineStr">
        <is>
          <t>GERENTE DE PROMOCION ENLACE CDMX</t>
        </is>
      </c>
      <c r="K462" t="n">
        <v>1</v>
      </c>
      <c r="L462" t="inlineStr">
        <is>
          <t>PRESIDENCIA EJECUTIVA DEL CONSEJO</t>
        </is>
      </c>
      <c r="M462" t="n">
        <v>40</v>
      </c>
      <c r="N462" t="inlineStr">
        <is>
          <t>DIRECCION GENERAL BANCO BASE</t>
        </is>
      </c>
      <c r="O462" t="n">
        <v>410</v>
      </c>
      <c r="P462" t="inlineStr">
        <is>
          <t>DIRECCION COMERCIAL</t>
        </is>
      </c>
      <c r="Q462" t="n">
        <v>4560</v>
      </c>
      <c r="R462" t="inlineStr">
        <is>
          <t>DIRECCION DE ATRACCION Y VENTAS</t>
        </is>
      </c>
      <c r="S462" t="n">
        <v>45610</v>
      </c>
      <c r="T462" t="inlineStr">
        <is>
          <t>PROMOCION ENLACE</t>
        </is>
      </c>
      <c r="U462" t="n">
        <v>456100</v>
      </c>
      <c r="V462" t="inlineStr">
        <is>
          <t>PROMOCION ENLACE CIUDAD DE MEXICO</t>
        </is>
      </c>
      <c r="W462" t="n">
        <v>134111</v>
      </c>
      <c r="X462" t="inlineStr">
        <is>
          <t>LOMAS</t>
        </is>
      </c>
      <c r="Y462" t="n">
        <v>3</v>
      </c>
      <c r="Z462" t="inlineStr">
        <is>
          <t>CAMBIARIO</t>
        </is>
      </c>
      <c r="AA462" t="n">
        <v>1</v>
      </c>
      <c r="AB462" t="inlineStr">
        <is>
          <t>NEGOCIO EN MARCHA</t>
        </is>
      </c>
      <c r="AC462" t="n">
        <v>1</v>
      </c>
      <c r="AD462" t="inlineStr">
        <is>
          <t>BANCO</t>
        </is>
      </c>
      <c r="AE462" t="n">
        <v>3</v>
      </c>
      <c r="AF462" t="inlineStr">
        <is>
          <t>FRONT</t>
        </is>
      </c>
      <c r="AG462" t="n">
        <v>134111</v>
      </c>
      <c r="AH462" t="inlineStr">
        <is>
          <t>LOMAS</t>
        </is>
      </c>
      <c r="AI462" t="inlineStr">
        <is>
          <t>ASAUCEDOA@BANCOBASE.COM</t>
        </is>
      </c>
      <c r="AJ462" s="151" t="n">
        <v>46128</v>
      </c>
      <c r="AK462" s="151" t="n"/>
      <c r="AL462" s="151" t="n"/>
    </row>
    <row r="463" hidden="1" s="150">
      <c r="A463" t="inlineStr">
        <is>
          <t>LROMAN</t>
        </is>
      </c>
      <c r="B463" t="n">
        <v>3807</v>
      </c>
      <c r="C463" t="inlineStr">
        <is>
          <t>LESLY GABRIELA ROMAN VERA</t>
        </is>
      </c>
      <c r="D463" t="n">
        <v>8211</v>
      </c>
      <c r="E463" t="inlineStr">
        <is>
          <t>ASESOR DE DIVISAS ENLACE</t>
        </is>
      </c>
      <c r="F463" t="inlineStr">
        <is>
          <t>MEXICO</t>
        </is>
      </c>
      <c r="G463" t="n">
        <v>2551</v>
      </c>
      <c r="H463" t="inlineStr">
        <is>
          <t>EVELYN NATIVIDAD GOCHAR CALDERON</t>
        </is>
      </c>
      <c r="I463" t="n">
        <v>8068</v>
      </c>
      <c r="J463" t="inlineStr">
        <is>
          <t>GERENTE DE PROMOCION ENLACE CDMX</t>
        </is>
      </c>
      <c r="K463" t="n">
        <v>1</v>
      </c>
      <c r="L463" t="inlineStr">
        <is>
          <t>PRESIDENCIA EJECUTIVA DEL CONSEJO</t>
        </is>
      </c>
      <c r="M463" t="n">
        <v>40</v>
      </c>
      <c r="N463" t="inlineStr">
        <is>
          <t>DIRECCION GENERAL BANCO BASE</t>
        </is>
      </c>
      <c r="O463" t="n">
        <v>410</v>
      </c>
      <c r="P463" t="inlineStr">
        <is>
          <t>DIRECCION COMERCIAL</t>
        </is>
      </c>
      <c r="Q463" t="n">
        <v>4560</v>
      </c>
      <c r="R463" t="inlineStr">
        <is>
          <t>DIRECCION DE ATRACCION Y VENTAS</t>
        </is>
      </c>
      <c r="S463" t="n">
        <v>45610</v>
      </c>
      <c r="T463" t="inlineStr">
        <is>
          <t>PROMOCION ENLACE</t>
        </is>
      </c>
      <c r="U463" t="n">
        <v>456100</v>
      </c>
      <c r="V463" t="inlineStr">
        <is>
          <t>PROMOCION ENLACE CIUDAD DE MEXICO</t>
        </is>
      </c>
      <c r="W463" t="n">
        <v>134111</v>
      </c>
      <c r="X463" t="inlineStr">
        <is>
          <t>LOMAS</t>
        </is>
      </c>
      <c r="Y463" t="n">
        <v>3</v>
      </c>
      <c r="Z463" t="inlineStr">
        <is>
          <t>CAMBIARIO</t>
        </is>
      </c>
      <c r="AA463" t="n">
        <v>1</v>
      </c>
      <c r="AB463" t="inlineStr">
        <is>
          <t>NEGOCIO EN MARCHA</t>
        </is>
      </c>
      <c r="AC463" t="n">
        <v>1</v>
      </c>
      <c r="AD463" t="inlineStr">
        <is>
          <t>BANCO</t>
        </is>
      </c>
      <c r="AE463" t="n">
        <v>3</v>
      </c>
      <c r="AF463" t="inlineStr">
        <is>
          <t>FRONT</t>
        </is>
      </c>
      <c r="AG463" t="n">
        <v>134111</v>
      </c>
      <c r="AH463" t="inlineStr">
        <is>
          <t>LOMAS</t>
        </is>
      </c>
      <c r="AI463" t="inlineStr">
        <is>
          <t>LROMAN@BANCOBASE.COM</t>
        </is>
      </c>
      <c r="AJ463" s="151" t="n">
        <v>46128</v>
      </c>
      <c r="AK463" s="151" t="n"/>
      <c r="AL463" s="151" t="n"/>
    </row>
    <row r="464" hidden="1" s="150">
      <c r="A464" t="inlineStr">
        <is>
          <t>LGOVEA</t>
        </is>
      </c>
      <c r="B464" t="n">
        <v>3839</v>
      </c>
      <c r="C464" t="inlineStr">
        <is>
          <t>LUIS DAVID GOVEA SANCHEZ</t>
        </is>
      </c>
      <c r="D464" t="n">
        <v>8087</v>
      </c>
      <c r="E464" t="inlineStr">
        <is>
          <t>ASESOR DE DIVISAS ENLACE</t>
        </is>
      </c>
      <c r="F464" t="inlineStr">
        <is>
          <t>MEXICO</t>
        </is>
      </c>
      <c r="G464" t="n">
        <v>2551</v>
      </c>
      <c r="H464" t="inlineStr">
        <is>
          <t>EVELYN NATIVIDAD GOCHAR CALDERON</t>
        </is>
      </c>
      <c r="I464" t="n">
        <v>8068</v>
      </c>
      <c r="J464" t="inlineStr">
        <is>
          <t>GERENTE DE PROMOCION ENLACE CDMX</t>
        </is>
      </c>
      <c r="K464" t="n">
        <v>1</v>
      </c>
      <c r="L464" t="inlineStr">
        <is>
          <t>PRESIDENCIA EJECUTIVA DEL CONSEJO</t>
        </is>
      </c>
      <c r="M464" t="n">
        <v>40</v>
      </c>
      <c r="N464" t="inlineStr">
        <is>
          <t>DIRECCION GENERAL BANCO BASE</t>
        </is>
      </c>
      <c r="O464" t="n">
        <v>410</v>
      </c>
      <c r="P464" t="inlineStr">
        <is>
          <t>DIRECCION COMERCIAL</t>
        </is>
      </c>
      <c r="Q464" t="n">
        <v>4560</v>
      </c>
      <c r="R464" t="inlineStr">
        <is>
          <t>DIRECCION DE ATRACCION Y VENTAS</t>
        </is>
      </c>
      <c r="S464" t="n">
        <v>45610</v>
      </c>
      <c r="T464" t="inlineStr">
        <is>
          <t>PROMOCION ENLACE</t>
        </is>
      </c>
      <c r="U464" t="n">
        <v>456100</v>
      </c>
      <c r="V464" t="inlineStr">
        <is>
          <t>PROMOCION ENLACE CIUDAD DE MEXICO</t>
        </is>
      </c>
      <c r="W464" t="n">
        <v>134111</v>
      </c>
      <c r="X464" t="inlineStr">
        <is>
          <t>LOMAS</t>
        </is>
      </c>
      <c r="Y464" t="n">
        <v>3</v>
      </c>
      <c r="Z464" t="inlineStr">
        <is>
          <t>CAMBIARIO</t>
        </is>
      </c>
      <c r="AA464" t="n">
        <v>1</v>
      </c>
      <c r="AB464" t="inlineStr">
        <is>
          <t>NEGOCIO EN MARCHA</t>
        </is>
      </c>
      <c r="AC464" t="n">
        <v>1</v>
      </c>
      <c r="AD464" t="inlineStr">
        <is>
          <t>BANCO</t>
        </is>
      </c>
      <c r="AE464" t="n">
        <v>3</v>
      </c>
      <c r="AF464" t="inlineStr">
        <is>
          <t>FRONT</t>
        </is>
      </c>
      <c r="AG464" t="n">
        <v>134111</v>
      </c>
      <c r="AH464" t="inlineStr">
        <is>
          <t>LOMAS</t>
        </is>
      </c>
      <c r="AI464" t="inlineStr">
        <is>
          <t>LGOVEA@BANCOBASE.COM</t>
        </is>
      </c>
      <c r="AJ464" s="151" t="n">
        <v>46128</v>
      </c>
      <c r="AK464" s="151" t="n"/>
      <c r="AL464" s="151" t="n"/>
    </row>
    <row r="465" hidden="1" s="150">
      <c r="A465" t="inlineStr">
        <is>
          <t>FBERISTAIN</t>
        </is>
      </c>
      <c r="B465" t="n">
        <v>3836</v>
      </c>
      <c r="C465" t="inlineStr">
        <is>
          <t>FATIMA KIMBERLY BERISTAIN HERNANDEZ</t>
        </is>
      </c>
      <c r="D465" t="n">
        <v>8201</v>
      </c>
      <c r="E465" t="inlineStr">
        <is>
          <t>ASESOR DE DIVISAS ENLACE</t>
        </is>
      </c>
      <c r="F465" t="inlineStr">
        <is>
          <t>MEXICO</t>
        </is>
      </c>
      <c r="G465" t="n">
        <v>2551</v>
      </c>
      <c r="H465" t="inlineStr">
        <is>
          <t>EVELYN NATIVIDAD GOCHAR CALDERON</t>
        </is>
      </c>
      <c r="I465" t="n">
        <v>8068</v>
      </c>
      <c r="J465" t="inlineStr">
        <is>
          <t>GERENTE DE PROMOCION ENLACE CDMX</t>
        </is>
      </c>
      <c r="K465" t="n">
        <v>1</v>
      </c>
      <c r="L465" t="inlineStr">
        <is>
          <t>PRESIDENCIA EJECUTIVA DEL CONSEJO</t>
        </is>
      </c>
      <c r="M465" t="n">
        <v>40</v>
      </c>
      <c r="N465" t="inlineStr">
        <is>
          <t>DIRECCION GENERAL BANCO BASE</t>
        </is>
      </c>
      <c r="O465" t="n">
        <v>410</v>
      </c>
      <c r="P465" t="inlineStr">
        <is>
          <t>DIRECCION COMERCIAL</t>
        </is>
      </c>
      <c r="Q465" t="n">
        <v>4560</v>
      </c>
      <c r="R465" t="inlineStr">
        <is>
          <t>DIRECCION DE ATRACCION Y VENTAS</t>
        </is>
      </c>
      <c r="S465" t="n">
        <v>45610</v>
      </c>
      <c r="T465" t="inlineStr">
        <is>
          <t>PROMOCION ENLACE</t>
        </is>
      </c>
      <c r="U465" t="n">
        <v>456100</v>
      </c>
      <c r="V465" t="inlineStr">
        <is>
          <t>PROMOCION ENLACE CIUDAD DE MEXICO</t>
        </is>
      </c>
      <c r="W465" t="n">
        <v>134111</v>
      </c>
      <c r="X465" t="inlineStr">
        <is>
          <t>LOMAS</t>
        </is>
      </c>
      <c r="Y465" t="n">
        <v>3</v>
      </c>
      <c r="Z465" t="inlineStr">
        <is>
          <t>CAMBIARIO</t>
        </is>
      </c>
      <c r="AA465" t="n">
        <v>1</v>
      </c>
      <c r="AB465" t="inlineStr">
        <is>
          <t>NEGOCIO EN MARCHA</t>
        </is>
      </c>
      <c r="AC465" t="n">
        <v>1</v>
      </c>
      <c r="AD465" t="inlineStr">
        <is>
          <t>BANCO</t>
        </is>
      </c>
      <c r="AE465" t="n">
        <v>3</v>
      </c>
      <c r="AF465" t="inlineStr">
        <is>
          <t>FRONT</t>
        </is>
      </c>
      <c r="AG465" t="n">
        <v>134111</v>
      </c>
      <c r="AH465" t="inlineStr">
        <is>
          <t>LOMAS</t>
        </is>
      </c>
      <c r="AI465" t="inlineStr">
        <is>
          <t>FBERISTAIN@BANCOBASE.COM</t>
        </is>
      </c>
      <c r="AJ465" s="151" t="n">
        <v>46128</v>
      </c>
      <c r="AK465" s="151" t="n"/>
      <c r="AL465" s="151" t="n"/>
    </row>
    <row r="466" hidden="1" s="150">
      <c r="A466" t="inlineStr">
        <is>
          <t>VSANCHEZH</t>
        </is>
      </c>
      <c r="B466" t="n">
        <v>2814</v>
      </c>
      <c r="C466" t="inlineStr">
        <is>
          <t>ANDREA VALENTINA SANCHEZ HERNANDEZ</t>
        </is>
      </c>
      <c r="D466" t="n">
        <v>8660</v>
      </c>
      <c r="E466" t="inlineStr">
        <is>
          <t>SALES BUSINESS PARTNER</t>
        </is>
      </c>
      <c r="F466" t="inlineStr">
        <is>
          <t>MEXICO</t>
        </is>
      </c>
      <c r="G466" t="n">
        <v>2551</v>
      </c>
      <c r="H466" t="inlineStr">
        <is>
          <t>EVELYN NATIVIDAD GOCHAR CALDERON</t>
        </is>
      </c>
      <c r="I466" t="n">
        <v>8068</v>
      </c>
      <c r="J466" t="inlineStr">
        <is>
          <t>GERENTE DE PROMOCION ENLACE CDMX</t>
        </is>
      </c>
      <c r="K466" t="n">
        <v>1</v>
      </c>
      <c r="L466" t="inlineStr">
        <is>
          <t>PRESIDENCIA EJECUTIVA DEL CONSEJO</t>
        </is>
      </c>
      <c r="M466" t="n">
        <v>40</v>
      </c>
      <c r="N466" t="inlineStr">
        <is>
          <t>DIRECCION GENERAL BANCO BASE</t>
        </is>
      </c>
      <c r="O466" t="n">
        <v>410</v>
      </c>
      <c r="P466" t="inlineStr">
        <is>
          <t>DIRECCION COMERCIAL</t>
        </is>
      </c>
      <c r="Q466" t="n">
        <v>4560</v>
      </c>
      <c r="R466" t="inlineStr">
        <is>
          <t>DIRECCION DE ATRACCION Y VENTAS</t>
        </is>
      </c>
      <c r="S466" t="n">
        <v>45620</v>
      </c>
      <c r="T466" t="inlineStr">
        <is>
          <t>GERENCIA DE PROCESOS COMERCIALES</t>
        </is>
      </c>
      <c r="U466" t="n">
        <v>456220</v>
      </c>
      <c r="V466" t="inlineStr">
        <is>
          <t>REACTIVACION CAMBIARIA MONTERREY</t>
        </is>
      </c>
      <c r="W466" t="n">
        <v>134111</v>
      </c>
      <c r="X466" t="inlineStr">
        <is>
          <t>LOMAS</t>
        </is>
      </c>
      <c r="Y466" t="n">
        <v>3</v>
      </c>
      <c r="Z466" t="inlineStr">
        <is>
          <t>CAMBIARIO</t>
        </is>
      </c>
      <c r="AA466" t="n">
        <v>1</v>
      </c>
      <c r="AB466" t="inlineStr">
        <is>
          <t>NEGOCIO EN MARCHA</t>
        </is>
      </c>
      <c r="AC466" t="n">
        <v>1</v>
      </c>
      <c r="AD466" t="inlineStr">
        <is>
          <t>BANCO</t>
        </is>
      </c>
      <c r="AE466" t="n">
        <v>2</v>
      </c>
      <c r="AF466" t="inlineStr">
        <is>
          <t>MIDDLE</t>
        </is>
      </c>
      <c r="AG466" t="n">
        <v>134111</v>
      </c>
      <c r="AH466" t="inlineStr">
        <is>
          <t>LOMAS</t>
        </is>
      </c>
      <c r="AI466" t="inlineStr">
        <is>
          <t>VSANCHEZH@BANCOBASE.COM</t>
        </is>
      </c>
      <c r="AJ466" s="151" t="n">
        <v>44944</v>
      </c>
      <c r="AK466" s="151" t="n"/>
      <c r="AL466" s="151" t="n"/>
    </row>
    <row r="467" hidden="1" s="150">
      <c r="A467" t="inlineStr">
        <is>
          <t>GGARZA</t>
        </is>
      </c>
      <c r="B467" t="n">
        <v>1138</v>
      </c>
      <c r="C467" t="inlineStr">
        <is>
          <t>GUSTAVO GARZA VILLARREAL</t>
        </is>
      </c>
      <c r="D467" t="n">
        <v>3615</v>
      </c>
      <c r="E467" t="inlineStr">
        <is>
          <t>DIRECTOR COMERCIAL CIUDAD DE MEXICO</t>
        </is>
      </c>
      <c r="F467" t="inlineStr">
        <is>
          <t>MEXICO</t>
        </is>
      </c>
      <c r="G467" t="n">
        <v>538</v>
      </c>
      <c r="H467" t="inlineStr">
        <is>
          <t>LUIS NICOLAS EGUIARTE CORONA</t>
        </is>
      </c>
      <c r="I467" t="n">
        <v>8232</v>
      </c>
      <c r="J467" t="inlineStr">
        <is>
          <t>DIRECTOR DE ATRACCION Y VENTAS</t>
        </is>
      </c>
      <c r="K467" t="n">
        <v>1</v>
      </c>
      <c r="L467" t="inlineStr">
        <is>
          <t>PRESIDENCIA EJECUTIVA DEL CONSEJO</t>
        </is>
      </c>
      <c r="M467" t="n">
        <v>40</v>
      </c>
      <c r="N467" t="inlineStr">
        <is>
          <t>DIRECCION GENERAL BANCO BASE</t>
        </is>
      </c>
      <c r="O467" t="n">
        <v>410</v>
      </c>
      <c r="P467" t="inlineStr">
        <is>
          <t>DIRECCION COMERCIAL</t>
        </is>
      </c>
      <c r="Q467" t="n">
        <v>4130</v>
      </c>
      <c r="R467" t="inlineStr">
        <is>
          <t>DIRECCION COMERCIAL CDMX 2</t>
        </is>
      </c>
      <c r="S467" t="n">
        <v>41300</v>
      </c>
      <c r="T467" t="inlineStr">
        <is>
          <t>DIRECCION COMERCIAL CDMX 2</t>
        </is>
      </c>
      <c r="U467" t="n">
        <v>413000</v>
      </c>
      <c r="V467" t="inlineStr">
        <is>
          <t>DIRECCION COMERCIAL CDMX 2</t>
        </is>
      </c>
      <c r="W467" t="n">
        <v>134111</v>
      </c>
      <c r="X467" t="inlineStr">
        <is>
          <t>LOMAS</t>
        </is>
      </c>
      <c r="Y467" t="n">
        <v>3</v>
      </c>
      <c r="Z467" t="inlineStr">
        <is>
          <t>CAMBIARIO</t>
        </is>
      </c>
      <c r="AA467" t="n">
        <v>1</v>
      </c>
      <c r="AB467" t="inlineStr">
        <is>
          <t>NEGOCIO EN MARCHA</t>
        </is>
      </c>
      <c r="AC467" t="n">
        <v>1</v>
      </c>
      <c r="AD467" t="inlineStr">
        <is>
          <t>BANCO</t>
        </is>
      </c>
      <c r="AE467" t="n">
        <v>3</v>
      </c>
      <c r="AF467" t="inlineStr">
        <is>
          <t>FRONT</t>
        </is>
      </c>
      <c r="AG467" t="n">
        <v>134111</v>
      </c>
      <c r="AH467" t="inlineStr">
        <is>
          <t>LOMAS</t>
        </is>
      </c>
      <c r="AI467" t="inlineStr">
        <is>
          <t>GGARZA@BANCOBASE.COM</t>
        </is>
      </c>
      <c r="AJ467" s="151" t="n">
        <v>41738</v>
      </c>
      <c r="AK467" s="151" t="n"/>
      <c r="AL467" s="151" t="n"/>
    </row>
    <row r="468" hidden="1" s="150">
      <c r="A468" t="inlineStr">
        <is>
          <t>ISANCHEZP</t>
        </is>
      </c>
      <c r="B468" t="n">
        <v>1434</v>
      </c>
      <c r="C468" t="inlineStr">
        <is>
          <t>IVONNE SANCHEZ PARADA</t>
        </is>
      </c>
      <c r="D468" t="n">
        <v>9162</v>
      </c>
      <c r="E468" t="inlineStr">
        <is>
          <t>SUBDIRECTOR COMERCIAL</t>
        </is>
      </c>
      <c r="F468" t="inlineStr">
        <is>
          <t>MEXICO</t>
        </is>
      </c>
      <c r="G468" t="n">
        <v>1138</v>
      </c>
      <c r="H468" t="inlineStr">
        <is>
          <t>GUSTAVO GARZA VILLARREAL</t>
        </is>
      </c>
      <c r="I468" t="n">
        <v>3615</v>
      </c>
      <c r="J468" t="inlineStr">
        <is>
          <t>DIRECTOR COMERCIAL CIUDAD DE MEXICO</t>
        </is>
      </c>
      <c r="K468" t="n">
        <v>1</v>
      </c>
      <c r="L468" t="inlineStr">
        <is>
          <t>PRESIDENCIA EJECUTIVA DEL CONSEJO</t>
        </is>
      </c>
      <c r="M468" t="n">
        <v>40</v>
      </c>
      <c r="N468" t="inlineStr">
        <is>
          <t>DIRECCION GENERAL BANCO BASE</t>
        </is>
      </c>
      <c r="O468" t="n">
        <v>410</v>
      </c>
      <c r="P468" t="inlineStr">
        <is>
          <t>DIRECCION COMERCIAL</t>
        </is>
      </c>
      <c r="Q468" t="n">
        <v>4130</v>
      </c>
      <c r="R468" t="inlineStr">
        <is>
          <t>DIRECCION COMERCIAL CDMX 2</t>
        </is>
      </c>
      <c r="S468" t="n">
        <v>41320</v>
      </c>
      <c r="T468" t="inlineStr">
        <is>
          <t>SUBDIRECCION COMERCIAL CDMX 2</t>
        </is>
      </c>
      <c r="U468" t="n">
        <v>413200</v>
      </c>
      <c r="V468" t="inlineStr">
        <is>
          <t>SUBDIRECCION COMERCIAL CDMX 2</t>
        </is>
      </c>
      <c r="W468" t="n">
        <v>134111</v>
      </c>
      <c r="X468" t="inlineStr">
        <is>
          <t>LOMAS</t>
        </is>
      </c>
      <c r="Y468" t="n">
        <v>3</v>
      </c>
      <c r="Z468" t="inlineStr">
        <is>
          <t>CAMBIARIO</t>
        </is>
      </c>
      <c r="AA468" t="n">
        <v>1</v>
      </c>
      <c r="AB468" t="inlineStr">
        <is>
          <t>NEGOCIO EN MARCHA</t>
        </is>
      </c>
      <c r="AC468" t="n">
        <v>1</v>
      </c>
      <c r="AD468" t="inlineStr">
        <is>
          <t>BANCO</t>
        </is>
      </c>
      <c r="AE468" t="n">
        <v>3</v>
      </c>
      <c r="AF468" t="inlineStr">
        <is>
          <t>FRONT</t>
        </is>
      </c>
      <c r="AG468" t="n">
        <v>134111</v>
      </c>
      <c r="AH468" t="inlineStr">
        <is>
          <t>LOMAS</t>
        </is>
      </c>
      <c r="AI468" t="inlineStr">
        <is>
          <t>ISANCHEZP@BANCOBASE.COM</t>
        </is>
      </c>
      <c r="AJ468" s="151" t="n">
        <v>42387</v>
      </c>
      <c r="AK468" s="151" t="n"/>
      <c r="AL468" s="151" t="n"/>
    </row>
    <row r="469" hidden="1" s="150">
      <c r="A469" t="inlineStr">
        <is>
          <t>EGUTIERREZ</t>
        </is>
      </c>
      <c r="B469" t="n">
        <v>474</v>
      </c>
      <c r="C469" t="inlineStr">
        <is>
          <t>EMMANUEL GUTIERREZ ZEPEDA</t>
        </is>
      </c>
      <c r="D469" t="n">
        <v>9189</v>
      </c>
      <c r="E469" t="inlineStr">
        <is>
          <t>GERENTE DE PROMOCION</t>
        </is>
      </c>
      <c r="F469" t="inlineStr">
        <is>
          <t>MEXICO</t>
        </is>
      </c>
      <c r="G469" t="n">
        <v>1434</v>
      </c>
      <c r="H469" t="inlineStr">
        <is>
          <t>IVONNE SANCHEZ PARADA</t>
        </is>
      </c>
      <c r="I469" t="n">
        <v>9162</v>
      </c>
      <c r="J469" t="inlineStr">
        <is>
          <t>SUBDIRECTOR COMERCIAL</t>
        </is>
      </c>
      <c r="K469" t="n">
        <v>1</v>
      </c>
      <c r="L469" t="inlineStr">
        <is>
          <t>PRESIDENCIA EJECUTIVA DEL CONSEJO</t>
        </is>
      </c>
      <c r="M469" t="n">
        <v>40</v>
      </c>
      <c r="N469" t="inlineStr">
        <is>
          <t>DIRECCION GENERAL BANCO BASE</t>
        </is>
      </c>
      <c r="O469" t="n">
        <v>410</v>
      </c>
      <c r="P469" t="inlineStr">
        <is>
          <t>DIRECCION COMERCIAL</t>
        </is>
      </c>
      <c r="Q469" t="n">
        <v>4130</v>
      </c>
      <c r="R469" t="inlineStr">
        <is>
          <t>DIRECCION COMERCIAL CDMX 2</t>
        </is>
      </c>
      <c r="S469" t="n">
        <v>41320</v>
      </c>
      <c r="T469" t="inlineStr">
        <is>
          <t>SUBDIRECCION COMERCIAL CDMX 2</t>
        </is>
      </c>
      <c r="U469" t="n">
        <v>413200</v>
      </c>
      <c r="V469" t="inlineStr">
        <is>
          <t>SUBDIRECCION COMERCIAL CDMX 2</t>
        </is>
      </c>
      <c r="W469" t="n">
        <v>134111</v>
      </c>
      <c r="X469" t="inlineStr">
        <is>
          <t>LOMAS</t>
        </is>
      </c>
      <c r="Y469" t="n">
        <v>3</v>
      </c>
      <c r="Z469" t="inlineStr">
        <is>
          <t>CAMBIARIO</t>
        </is>
      </c>
      <c r="AA469" t="n">
        <v>1</v>
      </c>
      <c r="AB469" t="inlineStr">
        <is>
          <t>NEGOCIO EN MARCHA</t>
        </is>
      </c>
      <c r="AC469" t="n">
        <v>1</v>
      </c>
      <c r="AD469" t="inlineStr">
        <is>
          <t>BANCO</t>
        </is>
      </c>
      <c r="AE469" t="n">
        <v>3</v>
      </c>
      <c r="AF469" t="inlineStr">
        <is>
          <t>FRONT</t>
        </is>
      </c>
      <c r="AG469" t="n">
        <v>134111</v>
      </c>
      <c r="AH469" t="inlineStr">
        <is>
          <t>LOMAS</t>
        </is>
      </c>
      <c r="AI469" t="inlineStr">
        <is>
          <t>EGUTIERREZ@BANCOBASE.COM</t>
        </is>
      </c>
      <c r="AJ469" s="151" t="n">
        <v>39584</v>
      </c>
      <c r="AK469" s="151" t="n"/>
      <c r="AL469" s="151" t="n"/>
    </row>
    <row r="470" hidden="1" s="150">
      <c r="A470" t="inlineStr">
        <is>
          <t>ABAUTISTAR</t>
        </is>
      </c>
      <c r="B470" t="n">
        <v>2868</v>
      </c>
      <c r="C470" t="inlineStr">
        <is>
          <t>ALEJANDRO BAUTISTA ROBLES</t>
        </is>
      </c>
      <c r="D470" t="n">
        <v>9191</v>
      </c>
      <c r="E470" t="inlineStr">
        <is>
          <t>ASESOR CAMBIARIO</t>
        </is>
      </c>
      <c r="F470" t="inlineStr">
        <is>
          <t>MEXICO</t>
        </is>
      </c>
      <c r="G470" t="n">
        <v>1434</v>
      </c>
      <c r="H470" t="inlineStr">
        <is>
          <t>IVONNE SANCHEZ PARADA</t>
        </is>
      </c>
      <c r="I470" t="n">
        <v>9162</v>
      </c>
      <c r="J470" t="inlineStr">
        <is>
          <t>SUBDIRECTOR COMERCIAL</t>
        </is>
      </c>
      <c r="K470" t="n">
        <v>1</v>
      </c>
      <c r="L470" t="inlineStr">
        <is>
          <t>PRESIDENCIA EJECUTIVA DEL CONSEJO</t>
        </is>
      </c>
      <c r="M470" t="n">
        <v>40</v>
      </c>
      <c r="N470" t="inlineStr">
        <is>
          <t>DIRECCION GENERAL BANCO BASE</t>
        </is>
      </c>
      <c r="O470" t="n">
        <v>410</v>
      </c>
      <c r="P470" t="inlineStr">
        <is>
          <t>DIRECCION COMERCIAL</t>
        </is>
      </c>
      <c r="Q470" t="n">
        <v>4130</v>
      </c>
      <c r="R470" t="inlineStr">
        <is>
          <t>DIRECCION COMERCIAL CDMX 2</t>
        </is>
      </c>
      <c r="S470" t="n">
        <v>41320</v>
      </c>
      <c r="T470" t="inlineStr">
        <is>
          <t>SUBDIRECCION COMERCIAL CDMX 2</t>
        </is>
      </c>
      <c r="U470" t="n">
        <v>413200</v>
      </c>
      <c r="V470" t="inlineStr">
        <is>
          <t>SUBDIRECCION COMERCIAL CDMX 2</t>
        </is>
      </c>
      <c r="W470" t="n">
        <v>134111</v>
      </c>
      <c r="X470" t="inlineStr">
        <is>
          <t>LOMAS</t>
        </is>
      </c>
      <c r="Y470" t="n">
        <v>3</v>
      </c>
      <c r="Z470" t="inlineStr">
        <is>
          <t>CAMBIARIO</t>
        </is>
      </c>
      <c r="AA470" t="n">
        <v>1</v>
      </c>
      <c r="AB470" t="inlineStr">
        <is>
          <t>NEGOCIO EN MARCHA</t>
        </is>
      </c>
      <c r="AC470" t="n">
        <v>1</v>
      </c>
      <c r="AD470" t="inlineStr">
        <is>
          <t>BANCO</t>
        </is>
      </c>
      <c r="AE470" t="n">
        <v>3</v>
      </c>
      <c r="AF470" t="inlineStr">
        <is>
          <t>FRONT</t>
        </is>
      </c>
      <c r="AG470" t="n">
        <v>134111</v>
      </c>
      <c r="AH470" t="inlineStr">
        <is>
          <t>LOMAS</t>
        </is>
      </c>
      <c r="AI470" t="inlineStr">
        <is>
          <t>ABAUTISTAR@BANCOBASE.COM</t>
        </is>
      </c>
      <c r="AJ470" s="151" t="n">
        <v>45006</v>
      </c>
      <c r="AK470" s="151" t="n"/>
      <c r="AL470" s="151" t="n"/>
    </row>
    <row r="471" hidden="1" s="150">
      <c r="A471" t="inlineStr">
        <is>
          <t>ESALINAS</t>
        </is>
      </c>
      <c r="B471" t="n">
        <v>2465</v>
      </c>
      <c r="C471" t="inlineStr">
        <is>
          <t>EDGAR SALINAS RIVERA</t>
        </is>
      </c>
      <c r="D471" t="n">
        <v>9950</v>
      </c>
      <c r="E471" t="inlineStr">
        <is>
          <t>ASESOR CAMBIARIO</t>
        </is>
      </c>
      <c r="F471" t="inlineStr">
        <is>
          <t>MEXICO</t>
        </is>
      </c>
      <c r="G471" t="n">
        <v>1434</v>
      </c>
      <c r="H471" t="inlineStr">
        <is>
          <t>IVONNE SANCHEZ PARADA</t>
        </is>
      </c>
      <c r="I471" t="n">
        <v>9162</v>
      </c>
      <c r="J471" t="inlineStr">
        <is>
          <t>SUBDIRECTOR COMERCIAL</t>
        </is>
      </c>
      <c r="K471" t="n">
        <v>1</v>
      </c>
      <c r="L471" t="inlineStr">
        <is>
          <t>PRESIDENCIA EJECUTIVA DEL CONSEJO</t>
        </is>
      </c>
      <c r="M471" t="n">
        <v>40</v>
      </c>
      <c r="N471" t="inlineStr">
        <is>
          <t>DIRECCION GENERAL BANCO BASE</t>
        </is>
      </c>
      <c r="O471" t="n">
        <v>410</v>
      </c>
      <c r="P471" t="inlineStr">
        <is>
          <t>DIRECCION COMERCIAL</t>
        </is>
      </c>
      <c r="Q471" t="n">
        <v>4130</v>
      </c>
      <c r="R471" t="inlineStr">
        <is>
          <t>DIRECCION COMERCIAL CDMX 2</t>
        </is>
      </c>
      <c r="S471" t="n">
        <v>41320</v>
      </c>
      <c r="T471" t="inlineStr">
        <is>
          <t>SUBDIRECCION COMERCIAL CDMX 2</t>
        </is>
      </c>
      <c r="U471" t="n">
        <v>413200</v>
      </c>
      <c r="V471" t="inlineStr">
        <is>
          <t>SUBDIRECCION COMERCIAL CDMX 2</t>
        </is>
      </c>
      <c r="W471" t="n">
        <v>134111</v>
      </c>
      <c r="X471" t="inlineStr">
        <is>
          <t>LOMAS</t>
        </is>
      </c>
      <c r="Y471" t="n">
        <v>3</v>
      </c>
      <c r="Z471" t="inlineStr">
        <is>
          <t>CAMBIARIO</t>
        </is>
      </c>
      <c r="AA471" t="n">
        <v>1</v>
      </c>
      <c r="AB471" t="inlineStr">
        <is>
          <t>NEGOCIO EN MARCHA</t>
        </is>
      </c>
      <c r="AC471" t="n">
        <v>1</v>
      </c>
      <c r="AD471" t="inlineStr">
        <is>
          <t>BANCO</t>
        </is>
      </c>
      <c r="AE471" t="n">
        <v>3</v>
      </c>
      <c r="AF471" t="inlineStr">
        <is>
          <t>FRONT</t>
        </is>
      </c>
      <c r="AG471" t="n">
        <v>134111</v>
      </c>
      <c r="AH471" t="inlineStr">
        <is>
          <t>LOMAS</t>
        </is>
      </c>
      <c r="AI471" t="inlineStr">
        <is>
          <t>ESALINAS@BANCOBASE.COM</t>
        </is>
      </c>
      <c r="AJ471" s="151" t="n">
        <v>44214</v>
      </c>
      <c r="AK471" s="151" t="n"/>
      <c r="AL471" s="151" t="n"/>
    </row>
    <row r="472" hidden="1" s="150">
      <c r="A472" t="inlineStr">
        <is>
          <t>ESOLIS</t>
        </is>
      </c>
      <c r="B472" t="n">
        <v>2402</v>
      </c>
      <c r="C472" t="inlineStr">
        <is>
          <t>ELIAS SOLIS RESENDIZ</t>
        </is>
      </c>
      <c r="D472" t="n">
        <v>9190</v>
      </c>
      <c r="E472" t="inlineStr">
        <is>
          <t>ASESOR CAMBIARIO</t>
        </is>
      </c>
      <c r="F472" t="inlineStr">
        <is>
          <t>MEXICO</t>
        </is>
      </c>
      <c r="G472" t="n">
        <v>1434</v>
      </c>
      <c r="H472" t="inlineStr">
        <is>
          <t>IVONNE SANCHEZ PARADA</t>
        </is>
      </c>
      <c r="I472" t="n">
        <v>9162</v>
      </c>
      <c r="J472" t="inlineStr">
        <is>
          <t>SUBDIRECTOR COMERCIAL</t>
        </is>
      </c>
      <c r="K472" t="n">
        <v>1</v>
      </c>
      <c r="L472" t="inlineStr">
        <is>
          <t>PRESIDENCIA EJECUTIVA DEL CONSEJO</t>
        </is>
      </c>
      <c r="M472" t="n">
        <v>40</v>
      </c>
      <c r="N472" t="inlineStr">
        <is>
          <t>DIRECCION GENERAL BANCO BASE</t>
        </is>
      </c>
      <c r="O472" t="n">
        <v>410</v>
      </c>
      <c r="P472" t="inlineStr">
        <is>
          <t>DIRECCION COMERCIAL</t>
        </is>
      </c>
      <c r="Q472" t="n">
        <v>4130</v>
      </c>
      <c r="R472" t="inlineStr">
        <is>
          <t>DIRECCION COMERCIAL CDMX 2</t>
        </is>
      </c>
      <c r="S472" t="n">
        <v>41320</v>
      </c>
      <c r="T472" t="inlineStr">
        <is>
          <t>SUBDIRECCION COMERCIAL CDMX 2</t>
        </is>
      </c>
      <c r="U472" t="n">
        <v>413200</v>
      </c>
      <c r="V472" t="inlineStr">
        <is>
          <t>SUBDIRECCION COMERCIAL CDMX 2</t>
        </is>
      </c>
      <c r="W472" t="n">
        <v>134111</v>
      </c>
      <c r="X472" t="inlineStr">
        <is>
          <t>LOMAS</t>
        </is>
      </c>
      <c r="Y472" t="n">
        <v>3</v>
      </c>
      <c r="Z472" t="inlineStr">
        <is>
          <t>CAMBIARIO</t>
        </is>
      </c>
      <c r="AA472" t="n">
        <v>1</v>
      </c>
      <c r="AB472" t="inlineStr">
        <is>
          <t>NEGOCIO EN MARCHA</t>
        </is>
      </c>
      <c r="AC472" t="n">
        <v>1</v>
      </c>
      <c r="AD472" t="inlineStr">
        <is>
          <t>BANCO</t>
        </is>
      </c>
      <c r="AE472" t="n">
        <v>3</v>
      </c>
      <c r="AF472" t="inlineStr">
        <is>
          <t>FRONT</t>
        </is>
      </c>
      <c r="AG472" t="n">
        <v>134111</v>
      </c>
      <c r="AH472" t="inlineStr">
        <is>
          <t>LOMAS</t>
        </is>
      </c>
      <c r="AI472" t="inlineStr">
        <is>
          <t>ESOLIS@BANCOBASE.COM</t>
        </is>
      </c>
      <c r="AJ472" s="151" t="n">
        <v>43907</v>
      </c>
      <c r="AK472" s="151" t="n"/>
      <c r="AL472" s="151" t="n"/>
    </row>
    <row r="473" hidden="1" s="150">
      <c r="A473" t="inlineStr">
        <is>
          <t>ICASTANEDA</t>
        </is>
      </c>
      <c r="B473" t="n">
        <v>2903</v>
      </c>
      <c r="C473" t="inlineStr">
        <is>
          <t>JESSICA IVONNE CASTAÑEDA ALANIS</t>
        </is>
      </c>
      <c r="D473" t="n">
        <v>9708</v>
      </c>
      <c r="E473" t="inlineStr">
        <is>
          <t>ASESOR CAMBIARIO</t>
        </is>
      </c>
      <c r="F473" t="inlineStr">
        <is>
          <t>MEXICO</t>
        </is>
      </c>
      <c r="G473" t="n">
        <v>1434</v>
      </c>
      <c r="H473" t="inlineStr">
        <is>
          <t>IVONNE SANCHEZ PARADA</t>
        </is>
      </c>
      <c r="I473" t="n">
        <v>9162</v>
      </c>
      <c r="J473" t="inlineStr">
        <is>
          <t>SUBDIRECTOR COMERCIAL</t>
        </is>
      </c>
      <c r="K473" t="n">
        <v>1</v>
      </c>
      <c r="L473" t="inlineStr">
        <is>
          <t>PRESIDENCIA EJECUTIVA DEL CONSEJO</t>
        </is>
      </c>
      <c r="M473" t="n">
        <v>40</v>
      </c>
      <c r="N473" t="inlineStr">
        <is>
          <t>DIRECCION GENERAL BANCO BASE</t>
        </is>
      </c>
      <c r="O473" t="n">
        <v>410</v>
      </c>
      <c r="P473" t="inlineStr">
        <is>
          <t>DIRECCION COMERCIAL</t>
        </is>
      </c>
      <c r="Q473" t="n">
        <v>4130</v>
      </c>
      <c r="R473" t="inlineStr">
        <is>
          <t>DIRECCION COMERCIAL CDMX 2</t>
        </is>
      </c>
      <c r="S473" t="n">
        <v>41320</v>
      </c>
      <c r="T473" t="inlineStr">
        <is>
          <t>SUBDIRECCION COMERCIAL CDMX 2</t>
        </is>
      </c>
      <c r="U473" t="n">
        <v>413200</v>
      </c>
      <c r="V473" t="inlineStr">
        <is>
          <t>SUBDIRECCION COMERCIAL CDMX 2</t>
        </is>
      </c>
      <c r="W473" t="n">
        <v>134111</v>
      </c>
      <c r="X473" t="inlineStr">
        <is>
          <t>LOMAS</t>
        </is>
      </c>
      <c r="Y473" t="n">
        <v>3</v>
      </c>
      <c r="Z473" t="inlineStr">
        <is>
          <t>CAMBIARIO</t>
        </is>
      </c>
      <c r="AA473" t="n">
        <v>1</v>
      </c>
      <c r="AB473" t="inlineStr">
        <is>
          <t>NEGOCIO EN MARCHA</t>
        </is>
      </c>
      <c r="AC473" t="n">
        <v>1</v>
      </c>
      <c r="AD473" t="inlineStr">
        <is>
          <t>BANCO</t>
        </is>
      </c>
      <c r="AE473" t="n">
        <v>3</v>
      </c>
      <c r="AF473" t="inlineStr">
        <is>
          <t>FRONT</t>
        </is>
      </c>
      <c r="AG473" t="n">
        <v>134111</v>
      </c>
      <c r="AH473" t="inlineStr">
        <is>
          <t>LOMAS</t>
        </is>
      </c>
      <c r="AI473" t="inlineStr">
        <is>
          <t>ICASTANEDA@BANCOBASE.COM</t>
        </is>
      </c>
      <c r="AJ473" s="151" t="n">
        <v>45078</v>
      </c>
      <c r="AK473" s="151" t="n"/>
      <c r="AL473" s="151" t="n"/>
    </row>
    <row r="474" hidden="1" s="150">
      <c r="A474" t="inlineStr">
        <is>
          <t>LRIVERA</t>
        </is>
      </c>
      <c r="B474" t="n">
        <v>3269</v>
      </c>
      <c r="C474" t="inlineStr">
        <is>
          <t>LUIS GIOVANI RIVERA MORENO</t>
        </is>
      </c>
      <c r="D474" t="n">
        <v>9134</v>
      </c>
      <c r="E474" t="inlineStr">
        <is>
          <t>ASESOR CAMBIARIO</t>
        </is>
      </c>
      <c r="F474" t="inlineStr">
        <is>
          <t>MEXICO</t>
        </is>
      </c>
      <c r="G474" t="n">
        <v>1434</v>
      </c>
      <c r="H474" t="inlineStr">
        <is>
          <t>IVONNE SANCHEZ PARADA</t>
        </is>
      </c>
      <c r="I474" t="n">
        <v>9162</v>
      </c>
      <c r="J474" t="inlineStr">
        <is>
          <t>SUBDIRECTOR COMERCIAL</t>
        </is>
      </c>
      <c r="K474" t="n">
        <v>1</v>
      </c>
      <c r="L474" t="inlineStr">
        <is>
          <t>PRESIDENCIA EJECUTIVA DEL CONSEJO</t>
        </is>
      </c>
      <c r="M474" t="n">
        <v>40</v>
      </c>
      <c r="N474" t="inlineStr">
        <is>
          <t>DIRECCION GENERAL BANCO BASE</t>
        </is>
      </c>
      <c r="O474" t="n">
        <v>410</v>
      </c>
      <c r="P474" t="inlineStr">
        <is>
          <t>DIRECCION COMERCIAL</t>
        </is>
      </c>
      <c r="Q474" t="n">
        <v>4130</v>
      </c>
      <c r="R474" t="inlineStr">
        <is>
          <t>DIRECCION COMERCIAL CDMX 2</t>
        </is>
      </c>
      <c r="S474" t="n">
        <v>41320</v>
      </c>
      <c r="T474" t="inlineStr">
        <is>
          <t>SUBDIRECCION COMERCIAL CDMX 2</t>
        </is>
      </c>
      <c r="U474" t="n">
        <v>413200</v>
      </c>
      <c r="V474" t="inlineStr">
        <is>
          <t>SUBDIRECCION COMERCIAL CDMX 2</t>
        </is>
      </c>
      <c r="W474" t="n">
        <v>134111</v>
      </c>
      <c r="X474" t="inlineStr">
        <is>
          <t>LOMAS</t>
        </is>
      </c>
      <c r="Y474" t="n">
        <v>3</v>
      </c>
      <c r="Z474" t="inlineStr">
        <is>
          <t>CAMBIARIO</t>
        </is>
      </c>
      <c r="AA474" t="n">
        <v>1</v>
      </c>
      <c r="AB474" t="inlineStr">
        <is>
          <t>NEGOCIO EN MARCHA</t>
        </is>
      </c>
      <c r="AC474" t="n">
        <v>1</v>
      </c>
      <c r="AD474" t="inlineStr">
        <is>
          <t>BANCO</t>
        </is>
      </c>
      <c r="AE474" t="n">
        <v>3</v>
      </c>
      <c r="AF474" t="inlineStr">
        <is>
          <t>FRONT</t>
        </is>
      </c>
      <c r="AG474" t="n">
        <v>134111</v>
      </c>
      <c r="AH474" t="inlineStr">
        <is>
          <t>LOMAS</t>
        </is>
      </c>
      <c r="AI474" t="inlineStr">
        <is>
          <t>LRIVERA@BANCOBASE.COM</t>
        </is>
      </c>
      <c r="AJ474" s="151" t="n">
        <v>45615</v>
      </c>
      <c r="AK474" s="151" t="n"/>
      <c r="AL474" s="151" t="n"/>
    </row>
    <row r="475" hidden="1" s="150">
      <c r="A475" t="inlineStr">
        <is>
          <t>OMEDINA</t>
        </is>
      </c>
      <c r="B475" t="n">
        <v>3464</v>
      </c>
      <c r="C475" t="inlineStr">
        <is>
          <t>OMAR MEDINA GALVAN</t>
        </is>
      </c>
      <c r="D475" t="n">
        <v>9822</v>
      </c>
      <c r="E475" t="inlineStr">
        <is>
          <t>ASESOR CAMBIARIO</t>
        </is>
      </c>
      <c r="F475" t="inlineStr">
        <is>
          <t>MEXICO</t>
        </is>
      </c>
      <c r="G475" t="n">
        <v>1434</v>
      </c>
      <c r="H475" t="inlineStr">
        <is>
          <t>IVONNE SANCHEZ PARADA</t>
        </is>
      </c>
      <c r="I475" t="n">
        <v>9162</v>
      </c>
      <c r="J475" t="inlineStr">
        <is>
          <t>SUBDIRECTOR COMERCIAL</t>
        </is>
      </c>
      <c r="K475" t="n">
        <v>1</v>
      </c>
      <c r="L475" t="inlineStr">
        <is>
          <t>PRESIDENCIA EJECUTIVA DEL CONSEJO</t>
        </is>
      </c>
      <c r="M475" t="n">
        <v>40</v>
      </c>
      <c r="N475" t="inlineStr">
        <is>
          <t>DIRECCION GENERAL BANCO BASE</t>
        </is>
      </c>
      <c r="O475" t="n">
        <v>410</v>
      </c>
      <c r="P475" t="inlineStr">
        <is>
          <t>DIRECCION COMERCIAL</t>
        </is>
      </c>
      <c r="Q475" t="n">
        <v>4130</v>
      </c>
      <c r="R475" t="inlineStr">
        <is>
          <t>DIRECCION COMERCIAL CDMX 2</t>
        </is>
      </c>
      <c r="S475" t="n">
        <v>41320</v>
      </c>
      <c r="T475" t="inlineStr">
        <is>
          <t>SUBDIRECCION COMERCIAL CDMX 2</t>
        </is>
      </c>
      <c r="U475" t="n">
        <v>413200</v>
      </c>
      <c r="V475" t="inlineStr">
        <is>
          <t>SUBDIRECCION COMERCIAL CDMX 2</t>
        </is>
      </c>
      <c r="W475" t="n">
        <v>134111</v>
      </c>
      <c r="X475" t="inlineStr">
        <is>
          <t>LOMAS</t>
        </is>
      </c>
      <c r="Y475" t="n">
        <v>3</v>
      </c>
      <c r="Z475" t="inlineStr">
        <is>
          <t>CAMBIARIO</t>
        </is>
      </c>
      <c r="AA475" t="n">
        <v>1</v>
      </c>
      <c r="AB475" t="inlineStr">
        <is>
          <t>NEGOCIO EN MARCHA</t>
        </is>
      </c>
      <c r="AC475" t="n">
        <v>1</v>
      </c>
      <c r="AD475" t="inlineStr">
        <is>
          <t>BANCO</t>
        </is>
      </c>
      <c r="AE475" t="n">
        <v>3</v>
      </c>
      <c r="AF475" t="inlineStr">
        <is>
          <t>FRONT</t>
        </is>
      </c>
      <c r="AG475" t="n">
        <v>134111</v>
      </c>
      <c r="AH475" t="inlineStr">
        <is>
          <t>LOMAS</t>
        </is>
      </c>
      <c r="AI475" t="inlineStr">
        <is>
          <t>OMEDINA@BANCOBASE.COM</t>
        </is>
      </c>
      <c r="AJ475" s="151" t="n">
        <v>45824</v>
      </c>
      <c r="AK475" s="151" t="n"/>
      <c r="AL475" s="151" t="n"/>
    </row>
    <row r="476" hidden="1" s="150">
      <c r="A476" t="inlineStr">
        <is>
          <t>ACORONEL</t>
        </is>
      </c>
      <c r="B476" t="n">
        <v>2219</v>
      </c>
      <c r="C476" t="inlineStr">
        <is>
          <t>ALBERTO GIOVANNI CORONEL FRANCO</t>
        </is>
      </c>
      <c r="D476" t="n">
        <v>8912</v>
      </c>
      <c r="E476" t="inlineStr">
        <is>
          <t>ASESOR CAMBIARIO</t>
        </is>
      </c>
      <c r="F476" t="inlineStr">
        <is>
          <t>MEXICO</t>
        </is>
      </c>
      <c r="G476" t="n">
        <v>1434</v>
      </c>
      <c r="H476" t="inlineStr">
        <is>
          <t>IVONNE SANCHEZ PARADA</t>
        </is>
      </c>
      <c r="I476" t="n">
        <v>9162</v>
      </c>
      <c r="J476" t="inlineStr">
        <is>
          <t>SUBDIRECTOR COMERCIAL</t>
        </is>
      </c>
      <c r="K476" t="n">
        <v>1</v>
      </c>
      <c r="L476" t="inlineStr">
        <is>
          <t>PRESIDENCIA EJECUTIVA DEL CONSEJO</t>
        </is>
      </c>
      <c r="M476" t="n">
        <v>40</v>
      </c>
      <c r="N476" t="inlineStr">
        <is>
          <t>DIRECCION GENERAL BANCO BASE</t>
        </is>
      </c>
      <c r="O476" t="n">
        <v>410</v>
      </c>
      <c r="P476" t="inlineStr">
        <is>
          <t>DIRECCION COMERCIAL</t>
        </is>
      </c>
      <c r="Q476" t="n">
        <v>4130</v>
      </c>
      <c r="R476" t="inlineStr">
        <is>
          <t>DIRECCION COMERCIAL CDMX 2</t>
        </is>
      </c>
      <c r="S476" t="n">
        <v>41320</v>
      </c>
      <c r="T476" t="inlineStr">
        <is>
          <t>SUBDIRECCION COMERCIAL CDMX 2</t>
        </is>
      </c>
      <c r="U476" t="n">
        <v>413200</v>
      </c>
      <c r="V476" t="inlineStr">
        <is>
          <t>SUBDIRECCION COMERCIAL CDMX 2</t>
        </is>
      </c>
      <c r="W476" t="n">
        <v>134111</v>
      </c>
      <c r="X476" t="inlineStr">
        <is>
          <t>LOMAS</t>
        </is>
      </c>
      <c r="Y476" t="n">
        <v>3</v>
      </c>
      <c r="Z476" t="inlineStr">
        <is>
          <t>CAMBIARIO</t>
        </is>
      </c>
      <c r="AA476" t="n">
        <v>1</v>
      </c>
      <c r="AB476" t="inlineStr">
        <is>
          <t>NEGOCIO EN MARCHA</t>
        </is>
      </c>
      <c r="AC476" t="n">
        <v>1</v>
      </c>
      <c r="AD476" t="inlineStr">
        <is>
          <t>BANCO</t>
        </is>
      </c>
      <c r="AE476" t="n">
        <v>3</v>
      </c>
      <c r="AF476" t="inlineStr">
        <is>
          <t>FRONT</t>
        </is>
      </c>
      <c r="AG476" t="n">
        <v>134111</v>
      </c>
      <c r="AH476" t="inlineStr">
        <is>
          <t>LOMAS</t>
        </is>
      </c>
      <c r="AI476" t="inlineStr">
        <is>
          <t>ACORONEL@BANCOBASE.COM</t>
        </is>
      </c>
      <c r="AJ476" s="151" t="n">
        <v>43559</v>
      </c>
      <c r="AK476" s="151" t="n"/>
      <c r="AL476" s="151" t="n"/>
    </row>
    <row r="477" hidden="1" s="150">
      <c r="A477" t="inlineStr">
        <is>
          <t>MRAYA</t>
        </is>
      </c>
      <c r="B477" t="n">
        <v>384</v>
      </c>
      <c r="C477" t="inlineStr">
        <is>
          <t>MARIA GUADALUPE RAYA MEDINA</t>
        </is>
      </c>
      <c r="D477" t="n">
        <v>9174</v>
      </c>
      <c r="E477" t="inlineStr">
        <is>
          <t>ASESOR CAMBIARIO</t>
        </is>
      </c>
      <c r="F477" t="inlineStr">
        <is>
          <t>MEXICO</t>
        </is>
      </c>
      <c r="G477" t="n">
        <v>1434</v>
      </c>
      <c r="H477" t="inlineStr">
        <is>
          <t>IVONNE SANCHEZ PARADA</t>
        </is>
      </c>
      <c r="I477" t="n">
        <v>9162</v>
      </c>
      <c r="J477" t="inlineStr">
        <is>
          <t>SUBDIRECTOR COMERCIAL</t>
        </is>
      </c>
      <c r="K477" t="n">
        <v>1</v>
      </c>
      <c r="L477" t="inlineStr">
        <is>
          <t>PRESIDENCIA EJECUTIVA DEL CONSEJO</t>
        </is>
      </c>
      <c r="M477" t="n">
        <v>40</v>
      </c>
      <c r="N477" t="inlineStr">
        <is>
          <t>DIRECCION GENERAL BANCO BASE</t>
        </is>
      </c>
      <c r="O477" t="n">
        <v>410</v>
      </c>
      <c r="P477" t="inlineStr">
        <is>
          <t>DIRECCION COMERCIAL</t>
        </is>
      </c>
      <c r="Q477" t="n">
        <v>4130</v>
      </c>
      <c r="R477" t="inlineStr">
        <is>
          <t>DIRECCION COMERCIAL CDMX 2</t>
        </is>
      </c>
      <c r="S477" t="n">
        <v>41320</v>
      </c>
      <c r="T477" t="inlineStr">
        <is>
          <t>SUBDIRECCION COMERCIAL CDMX 2</t>
        </is>
      </c>
      <c r="U477" t="n">
        <v>413200</v>
      </c>
      <c r="V477" t="inlineStr">
        <is>
          <t>SUBDIRECCION COMERCIAL CDMX 2</t>
        </is>
      </c>
      <c r="W477" t="n">
        <v>134111</v>
      </c>
      <c r="X477" t="inlineStr">
        <is>
          <t>LOMAS</t>
        </is>
      </c>
      <c r="Y477" t="n">
        <v>3</v>
      </c>
      <c r="Z477" t="inlineStr">
        <is>
          <t>CAMBIARIO</t>
        </is>
      </c>
      <c r="AA477" t="n">
        <v>1</v>
      </c>
      <c r="AB477" t="inlineStr">
        <is>
          <t>NEGOCIO EN MARCHA</t>
        </is>
      </c>
      <c r="AC477" t="n">
        <v>1</v>
      </c>
      <c r="AD477" t="inlineStr">
        <is>
          <t>BANCO</t>
        </is>
      </c>
      <c r="AE477" t="n">
        <v>3</v>
      </c>
      <c r="AF477" t="inlineStr">
        <is>
          <t>FRONT</t>
        </is>
      </c>
      <c r="AG477" t="n">
        <v>134111</v>
      </c>
      <c r="AH477" t="inlineStr">
        <is>
          <t>LOMAS</t>
        </is>
      </c>
      <c r="AI477" t="inlineStr">
        <is>
          <t>MRAYA@BANCOBASE.COM</t>
        </is>
      </c>
      <c r="AJ477" s="151" t="n">
        <v>39114</v>
      </c>
      <c r="AK477" s="151" t="n"/>
      <c r="AL477" s="151" t="n"/>
    </row>
    <row r="478" hidden="1" s="150">
      <c r="A478" t="inlineStr">
        <is>
          <t>DCERVANTES</t>
        </is>
      </c>
      <c r="B478" t="n">
        <v>2241</v>
      </c>
      <c r="C478" t="inlineStr">
        <is>
          <t>DIANA VIANNEY CERVANTES CRUZ</t>
        </is>
      </c>
      <c r="D478" t="n">
        <v>8341</v>
      </c>
      <c r="E478" t="inlineStr">
        <is>
          <t>ESPECIALISTA DE BANCA TRANSACCIONAL</t>
        </is>
      </c>
      <c r="F478" t="inlineStr">
        <is>
          <t>MEXICO</t>
        </is>
      </c>
      <c r="G478" t="n">
        <v>1434</v>
      </c>
      <c r="H478" t="inlineStr">
        <is>
          <t>IVONNE SANCHEZ PARADA</t>
        </is>
      </c>
      <c r="I478" t="n">
        <v>9162</v>
      </c>
      <c r="J478" t="inlineStr">
        <is>
          <t>SUBDIRECTOR COMERCIAL</t>
        </is>
      </c>
      <c r="K478" t="n">
        <v>1</v>
      </c>
      <c r="L478" t="inlineStr">
        <is>
          <t>PRESIDENCIA EJECUTIVA DEL CONSEJO</t>
        </is>
      </c>
      <c r="M478" t="n">
        <v>40</v>
      </c>
      <c r="N478" t="inlineStr">
        <is>
          <t>DIRECCION GENERAL BANCO BASE</t>
        </is>
      </c>
      <c r="O478" t="n">
        <v>410</v>
      </c>
      <c r="P478" t="inlineStr">
        <is>
          <t>DIRECCION COMERCIAL</t>
        </is>
      </c>
      <c r="Q478" t="n">
        <v>4130</v>
      </c>
      <c r="R478" t="inlineStr">
        <is>
          <t>DIRECCION COMERCIAL CDMX 2</t>
        </is>
      </c>
      <c r="S478" t="n">
        <v>41320</v>
      </c>
      <c r="T478" t="inlineStr">
        <is>
          <t>SUBDIRECCION COMERCIAL CDMX 2</t>
        </is>
      </c>
      <c r="U478" t="n">
        <v>413200</v>
      </c>
      <c r="V478" t="inlineStr">
        <is>
          <t>SUBDIRECCION COMERCIAL CDMX 2</t>
        </is>
      </c>
      <c r="W478" t="n">
        <v>134111</v>
      </c>
      <c r="X478" t="inlineStr">
        <is>
          <t>LOMAS</t>
        </is>
      </c>
      <c r="Y478" t="n">
        <v>14</v>
      </c>
      <c r="Z478" t="inlineStr">
        <is>
          <t>TRANSACCIONAL</t>
        </is>
      </c>
      <c r="AA478" t="n">
        <v>1</v>
      </c>
      <c r="AB478" t="inlineStr">
        <is>
          <t>NEGOCIO EN MARCHA</t>
        </is>
      </c>
      <c r="AC478" t="n">
        <v>1</v>
      </c>
      <c r="AD478" t="inlineStr">
        <is>
          <t>BANCO</t>
        </is>
      </c>
      <c r="AE478" t="n">
        <v>3</v>
      </c>
      <c r="AF478" t="inlineStr">
        <is>
          <t>FRONT</t>
        </is>
      </c>
      <c r="AG478" t="n">
        <v>134111</v>
      </c>
      <c r="AH478" t="inlineStr">
        <is>
          <t>LOMAS</t>
        </is>
      </c>
      <c r="AI478" t="inlineStr">
        <is>
          <t>DCERVANTES@BANCOBASE.COM</t>
        </is>
      </c>
      <c r="AJ478" s="151" t="n">
        <v>43593</v>
      </c>
      <c r="AK478" s="151" t="n"/>
      <c r="AL478" s="151" t="n"/>
    </row>
    <row r="479" hidden="1" s="150">
      <c r="A479" t="inlineStr">
        <is>
          <t>IENRIQUEZ</t>
        </is>
      </c>
      <c r="B479" t="n">
        <v>3053</v>
      </c>
      <c r="C479" t="inlineStr">
        <is>
          <t>ILSE KARINA ENRIQUEZ GONZALEZ</t>
        </is>
      </c>
      <c r="D479" t="n">
        <v>8336</v>
      </c>
      <c r="E479" t="inlineStr">
        <is>
          <t>EJECUTIVO DE SOPORTE</t>
        </is>
      </c>
      <c r="F479" t="inlineStr">
        <is>
          <t>MEXICO</t>
        </is>
      </c>
      <c r="G479" t="n">
        <v>1434</v>
      </c>
      <c r="H479" t="inlineStr">
        <is>
          <t>IVONNE SANCHEZ PARADA</t>
        </is>
      </c>
      <c r="I479" t="n">
        <v>9162</v>
      </c>
      <c r="J479" t="inlineStr">
        <is>
          <t>SUBDIRECTOR COMERCIAL</t>
        </is>
      </c>
      <c r="K479" t="n">
        <v>1</v>
      </c>
      <c r="L479" t="inlineStr">
        <is>
          <t>PRESIDENCIA EJECUTIVA DEL CONSEJO</t>
        </is>
      </c>
      <c r="M479" t="n">
        <v>40</v>
      </c>
      <c r="N479" t="inlineStr">
        <is>
          <t>DIRECCION GENERAL BANCO BASE</t>
        </is>
      </c>
      <c r="O479" t="n">
        <v>410</v>
      </c>
      <c r="P479" t="inlineStr">
        <is>
          <t>DIRECCION COMERCIAL</t>
        </is>
      </c>
      <c r="Q479" t="n">
        <v>4130</v>
      </c>
      <c r="R479" t="inlineStr">
        <is>
          <t>DIRECCION COMERCIAL CDMX 2</t>
        </is>
      </c>
      <c r="S479" t="n">
        <v>41320</v>
      </c>
      <c r="T479" t="inlineStr">
        <is>
          <t>SUBDIRECCION COMERCIAL CDMX 2</t>
        </is>
      </c>
      <c r="U479" t="n">
        <v>413200</v>
      </c>
      <c r="V479" t="inlineStr">
        <is>
          <t>SUBDIRECCION COMERCIAL CDMX 2</t>
        </is>
      </c>
      <c r="W479" t="n">
        <v>134111</v>
      </c>
      <c r="X479" t="inlineStr">
        <is>
          <t>LOMAS</t>
        </is>
      </c>
      <c r="Y479" t="n">
        <v>17</v>
      </c>
      <c r="Z479" t="inlineStr">
        <is>
          <t>SOPORTE</t>
        </is>
      </c>
      <c r="AA479" t="n">
        <v>1</v>
      </c>
      <c r="AB479" t="inlineStr">
        <is>
          <t>NEGOCIO EN MARCHA</t>
        </is>
      </c>
      <c r="AC479" t="n">
        <v>1</v>
      </c>
      <c r="AD479" t="inlineStr">
        <is>
          <t>BANCO</t>
        </is>
      </c>
      <c r="AE479" t="n">
        <v>2</v>
      </c>
      <c r="AF479" t="inlineStr">
        <is>
          <t>MIDDLE</t>
        </is>
      </c>
      <c r="AG479" t="n">
        <v>134111</v>
      </c>
      <c r="AH479" t="inlineStr">
        <is>
          <t>LOMAS</t>
        </is>
      </c>
      <c r="AI479" t="inlineStr">
        <is>
          <t>IENRIQUEZ@BANCOBASE.COM</t>
        </is>
      </c>
      <c r="AJ479" s="151" t="n">
        <v>45357</v>
      </c>
      <c r="AK479" s="151" t="n"/>
      <c r="AL479" s="151" t="n"/>
    </row>
    <row r="480" hidden="1" s="150">
      <c r="A480" t="inlineStr">
        <is>
          <t>XSILVA</t>
        </is>
      </c>
      <c r="B480" t="n">
        <v>2503</v>
      </c>
      <c r="C480" t="inlineStr">
        <is>
          <t>XIMENA SILVA VILLARELLO</t>
        </is>
      </c>
      <c r="D480" t="n">
        <v>9980</v>
      </c>
      <c r="E480" t="inlineStr">
        <is>
          <t>ESPECIALISTA DE FINANCIAMIENTO</t>
        </is>
      </c>
      <c r="F480" t="inlineStr">
        <is>
          <t>MEXICO</t>
        </is>
      </c>
      <c r="G480" t="n">
        <v>1434</v>
      </c>
      <c r="H480" t="inlineStr">
        <is>
          <t>IVONNE SANCHEZ PARADA</t>
        </is>
      </c>
      <c r="I480" t="n">
        <v>9162</v>
      </c>
      <c r="J480" t="inlineStr">
        <is>
          <t>SUBDIRECTOR COMERCIAL</t>
        </is>
      </c>
      <c r="K480" t="n">
        <v>1</v>
      </c>
      <c r="L480" t="inlineStr">
        <is>
          <t>PRESIDENCIA EJECUTIVA DEL CONSEJO</t>
        </is>
      </c>
      <c r="M480" t="n">
        <v>40</v>
      </c>
      <c r="N480" t="inlineStr">
        <is>
          <t>DIRECCION GENERAL BANCO BASE</t>
        </is>
      </c>
      <c r="O480" t="n">
        <v>410</v>
      </c>
      <c r="P480" t="inlineStr">
        <is>
          <t>DIRECCION COMERCIAL</t>
        </is>
      </c>
      <c r="Q480" t="n">
        <v>4130</v>
      </c>
      <c r="R480" t="inlineStr">
        <is>
          <t>DIRECCION COMERCIAL CDMX 2</t>
        </is>
      </c>
      <c r="S480" t="n">
        <v>41320</v>
      </c>
      <c r="T480" t="inlineStr">
        <is>
          <t>SUBDIRECCION COMERCIAL CDMX 2</t>
        </is>
      </c>
      <c r="U480" t="n">
        <v>413200</v>
      </c>
      <c r="V480" t="inlineStr">
        <is>
          <t>SUBDIRECCION COMERCIAL CDMX 2</t>
        </is>
      </c>
      <c r="W480" t="n">
        <v>134111</v>
      </c>
      <c r="X480" t="inlineStr">
        <is>
          <t>LOMAS</t>
        </is>
      </c>
      <c r="Y480" t="n">
        <v>13</v>
      </c>
      <c r="Z480" t="inlineStr">
        <is>
          <t>FINANCIAMIENTO</t>
        </is>
      </c>
      <c r="AA480" t="n">
        <v>1</v>
      </c>
      <c r="AB480" t="inlineStr">
        <is>
          <t>NEGOCIO EN MARCHA</t>
        </is>
      </c>
      <c r="AC480" t="n">
        <v>1</v>
      </c>
      <c r="AD480" t="inlineStr">
        <is>
          <t>BANCO</t>
        </is>
      </c>
      <c r="AE480" t="n">
        <v>3</v>
      </c>
      <c r="AF480" t="inlineStr">
        <is>
          <t>FRONT</t>
        </is>
      </c>
      <c r="AG480" t="n">
        <v>134111</v>
      </c>
      <c r="AH480" t="inlineStr">
        <is>
          <t>LOMAS</t>
        </is>
      </c>
      <c r="AI480" t="inlineStr">
        <is>
          <t>XSILVA@BANCOBASE.COM</t>
        </is>
      </c>
      <c r="AJ480" s="151" t="n">
        <v>44348</v>
      </c>
      <c r="AK480" s="151" t="n"/>
      <c r="AL480" s="151" t="n"/>
    </row>
    <row r="481" hidden="1" s="150">
      <c r="A481" t="inlineStr">
        <is>
          <t>AVENEGAS</t>
        </is>
      </c>
      <c r="B481" t="n">
        <v>1147</v>
      </c>
      <c r="C481" t="inlineStr">
        <is>
          <t>ARACELI VENEGAS VILLAGOMEZ</t>
        </is>
      </c>
      <c r="D481" t="n">
        <v>9211</v>
      </c>
      <c r="E481" t="inlineStr">
        <is>
          <t>ASISTENTE CAMBIARIO</t>
        </is>
      </c>
      <c r="F481" t="inlineStr">
        <is>
          <t>MEXICO</t>
        </is>
      </c>
      <c r="G481" t="n">
        <v>1434</v>
      </c>
      <c r="H481" t="inlineStr">
        <is>
          <t>IVONNE SANCHEZ PARADA</t>
        </is>
      </c>
      <c r="I481" t="n">
        <v>9162</v>
      </c>
      <c r="J481" t="inlineStr">
        <is>
          <t>SUBDIRECTOR COMERCIAL</t>
        </is>
      </c>
      <c r="K481" t="n">
        <v>1</v>
      </c>
      <c r="L481" t="inlineStr">
        <is>
          <t>PRESIDENCIA EJECUTIVA DEL CONSEJO</t>
        </is>
      </c>
      <c r="M481" t="n">
        <v>40</v>
      </c>
      <c r="N481" t="inlineStr">
        <is>
          <t>DIRECCION GENERAL BANCO BASE</t>
        </is>
      </c>
      <c r="O481" t="n">
        <v>410</v>
      </c>
      <c r="P481" t="inlineStr">
        <is>
          <t>DIRECCION COMERCIAL</t>
        </is>
      </c>
      <c r="Q481" t="n">
        <v>4130</v>
      </c>
      <c r="R481" t="inlineStr">
        <is>
          <t>DIRECCION COMERCIAL CDMX 2</t>
        </is>
      </c>
      <c r="S481" t="n">
        <v>41320</v>
      </c>
      <c r="T481" t="inlineStr">
        <is>
          <t>SUBDIRECCION COMERCIAL CDMX 2</t>
        </is>
      </c>
      <c r="U481" t="n">
        <v>413200</v>
      </c>
      <c r="V481" t="inlineStr">
        <is>
          <t>SUBDIRECCION COMERCIAL CDMX 2</t>
        </is>
      </c>
      <c r="W481" t="n">
        <v>134111</v>
      </c>
      <c r="X481" t="inlineStr">
        <is>
          <t>LOMAS</t>
        </is>
      </c>
      <c r="Y481" t="n">
        <v>3</v>
      </c>
      <c r="Z481" t="inlineStr">
        <is>
          <t>CAMBIARIO</t>
        </is>
      </c>
      <c r="AA481" t="n">
        <v>1</v>
      </c>
      <c r="AB481" t="inlineStr">
        <is>
          <t>NEGOCIO EN MARCHA</t>
        </is>
      </c>
      <c r="AC481" t="n">
        <v>1</v>
      </c>
      <c r="AD481" t="inlineStr">
        <is>
          <t>BANCO</t>
        </is>
      </c>
      <c r="AE481" t="n">
        <v>2</v>
      </c>
      <c r="AF481" t="inlineStr">
        <is>
          <t>MIDDLE</t>
        </is>
      </c>
      <c r="AG481" t="n">
        <v>134111</v>
      </c>
      <c r="AH481" t="inlineStr">
        <is>
          <t>LOMAS</t>
        </is>
      </c>
      <c r="AI481" t="inlineStr">
        <is>
          <t>AVENEGAS@BANCOBASE.COM</t>
        </is>
      </c>
      <c r="AJ481" s="151" t="n">
        <v>41765</v>
      </c>
      <c r="AK481" s="151" t="n"/>
      <c r="AL481" s="151" t="n"/>
    </row>
    <row r="482" hidden="1" s="150">
      <c r="A482" t="inlineStr">
        <is>
          <t>IPANIAGUA</t>
        </is>
      </c>
      <c r="B482" t="n">
        <v>3845</v>
      </c>
      <c r="C482" t="inlineStr">
        <is>
          <t>IVAN PANIAGUA GONZALEZ</t>
        </is>
      </c>
      <c r="D482" t="n">
        <v>8281</v>
      </c>
      <c r="E482" t="inlineStr">
        <is>
          <t>ASISTENTE CAMBIARIO</t>
        </is>
      </c>
      <c r="F482" t="inlineStr">
        <is>
          <t>MEXICO</t>
        </is>
      </c>
      <c r="G482" t="n">
        <v>1434</v>
      </c>
      <c r="H482" t="inlineStr">
        <is>
          <t>IVONNE SANCHEZ PARADA</t>
        </is>
      </c>
      <c r="I482" t="n">
        <v>9162</v>
      </c>
      <c r="J482" t="inlineStr">
        <is>
          <t>SUBDIRECTOR COMERCIAL</t>
        </is>
      </c>
      <c r="K482" t="n">
        <v>1</v>
      </c>
      <c r="L482" t="inlineStr">
        <is>
          <t>PRESIDENCIA EJECUTIVA DEL CONSEJO</t>
        </is>
      </c>
      <c r="M482" t="n">
        <v>40</v>
      </c>
      <c r="N482" t="inlineStr">
        <is>
          <t>DIRECCION GENERAL BANCO BASE</t>
        </is>
      </c>
      <c r="O482" t="n">
        <v>410</v>
      </c>
      <c r="P482" t="inlineStr">
        <is>
          <t>DIRECCION COMERCIAL</t>
        </is>
      </c>
      <c r="Q482" t="n">
        <v>4130</v>
      </c>
      <c r="R482" t="inlineStr">
        <is>
          <t>DIRECCION COMERCIAL CDMX 2</t>
        </is>
      </c>
      <c r="S482" t="n">
        <v>41320</v>
      </c>
      <c r="T482" t="inlineStr">
        <is>
          <t>SUBDIRECCION COMERCIAL CDMX 2</t>
        </is>
      </c>
      <c r="U482" t="n">
        <v>413200</v>
      </c>
      <c r="V482" t="inlineStr">
        <is>
          <t>SUBDIRECCION COMERCIAL CDMX 2</t>
        </is>
      </c>
      <c r="W482" t="n">
        <v>134111</v>
      </c>
      <c r="X482" t="inlineStr">
        <is>
          <t>LOMAS</t>
        </is>
      </c>
      <c r="Y482" t="n">
        <v>3</v>
      </c>
      <c r="Z482" t="inlineStr">
        <is>
          <t>CAMBIARIO</t>
        </is>
      </c>
      <c r="AA482" t="n">
        <v>1</v>
      </c>
      <c r="AB482" t="inlineStr">
        <is>
          <t>NEGOCIO EN MARCHA</t>
        </is>
      </c>
      <c r="AC482" t="n">
        <v>1</v>
      </c>
      <c r="AD482" t="inlineStr">
        <is>
          <t>BANCO</t>
        </is>
      </c>
      <c r="AE482" t="n">
        <v>2</v>
      </c>
      <c r="AF482" t="inlineStr">
        <is>
          <t>MIDDLE</t>
        </is>
      </c>
      <c r="AG482" t="n">
        <v>134111</v>
      </c>
      <c r="AH482" t="inlineStr">
        <is>
          <t>LOMAS</t>
        </is>
      </c>
      <c r="AI482" t="inlineStr">
        <is>
          <t>IPANIAGUA@BANCOBASE.COM</t>
        </is>
      </c>
      <c r="AJ482" s="151" t="n">
        <v>46146</v>
      </c>
      <c r="AK482" s="151" t="n"/>
      <c r="AL482" s="151" t="n"/>
    </row>
    <row r="483" hidden="1" s="150">
      <c r="A483" t="inlineStr">
        <is>
          <t>DGONZALEZD</t>
        </is>
      </c>
      <c r="B483" t="n">
        <v>1413</v>
      </c>
      <c r="C483" t="inlineStr">
        <is>
          <t>DIEGO GONZALEZ DE LA VEGA PEREZ GIL</t>
        </is>
      </c>
      <c r="D483" t="n">
        <v>9137</v>
      </c>
      <c r="E483" t="inlineStr">
        <is>
          <t>SUBDIRECTOR DE PROMOCION COMERCIAL</t>
        </is>
      </c>
      <c r="F483" t="inlineStr">
        <is>
          <t>MEXICO</t>
        </is>
      </c>
      <c r="G483" t="n">
        <v>1138</v>
      </c>
      <c r="H483" t="inlineStr">
        <is>
          <t>GUSTAVO GARZA VILLARREAL</t>
        </is>
      </c>
      <c r="I483" t="n">
        <v>3615</v>
      </c>
      <c r="J483" t="inlineStr">
        <is>
          <t>DIRECTOR COMERCIAL CIUDAD DE MEXICO</t>
        </is>
      </c>
      <c r="K483" t="n">
        <v>1</v>
      </c>
      <c r="L483" t="inlineStr">
        <is>
          <t>PRESIDENCIA EJECUTIVA DEL CONSEJO</t>
        </is>
      </c>
      <c r="M483" t="n">
        <v>40</v>
      </c>
      <c r="N483" t="inlineStr">
        <is>
          <t>DIRECCION GENERAL BANCO BASE</t>
        </is>
      </c>
      <c r="O483" t="n">
        <v>410</v>
      </c>
      <c r="P483" t="inlineStr">
        <is>
          <t>DIRECCION COMERCIAL</t>
        </is>
      </c>
      <c r="Q483" t="n">
        <v>4130</v>
      </c>
      <c r="R483" t="inlineStr">
        <is>
          <t>DIRECCION COMERCIAL CDMX 2</t>
        </is>
      </c>
      <c r="S483" t="n">
        <v>41330</v>
      </c>
      <c r="T483" t="inlineStr">
        <is>
          <t>SUBDIRECCION COMERCIAL CDMX 3</t>
        </is>
      </c>
      <c r="U483" t="n">
        <v>413300</v>
      </c>
      <c r="V483" t="inlineStr">
        <is>
          <t>SUBDIRECCION COMERCIAL CDMX 3</t>
        </is>
      </c>
      <c r="W483" t="n">
        <v>134111</v>
      </c>
      <c r="X483" t="inlineStr">
        <is>
          <t>LOMAS</t>
        </is>
      </c>
      <c r="Y483" t="n">
        <v>3</v>
      </c>
      <c r="Z483" t="inlineStr">
        <is>
          <t>CAMBIARIO</t>
        </is>
      </c>
      <c r="AA483" t="n">
        <v>1</v>
      </c>
      <c r="AB483" t="inlineStr">
        <is>
          <t>NEGOCIO EN MARCHA</t>
        </is>
      </c>
      <c r="AC483" t="n">
        <v>1</v>
      </c>
      <c r="AD483" t="inlineStr">
        <is>
          <t>BANCO</t>
        </is>
      </c>
      <c r="AE483" t="n">
        <v>3</v>
      </c>
      <c r="AF483" t="inlineStr">
        <is>
          <t>FRONT</t>
        </is>
      </c>
      <c r="AG483" t="n">
        <v>134111</v>
      </c>
      <c r="AH483" t="inlineStr">
        <is>
          <t>LOMAS</t>
        </is>
      </c>
      <c r="AI483" t="inlineStr">
        <is>
          <t>DGONZALEZD@BANCOBASE.COM</t>
        </is>
      </c>
      <c r="AJ483" s="151" t="n">
        <v>42341</v>
      </c>
      <c r="AK483" s="151" t="n"/>
      <c r="AL483" s="151" t="n"/>
    </row>
    <row r="484" hidden="1" s="150">
      <c r="A484" t="inlineStr">
        <is>
          <t>BGUERRERO</t>
        </is>
      </c>
      <c r="B484" t="n">
        <v>3087</v>
      </c>
      <c r="C484" t="inlineStr">
        <is>
          <t>BRANDON GUERRERO GUADARRAMA</t>
        </is>
      </c>
      <c r="D484" t="n">
        <v>8006</v>
      </c>
      <c r="E484" t="inlineStr">
        <is>
          <t>ASESOR CAMBIARIO</t>
        </is>
      </c>
      <c r="F484" t="inlineStr">
        <is>
          <t>MEXICO</t>
        </is>
      </c>
      <c r="G484" t="n">
        <v>1413</v>
      </c>
      <c r="H484" t="inlineStr">
        <is>
          <t>DIEGO GONZALEZ DE LA VEGA PEREZ GIL</t>
        </is>
      </c>
      <c r="I484" t="n">
        <v>9137</v>
      </c>
      <c r="J484" t="inlineStr">
        <is>
          <t>SUBDIRECTOR DE PROMOCION COMERCIAL</t>
        </is>
      </c>
      <c r="K484" t="n">
        <v>1</v>
      </c>
      <c r="L484" t="inlineStr">
        <is>
          <t>PRESIDENCIA EJECUTIVA DEL CONSEJO</t>
        </is>
      </c>
      <c r="M484" t="n">
        <v>40</v>
      </c>
      <c r="N484" t="inlineStr">
        <is>
          <t>DIRECCION GENERAL BANCO BASE</t>
        </is>
      </c>
      <c r="O484" t="n">
        <v>410</v>
      </c>
      <c r="P484" t="inlineStr">
        <is>
          <t>DIRECCION COMERCIAL</t>
        </is>
      </c>
      <c r="Q484" t="n">
        <v>4130</v>
      </c>
      <c r="R484" t="inlineStr">
        <is>
          <t>DIRECCION COMERCIAL CDMX 2</t>
        </is>
      </c>
      <c r="S484" t="n">
        <v>41330</v>
      </c>
      <c r="T484" t="inlineStr">
        <is>
          <t>SUBDIRECCION COMERCIAL CDMX 3</t>
        </is>
      </c>
      <c r="U484" t="n">
        <v>413300</v>
      </c>
      <c r="V484" t="inlineStr">
        <is>
          <t>SUBDIRECCION COMERCIAL CDMX 3</t>
        </is>
      </c>
      <c r="W484" t="n">
        <v>134111</v>
      </c>
      <c r="X484" t="inlineStr">
        <is>
          <t>LOMAS</t>
        </is>
      </c>
      <c r="Y484" t="n">
        <v>3</v>
      </c>
      <c r="Z484" t="inlineStr">
        <is>
          <t>CAMBIARIO</t>
        </is>
      </c>
      <c r="AA484" t="n">
        <v>1</v>
      </c>
      <c r="AB484" t="inlineStr">
        <is>
          <t>NEGOCIO EN MARCHA</t>
        </is>
      </c>
      <c r="AC484" t="n">
        <v>1</v>
      </c>
      <c r="AD484" t="inlineStr">
        <is>
          <t>BANCO</t>
        </is>
      </c>
      <c r="AE484" t="n">
        <v>3</v>
      </c>
      <c r="AF484" t="inlineStr">
        <is>
          <t>FRONT</t>
        </is>
      </c>
      <c r="AG484" t="n">
        <v>134111</v>
      </c>
      <c r="AH484" t="inlineStr">
        <is>
          <t>LOMAS</t>
        </is>
      </c>
      <c r="AI484" t="inlineStr">
        <is>
          <t>BGUERRERO@BANCOBASE.COM</t>
        </is>
      </c>
      <c r="AJ484" s="151" t="n">
        <v>45398</v>
      </c>
      <c r="AK484" s="151" t="n"/>
      <c r="AL484" s="151" t="n"/>
    </row>
    <row r="485" hidden="1" s="150">
      <c r="A485" t="inlineStr">
        <is>
          <t>EROSSELL</t>
        </is>
      </c>
      <c r="B485" t="n">
        <v>3385</v>
      </c>
      <c r="C485" t="inlineStr">
        <is>
          <t>EMILIANO ROSSELL MULLER</t>
        </is>
      </c>
      <c r="D485" t="n">
        <v>8088</v>
      </c>
      <c r="E485" t="inlineStr">
        <is>
          <t>ASESOR CAMBIARIO</t>
        </is>
      </c>
      <c r="F485" t="inlineStr">
        <is>
          <t>MEXICO</t>
        </is>
      </c>
      <c r="G485" t="n">
        <v>1413</v>
      </c>
      <c r="H485" t="inlineStr">
        <is>
          <t>DIEGO GONZALEZ DE LA VEGA PEREZ GIL</t>
        </is>
      </c>
      <c r="I485" t="n">
        <v>9137</v>
      </c>
      <c r="J485" t="inlineStr">
        <is>
          <t>SUBDIRECTOR DE PROMOCION COMERCIAL</t>
        </is>
      </c>
      <c r="K485" t="n">
        <v>1</v>
      </c>
      <c r="L485" t="inlineStr">
        <is>
          <t>PRESIDENCIA EJECUTIVA DEL CONSEJO</t>
        </is>
      </c>
      <c r="M485" t="n">
        <v>40</v>
      </c>
      <c r="N485" t="inlineStr">
        <is>
          <t>DIRECCION GENERAL BANCO BASE</t>
        </is>
      </c>
      <c r="O485" t="n">
        <v>410</v>
      </c>
      <c r="P485" t="inlineStr">
        <is>
          <t>DIRECCION COMERCIAL</t>
        </is>
      </c>
      <c r="Q485" t="n">
        <v>4130</v>
      </c>
      <c r="R485" t="inlineStr">
        <is>
          <t>DIRECCION COMERCIAL CDMX 2</t>
        </is>
      </c>
      <c r="S485" t="n">
        <v>41330</v>
      </c>
      <c r="T485" t="inlineStr">
        <is>
          <t>SUBDIRECCION COMERCIAL CDMX 3</t>
        </is>
      </c>
      <c r="U485" t="n">
        <v>413300</v>
      </c>
      <c r="V485" t="inlineStr">
        <is>
          <t>SUBDIRECCION COMERCIAL CDMX 3</t>
        </is>
      </c>
      <c r="W485" t="n">
        <v>134111</v>
      </c>
      <c r="X485" t="inlineStr">
        <is>
          <t>LOMAS</t>
        </is>
      </c>
      <c r="Y485" t="n">
        <v>3</v>
      </c>
      <c r="Z485" t="inlineStr">
        <is>
          <t>CAMBIARIO</t>
        </is>
      </c>
      <c r="AA485" t="n">
        <v>1</v>
      </c>
      <c r="AB485" t="inlineStr">
        <is>
          <t>NEGOCIO EN MARCHA</t>
        </is>
      </c>
      <c r="AC485" t="n">
        <v>1</v>
      </c>
      <c r="AD485" t="inlineStr">
        <is>
          <t>BANCO</t>
        </is>
      </c>
      <c r="AE485" t="n">
        <v>3</v>
      </c>
      <c r="AF485" t="inlineStr">
        <is>
          <t>FRONT</t>
        </is>
      </c>
      <c r="AG485" t="n">
        <v>134111</v>
      </c>
      <c r="AH485" t="inlineStr">
        <is>
          <t>LOMAS</t>
        </is>
      </c>
      <c r="AI485" t="inlineStr">
        <is>
          <t>EROSSELL@BANCOBASE.COM</t>
        </is>
      </c>
      <c r="AJ485" s="151" t="n">
        <v>45748</v>
      </c>
      <c r="AK485" s="151" t="n"/>
      <c r="AL485" s="151" t="n"/>
    </row>
    <row r="486" hidden="1" s="150">
      <c r="A486" t="inlineStr">
        <is>
          <t>VRIVAS</t>
        </is>
      </c>
      <c r="B486" t="n">
        <v>1704</v>
      </c>
      <c r="C486" t="inlineStr">
        <is>
          <t>VIVIANA RIVAS ALVAREZ</t>
        </is>
      </c>
      <c r="D486" t="n">
        <v>9957</v>
      </c>
      <c r="E486" t="inlineStr">
        <is>
          <t>ASESOR CAMBIARIO</t>
        </is>
      </c>
      <c r="F486" t="inlineStr">
        <is>
          <t>MEXICO</t>
        </is>
      </c>
      <c r="G486" t="n">
        <v>1413</v>
      </c>
      <c r="H486" t="inlineStr">
        <is>
          <t>DIEGO GONZALEZ DE LA VEGA PEREZ GIL</t>
        </is>
      </c>
      <c r="I486" t="n">
        <v>9137</v>
      </c>
      <c r="J486" t="inlineStr">
        <is>
          <t>SUBDIRECTOR DE PROMOCION COMERCIAL</t>
        </is>
      </c>
      <c r="K486" t="n">
        <v>1</v>
      </c>
      <c r="L486" t="inlineStr">
        <is>
          <t>PRESIDENCIA EJECUTIVA DEL CONSEJO</t>
        </is>
      </c>
      <c r="M486" t="n">
        <v>40</v>
      </c>
      <c r="N486" t="inlineStr">
        <is>
          <t>DIRECCION GENERAL BANCO BASE</t>
        </is>
      </c>
      <c r="O486" t="n">
        <v>410</v>
      </c>
      <c r="P486" t="inlineStr">
        <is>
          <t>DIRECCION COMERCIAL</t>
        </is>
      </c>
      <c r="Q486" t="n">
        <v>4130</v>
      </c>
      <c r="R486" t="inlineStr">
        <is>
          <t>DIRECCION COMERCIAL CDMX 2</t>
        </is>
      </c>
      <c r="S486" t="n">
        <v>41330</v>
      </c>
      <c r="T486" t="inlineStr">
        <is>
          <t>SUBDIRECCION COMERCIAL CDMX 3</t>
        </is>
      </c>
      <c r="U486" t="n">
        <v>413300</v>
      </c>
      <c r="V486" t="inlineStr">
        <is>
          <t>SUBDIRECCION COMERCIAL CDMX 3</t>
        </is>
      </c>
      <c r="W486" t="n">
        <v>134111</v>
      </c>
      <c r="X486" t="inlineStr">
        <is>
          <t>LOMAS</t>
        </is>
      </c>
      <c r="Y486" t="n">
        <v>3</v>
      </c>
      <c r="Z486" t="inlineStr">
        <is>
          <t>CAMBIARIO</t>
        </is>
      </c>
      <c r="AA486" t="n">
        <v>1</v>
      </c>
      <c r="AB486" t="inlineStr">
        <is>
          <t>NEGOCIO EN MARCHA</t>
        </is>
      </c>
      <c r="AC486" t="n">
        <v>1</v>
      </c>
      <c r="AD486" t="inlineStr">
        <is>
          <t>BANCO</t>
        </is>
      </c>
      <c r="AE486" t="n">
        <v>3</v>
      </c>
      <c r="AF486" t="inlineStr">
        <is>
          <t>FRONT</t>
        </is>
      </c>
      <c r="AG486" t="n">
        <v>134111</v>
      </c>
      <c r="AH486" t="inlineStr">
        <is>
          <t>LOMAS</t>
        </is>
      </c>
      <c r="AI486" t="inlineStr">
        <is>
          <t>VRIVAS@BANCOBASE.COM</t>
        </is>
      </c>
      <c r="AJ486" s="151" t="n">
        <v>42773</v>
      </c>
      <c r="AK486" s="151" t="n"/>
      <c r="AL486" s="151" t="n"/>
    </row>
    <row r="487" hidden="1" s="150">
      <c r="A487" t="inlineStr">
        <is>
          <t>ASANCHEA</t>
        </is>
      </c>
      <c r="B487" t="n">
        <v>3508</v>
      </c>
      <c r="C487" t="inlineStr">
        <is>
          <t>ANGELICA SANCHEZ ALCAZAR</t>
        </is>
      </c>
      <c r="D487" t="n">
        <v>9468</v>
      </c>
      <c r="E487" t="inlineStr">
        <is>
          <t>ASESOR CAMBIARIO</t>
        </is>
      </c>
      <c r="F487" t="inlineStr">
        <is>
          <t>MEXICO</t>
        </is>
      </c>
      <c r="G487" t="n">
        <v>1413</v>
      </c>
      <c r="H487" t="inlineStr">
        <is>
          <t>DIEGO GONZALEZ DE LA VEGA PEREZ GIL</t>
        </is>
      </c>
      <c r="I487" t="n">
        <v>9137</v>
      </c>
      <c r="J487" t="inlineStr">
        <is>
          <t>SUBDIRECTOR DE PROMOCION COMERCIAL</t>
        </is>
      </c>
      <c r="K487" t="n">
        <v>1</v>
      </c>
      <c r="L487" t="inlineStr">
        <is>
          <t>PRESIDENCIA EJECUTIVA DEL CONSEJO</t>
        </is>
      </c>
      <c r="M487" t="n">
        <v>40</v>
      </c>
      <c r="N487" t="inlineStr">
        <is>
          <t>DIRECCION GENERAL BANCO BASE</t>
        </is>
      </c>
      <c r="O487" t="n">
        <v>410</v>
      </c>
      <c r="P487" t="inlineStr">
        <is>
          <t>DIRECCION COMERCIAL</t>
        </is>
      </c>
      <c r="Q487" t="n">
        <v>4130</v>
      </c>
      <c r="R487" t="inlineStr">
        <is>
          <t>DIRECCION COMERCIAL CDMX 2</t>
        </is>
      </c>
      <c r="S487" t="n">
        <v>41330</v>
      </c>
      <c r="T487" t="inlineStr">
        <is>
          <t>SUBDIRECCION COMERCIAL CDMX 3</t>
        </is>
      </c>
      <c r="U487" t="n">
        <v>413300</v>
      </c>
      <c r="V487" t="inlineStr">
        <is>
          <t>SUBDIRECCION COMERCIAL CDMX 3</t>
        </is>
      </c>
      <c r="W487" t="n">
        <v>134111</v>
      </c>
      <c r="X487" t="inlineStr">
        <is>
          <t>LOMAS</t>
        </is>
      </c>
      <c r="Y487" t="n">
        <v>3</v>
      </c>
      <c r="Z487" t="inlineStr">
        <is>
          <t>CAMBIARIO</t>
        </is>
      </c>
      <c r="AA487" t="n">
        <v>1</v>
      </c>
      <c r="AB487" t="inlineStr">
        <is>
          <t>NEGOCIO EN MARCHA</t>
        </is>
      </c>
      <c r="AC487" t="n">
        <v>1</v>
      </c>
      <c r="AD487" t="inlineStr">
        <is>
          <t>BANCO</t>
        </is>
      </c>
      <c r="AE487" t="n">
        <v>3</v>
      </c>
      <c r="AF487" t="inlineStr">
        <is>
          <t>FRONT</t>
        </is>
      </c>
      <c r="AG487" t="n">
        <v>134111</v>
      </c>
      <c r="AH487" t="inlineStr">
        <is>
          <t>LOMAS</t>
        </is>
      </c>
      <c r="AI487" t="inlineStr">
        <is>
          <t>ASANCHEA@BANCOBASE.COM</t>
        </is>
      </c>
      <c r="AJ487" s="151" t="n">
        <v>45873</v>
      </c>
      <c r="AK487" s="151" t="n"/>
      <c r="AL487" s="151" t="n"/>
    </row>
    <row r="488" hidden="1" s="150">
      <c r="A488" t="inlineStr">
        <is>
          <t>HCUBRIA</t>
        </is>
      </c>
      <c r="B488" t="n">
        <v>2571</v>
      </c>
      <c r="C488" t="inlineStr">
        <is>
          <t>JOSE HUMBERTO CUBRIA PACHECO</t>
        </is>
      </c>
      <c r="D488" t="n">
        <v>9187</v>
      </c>
      <c r="E488" t="inlineStr">
        <is>
          <t>ASESOR CAMBIARIO</t>
        </is>
      </c>
      <c r="F488" t="inlineStr">
        <is>
          <t>MEXICO</t>
        </is>
      </c>
      <c r="G488" t="n">
        <v>1413</v>
      </c>
      <c r="H488" t="inlineStr">
        <is>
          <t>DIEGO GONZALEZ DE LA VEGA PEREZ GIL</t>
        </is>
      </c>
      <c r="I488" t="n">
        <v>9137</v>
      </c>
      <c r="J488" t="inlineStr">
        <is>
          <t>SUBDIRECTOR DE PROMOCION COMERCIAL</t>
        </is>
      </c>
      <c r="K488" t="n">
        <v>1</v>
      </c>
      <c r="L488" t="inlineStr">
        <is>
          <t>PRESIDENCIA EJECUTIVA DEL CONSEJO</t>
        </is>
      </c>
      <c r="M488" t="n">
        <v>40</v>
      </c>
      <c r="N488" t="inlineStr">
        <is>
          <t>DIRECCION GENERAL BANCO BASE</t>
        </is>
      </c>
      <c r="O488" t="n">
        <v>410</v>
      </c>
      <c r="P488" t="inlineStr">
        <is>
          <t>DIRECCION COMERCIAL</t>
        </is>
      </c>
      <c r="Q488" t="n">
        <v>4130</v>
      </c>
      <c r="R488" t="inlineStr">
        <is>
          <t>DIRECCION COMERCIAL CDMX 2</t>
        </is>
      </c>
      <c r="S488" t="n">
        <v>41330</v>
      </c>
      <c r="T488" t="inlineStr">
        <is>
          <t>SUBDIRECCION COMERCIAL CDMX 3</t>
        </is>
      </c>
      <c r="U488" t="n">
        <v>413300</v>
      </c>
      <c r="V488" t="inlineStr">
        <is>
          <t>SUBDIRECCION COMERCIAL CDMX 3</t>
        </is>
      </c>
      <c r="W488" t="n">
        <v>134111</v>
      </c>
      <c r="X488" t="inlineStr">
        <is>
          <t>LOMAS</t>
        </is>
      </c>
      <c r="Y488" t="n">
        <v>3</v>
      </c>
      <c r="Z488" t="inlineStr">
        <is>
          <t>CAMBIARIO</t>
        </is>
      </c>
      <c r="AA488" t="n">
        <v>1</v>
      </c>
      <c r="AB488" t="inlineStr">
        <is>
          <t>NEGOCIO EN MARCHA</t>
        </is>
      </c>
      <c r="AC488" t="n">
        <v>1</v>
      </c>
      <c r="AD488" t="inlineStr">
        <is>
          <t>BANCO</t>
        </is>
      </c>
      <c r="AE488" t="n">
        <v>3</v>
      </c>
      <c r="AF488" t="inlineStr">
        <is>
          <t>FRONT</t>
        </is>
      </c>
      <c r="AG488" t="n">
        <v>134111</v>
      </c>
      <c r="AH488" t="inlineStr">
        <is>
          <t>LOMAS</t>
        </is>
      </c>
      <c r="AI488" t="inlineStr">
        <is>
          <t>HCUBRIA@BANCOBASE.COM</t>
        </is>
      </c>
      <c r="AJ488" s="151" t="n">
        <v>44516</v>
      </c>
      <c r="AK488" s="151" t="n"/>
      <c r="AL488" s="151" t="n"/>
    </row>
    <row r="489" hidden="1" s="150">
      <c r="A489" t="inlineStr">
        <is>
          <t>EALCANTARA</t>
        </is>
      </c>
      <c r="B489" t="n">
        <v>774</v>
      </c>
      <c r="C489" t="inlineStr">
        <is>
          <t>ERIKA PILAR ALCANTARA LOPEZ</t>
        </is>
      </c>
      <c r="D489" t="n">
        <v>9273</v>
      </c>
      <c r="E489" t="inlineStr">
        <is>
          <t>ASESOR CAMBIARIO</t>
        </is>
      </c>
      <c r="F489" t="inlineStr">
        <is>
          <t>MEXICO</t>
        </is>
      </c>
      <c r="G489" t="n">
        <v>1413</v>
      </c>
      <c r="H489" t="inlineStr">
        <is>
          <t>DIEGO GONZALEZ DE LA VEGA PEREZ GIL</t>
        </is>
      </c>
      <c r="I489" t="n">
        <v>9137</v>
      </c>
      <c r="J489" t="inlineStr">
        <is>
          <t>SUBDIRECTOR DE PROMOCION COMERCIAL</t>
        </is>
      </c>
      <c r="K489" t="n">
        <v>1</v>
      </c>
      <c r="L489" t="inlineStr">
        <is>
          <t>PRESIDENCIA EJECUTIVA DEL CONSEJO</t>
        </is>
      </c>
      <c r="M489" t="n">
        <v>40</v>
      </c>
      <c r="N489" t="inlineStr">
        <is>
          <t>DIRECCION GENERAL BANCO BASE</t>
        </is>
      </c>
      <c r="O489" t="n">
        <v>410</v>
      </c>
      <c r="P489" t="inlineStr">
        <is>
          <t>DIRECCION COMERCIAL</t>
        </is>
      </c>
      <c r="Q489" t="n">
        <v>4130</v>
      </c>
      <c r="R489" t="inlineStr">
        <is>
          <t>DIRECCION COMERCIAL CDMX 2</t>
        </is>
      </c>
      <c r="S489" t="n">
        <v>41330</v>
      </c>
      <c r="T489" t="inlineStr">
        <is>
          <t>SUBDIRECCION COMERCIAL CDMX 3</t>
        </is>
      </c>
      <c r="U489" t="n">
        <v>413300</v>
      </c>
      <c r="V489" t="inlineStr">
        <is>
          <t>SUBDIRECCION COMERCIAL CDMX 3</t>
        </is>
      </c>
      <c r="W489" t="n">
        <v>134111</v>
      </c>
      <c r="X489" t="inlineStr">
        <is>
          <t>LOMAS</t>
        </is>
      </c>
      <c r="Y489" t="n">
        <v>3</v>
      </c>
      <c r="Z489" t="inlineStr">
        <is>
          <t>CAMBIARIO</t>
        </is>
      </c>
      <c r="AA489" t="n">
        <v>1</v>
      </c>
      <c r="AB489" t="inlineStr">
        <is>
          <t>NEGOCIO EN MARCHA</t>
        </is>
      </c>
      <c r="AC489" t="n">
        <v>1</v>
      </c>
      <c r="AD489" t="inlineStr">
        <is>
          <t>BANCO</t>
        </is>
      </c>
      <c r="AE489" t="n">
        <v>3</v>
      </c>
      <c r="AF489" t="inlineStr">
        <is>
          <t>FRONT</t>
        </is>
      </c>
      <c r="AG489" t="n">
        <v>134111</v>
      </c>
      <c r="AH489" t="inlineStr">
        <is>
          <t>LOMAS</t>
        </is>
      </c>
      <c r="AI489" t="inlineStr">
        <is>
          <t>EALCANTARA@BANCOBASE.COM</t>
        </is>
      </c>
      <c r="AJ489" s="151" t="n">
        <v>40756</v>
      </c>
      <c r="AK489" s="151" t="n"/>
      <c r="AL489" s="151" t="n"/>
    </row>
    <row r="490" hidden="1" s="150">
      <c r="A490" t="inlineStr">
        <is>
          <t>AMENDOZAHE</t>
        </is>
      </c>
      <c r="B490" t="n">
        <v>3629</v>
      </c>
      <c r="C490" t="inlineStr">
        <is>
          <t>ANABEL MENDOZA HERNANDEZ</t>
        </is>
      </c>
      <c r="D490" t="n">
        <v>9896</v>
      </c>
      <c r="E490" t="inlineStr">
        <is>
          <t>ESPECIALISTA DE BANCA TRANSACCIONAL</t>
        </is>
      </c>
      <c r="F490" t="inlineStr">
        <is>
          <t>MEXICO</t>
        </is>
      </c>
      <c r="G490" t="n">
        <v>1413</v>
      </c>
      <c r="H490" t="inlineStr">
        <is>
          <t>DIEGO GONZALEZ DE LA VEGA PEREZ GIL</t>
        </is>
      </c>
      <c r="I490" t="n">
        <v>9137</v>
      </c>
      <c r="J490" t="inlineStr">
        <is>
          <t>SUBDIRECTOR DE PROMOCION COMERCIAL</t>
        </is>
      </c>
      <c r="K490" t="n">
        <v>1</v>
      </c>
      <c r="L490" t="inlineStr">
        <is>
          <t>PRESIDENCIA EJECUTIVA DEL CONSEJO</t>
        </is>
      </c>
      <c r="M490" t="n">
        <v>40</v>
      </c>
      <c r="N490" t="inlineStr">
        <is>
          <t>DIRECCION GENERAL BANCO BASE</t>
        </is>
      </c>
      <c r="O490" t="n">
        <v>410</v>
      </c>
      <c r="P490" t="inlineStr">
        <is>
          <t>DIRECCION COMERCIAL</t>
        </is>
      </c>
      <c r="Q490" t="n">
        <v>4130</v>
      </c>
      <c r="R490" t="inlineStr">
        <is>
          <t>DIRECCION COMERCIAL CDMX 2</t>
        </is>
      </c>
      <c r="S490" t="n">
        <v>41330</v>
      </c>
      <c r="T490" t="inlineStr">
        <is>
          <t>SUBDIRECCION COMERCIAL CDMX 3</t>
        </is>
      </c>
      <c r="U490" t="n">
        <v>413300</v>
      </c>
      <c r="V490" t="inlineStr">
        <is>
          <t>SUBDIRECCION COMERCIAL CDMX 3</t>
        </is>
      </c>
      <c r="W490" t="n">
        <v>134111</v>
      </c>
      <c r="X490" t="inlineStr">
        <is>
          <t>LOMAS</t>
        </is>
      </c>
      <c r="Y490" t="n">
        <v>14</v>
      </c>
      <c r="Z490" t="inlineStr">
        <is>
          <t>TRANSACCIONAL</t>
        </is>
      </c>
      <c r="AA490" t="n">
        <v>1</v>
      </c>
      <c r="AB490" t="inlineStr">
        <is>
          <t>NEGOCIO EN MARCHA</t>
        </is>
      </c>
      <c r="AC490" t="n">
        <v>1</v>
      </c>
      <c r="AD490" t="inlineStr">
        <is>
          <t>BANCO</t>
        </is>
      </c>
      <c r="AE490" t="n">
        <v>3</v>
      </c>
      <c r="AF490" t="inlineStr">
        <is>
          <t>FRONT</t>
        </is>
      </c>
      <c r="AG490" t="n">
        <v>134111</v>
      </c>
      <c r="AH490" t="inlineStr">
        <is>
          <t>LOMAS</t>
        </is>
      </c>
      <c r="AI490" t="inlineStr">
        <is>
          <t>AMENDOZAHE@BANCOBASE.COM</t>
        </is>
      </c>
      <c r="AJ490" s="151" t="n">
        <v>45946</v>
      </c>
      <c r="AK490" s="151" t="n"/>
      <c r="AL490" s="151" t="n"/>
    </row>
    <row r="491" hidden="1" s="150">
      <c r="A491" t="inlineStr">
        <is>
          <t>MBARRIOS</t>
        </is>
      </c>
      <c r="B491" t="n">
        <v>2497</v>
      </c>
      <c r="C491" t="inlineStr">
        <is>
          <t>MARIO ALBERTO BARRIOS SILVA</t>
        </is>
      </c>
      <c r="D491" t="n">
        <v>9410</v>
      </c>
      <c r="E491" t="inlineStr">
        <is>
          <t>ESPECIALISTA DE FINANCIAMIENTO</t>
        </is>
      </c>
      <c r="F491" t="inlineStr">
        <is>
          <t>MEXICO</t>
        </is>
      </c>
      <c r="G491" t="n">
        <v>1413</v>
      </c>
      <c r="H491" t="inlineStr">
        <is>
          <t>DIEGO GONZALEZ DE LA VEGA PEREZ GIL</t>
        </is>
      </c>
      <c r="I491" t="n">
        <v>9137</v>
      </c>
      <c r="J491" t="inlineStr">
        <is>
          <t>SUBDIRECTOR DE PROMOCION COMERCIAL</t>
        </is>
      </c>
      <c r="K491" t="n">
        <v>1</v>
      </c>
      <c r="L491" t="inlineStr">
        <is>
          <t>PRESIDENCIA EJECUTIVA DEL CONSEJO</t>
        </is>
      </c>
      <c r="M491" t="n">
        <v>40</v>
      </c>
      <c r="N491" t="inlineStr">
        <is>
          <t>DIRECCION GENERAL BANCO BASE</t>
        </is>
      </c>
      <c r="O491" t="n">
        <v>410</v>
      </c>
      <c r="P491" t="inlineStr">
        <is>
          <t>DIRECCION COMERCIAL</t>
        </is>
      </c>
      <c r="Q491" t="n">
        <v>4130</v>
      </c>
      <c r="R491" t="inlineStr">
        <is>
          <t>DIRECCION COMERCIAL CDMX 2</t>
        </is>
      </c>
      <c r="S491" t="n">
        <v>41330</v>
      </c>
      <c r="T491" t="inlineStr">
        <is>
          <t>SUBDIRECCION COMERCIAL CDMX 3</t>
        </is>
      </c>
      <c r="U491" t="n">
        <v>413300</v>
      </c>
      <c r="V491" t="inlineStr">
        <is>
          <t>SUBDIRECCION COMERCIAL CDMX 3</t>
        </is>
      </c>
      <c r="W491" t="n">
        <v>134111</v>
      </c>
      <c r="X491" t="inlineStr">
        <is>
          <t>LOMAS</t>
        </is>
      </c>
      <c r="Y491" t="n">
        <v>13</v>
      </c>
      <c r="Z491" t="inlineStr">
        <is>
          <t>FINANCIAMIENTO</t>
        </is>
      </c>
      <c r="AA491" t="n">
        <v>1</v>
      </c>
      <c r="AB491" t="inlineStr">
        <is>
          <t>NEGOCIO EN MARCHA</t>
        </is>
      </c>
      <c r="AC491" t="n">
        <v>1</v>
      </c>
      <c r="AD491" t="inlineStr">
        <is>
          <t>BANCO</t>
        </is>
      </c>
      <c r="AE491" t="n">
        <v>3</v>
      </c>
      <c r="AF491" t="inlineStr">
        <is>
          <t>FRONT</t>
        </is>
      </c>
      <c r="AG491" t="n">
        <v>134111</v>
      </c>
      <c r="AH491" t="inlineStr">
        <is>
          <t>LOMAS</t>
        </is>
      </c>
      <c r="AI491" t="inlineStr">
        <is>
          <t>MBARRIOS@BANCOBASE.COM</t>
        </is>
      </c>
      <c r="AJ491" s="151" t="n">
        <v>44333</v>
      </c>
      <c r="AK491" s="151" t="n"/>
      <c r="AL491" s="151" t="n"/>
    </row>
    <row r="492" hidden="1" s="150">
      <c r="A492" t="inlineStr">
        <is>
          <t>GIGLESIAS</t>
        </is>
      </c>
      <c r="B492" t="n">
        <v>3115</v>
      </c>
      <c r="C492" t="inlineStr">
        <is>
          <t>GABRIELA IGLESIAS RAMIREZ</t>
        </is>
      </c>
      <c r="D492" t="n">
        <v>9952</v>
      </c>
      <c r="E492" t="inlineStr">
        <is>
          <t>EJECUTIVO DE SOPORTE</t>
        </is>
      </c>
      <c r="F492" t="inlineStr">
        <is>
          <t>MEXICO</t>
        </is>
      </c>
      <c r="G492" t="n">
        <v>1413</v>
      </c>
      <c r="H492" t="inlineStr">
        <is>
          <t>DIEGO GONZALEZ DE LA VEGA PEREZ GIL</t>
        </is>
      </c>
      <c r="I492" t="n">
        <v>9137</v>
      </c>
      <c r="J492" t="inlineStr">
        <is>
          <t>SUBDIRECTOR DE PROMOCION COMERCIAL</t>
        </is>
      </c>
      <c r="K492" t="n">
        <v>1</v>
      </c>
      <c r="L492" t="inlineStr">
        <is>
          <t>PRESIDENCIA EJECUTIVA DEL CONSEJO</t>
        </is>
      </c>
      <c r="M492" t="n">
        <v>40</v>
      </c>
      <c r="N492" t="inlineStr">
        <is>
          <t>DIRECCION GENERAL BANCO BASE</t>
        </is>
      </c>
      <c r="O492" t="n">
        <v>410</v>
      </c>
      <c r="P492" t="inlineStr">
        <is>
          <t>DIRECCION COMERCIAL</t>
        </is>
      </c>
      <c r="Q492" t="n">
        <v>4130</v>
      </c>
      <c r="R492" t="inlineStr">
        <is>
          <t>DIRECCION COMERCIAL CDMX 2</t>
        </is>
      </c>
      <c r="S492" t="n">
        <v>41330</v>
      </c>
      <c r="T492" t="inlineStr">
        <is>
          <t>SUBDIRECCION COMERCIAL CDMX 3</t>
        </is>
      </c>
      <c r="U492" t="n">
        <v>413300</v>
      </c>
      <c r="V492" t="inlineStr">
        <is>
          <t>SUBDIRECCION COMERCIAL CDMX 3</t>
        </is>
      </c>
      <c r="W492" t="n">
        <v>134111</v>
      </c>
      <c r="X492" t="inlineStr">
        <is>
          <t>LOMAS</t>
        </is>
      </c>
      <c r="Y492" t="n">
        <v>17</v>
      </c>
      <c r="Z492" t="inlineStr">
        <is>
          <t>SOPORTE</t>
        </is>
      </c>
      <c r="AA492" t="n">
        <v>1</v>
      </c>
      <c r="AB492" t="inlineStr">
        <is>
          <t>NEGOCIO EN MARCHA</t>
        </is>
      </c>
      <c r="AC492" t="n">
        <v>1</v>
      </c>
      <c r="AD492" t="inlineStr">
        <is>
          <t>BANCO</t>
        </is>
      </c>
      <c r="AE492" t="n">
        <v>2</v>
      </c>
      <c r="AF492" t="inlineStr">
        <is>
          <t>MIDDLE</t>
        </is>
      </c>
      <c r="AG492" t="n">
        <v>134111</v>
      </c>
      <c r="AH492" t="inlineStr">
        <is>
          <t>LOMAS</t>
        </is>
      </c>
      <c r="AI492" t="inlineStr">
        <is>
          <t>GIGLESIAS@BANCOBASE.COM</t>
        </is>
      </c>
      <c r="AJ492" s="151" t="n">
        <v>45428</v>
      </c>
      <c r="AK492" s="151" t="n"/>
      <c r="AL492" s="151" t="n"/>
    </row>
    <row r="493" hidden="1" s="150">
      <c r="A493" t="inlineStr">
        <is>
          <t>FCASTILLBE</t>
        </is>
      </c>
      <c r="B493" t="n">
        <v>3699</v>
      </c>
      <c r="C493" t="inlineStr">
        <is>
          <t>FRIDA JAZMIN CASTILLO BECERRIL</t>
        </is>
      </c>
      <c r="D493" t="n">
        <v>8565</v>
      </c>
      <c r="E493" t="inlineStr">
        <is>
          <t>ASISTENTE CAMBIARIO</t>
        </is>
      </c>
      <c r="F493" t="inlineStr">
        <is>
          <t>MEXICO</t>
        </is>
      </c>
      <c r="G493" t="n">
        <v>1413</v>
      </c>
      <c r="H493" t="inlineStr">
        <is>
          <t>DIEGO GONZALEZ DE LA VEGA PEREZ GIL</t>
        </is>
      </c>
      <c r="I493" t="n">
        <v>9137</v>
      </c>
      <c r="J493" t="inlineStr">
        <is>
          <t>SUBDIRECTOR DE PROMOCION COMERCIAL</t>
        </is>
      </c>
      <c r="K493" t="n">
        <v>1</v>
      </c>
      <c r="L493" t="inlineStr">
        <is>
          <t>PRESIDENCIA EJECUTIVA DEL CONSEJO</t>
        </is>
      </c>
      <c r="M493" t="n">
        <v>40</v>
      </c>
      <c r="N493" t="inlineStr">
        <is>
          <t>DIRECCION GENERAL BANCO BASE</t>
        </is>
      </c>
      <c r="O493" t="n">
        <v>410</v>
      </c>
      <c r="P493" t="inlineStr">
        <is>
          <t>DIRECCION COMERCIAL</t>
        </is>
      </c>
      <c r="Q493" t="n">
        <v>4130</v>
      </c>
      <c r="R493" t="inlineStr">
        <is>
          <t>DIRECCION COMERCIAL CDMX 2</t>
        </is>
      </c>
      <c r="S493" t="n">
        <v>41330</v>
      </c>
      <c r="T493" t="inlineStr">
        <is>
          <t>SUBDIRECCION COMERCIAL CDMX 3</t>
        </is>
      </c>
      <c r="U493" t="n">
        <v>413300</v>
      </c>
      <c r="V493" t="inlineStr">
        <is>
          <t>SUBDIRECCION COMERCIAL CDMX 3</t>
        </is>
      </c>
      <c r="W493" t="n">
        <v>134111</v>
      </c>
      <c r="X493" t="inlineStr">
        <is>
          <t>LOMAS</t>
        </is>
      </c>
      <c r="Y493" t="n">
        <v>3</v>
      </c>
      <c r="Z493" t="inlineStr">
        <is>
          <t>CAMBIARIO</t>
        </is>
      </c>
      <c r="AA493" t="n">
        <v>1</v>
      </c>
      <c r="AB493" t="inlineStr">
        <is>
          <t>NEGOCIO EN MARCHA</t>
        </is>
      </c>
      <c r="AC493" t="n">
        <v>1</v>
      </c>
      <c r="AD493" t="inlineStr">
        <is>
          <t>BANCO</t>
        </is>
      </c>
      <c r="AE493" t="n">
        <v>2</v>
      </c>
      <c r="AF493" t="inlineStr">
        <is>
          <t>MIDDLE</t>
        </is>
      </c>
      <c r="AG493" t="n">
        <v>134111</v>
      </c>
      <c r="AH493" t="inlineStr">
        <is>
          <t>LOMAS</t>
        </is>
      </c>
      <c r="AI493" t="inlineStr">
        <is>
          <t>FCASTILLBE@BANCOBASE.COM</t>
        </is>
      </c>
      <c r="AJ493" s="151" t="n">
        <v>45992</v>
      </c>
      <c r="AK493" s="151" t="n"/>
      <c r="AL493" s="151" t="n"/>
    </row>
    <row r="494" hidden="1" s="150">
      <c r="A494" t="inlineStr">
        <is>
          <t>AMAYAO</t>
        </is>
      </c>
      <c r="B494" t="n">
        <v>2220</v>
      </c>
      <c r="C494" t="inlineStr">
        <is>
          <t>ASTRID ADRIANA MAYA OLVERA</t>
        </is>
      </c>
      <c r="D494" t="n">
        <v>9516</v>
      </c>
      <c r="E494" t="inlineStr">
        <is>
          <t>ASISTENTE CAMBIARIO</t>
        </is>
      </c>
      <c r="F494" t="inlineStr">
        <is>
          <t>MEXICO</t>
        </is>
      </c>
      <c r="G494" t="n">
        <v>1413</v>
      </c>
      <c r="H494" t="inlineStr">
        <is>
          <t>DIEGO GONZALEZ DE LA VEGA PEREZ GIL</t>
        </is>
      </c>
      <c r="I494" t="n">
        <v>9137</v>
      </c>
      <c r="J494" t="inlineStr">
        <is>
          <t>SUBDIRECTOR DE PROMOCION COMERCIAL</t>
        </is>
      </c>
      <c r="K494" t="n">
        <v>1</v>
      </c>
      <c r="L494" t="inlineStr">
        <is>
          <t>PRESIDENCIA EJECUTIVA DEL CONSEJO</t>
        </is>
      </c>
      <c r="M494" t="n">
        <v>40</v>
      </c>
      <c r="N494" t="inlineStr">
        <is>
          <t>DIRECCION GENERAL BANCO BASE</t>
        </is>
      </c>
      <c r="O494" t="n">
        <v>410</v>
      </c>
      <c r="P494" t="inlineStr">
        <is>
          <t>DIRECCION COMERCIAL</t>
        </is>
      </c>
      <c r="Q494" t="n">
        <v>4130</v>
      </c>
      <c r="R494" t="inlineStr">
        <is>
          <t>DIRECCION COMERCIAL CDMX 2</t>
        </is>
      </c>
      <c r="S494" t="n">
        <v>41330</v>
      </c>
      <c r="T494" t="inlineStr">
        <is>
          <t>SUBDIRECCION COMERCIAL CDMX 3</t>
        </is>
      </c>
      <c r="U494" t="n">
        <v>413300</v>
      </c>
      <c r="V494" t="inlineStr">
        <is>
          <t>SUBDIRECCION COMERCIAL CDMX 3</t>
        </is>
      </c>
      <c r="W494" t="n">
        <v>134111</v>
      </c>
      <c r="X494" t="inlineStr">
        <is>
          <t>LOMAS</t>
        </is>
      </c>
      <c r="Y494" t="n">
        <v>3</v>
      </c>
      <c r="Z494" t="inlineStr">
        <is>
          <t>CAMBIARIO</t>
        </is>
      </c>
      <c r="AA494" t="n">
        <v>1</v>
      </c>
      <c r="AB494" t="inlineStr">
        <is>
          <t>NEGOCIO EN MARCHA</t>
        </is>
      </c>
      <c r="AC494" t="n">
        <v>1</v>
      </c>
      <c r="AD494" t="inlineStr">
        <is>
          <t>BANCO</t>
        </is>
      </c>
      <c r="AE494" t="n">
        <v>2</v>
      </c>
      <c r="AF494" t="inlineStr">
        <is>
          <t>MIDDLE</t>
        </is>
      </c>
      <c r="AG494" t="n">
        <v>134111</v>
      </c>
      <c r="AH494" t="inlineStr">
        <is>
          <t>LOMAS</t>
        </is>
      </c>
      <c r="AI494" t="inlineStr">
        <is>
          <t>AMAYAO@BANCOBASE.COM</t>
        </is>
      </c>
      <c r="AJ494" s="151" t="n">
        <v>43559</v>
      </c>
      <c r="AK494" s="151" t="n"/>
      <c r="AL494" s="151" t="n"/>
    </row>
    <row r="495" hidden="1" s="150">
      <c r="A495" t="inlineStr">
        <is>
          <t>MGONZALEZM</t>
        </is>
      </c>
      <c r="B495" t="n">
        <v>3640</v>
      </c>
      <c r="C495" t="inlineStr">
        <is>
          <t>MARIA DEL ROSARIO GONZALEZ MARTINEZ</t>
        </is>
      </c>
      <c r="D495" t="n">
        <v>9951</v>
      </c>
      <c r="E495" t="inlineStr">
        <is>
          <t>ASESOR CAMBIARIO</t>
        </is>
      </c>
      <c r="F495" t="inlineStr">
        <is>
          <t>MEXICO</t>
        </is>
      </c>
      <c r="G495" t="n">
        <v>1413</v>
      </c>
      <c r="H495" t="inlineStr">
        <is>
          <t>DIEGO GONZALEZ DE LA VEGA PEREZ GIL</t>
        </is>
      </c>
      <c r="I495" t="n">
        <v>9137</v>
      </c>
      <c r="J495" t="inlineStr">
        <is>
          <t>SUBDIRECTOR DE PROMOCION COMERCIAL</t>
        </is>
      </c>
      <c r="K495" t="n">
        <v>1</v>
      </c>
      <c r="L495" t="inlineStr">
        <is>
          <t>PRESIDENCIA EJECUTIVA DEL CONSEJO</t>
        </is>
      </c>
      <c r="M495" t="n">
        <v>40</v>
      </c>
      <c r="N495" t="inlineStr">
        <is>
          <t>DIRECCION GENERAL BANCO BASE</t>
        </is>
      </c>
      <c r="O495" t="n">
        <v>410</v>
      </c>
      <c r="P495" t="inlineStr">
        <is>
          <t>DIRECCION COMERCIAL</t>
        </is>
      </c>
      <c r="Q495" t="n">
        <v>4130</v>
      </c>
      <c r="R495" t="inlineStr">
        <is>
          <t>DIRECCION COMERCIAL CDMX 2</t>
        </is>
      </c>
      <c r="S495" t="n">
        <v>41330</v>
      </c>
      <c r="T495" t="inlineStr">
        <is>
          <t>SUBDIRECCION COMERCIAL CDMX 3</t>
        </is>
      </c>
      <c r="U495" t="n">
        <v>413300</v>
      </c>
      <c r="V495" t="inlineStr">
        <is>
          <t>SUBDIRECCION COMERCIAL CDMX 3</t>
        </is>
      </c>
      <c r="W495" t="n">
        <v>134111</v>
      </c>
      <c r="X495" t="inlineStr">
        <is>
          <t>LOMAS</t>
        </is>
      </c>
      <c r="Y495" t="n">
        <v>3</v>
      </c>
      <c r="Z495" t="inlineStr">
        <is>
          <t>CAMBIARIO</t>
        </is>
      </c>
      <c r="AA495" t="n">
        <v>1</v>
      </c>
      <c r="AB495" t="inlineStr">
        <is>
          <t>NEGOCIO EN MARCHA</t>
        </is>
      </c>
      <c r="AC495" t="n">
        <v>1</v>
      </c>
      <c r="AD495" t="inlineStr">
        <is>
          <t>BANCO</t>
        </is>
      </c>
      <c r="AE495" t="n">
        <v>3</v>
      </c>
      <c r="AF495" t="inlineStr">
        <is>
          <t>FRONT</t>
        </is>
      </c>
      <c r="AG495" t="n">
        <v>134111</v>
      </c>
      <c r="AH495" t="inlineStr">
        <is>
          <t>LOMAS</t>
        </is>
      </c>
      <c r="AI495" t="inlineStr">
        <is>
          <t>MGONZALEZM@BANCOBASE.COM</t>
        </is>
      </c>
      <c r="AJ495" s="151" t="n">
        <v>45946</v>
      </c>
      <c r="AK495" s="151" t="n"/>
      <c r="AL495" s="151" t="n"/>
    </row>
    <row r="496" hidden="1" s="150">
      <c r="A496" t="inlineStr">
        <is>
          <t>KHERNANDE</t>
        </is>
      </c>
      <c r="B496" t="n">
        <v>728</v>
      </c>
      <c r="C496" t="inlineStr">
        <is>
          <t>KARLA YOLANDA HERNANDEZ MARTINEZ</t>
        </is>
      </c>
      <c r="D496" t="n">
        <v>490</v>
      </c>
      <c r="E496" t="inlineStr">
        <is>
          <t>GERENTE DE PROMOCION</t>
        </is>
      </c>
      <c r="F496" t="inlineStr">
        <is>
          <t>MEXICO</t>
        </is>
      </c>
      <c r="G496" t="n">
        <v>1413</v>
      </c>
      <c r="H496" t="inlineStr">
        <is>
          <t>DIEGO GONZALEZ DE LA VEGA PEREZ GIL</t>
        </is>
      </c>
      <c r="I496" t="n">
        <v>9137</v>
      </c>
      <c r="J496" t="inlineStr">
        <is>
          <t>SUBDIRECTOR DE PROMOCION COMERCIAL</t>
        </is>
      </c>
      <c r="K496" t="n">
        <v>1</v>
      </c>
      <c r="L496" t="inlineStr">
        <is>
          <t>PRESIDENCIA EJECUTIVA DEL CONSEJO</t>
        </is>
      </c>
      <c r="M496" t="n">
        <v>40</v>
      </c>
      <c r="N496" t="inlineStr">
        <is>
          <t>DIRECCION GENERAL BANCO BASE</t>
        </is>
      </c>
      <c r="O496" t="n">
        <v>410</v>
      </c>
      <c r="P496" t="inlineStr">
        <is>
          <t>DIRECCION COMERCIAL</t>
        </is>
      </c>
      <c r="Q496" t="n">
        <v>4130</v>
      </c>
      <c r="R496" t="inlineStr">
        <is>
          <t>DIRECCION COMERCIAL CDMX 2</t>
        </is>
      </c>
      <c r="S496" t="n">
        <v>41330</v>
      </c>
      <c r="T496" t="inlineStr">
        <is>
          <t>SUBDIRECCION COMERCIAL CDMX 3</t>
        </is>
      </c>
      <c r="U496" t="n">
        <v>413300</v>
      </c>
      <c r="V496" t="inlineStr">
        <is>
          <t>SUBDIRECCION COMERCIAL CDMX 3</t>
        </is>
      </c>
      <c r="W496" t="n">
        <v>134111</v>
      </c>
      <c r="X496" t="inlineStr">
        <is>
          <t>LOMAS</t>
        </is>
      </c>
      <c r="Y496" t="n">
        <v>3</v>
      </c>
      <c r="Z496" t="inlineStr">
        <is>
          <t>CAMBIARIO</t>
        </is>
      </c>
      <c r="AA496" t="n">
        <v>1</v>
      </c>
      <c r="AB496" t="inlineStr">
        <is>
          <t>NEGOCIO EN MARCHA</t>
        </is>
      </c>
      <c r="AC496" t="n">
        <v>1</v>
      </c>
      <c r="AD496" t="inlineStr">
        <is>
          <t>BANCO</t>
        </is>
      </c>
      <c r="AE496" t="n">
        <v>3</v>
      </c>
      <c r="AF496" t="inlineStr">
        <is>
          <t>FRONT</t>
        </is>
      </c>
      <c r="AG496" t="n">
        <v>134111</v>
      </c>
      <c r="AH496" t="inlineStr">
        <is>
          <t>LOMAS</t>
        </is>
      </c>
      <c r="AI496" t="inlineStr">
        <is>
          <t>KHERNANDE@BANCOBASE.COM</t>
        </is>
      </c>
      <c r="AJ496" s="151" t="n">
        <v>40634</v>
      </c>
      <c r="AK496" s="151" t="n"/>
      <c r="AL496" s="151" t="n"/>
    </row>
    <row r="497" hidden="1" s="150">
      <c r="A497" t="inlineStr">
        <is>
          <t>MMEJIAR</t>
        </is>
      </c>
      <c r="B497" t="n">
        <v>3643</v>
      </c>
      <c r="C497" t="inlineStr">
        <is>
          <t>MANUEL ANTONIO MEJIA REYES</t>
        </is>
      </c>
      <c r="D497" t="n">
        <v>8005</v>
      </c>
      <c r="E497" t="inlineStr">
        <is>
          <t>ASESOR CAMBIARIO</t>
        </is>
      </c>
      <c r="F497" t="inlineStr">
        <is>
          <t>MEXICO</t>
        </is>
      </c>
      <c r="G497" t="n">
        <v>1413</v>
      </c>
      <c r="H497" t="inlineStr">
        <is>
          <t>DIEGO GONZALEZ DE LA VEGA PEREZ GIL</t>
        </is>
      </c>
      <c r="I497" t="n">
        <v>9137</v>
      </c>
      <c r="J497" t="inlineStr">
        <is>
          <t>SUBDIRECTOR DE PROMOCION COMERCIAL</t>
        </is>
      </c>
      <c r="K497" t="n">
        <v>1</v>
      </c>
      <c r="L497" t="inlineStr">
        <is>
          <t>PRESIDENCIA EJECUTIVA DEL CONSEJO</t>
        </is>
      </c>
      <c r="M497" t="n">
        <v>40</v>
      </c>
      <c r="N497" t="inlineStr">
        <is>
          <t>DIRECCION GENERAL BANCO BASE</t>
        </is>
      </c>
      <c r="O497" t="n">
        <v>410</v>
      </c>
      <c r="P497" t="inlineStr">
        <is>
          <t>DIRECCION COMERCIAL</t>
        </is>
      </c>
      <c r="Q497" t="n">
        <v>4130</v>
      </c>
      <c r="R497" t="inlineStr">
        <is>
          <t>DIRECCION COMERCIAL CDMX 2</t>
        </is>
      </c>
      <c r="S497" t="n">
        <v>41330</v>
      </c>
      <c r="T497" t="inlineStr">
        <is>
          <t>SUBDIRECCION COMERCIAL CDMX 3</t>
        </is>
      </c>
      <c r="U497" t="n">
        <v>413300</v>
      </c>
      <c r="V497" t="inlineStr">
        <is>
          <t>SUBDIRECCION COMERCIAL CDMX 3</t>
        </is>
      </c>
      <c r="W497" t="n">
        <v>134111</v>
      </c>
      <c r="X497" t="inlineStr">
        <is>
          <t>LOMAS</t>
        </is>
      </c>
      <c r="Y497" t="n">
        <v>3</v>
      </c>
      <c r="Z497" t="inlineStr">
        <is>
          <t>CAMBIARIO</t>
        </is>
      </c>
      <c r="AA497" t="n">
        <v>1</v>
      </c>
      <c r="AB497" t="inlineStr">
        <is>
          <t>NEGOCIO EN MARCHA</t>
        </is>
      </c>
      <c r="AC497" t="n">
        <v>1</v>
      </c>
      <c r="AD497" t="inlineStr">
        <is>
          <t>BANCO</t>
        </is>
      </c>
      <c r="AE497" t="n">
        <v>3</v>
      </c>
      <c r="AF497" t="inlineStr">
        <is>
          <t>FRONT</t>
        </is>
      </c>
      <c r="AG497" t="n">
        <v>134111</v>
      </c>
      <c r="AH497" t="inlineStr">
        <is>
          <t>LOMAS</t>
        </is>
      </c>
      <c r="AI497" t="inlineStr">
        <is>
          <t>MMEJIAR@BANCOBASE.COM</t>
        </is>
      </c>
      <c r="AJ497" s="151" t="n">
        <v>45946</v>
      </c>
      <c r="AK497" s="151" t="n"/>
      <c r="AL497" s="151" t="n"/>
    </row>
    <row r="498" hidden="1" s="150">
      <c r="A498" t="inlineStr">
        <is>
          <t>AHERNANDMO</t>
        </is>
      </c>
      <c r="B498" t="n">
        <v>3325</v>
      </c>
      <c r="C498" t="inlineStr">
        <is>
          <t>JOSE ANTONIO HERNANDEZ MONTIEL</t>
        </is>
      </c>
      <c r="D498" t="n">
        <v>8566</v>
      </c>
      <c r="E498" t="inlineStr">
        <is>
          <t>SUBDIRECTOR COMERCIAL</t>
        </is>
      </c>
      <c r="F498" t="inlineStr">
        <is>
          <t>MEXICO</t>
        </is>
      </c>
      <c r="G498" t="n">
        <v>1138</v>
      </c>
      <c r="H498" t="inlineStr">
        <is>
          <t>GUSTAVO GARZA VILLARREAL</t>
        </is>
      </c>
      <c r="I498" t="n">
        <v>3615</v>
      </c>
      <c r="J498" t="inlineStr">
        <is>
          <t>DIRECTOR COMERCIAL CIUDAD DE MEXICO</t>
        </is>
      </c>
      <c r="K498" t="n">
        <v>1</v>
      </c>
      <c r="L498" t="inlineStr">
        <is>
          <t>PRESIDENCIA EJECUTIVA DEL CONSEJO</t>
        </is>
      </c>
      <c r="M498" t="n">
        <v>40</v>
      </c>
      <c r="N498" t="inlineStr">
        <is>
          <t>DIRECCION GENERAL BANCO BASE</t>
        </is>
      </c>
      <c r="O498" t="n">
        <v>410</v>
      </c>
      <c r="P498" t="inlineStr">
        <is>
          <t>DIRECCION COMERCIAL</t>
        </is>
      </c>
      <c r="Q498" t="n">
        <v>4130</v>
      </c>
      <c r="R498" t="inlineStr">
        <is>
          <t>DIRECCION COMERCIAL CDMX 2</t>
        </is>
      </c>
      <c r="S498" t="n">
        <v>41350</v>
      </c>
      <c r="T498" t="inlineStr">
        <is>
          <t>SUBDIRECCION COMERCIAL CDMX 5</t>
        </is>
      </c>
      <c r="U498" t="n">
        <v>413500</v>
      </c>
      <c r="V498" t="inlineStr">
        <is>
          <t>SUBDIRECCION COMERCIAL CDMX 5</t>
        </is>
      </c>
      <c r="W498" t="n">
        <v>134111</v>
      </c>
      <c r="X498" t="inlineStr">
        <is>
          <t>LOMAS</t>
        </is>
      </c>
      <c r="Y498" t="n">
        <v>3</v>
      </c>
      <c r="Z498" t="inlineStr">
        <is>
          <t>CAMBIARIO</t>
        </is>
      </c>
      <c r="AA498" t="n">
        <v>1</v>
      </c>
      <c r="AB498" t="inlineStr">
        <is>
          <t>NEGOCIO EN MARCHA</t>
        </is>
      </c>
      <c r="AC498" t="n">
        <v>1</v>
      </c>
      <c r="AD498" t="inlineStr">
        <is>
          <t>BANCO</t>
        </is>
      </c>
      <c r="AE498" t="n">
        <v>3</v>
      </c>
      <c r="AF498" t="inlineStr">
        <is>
          <t>FRONT</t>
        </is>
      </c>
      <c r="AG498" t="n">
        <v>134111</v>
      </c>
      <c r="AH498" t="inlineStr">
        <is>
          <t>LOMAS</t>
        </is>
      </c>
      <c r="AI498" t="inlineStr">
        <is>
          <t>AHERNANDMO@BANCOBASE.COM</t>
        </is>
      </c>
      <c r="AJ498" s="151" t="n">
        <v>45692</v>
      </c>
      <c r="AK498" s="151" t="n"/>
      <c r="AL498" s="151" t="n"/>
    </row>
    <row r="499" hidden="1" s="150">
      <c r="A499" t="inlineStr">
        <is>
          <t>GPOZOS</t>
        </is>
      </c>
      <c r="B499" t="n">
        <v>3084</v>
      </c>
      <c r="C499" t="inlineStr">
        <is>
          <t>GUSTAVO ADOLFO POZOS CORTEZ</t>
        </is>
      </c>
      <c r="D499" t="n">
        <v>9801</v>
      </c>
      <c r="E499" t="inlineStr">
        <is>
          <t>ASESOR CAMBIARIO</t>
        </is>
      </c>
      <c r="F499" t="inlineStr">
        <is>
          <t>MEXICO</t>
        </is>
      </c>
      <c r="G499" t="n">
        <v>3325</v>
      </c>
      <c r="H499" t="inlineStr">
        <is>
          <t>JOSE ANTONIO HERNANDEZ MONTIEL</t>
        </is>
      </c>
      <c r="I499" t="n">
        <v>8566</v>
      </c>
      <c r="J499" t="inlineStr">
        <is>
          <t>SUBDIRECTOR COMERCIAL</t>
        </is>
      </c>
      <c r="K499" t="n">
        <v>1</v>
      </c>
      <c r="L499" t="inlineStr">
        <is>
          <t>PRESIDENCIA EJECUTIVA DEL CONSEJO</t>
        </is>
      </c>
      <c r="M499" t="n">
        <v>40</v>
      </c>
      <c r="N499" t="inlineStr">
        <is>
          <t>DIRECCION GENERAL BANCO BASE</t>
        </is>
      </c>
      <c r="O499" t="n">
        <v>410</v>
      </c>
      <c r="P499" t="inlineStr">
        <is>
          <t>DIRECCION COMERCIAL</t>
        </is>
      </c>
      <c r="Q499" t="n">
        <v>4130</v>
      </c>
      <c r="R499" t="inlineStr">
        <is>
          <t>DIRECCION COMERCIAL CDMX 2</t>
        </is>
      </c>
      <c r="S499" t="n">
        <v>41350</v>
      </c>
      <c r="T499" t="inlineStr">
        <is>
          <t>SUBDIRECCION COMERCIAL CDMX 5</t>
        </is>
      </c>
      <c r="U499" t="n">
        <v>413500</v>
      </c>
      <c r="V499" t="inlineStr">
        <is>
          <t>SUBDIRECCION COMERCIAL CDMX 5</t>
        </is>
      </c>
      <c r="W499" t="n">
        <v>134111</v>
      </c>
      <c r="X499" t="inlineStr">
        <is>
          <t>LOMAS</t>
        </is>
      </c>
      <c r="Y499" t="n">
        <v>3</v>
      </c>
      <c r="Z499" t="inlineStr">
        <is>
          <t>CAMBIARIO</t>
        </is>
      </c>
      <c r="AA499" t="n">
        <v>1</v>
      </c>
      <c r="AB499" t="inlineStr">
        <is>
          <t>NEGOCIO EN MARCHA</t>
        </is>
      </c>
      <c r="AC499" t="n">
        <v>1</v>
      </c>
      <c r="AD499" t="inlineStr">
        <is>
          <t>BANCO</t>
        </is>
      </c>
      <c r="AE499" t="n">
        <v>3</v>
      </c>
      <c r="AF499" t="inlineStr">
        <is>
          <t>FRONT</t>
        </is>
      </c>
      <c r="AG499" t="n">
        <v>134111</v>
      </c>
      <c r="AH499" t="inlineStr">
        <is>
          <t>LOMAS</t>
        </is>
      </c>
      <c r="AI499" t="inlineStr">
        <is>
          <t>GPOZOS@BANCOBASE.COM</t>
        </is>
      </c>
      <c r="AJ499" s="151" t="n">
        <v>45398</v>
      </c>
      <c r="AK499" s="151" t="n"/>
      <c r="AL499" s="151" t="n"/>
    </row>
    <row r="500" hidden="1" s="150">
      <c r="A500" t="inlineStr">
        <is>
          <t>IRAMIREZV</t>
        </is>
      </c>
      <c r="B500" t="n">
        <v>3689</v>
      </c>
      <c r="C500" t="inlineStr">
        <is>
          <t>ILIANA RAMIREZ VELAZQUEZ</t>
        </is>
      </c>
      <c r="D500" t="n">
        <v>10416</v>
      </c>
      <c r="E500" t="inlineStr">
        <is>
          <t>ASESOR CAMBIARIO</t>
        </is>
      </c>
      <c r="F500" t="inlineStr">
        <is>
          <t>MEXICO</t>
        </is>
      </c>
      <c r="G500" t="n">
        <v>3325</v>
      </c>
      <c r="H500" t="inlineStr">
        <is>
          <t>JOSE ANTONIO HERNANDEZ MONTIEL</t>
        </is>
      </c>
      <c r="I500" t="n">
        <v>8566</v>
      </c>
      <c r="J500" t="inlineStr">
        <is>
          <t>SUBDIRECTOR COMERCIAL</t>
        </is>
      </c>
      <c r="K500" t="n">
        <v>1</v>
      </c>
      <c r="L500" t="inlineStr">
        <is>
          <t>PRESIDENCIA EJECUTIVA DEL CONSEJO</t>
        </is>
      </c>
      <c r="M500" t="n">
        <v>40</v>
      </c>
      <c r="N500" t="inlineStr">
        <is>
          <t>DIRECCION GENERAL BANCO BASE</t>
        </is>
      </c>
      <c r="O500" t="n">
        <v>410</v>
      </c>
      <c r="P500" t="inlineStr">
        <is>
          <t>DIRECCION COMERCIAL</t>
        </is>
      </c>
      <c r="Q500" t="n">
        <v>4130</v>
      </c>
      <c r="R500" t="inlineStr">
        <is>
          <t>DIRECCION COMERCIAL CDMX 2</t>
        </is>
      </c>
      <c r="S500" t="n">
        <v>41350</v>
      </c>
      <c r="T500" t="inlineStr">
        <is>
          <t>SUBDIRECCION COMERCIAL CDMX 5</t>
        </is>
      </c>
      <c r="U500" t="n">
        <v>413500</v>
      </c>
      <c r="V500" t="inlineStr">
        <is>
          <t>SUBDIRECCION COMERCIAL CDMX 5</t>
        </is>
      </c>
      <c r="W500" t="n">
        <v>134111</v>
      </c>
      <c r="X500" t="inlineStr">
        <is>
          <t>LOMAS</t>
        </is>
      </c>
      <c r="Y500" t="n">
        <v>3</v>
      </c>
      <c r="Z500" t="inlineStr">
        <is>
          <t>CAMBIARIO</t>
        </is>
      </c>
      <c r="AA500" t="n">
        <v>1</v>
      </c>
      <c r="AB500" t="inlineStr">
        <is>
          <t>NEGOCIO EN MARCHA</t>
        </is>
      </c>
      <c r="AC500" t="n">
        <v>1</v>
      </c>
      <c r="AD500" t="inlineStr">
        <is>
          <t>BANCO</t>
        </is>
      </c>
      <c r="AE500" t="n">
        <v>3</v>
      </c>
      <c r="AF500" t="inlineStr">
        <is>
          <t>FRONT</t>
        </is>
      </c>
      <c r="AG500" t="n">
        <v>134111</v>
      </c>
      <c r="AH500" t="inlineStr">
        <is>
          <t>LOMAS</t>
        </is>
      </c>
      <c r="AI500" t="inlineStr">
        <is>
          <t>IRAMIREZV@BANCOBASE.COM</t>
        </is>
      </c>
      <c r="AJ500" s="151" t="n">
        <v>45979</v>
      </c>
      <c r="AK500" s="151" t="n"/>
      <c r="AL500" s="151" t="n"/>
    </row>
    <row r="501" hidden="1" s="150">
      <c r="A501" t="inlineStr">
        <is>
          <t>LRAMIREZJ</t>
        </is>
      </c>
      <c r="B501" t="n">
        <v>3383</v>
      </c>
      <c r="C501" t="inlineStr">
        <is>
          <t>LAURA LUCERO RAMIREZ JIMENEZ</t>
        </is>
      </c>
      <c r="D501" t="n">
        <v>6044</v>
      </c>
      <c r="E501" t="inlineStr">
        <is>
          <t>ASESOR CAMBIARIO</t>
        </is>
      </c>
      <c r="F501" t="inlineStr">
        <is>
          <t>MEXICO</t>
        </is>
      </c>
      <c r="G501" t="n">
        <v>3325</v>
      </c>
      <c r="H501" t="inlineStr">
        <is>
          <t>JOSE ANTONIO HERNANDEZ MONTIEL</t>
        </is>
      </c>
      <c r="I501" t="n">
        <v>8566</v>
      </c>
      <c r="J501" t="inlineStr">
        <is>
          <t>SUBDIRECTOR COMERCIAL</t>
        </is>
      </c>
      <c r="K501" t="n">
        <v>1</v>
      </c>
      <c r="L501" t="inlineStr">
        <is>
          <t>PRESIDENCIA EJECUTIVA DEL CONSEJO</t>
        </is>
      </c>
      <c r="M501" t="n">
        <v>40</v>
      </c>
      <c r="N501" t="inlineStr">
        <is>
          <t>DIRECCION GENERAL BANCO BASE</t>
        </is>
      </c>
      <c r="O501" t="n">
        <v>410</v>
      </c>
      <c r="P501" t="inlineStr">
        <is>
          <t>DIRECCION COMERCIAL</t>
        </is>
      </c>
      <c r="Q501" t="n">
        <v>4130</v>
      </c>
      <c r="R501" t="inlineStr">
        <is>
          <t>DIRECCION COMERCIAL CDMX 2</t>
        </is>
      </c>
      <c r="S501" t="n">
        <v>41350</v>
      </c>
      <c r="T501" t="inlineStr">
        <is>
          <t>SUBDIRECCION COMERCIAL CDMX 5</t>
        </is>
      </c>
      <c r="U501" t="n">
        <v>413500</v>
      </c>
      <c r="V501" t="inlineStr">
        <is>
          <t>SUBDIRECCION COMERCIAL CDMX 5</t>
        </is>
      </c>
      <c r="W501" t="n">
        <v>134111</v>
      </c>
      <c r="X501" t="inlineStr">
        <is>
          <t>LOMAS</t>
        </is>
      </c>
      <c r="Y501" t="n">
        <v>3</v>
      </c>
      <c r="Z501" t="inlineStr">
        <is>
          <t>CAMBIARIO</t>
        </is>
      </c>
      <c r="AA501" t="n">
        <v>1</v>
      </c>
      <c r="AB501" t="inlineStr">
        <is>
          <t>NEGOCIO EN MARCHA</t>
        </is>
      </c>
      <c r="AC501" t="n">
        <v>1</v>
      </c>
      <c r="AD501" t="inlineStr">
        <is>
          <t>BANCO</t>
        </is>
      </c>
      <c r="AE501" t="n">
        <v>3</v>
      </c>
      <c r="AF501" t="inlineStr">
        <is>
          <t>FRONT</t>
        </is>
      </c>
      <c r="AG501" t="n">
        <v>134111</v>
      </c>
      <c r="AH501" t="inlineStr">
        <is>
          <t>LOMAS</t>
        </is>
      </c>
      <c r="AI501" t="inlineStr">
        <is>
          <t>LRAMIREZJ@BANCOBASE.COM</t>
        </is>
      </c>
      <c r="AJ501" s="151" t="n">
        <v>45748</v>
      </c>
      <c r="AK501" s="151" t="n"/>
      <c r="AL501" s="151" t="n"/>
    </row>
    <row r="502" hidden="1" s="150">
      <c r="A502" t="inlineStr">
        <is>
          <t>OJIMENEZH</t>
        </is>
      </c>
      <c r="B502" t="n">
        <v>2557</v>
      </c>
      <c r="C502" t="inlineStr">
        <is>
          <t>OSCAR ALEXIS JIMENEZ HERNANDEZ</t>
        </is>
      </c>
      <c r="D502" t="n">
        <v>9179</v>
      </c>
      <c r="E502" t="inlineStr">
        <is>
          <t>ASESOR CAMBIARIO</t>
        </is>
      </c>
      <c r="F502" t="inlineStr">
        <is>
          <t>MEXICO</t>
        </is>
      </c>
      <c r="G502" t="n">
        <v>3325</v>
      </c>
      <c r="H502" t="inlineStr">
        <is>
          <t>JOSE ANTONIO HERNANDEZ MONTIEL</t>
        </is>
      </c>
      <c r="I502" t="n">
        <v>8566</v>
      </c>
      <c r="J502" t="inlineStr">
        <is>
          <t>SUBDIRECTOR COMERCIAL</t>
        </is>
      </c>
      <c r="K502" t="n">
        <v>1</v>
      </c>
      <c r="L502" t="inlineStr">
        <is>
          <t>PRESIDENCIA EJECUTIVA DEL CONSEJO</t>
        </is>
      </c>
      <c r="M502" t="n">
        <v>40</v>
      </c>
      <c r="N502" t="inlineStr">
        <is>
          <t>DIRECCION GENERAL BANCO BASE</t>
        </is>
      </c>
      <c r="O502" t="n">
        <v>410</v>
      </c>
      <c r="P502" t="inlineStr">
        <is>
          <t>DIRECCION COMERCIAL</t>
        </is>
      </c>
      <c r="Q502" t="n">
        <v>4130</v>
      </c>
      <c r="R502" t="inlineStr">
        <is>
          <t>DIRECCION COMERCIAL CDMX 2</t>
        </is>
      </c>
      <c r="S502" t="n">
        <v>41350</v>
      </c>
      <c r="T502" t="inlineStr">
        <is>
          <t>SUBDIRECCION COMERCIAL CDMX 5</t>
        </is>
      </c>
      <c r="U502" t="n">
        <v>413500</v>
      </c>
      <c r="V502" t="inlineStr">
        <is>
          <t>SUBDIRECCION COMERCIAL CDMX 5</t>
        </is>
      </c>
      <c r="W502" t="n">
        <v>134111</v>
      </c>
      <c r="X502" t="inlineStr">
        <is>
          <t>LOMAS</t>
        </is>
      </c>
      <c r="Y502" t="n">
        <v>3</v>
      </c>
      <c r="Z502" t="inlineStr">
        <is>
          <t>CAMBIARIO</t>
        </is>
      </c>
      <c r="AA502" t="n">
        <v>1</v>
      </c>
      <c r="AB502" t="inlineStr">
        <is>
          <t>NEGOCIO EN MARCHA</t>
        </is>
      </c>
      <c r="AC502" t="n">
        <v>1</v>
      </c>
      <c r="AD502" t="inlineStr">
        <is>
          <t>BANCO</t>
        </is>
      </c>
      <c r="AE502" t="n">
        <v>3</v>
      </c>
      <c r="AF502" t="inlineStr">
        <is>
          <t>FRONT</t>
        </is>
      </c>
      <c r="AG502" t="n">
        <v>134111</v>
      </c>
      <c r="AH502" t="inlineStr">
        <is>
          <t>LOMAS</t>
        </is>
      </c>
      <c r="AI502" t="inlineStr">
        <is>
          <t>OJIMENEZH@BANCOBASE.COM</t>
        </is>
      </c>
      <c r="AJ502" s="151" t="n">
        <v>44473</v>
      </c>
      <c r="AK502" s="151" t="n"/>
      <c r="AL502" s="151" t="n"/>
    </row>
    <row r="503" hidden="1" s="150">
      <c r="A503" t="inlineStr">
        <is>
          <t>DGONZALECA</t>
        </is>
      </c>
      <c r="B503" t="n">
        <v>3922</v>
      </c>
      <c r="C503" t="inlineStr">
        <is>
          <t>DAVID ARTURO GONZALEZ CARRILLO</t>
        </is>
      </c>
      <c r="D503" t="n">
        <v>8914</v>
      </c>
      <c r="E503" t="inlineStr">
        <is>
          <t>ASESOR CAMBIARIO</t>
        </is>
      </c>
      <c r="F503" t="inlineStr">
        <is>
          <t>MEXICO</t>
        </is>
      </c>
      <c r="G503" t="n">
        <v>3325</v>
      </c>
      <c r="H503" t="inlineStr">
        <is>
          <t>JOSE ANTONIO HERNANDEZ MONTIEL</t>
        </is>
      </c>
      <c r="I503" t="n">
        <v>8566</v>
      </c>
      <c r="J503" t="inlineStr">
        <is>
          <t>SUBDIRECTOR COMERCIAL</t>
        </is>
      </c>
      <c r="K503" t="n">
        <v>1</v>
      </c>
      <c r="L503" t="inlineStr">
        <is>
          <t>PRESIDENCIA EJECUTIVA DEL CONSEJO</t>
        </is>
      </c>
      <c r="M503" t="n">
        <v>40</v>
      </c>
      <c r="N503" t="inlineStr">
        <is>
          <t>DIRECCION GENERAL BANCO BASE</t>
        </is>
      </c>
      <c r="O503" t="n">
        <v>410</v>
      </c>
      <c r="P503" t="inlineStr">
        <is>
          <t>DIRECCION COMERCIAL</t>
        </is>
      </c>
      <c r="Q503" t="n">
        <v>4130</v>
      </c>
      <c r="R503" t="inlineStr">
        <is>
          <t>DIRECCION COMERCIAL CDMX 2</t>
        </is>
      </c>
      <c r="S503" t="n">
        <v>41350</v>
      </c>
      <c r="T503" t="inlineStr">
        <is>
          <t>SUBDIRECCION COMERCIAL CDMX 5</t>
        </is>
      </c>
      <c r="U503" t="n">
        <v>413500</v>
      </c>
      <c r="V503" t="inlineStr">
        <is>
          <t>SUBDIRECCION COMERCIAL CDMX 5</t>
        </is>
      </c>
      <c r="W503" t="n">
        <v>134111</v>
      </c>
      <c r="X503" t="inlineStr">
        <is>
          <t>LOMAS</t>
        </is>
      </c>
      <c r="Y503" t="n">
        <v>3</v>
      </c>
      <c r="Z503" t="inlineStr">
        <is>
          <t>CAMBIARIO</t>
        </is>
      </c>
      <c r="AA503" t="n">
        <v>1</v>
      </c>
      <c r="AB503" t="inlineStr">
        <is>
          <t>NEGOCIO EN MARCHA</t>
        </is>
      </c>
      <c r="AC503" t="n">
        <v>1</v>
      </c>
      <c r="AD503" t="inlineStr">
        <is>
          <t>BANCO</t>
        </is>
      </c>
      <c r="AE503" t="n">
        <v>3</v>
      </c>
      <c r="AF503" t="inlineStr">
        <is>
          <t>FRONT</t>
        </is>
      </c>
      <c r="AG503" t="n">
        <v>134111</v>
      </c>
      <c r="AH503" t="inlineStr">
        <is>
          <t>LOMAS</t>
        </is>
      </c>
      <c r="AI503" t="inlineStr">
        <is>
          <t>DGONZALECA@BANCOBASE.COM</t>
        </is>
      </c>
      <c r="AJ503" s="151" t="n">
        <v>46204</v>
      </c>
      <c r="AK503" s="151" t="n"/>
      <c r="AL503" s="151" t="n"/>
    </row>
    <row r="504" hidden="1" s="150">
      <c r="A504" t="inlineStr">
        <is>
          <t>MGARCIACA</t>
        </is>
      </c>
      <c r="B504" t="n">
        <v>3381</v>
      </c>
      <c r="C504" t="inlineStr">
        <is>
          <t>MIGUEL ALEJANDRO GARCIA CARCAÑO</t>
        </is>
      </c>
      <c r="D504" t="n">
        <v>3614</v>
      </c>
      <c r="E504" t="inlineStr">
        <is>
          <t>ASESOR CAMBIARIO</t>
        </is>
      </c>
      <c r="F504" t="inlineStr">
        <is>
          <t>MEXICO</t>
        </is>
      </c>
      <c r="G504" t="n">
        <v>3325</v>
      </c>
      <c r="H504" t="inlineStr">
        <is>
          <t>JOSE ANTONIO HERNANDEZ MONTIEL</t>
        </is>
      </c>
      <c r="I504" t="n">
        <v>8566</v>
      </c>
      <c r="J504" t="inlineStr">
        <is>
          <t>SUBDIRECTOR COMERCIAL</t>
        </is>
      </c>
      <c r="K504" t="n">
        <v>1</v>
      </c>
      <c r="L504" t="inlineStr">
        <is>
          <t>PRESIDENCIA EJECUTIVA DEL CONSEJO</t>
        </is>
      </c>
      <c r="M504" t="n">
        <v>40</v>
      </c>
      <c r="N504" t="inlineStr">
        <is>
          <t>DIRECCION GENERAL BANCO BASE</t>
        </is>
      </c>
      <c r="O504" t="n">
        <v>410</v>
      </c>
      <c r="P504" t="inlineStr">
        <is>
          <t>DIRECCION COMERCIAL</t>
        </is>
      </c>
      <c r="Q504" t="n">
        <v>4130</v>
      </c>
      <c r="R504" t="inlineStr">
        <is>
          <t>DIRECCION COMERCIAL CDMX 2</t>
        </is>
      </c>
      <c r="S504" t="n">
        <v>41350</v>
      </c>
      <c r="T504" t="inlineStr">
        <is>
          <t>SUBDIRECCION COMERCIAL CDMX 5</t>
        </is>
      </c>
      <c r="U504" t="n">
        <v>413500</v>
      </c>
      <c r="V504" t="inlineStr">
        <is>
          <t>SUBDIRECCION COMERCIAL CDMX 5</t>
        </is>
      </c>
      <c r="W504" t="n">
        <v>134111</v>
      </c>
      <c r="X504" t="inlineStr">
        <is>
          <t>LOMAS</t>
        </is>
      </c>
      <c r="Y504" t="n">
        <v>3</v>
      </c>
      <c r="Z504" t="inlineStr">
        <is>
          <t>CAMBIARIO</t>
        </is>
      </c>
      <c r="AA504" t="n">
        <v>1</v>
      </c>
      <c r="AB504" t="inlineStr">
        <is>
          <t>NEGOCIO EN MARCHA</t>
        </is>
      </c>
      <c r="AC504" t="n">
        <v>1</v>
      </c>
      <c r="AD504" t="inlineStr">
        <is>
          <t>BANCO</t>
        </is>
      </c>
      <c r="AE504" t="n">
        <v>3</v>
      </c>
      <c r="AF504" t="inlineStr">
        <is>
          <t>FRONT</t>
        </is>
      </c>
      <c r="AG504" t="n">
        <v>134111</v>
      </c>
      <c r="AH504" t="inlineStr">
        <is>
          <t>LOMAS</t>
        </is>
      </c>
      <c r="AI504" t="inlineStr">
        <is>
          <t>MGARCIACA@BANCOBASE.COM</t>
        </is>
      </c>
      <c r="AJ504" s="151" t="n">
        <v>45748</v>
      </c>
      <c r="AK504" s="151" t="n"/>
      <c r="AL504" s="151" t="n"/>
    </row>
    <row r="505" hidden="1" s="150">
      <c r="A505" t="inlineStr">
        <is>
          <t>CGARCIAF</t>
        </is>
      </c>
      <c r="B505" t="n">
        <v>2563</v>
      </c>
      <c r="C505" t="inlineStr">
        <is>
          <t>CARLA INGRID GARCIA FLORES</t>
        </is>
      </c>
      <c r="D505" t="n">
        <v>10170</v>
      </c>
      <c r="E505" t="inlineStr">
        <is>
          <t>ESPECIALISTA DE BANCA TRANSACCIONAL</t>
        </is>
      </c>
      <c r="F505" t="inlineStr">
        <is>
          <t>MEXICO</t>
        </is>
      </c>
      <c r="G505" t="n">
        <v>3325</v>
      </c>
      <c r="H505" t="inlineStr">
        <is>
          <t>JOSE ANTONIO HERNANDEZ MONTIEL</t>
        </is>
      </c>
      <c r="I505" t="n">
        <v>8566</v>
      </c>
      <c r="J505" t="inlineStr">
        <is>
          <t>SUBDIRECTOR COMERCIAL</t>
        </is>
      </c>
      <c r="K505" t="n">
        <v>1</v>
      </c>
      <c r="L505" t="inlineStr">
        <is>
          <t>PRESIDENCIA EJECUTIVA DEL CONSEJO</t>
        </is>
      </c>
      <c r="M505" t="n">
        <v>40</v>
      </c>
      <c r="N505" t="inlineStr">
        <is>
          <t>DIRECCION GENERAL BANCO BASE</t>
        </is>
      </c>
      <c r="O505" t="n">
        <v>410</v>
      </c>
      <c r="P505" t="inlineStr">
        <is>
          <t>DIRECCION COMERCIAL</t>
        </is>
      </c>
      <c r="Q505" t="n">
        <v>4130</v>
      </c>
      <c r="R505" t="inlineStr">
        <is>
          <t>DIRECCION COMERCIAL CDMX 2</t>
        </is>
      </c>
      <c r="S505" t="n">
        <v>41350</v>
      </c>
      <c r="T505" t="inlineStr">
        <is>
          <t>SUBDIRECCION COMERCIAL CDMX 5</t>
        </is>
      </c>
      <c r="U505" t="n">
        <v>413500</v>
      </c>
      <c r="V505" t="inlineStr">
        <is>
          <t>SUBDIRECCION COMERCIAL CDMX 5</t>
        </is>
      </c>
      <c r="W505" t="n">
        <v>134111</v>
      </c>
      <c r="X505" t="inlineStr">
        <is>
          <t>LOMAS</t>
        </is>
      </c>
      <c r="Y505" t="n">
        <v>14</v>
      </c>
      <c r="Z505" t="inlineStr">
        <is>
          <t>TRANSACCIONAL</t>
        </is>
      </c>
      <c r="AA505" t="n">
        <v>1</v>
      </c>
      <c r="AB505" t="inlineStr">
        <is>
          <t>NEGOCIO EN MARCHA</t>
        </is>
      </c>
      <c r="AC505" t="n">
        <v>1</v>
      </c>
      <c r="AD505" t="inlineStr">
        <is>
          <t>BANCO</t>
        </is>
      </c>
      <c r="AE505" t="n">
        <v>3</v>
      </c>
      <c r="AF505" t="inlineStr">
        <is>
          <t>FRONT</t>
        </is>
      </c>
      <c r="AG505" t="n">
        <v>134111</v>
      </c>
      <c r="AH505" t="inlineStr">
        <is>
          <t>LOMAS</t>
        </is>
      </c>
      <c r="AI505" t="inlineStr">
        <is>
          <t>CGARCIAF@BANCOBASE.COM</t>
        </is>
      </c>
      <c r="AJ505" s="151" t="n">
        <v>44487</v>
      </c>
      <c r="AK505" s="151" t="n"/>
      <c r="AL505" s="151" t="n"/>
    </row>
    <row r="506" hidden="1" s="150">
      <c r="A506" t="inlineStr">
        <is>
          <t>MRODRIGUER</t>
        </is>
      </c>
      <c r="B506" t="n">
        <v>1813</v>
      </c>
      <c r="C506" t="inlineStr">
        <is>
          <t>MIGUEL ANGEL RODRIGUEZ ROMAN</t>
        </is>
      </c>
      <c r="D506" t="n">
        <v>8567</v>
      </c>
      <c r="E506" t="inlineStr">
        <is>
          <t>ESPECIALISTA DE FINANCIAMIENTO</t>
        </is>
      </c>
      <c r="F506" t="inlineStr">
        <is>
          <t>MEXICO</t>
        </is>
      </c>
      <c r="G506" t="n">
        <v>3325</v>
      </c>
      <c r="H506" t="inlineStr">
        <is>
          <t>JOSE ANTONIO HERNANDEZ MONTIEL</t>
        </is>
      </c>
      <c r="I506" t="n">
        <v>8566</v>
      </c>
      <c r="J506" t="inlineStr">
        <is>
          <t>SUBDIRECTOR COMERCIAL</t>
        </is>
      </c>
      <c r="K506" t="n">
        <v>1</v>
      </c>
      <c r="L506" t="inlineStr">
        <is>
          <t>PRESIDENCIA EJECUTIVA DEL CONSEJO</t>
        </is>
      </c>
      <c r="M506" t="n">
        <v>40</v>
      </c>
      <c r="N506" t="inlineStr">
        <is>
          <t>DIRECCION GENERAL BANCO BASE</t>
        </is>
      </c>
      <c r="O506" t="n">
        <v>410</v>
      </c>
      <c r="P506" t="inlineStr">
        <is>
          <t>DIRECCION COMERCIAL</t>
        </is>
      </c>
      <c r="Q506" t="n">
        <v>4130</v>
      </c>
      <c r="R506" t="inlineStr">
        <is>
          <t>DIRECCION COMERCIAL CDMX 2</t>
        </is>
      </c>
      <c r="S506" t="n">
        <v>41350</v>
      </c>
      <c r="T506" t="inlineStr">
        <is>
          <t>SUBDIRECCION COMERCIAL CDMX 5</t>
        </is>
      </c>
      <c r="U506" t="n">
        <v>413500</v>
      </c>
      <c r="V506" t="inlineStr">
        <is>
          <t>SUBDIRECCION COMERCIAL CDMX 5</t>
        </is>
      </c>
      <c r="W506" t="n">
        <v>134111</v>
      </c>
      <c r="X506" t="inlineStr">
        <is>
          <t>LOMAS</t>
        </is>
      </c>
      <c r="Y506" t="n">
        <v>13</v>
      </c>
      <c r="Z506" t="inlineStr">
        <is>
          <t>FINANCIAMIENTO</t>
        </is>
      </c>
      <c r="AA506" t="n">
        <v>1</v>
      </c>
      <c r="AB506" t="inlineStr">
        <is>
          <t>NEGOCIO EN MARCHA</t>
        </is>
      </c>
      <c r="AC506" t="n">
        <v>1</v>
      </c>
      <c r="AD506" t="inlineStr">
        <is>
          <t>BANCO</t>
        </is>
      </c>
      <c r="AE506" t="n">
        <v>3</v>
      </c>
      <c r="AF506" t="inlineStr">
        <is>
          <t>FRONT</t>
        </is>
      </c>
      <c r="AG506" t="n">
        <v>134111</v>
      </c>
      <c r="AH506" t="inlineStr">
        <is>
          <t>LOMAS</t>
        </is>
      </c>
      <c r="AI506" t="inlineStr">
        <is>
          <t>MRODRIGUER@BANCOBASE.COM</t>
        </is>
      </c>
      <c r="AJ506" s="151" t="n">
        <v>42950</v>
      </c>
      <c r="AK506" s="151" t="n"/>
      <c r="AL506" s="151" t="n"/>
    </row>
    <row r="507" hidden="1" s="150">
      <c r="A507" t="inlineStr">
        <is>
          <t>IRODRIGUEH</t>
        </is>
      </c>
      <c r="B507" t="n">
        <v>3110</v>
      </c>
      <c r="C507" t="inlineStr">
        <is>
          <t>ILEANA ALEJANDRA RODRIGUEZ HURTADO</t>
        </is>
      </c>
      <c r="D507" t="n">
        <v>8568</v>
      </c>
      <c r="E507" t="inlineStr">
        <is>
          <t>ASISTENTE CAMBIARIO</t>
        </is>
      </c>
      <c r="F507" t="inlineStr">
        <is>
          <t>MEXICO</t>
        </is>
      </c>
      <c r="G507" t="n">
        <v>3325</v>
      </c>
      <c r="H507" t="inlineStr">
        <is>
          <t>JOSE ANTONIO HERNANDEZ MONTIEL</t>
        </is>
      </c>
      <c r="I507" t="n">
        <v>8566</v>
      </c>
      <c r="J507" t="inlineStr">
        <is>
          <t>SUBDIRECTOR COMERCIAL</t>
        </is>
      </c>
      <c r="K507" t="n">
        <v>1</v>
      </c>
      <c r="L507" t="inlineStr">
        <is>
          <t>PRESIDENCIA EJECUTIVA DEL CONSEJO</t>
        </is>
      </c>
      <c r="M507" t="n">
        <v>40</v>
      </c>
      <c r="N507" t="inlineStr">
        <is>
          <t>DIRECCION GENERAL BANCO BASE</t>
        </is>
      </c>
      <c r="O507" t="n">
        <v>410</v>
      </c>
      <c r="P507" t="inlineStr">
        <is>
          <t>DIRECCION COMERCIAL</t>
        </is>
      </c>
      <c r="Q507" t="n">
        <v>4130</v>
      </c>
      <c r="R507" t="inlineStr">
        <is>
          <t>DIRECCION COMERCIAL CDMX 2</t>
        </is>
      </c>
      <c r="S507" t="n">
        <v>41350</v>
      </c>
      <c r="T507" t="inlineStr">
        <is>
          <t>SUBDIRECCION COMERCIAL CDMX 5</t>
        </is>
      </c>
      <c r="U507" t="n">
        <v>413500</v>
      </c>
      <c r="V507" t="inlineStr">
        <is>
          <t>SUBDIRECCION COMERCIAL CDMX 5</t>
        </is>
      </c>
      <c r="W507" t="n">
        <v>134111</v>
      </c>
      <c r="X507" t="inlineStr">
        <is>
          <t>LOMAS</t>
        </is>
      </c>
      <c r="Y507" t="n">
        <v>3</v>
      </c>
      <c r="Z507" t="inlineStr">
        <is>
          <t>CAMBIARIO</t>
        </is>
      </c>
      <c r="AA507" t="n">
        <v>1</v>
      </c>
      <c r="AB507" t="inlineStr">
        <is>
          <t>NEGOCIO EN MARCHA</t>
        </is>
      </c>
      <c r="AC507" t="n">
        <v>1</v>
      </c>
      <c r="AD507" t="inlineStr">
        <is>
          <t>BANCO</t>
        </is>
      </c>
      <c r="AE507" t="n">
        <v>2</v>
      </c>
      <c r="AF507" t="inlineStr">
        <is>
          <t>MIDDLE</t>
        </is>
      </c>
      <c r="AG507" t="n">
        <v>134111</v>
      </c>
      <c r="AH507" t="inlineStr">
        <is>
          <t>LOMAS</t>
        </is>
      </c>
      <c r="AI507" t="inlineStr">
        <is>
          <t>IRODRIGUEH@BANCOBASE.COM</t>
        </is>
      </c>
      <c r="AJ507" s="151" t="n">
        <v>45419</v>
      </c>
      <c r="AK507" s="151" t="n"/>
      <c r="AL507" s="151" t="n"/>
    </row>
    <row r="508" hidden="1" s="150">
      <c r="A508" t="inlineStr">
        <is>
          <t>AMEJIA</t>
        </is>
      </c>
      <c r="B508" t="n">
        <v>3641</v>
      </c>
      <c r="C508" t="inlineStr">
        <is>
          <t>ANGEL GAEL MEJIA TORRES</t>
        </is>
      </c>
      <c r="D508" t="n">
        <v>6050</v>
      </c>
      <c r="E508" t="inlineStr">
        <is>
          <t>ASESOR CAMBIARIO</t>
        </is>
      </c>
      <c r="F508" t="inlineStr">
        <is>
          <t>MEXICO</t>
        </is>
      </c>
      <c r="G508" t="n">
        <v>3325</v>
      </c>
      <c r="H508" t="inlineStr">
        <is>
          <t>JOSE ANTONIO HERNANDEZ MONTIEL</t>
        </is>
      </c>
      <c r="I508" t="n">
        <v>8566</v>
      </c>
      <c r="J508" t="inlineStr">
        <is>
          <t>SUBDIRECTOR COMERCIAL</t>
        </is>
      </c>
      <c r="K508" t="n">
        <v>1</v>
      </c>
      <c r="L508" t="inlineStr">
        <is>
          <t>PRESIDENCIA EJECUTIVA DEL CONSEJO</t>
        </is>
      </c>
      <c r="M508" t="n">
        <v>40</v>
      </c>
      <c r="N508" t="inlineStr">
        <is>
          <t>DIRECCION GENERAL BANCO BASE</t>
        </is>
      </c>
      <c r="O508" t="n">
        <v>410</v>
      </c>
      <c r="P508" t="inlineStr">
        <is>
          <t>DIRECCION COMERCIAL</t>
        </is>
      </c>
      <c r="Q508" t="n">
        <v>4130</v>
      </c>
      <c r="R508" t="inlineStr">
        <is>
          <t>DIRECCION COMERCIAL CDMX 2</t>
        </is>
      </c>
      <c r="S508" t="n">
        <v>41350</v>
      </c>
      <c r="T508" t="inlineStr">
        <is>
          <t>SUBDIRECCION COMERCIAL CDMX 5</t>
        </is>
      </c>
      <c r="U508" t="n">
        <v>413500</v>
      </c>
      <c r="V508" t="inlineStr">
        <is>
          <t>SUBDIRECCION COMERCIAL CDMX 5</t>
        </is>
      </c>
      <c r="W508" t="n">
        <v>134111</v>
      </c>
      <c r="X508" t="inlineStr">
        <is>
          <t>LOMAS</t>
        </is>
      </c>
      <c r="Y508" t="n">
        <v>3</v>
      </c>
      <c r="Z508" t="inlineStr">
        <is>
          <t>CAMBIARIO</t>
        </is>
      </c>
      <c r="AA508" t="n">
        <v>1</v>
      </c>
      <c r="AB508" t="inlineStr">
        <is>
          <t>NEGOCIO EN MARCHA</t>
        </is>
      </c>
      <c r="AC508" t="n">
        <v>1</v>
      </c>
      <c r="AD508" t="inlineStr">
        <is>
          <t>BANCO</t>
        </is>
      </c>
      <c r="AE508" t="n">
        <v>3</v>
      </c>
      <c r="AF508" t="inlineStr">
        <is>
          <t>FRONT</t>
        </is>
      </c>
      <c r="AG508" t="n">
        <v>134111</v>
      </c>
      <c r="AH508" t="inlineStr">
        <is>
          <t>LOMAS</t>
        </is>
      </c>
      <c r="AI508" t="inlineStr">
        <is>
          <t>AMEJIA@BANCOBASE.COM</t>
        </is>
      </c>
      <c r="AJ508" s="151" t="n">
        <v>45946</v>
      </c>
      <c r="AK508" s="151" t="n"/>
      <c r="AL508" s="151" t="n"/>
    </row>
    <row r="509" hidden="1" s="150">
      <c r="A509" t="inlineStr">
        <is>
          <t>DDUKS</t>
        </is>
      </c>
      <c r="B509" t="n">
        <v>2482</v>
      </c>
      <c r="C509" t="inlineStr">
        <is>
          <t>DIANA DUK SANCHEZ</t>
        </is>
      </c>
      <c r="D509" t="n">
        <v>9267</v>
      </c>
      <c r="E509" t="inlineStr">
        <is>
          <t>SUBDIRECTOR DE PROMOCION COMERCIAL</t>
        </is>
      </c>
      <c r="F509" t="inlineStr">
        <is>
          <t>MEXICO</t>
        </is>
      </c>
      <c r="G509" t="n">
        <v>1138</v>
      </c>
      <c r="H509" t="inlineStr">
        <is>
          <t>GUSTAVO GARZA VILLARREAL</t>
        </is>
      </c>
      <c r="I509" t="n">
        <v>3615</v>
      </c>
      <c r="J509" t="inlineStr">
        <is>
          <t>DIRECTOR COMERCIAL CIUDAD DE MEXICO</t>
        </is>
      </c>
      <c r="K509" t="n">
        <v>1</v>
      </c>
      <c r="L509" t="inlineStr">
        <is>
          <t>PRESIDENCIA EJECUTIVA DEL CONSEJO</t>
        </is>
      </c>
      <c r="M509" t="n">
        <v>40</v>
      </c>
      <c r="N509" t="inlineStr">
        <is>
          <t>DIRECCION GENERAL BANCO BASE</t>
        </is>
      </c>
      <c r="O509" t="n">
        <v>410</v>
      </c>
      <c r="P509" t="inlineStr">
        <is>
          <t>DIRECCION COMERCIAL</t>
        </is>
      </c>
      <c r="Q509" t="n">
        <v>4130</v>
      </c>
      <c r="R509" t="inlineStr">
        <is>
          <t>DIRECCION COMERCIAL CDMX 2</t>
        </is>
      </c>
      <c r="S509" t="n">
        <v>41310</v>
      </c>
      <c r="T509" t="inlineStr">
        <is>
          <t>SUBDIRECCION COMERCIAL CDMX 1</t>
        </is>
      </c>
      <c r="U509" t="n">
        <v>413100</v>
      </c>
      <c r="V509" t="inlineStr">
        <is>
          <t>SUBDIRECCION COMERCIAL CDMX 1</t>
        </is>
      </c>
      <c r="W509" t="n">
        <v>134111</v>
      </c>
      <c r="X509" t="inlineStr">
        <is>
          <t>LOMAS</t>
        </is>
      </c>
      <c r="Y509" t="n">
        <v>3</v>
      </c>
      <c r="Z509" t="inlineStr">
        <is>
          <t>CAMBIARIO</t>
        </is>
      </c>
      <c r="AA509" t="n">
        <v>1</v>
      </c>
      <c r="AB509" t="inlineStr">
        <is>
          <t>NEGOCIO EN MARCHA</t>
        </is>
      </c>
      <c r="AC509" t="n">
        <v>1</v>
      </c>
      <c r="AD509" t="inlineStr">
        <is>
          <t>BANCO</t>
        </is>
      </c>
      <c r="AE509" t="n">
        <v>3</v>
      </c>
      <c r="AF509" t="inlineStr">
        <is>
          <t>FRONT</t>
        </is>
      </c>
      <c r="AG509" t="n">
        <v>134111</v>
      </c>
      <c r="AH509" t="inlineStr">
        <is>
          <t>LOMAS</t>
        </is>
      </c>
      <c r="AI509" t="inlineStr">
        <is>
          <t>DDUKS@BANCOBASE.COM</t>
        </is>
      </c>
      <c r="AJ509" s="151" t="n">
        <v>44252</v>
      </c>
      <c r="AK509" s="151" t="n"/>
      <c r="AL509" s="151" t="n"/>
    </row>
    <row r="510" hidden="1" s="150">
      <c r="A510" t="inlineStr">
        <is>
          <t>DCASTANEDA</t>
        </is>
      </c>
      <c r="B510" t="n">
        <v>2596</v>
      </c>
      <c r="C510" t="inlineStr">
        <is>
          <t>LUIS DANIEL CASTAÑEDA ANDRADE</t>
        </is>
      </c>
      <c r="D510" t="n">
        <v>9382</v>
      </c>
      <c r="E510" t="inlineStr">
        <is>
          <t>ASESOR CAMBIARIO</t>
        </is>
      </c>
      <c r="F510" t="inlineStr">
        <is>
          <t>TELETRABAJO</t>
        </is>
      </c>
      <c r="G510" t="n">
        <v>2482</v>
      </c>
      <c r="H510" t="inlineStr">
        <is>
          <t>DIANA DUK SANCHEZ</t>
        </is>
      </c>
      <c r="I510" t="n">
        <v>9267</v>
      </c>
      <c r="J510" t="inlineStr">
        <is>
          <t>SUBDIRECTOR DE PROMOCION COMERCIAL</t>
        </is>
      </c>
      <c r="K510" t="n">
        <v>1</v>
      </c>
      <c r="L510" t="inlineStr">
        <is>
          <t>PRESIDENCIA EJECUTIVA DEL CONSEJO</t>
        </is>
      </c>
      <c r="M510" t="n">
        <v>40</v>
      </c>
      <c r="N510" t="inlineStr">
        <is>
          <t>DIRECCION GENERAL BANCO BASE</t>
        </is>
      </c>
      <c r="O510" t="n">
        <v>410</v>
      </c>
      <c r="P510" t="inlineStr">
        <is>
          <t>DIRECCION COMERCIAL</t>
        </is>
      </c>
      <c r="Q510" t="n">
        <v>4130</v>
      </c>
      <c r="R510" t="inlineStr">
        <is>
          <t>DIRECCION COMERCIAL CDMX 2</t>
        </is>
      </c>
      <c r="S510" t="n">
        <v>41310</v>
      </c>
      <c r="T510" t="inlineStr">
        <is>
          <t>SUBDIRECCION COMERCIAL CDMX 1</t>
        </is>
      </c>
      <c r="U510" t="n">
        <v>413100</v>
      </c>
      <c r="V510" t="inlineStr">
        <is>
          <t>SUBDIRECCION COMERCIAL CDMX 1</t>
        </is>
      </c>
      <c r="W510" t="n">
        <v>134111</v>
      </c>
      <c r="X510" t="inlineStr">
        <is>
          <t>LOMAS</t>
        </is>
      </c>
      <c r="Y510" t="n">
        <v>3</v>
      </c>
      <c r="Z510" t="inlineStr">
        <is>
          <t>CAMBIARIO</t>
        </is>
      </c>
      <c r="AA510" t="n">
        <v>1</v>
      </c>
      <c r="AB510" t="inlineStr">
        <is>
          <t>NEGOCIO EN MARCHA</t>
        </is>
      </c>
      <c r="AC510" t="n">
        <v>1</v>
      </c>
      <c r="AD510" t="inlineStr">
        <is>
          <t>BANCO</t>
        </is>
      </c>
      <c r="AE510" t="n">
        <v>3</v>
      </c>
      <c r="AF510" t="inlineStr">
        <is>
          <t>FRONT</t>
        </is>
      </c>
      <c r="AG510" t="n">
        <v>134111</v>
      </c>
      <c r="AH510" t="inlineStr">
        <is>
          <t>LOMAS</t>
        </is>
      </c>
      <c r="AI510" t="inlineStr">
        <is>
          <t>DCASTANEDA@BANCOBASE.COM</t>
        </is>
      </c>
      <c r="AJ510" s="151" t="n">
        <v>44564</v>
      </c>
      <c r="AK510" s="151" t="n"/>
      <c r="AL510" s="151" t="n"/>
    </row>
    <row r="511" hidden="1" s="150">
      <c r="A511" t="inlineStr">
        <is>
          <t>ICASTANEDN</t>
        </is>
      </c>
      <c r="B511" t="n">
        <v>3055</v>
      </c>
      <c r="C511" t="inlineStr">
        <is>
          <t>ISABEL CASTAÑEDA NAGORE</t>
        </is>
      </c>
      <c r="D511" t="n">
        <v>9984</v>
      </c>
      <c r="E511" t="inlineStr">
        <is>
          <t>ASESOR CAMBIARIO</t>
        </is>
      </c>
      <c r="F511" t="inlineStr">
        <is>
          <t>MEXICO</t>
        </is>
      </c>
      <c r="G511" t="n">
        <v>2482</v>
      </c>
      <c r="H511" t="inlineStr">
        <is>
          <t>DIANA DUK SANCHEZ</t>
        </is>
      </c>
      <c r="I511" t="n">
        <v>9267</v>
      </c>
      <c r="J511" t="inlineStr">
        <is>
          <t>SUBDIRECTOR DE PROMOCION COMERCIAL</t>
        </is>
      </c>
      <c r="K511" t="n">
        <v>1</v>
      </c>
      <c r="L511" t="inlineStr">
        <is>
          <t>PRESIDENCIA EJECUTIVA DEL CONSEJO</t>
        </is>
      </c>
      <c r="M511" t="n">
        <v>40</v>
      </c>
      <c r="N511" t="inlineStr">
        <is>
          <t>DIRECCION GENERAL BANCO BASE</t>
        </is>
      </c>
      <c r="O511" t="n">
        <v>410</v>
      </c>
      <c r="P511" t="inlineStr">
        <is>
          <t>DIRECCION COMERCIAL</t>
        </is>
      </c>
      <c r="Q511" t="n">
        <v>4130</v>
      </c>
      <c r="R511" t="inlineStr">
        <is>
          <t>DIRECCION COMERCIAL CDMX 2</t>
        </is>
      </c>
      <c r="S511" t="n">
        <v>41310</v>
      </c>
      <c r="T511" t="inlineStr">
        <is>
          <t>SUBDIRECCION COMERCIAL CDMX 1</t>
        </is>
      </c>
      <c r="U511" t="n">
        <v>413100</v>
      </c>
      <c r="V511" t="inlineStr">
        <is>
          <t>SUBDIRECCION COMERCIAL CDMX 1</t>
        </is>
      </c>
      <c r="W511" t="n">
        <v>134111</v>
      </c>
      <c r="X511" t="inlineStr">
        <is>
          <t>LOMAS</t>
        </is>
      </c>
      <c r="Y511" t="n">
        <v>3</v>
      </c>
      <c r="Z511" t="inlineStr">
        <is>
          <t>CAMBIARIO</t>
        </is>
      </c>
      <c r="AA511" t="n">
        <v>1</v>
      </c>
      <c r="AB511" t="inlineStr">
        <is>
          <t>NEGOCIO EN MARCHA</t>
        </is>
      </c>
      <c r="AC511" t="n">
        <v>1</v>
      </c>
      <c r="AD511" t="inlineStr">
        <is>
          <t>BANCO</t>
        </is>
      </c>
      <c r="AE511" t="n">
        <v>3</v>
      </c>
      <c r="AF511" t="inlineStr">
        <is>
          <t>FRONT</t>
        </is>
      </c>
      <c r="AG511" t="n">
        <v>134111</v>
      </c>
      <c r="AH511" t="inlineStr">
        <is>
          <t>LOMAS</t>
        </is>
      </c>
      <c r="AI511" t="inlineStr">
        <is>
          <t>ICASTANEDN@BANCOBASE.COM</t>
        </is>
      </c>
      <c r="AJ511" s="151" t="n">
        <v>45357</v>
      </c>
      <c r="AK511" s="151" t="n"/>
      <c r="AL511" s="151" t="n"/>
    </row>
    <row r="512" hidden="1" s="150">
      <c r="A512" t="inlineStr">
        <is>
          <t>IPEREZ</t>
        </is>
      </c>
      <c r="B512" t="n">
        <v>2574</v>
      </c>
      <c r="C512" t="inlineStr">
        <is>
          <t>IRENE BEDANY PEREZ PALOMINO</t>
        </is>
      </c>
      <c r="D512" t="n">
        <v>9557</v>
      </c>
      <c r="E512" t="inlineStr">
        <is>
          <t>ASESOR CAMBIARIO</t>
        </is>
      </c>
      <c r="F512" t="inlineStr">
        <is>
          <t>MEXICO</t>
        </is>
      </c>
      <c r="G512" t="n">
        <v>2482</v>
      </c>
      <c r="H512" t="inlineStr">
        <is>
          <t>DIANA DUK SANCHEZ</t>
        </is>
      </c>
      <c r="I512" t="n">
        <v>9267</v>
      </c>
      <c r="J512" t="inlineStr">
        <is>
          <t>SUBDIRECTOR DE PROMOCION COMERCIAL</t>
        </is>
      </c>
      <c r="K512" t="n">
        <v>1</v>
      </c>
      <c r="L512" t="inlineStr">
        <is>
          <t>PRESIDENCIA EJECUTIVA DEL CONSEJO</t>
        </is>
      </c>
      <c r="M512" t="n">
        <v>40</v>
      </c>
      <c r="N512" t="inlineStr">
        <is>
          <t>DIRECCION GENERAL BANCO BASE</t>
        </is>
      </c>
      <c r="O512" t="n">
        <v>410</v>
      </c>
      <c r="P512" t="inlineStr">
        <is>
          <t>DIRECCION COMERCIAL</t>
        </is>
      </c>
      <c r="Q512" t="n">
        <v>4130</v>
      </c>
      <c r="R512" t="inlineStr">
        <is>
          <t>DIRECCION COMERCIAL CDMX 2</t>
        </is>
      </c>
      <c r="S512" t="n">
        <v>41310</v>
      </c>
      <c r="T512" t="inlineStr">
        <is>
          <t>SUBDIRECCION COMERCIAL CDMX 1</t>
        </is>
      </c>
      <c r="U512" t="n">
        <v>413100</v>
      </c>
      <c r="V512" t="inlineStr">
        <is>
          <t>SUBDIRECCION COMERCIAL CDMX 1</t>
        </is>
      </c>
      <c r="W512" t="n">
        <v>134111</v>
      </c>
      <c r="X512" t="inlineStr">
        <is>
          <t>LOMAS</t>
        </is>
      </c>
      <c r="Y512" t="n">
        <v>3</v>
      </c>
      <c r="Z512" t="inlineStr">
        <is>
          <t>CAMBIARIO</t>
        </is>
      </c>
      <c r="AA512" t="n">
        <v>1</v>
      </c>
      <c r="AB512" t="inlineStr">
        <is>
          <t>NEGOCIO EN MARCHA</t>
        </is>
      </c>
      <c r="AC512" t="n">
        <v>1</v>
      </c>
      <c r="AD512" t="inlineStr">
        <is>
          <t>BANCO</t>
        </is>
      </c>
      <c r="AE512" t="n">
        <v>3</v>
      </c>
      <c r="AF512" t="inlineStr">
        <is>
          <t>FRONT</t>
        </is>
      </c>
      <c r="AG512" t="n">
        <v>134111</v>
      </c>
      <c r="AH512" t="inlineStr">
        <is>
          <t>LOMAS</t>
        </is>
      </c>
      <c r="AI512" t="inlineStr">
        <is>
          <t>IPEREZ@BANCOBASE.COM</t>
        </is>
      </c>
      <c r="AJ512" s="151" t="n">
        <v>44516</v>
      </c>
      <c r="AK512" s="151" t="n"/>
      <c r="AL512" s="151" t="n"/>
    </row>
    <row r="513" hidden="1" s="150">
      <c r="A513" t="inlineStr">
        <is>
          <t>IOTERO</t>
        </is>
      </c>
      <c r="B513" t="n">
        <v>2855</v>
      </c>
      <c r="C513" t="inlineStr">
        <is>
          <t>IVAN OTERO CANARIOS</t>
        </is>
      </c>
      <c r="D513" t="n">
        <v>8259</v>
      </c>
      <c r="E513" t="inlineStr">
        <is>
          <t>ASESOR CAMBIARIO</t>
        </is>
      </c>
      <c r="F513" t="inlineStr">
        <is>
          <t>MEXICO</t>
        </is>
      </c>
      <c r="G513" t="n">
        <v>2482</v>
      </c>
      <c r="H513" t="inlineStr">
        <is>
          <t>DIANA DUK SANCHEZ</t>
        </is>
      </c>
      <c r="I513" t="n">
        <v>9267</v>
      </c>
      <c r="J513" t="inlineStr">
        <is>
          <t>SUBDIRECTOR DE PROMOCION COMERCIAL</t>
        </is>
      </c>
      <c r="K513" t="n">
        <v>1</v>
      </c>
      <c r="L513" t="inlineStr">
        <is>
          <t>PRESIDENCIA EJECUTIVA DEL CONSEJO</t>
        </is>
      </c>
      <c r="M513" t="n">
        <v>40</v>
      </c>
      <c r="N513" t="inlineStr">
        <is>
          <t>DIRECCION GENERAL BANCO BASE</t>
        </is>
      </c>
      <c r="O513" t="n">
        <v>410</v>
      </c>
      <c r="P513" t="inlineStr">
        <is>
          <t>DIRECCION COMERCIAL</t>
        </is>
      </c>
      <c r="Q513" t="n">
        <v>4130</v>
      </c>
      <c r="R513" t="inlineStr">
        <is>
          <t>DIRECCION COMERCIAL CDMX 2</t>
        </is>
      </c>
      <c r="S513" t="n">
        <v>41310</v>
      </c>
      <c r="T513" t="inlineStr">
        <is>
          <t>SUBDIRECCION COMERCIAL CDMX 1</t>
        </is>
      </c>
      <c r="U513" t="n">
        <v>413100</v>
      </c>
      <c r="V513" t="inlineStr">
        <is>
          <t>SUBDIRECCION COMERCIAL CDMX 1</t>
        </is>
      </c>
      <c r="W513" t="n">
        <v>134111</v>
      </c>
      <c r="X513" t="inlineStr">
        <is>
          <t>LOMAS</t>
        </is>
      </c>
      <c r="Y513" t="n">
        <v>3</v>
      </c>
      <c r="Z513" t="inlineStr">
        <is>
          <t>CAMBIARIO</t>
        </is>
      </c>
      <c r="AA513" t="n">
        <v>1</v>
      </c>
      <c r="AB513" t="inlineStr">
        <is>
          <t>NEGOCIO EN MARCHA</t>
        </is>
      </c>
      <c r="AC513" t="n">
        <v>1</v>
      </c>
      <c r="AD513" t="inlineStr">
        <is>
          <t>BANCO</t>
        </is>
      </c>
      <c r="AE513" t="n">
        <v>3</v>
      </c>
      <c r="AF513" t="inlineStr">
        <is>
          <t>FRONT</t>
        </is>
      </c>
      <c r="AG513" t="n">
        <v>134111</v>
      </c>
      <c r="AH513" t="inlineStr">
        <is>
          <t>LOMAS</t>
        </is>
      </c>
      <c r="AI513" t="inlineStr">
        <is>
          <t>IOTERO@BANCOBASE.COM</t>
        </is>
      </c>
      <c r="AJ513" s="151" t="n">
        <v>44987</v>
      </c>
      <c r="AK513" s="151" t="n"/>
      <c r="AL513" s="151" t="n"/>
    </row>
    <row r="514" hidden="1" s="150">
      <c r="A514" t="inlineStr">
        <is>
          <t>KREYESS</t>
        </is>
      </c>
      <c r="B514" t="n">
        <v>2544</v>
      </c>
      <c r="C514" t="inlineStr">
        <is>
          <t>KARLA PAOLA REYES DE LOS SANTOS</t>
        </is>
      </c>
      <c r="D514" t="n">
        <v>9981</v>
      </c>
      <c r="E514" t="inlineStr">
        <is>
          <t>ASESOR CAMBIARIO</t>
        </is>
      </c>
      <c r="F514" t="inlineStr">
        <is>
          <t>MEXICO</t>
        </is>
      </c>
      <c r="G514" t="n">
        <v>2482</v>
      </c>
      <c r="H514" t="inlineStr">
        <is>
          <t>DIANA DUK SANCHEZ</t>
        </is>
      </c>
      <c r="I514" t="n">
        <v>9267</v>
      </c>
      <c r="J514" t="inlineStr">
        <is>
          <t>SUBDIRECTOR DE PROMOCION COMERCIAL</t>
        </is>
      </c>
      <c r="K514" t="n">
        <v>1</v>
      </c>
      <c r="L514" t="inlineStr">
        <is>
          <t>PRESIDENCIA EJECUTIVA DEL CONSEJO</t>
        </is>
      </c>
      <c r="M514" t="n">
        <v>40</v>
      </c>
      <c r="N514" t="inlineStr">
        <is>
          <t>DIRECCION GENERAL BANCO BASE</t>
        </is>
      </c>
      <c r="O514" t="n">
        <v>410</v>
      </c>
      <c r="P514" t="inlineStr">
        <is>
          <t>DIRECCION COMERCIAL</t>
        </is>
      </c>
      <c r="Q514" t="n">
        <v>4130</v>
      </c>
      <c r="R514" t="inlineStr">
        <is>
          <t>DIRECCION COMERCIAL CDMX 2</t>
        </is>
      </c>
      <c r="S514" t="n">
        <v>41310</v>
      </c>
      <c r="T514" t="inlineStr">
        <is>
          <t>SUBDIRECCION COMERCIAL CDMX 1</t>
        </is>
      </c>
      <c r="U514" t="n">
        <v>413100</v>
      </c>
      <c r="V514" t="inlineStr">
        <is>
          <t>SUBDIRECCION COMERCIAL CDMX 1</t>
        </is>
      </c>
      <c r="W514" t="n">
        <v>134111</v>
      </c>
      <c r="X514" t="inlineStr">
        <is>
          <t>LOMAS</t>
        </is>
      </c>
      <c r="Y514" t="n">
        <v>3</v>
      </c>
      <c r="Z514" t="inlineStr">
        <is>
          <t>CAMBIARIO</t>
        </is>
      </c>
      <c r="AA514" t="n">
        <v>1</v>
      </c>
      <c r="AB514" t="inlineStr">
        <is>
          <t>NEGOCIO EN MARCHA</t>
        </is>
      </c>
      <c r="AC514" t="n">
        <v>1</v>
      </c>
      <c r="AD514" t="inlineStr">
        <is>
          <t>BANCO</t>
        </is>
      </c>
      <c r="AE514" t="n">
        <v>3</v>
      </c>
      <c r="AF514" t="inlineStr">
        <is>
          <t>FRONT</t>
        </is>
      </c>
      <c r="AG514" t="n">
        <v>134111</v>
      </c>
      <c r="AH514" t="inlineStr">
        <is>
          <t>LOMAS</t>
        </is>
      </c>
      <c r="AI514" t="inlineStr">
        <is>
          <t>KREYESS@BANCOBASE.COM</t>
        </is>
      </c>
      <c r="AJ514" s="151" t="n">
        <v>44445</v>
      </c>
      <c r="AK514" s="151" t="n"/>
      <c r="AL514" s="151" t="n"/>
    </row>
    <row r="515" hidden="1" s="150">
      <c r="A515" t="inlineStr">
        <is>
          <t>YHERNANDEZ</t>
        </is>
      </c>
      <c r="B515" t="n">
        <v>1970</v>
      </c>
      <c r="C515" t="inlineStr">
        <is>
          <t>LIZETH YARELI HERNANDEZ PUERTA</t>
        </is>
      </c>
      <c r="D515" t="n">
        <v>10133</v>
      </c>
      <c r="E515" t="inlineStr">
        <is>
          <t>ASESOR CAMBIARIO</t>
        </is>
      </c>
      <c r="F515" t="inlineStr">
        <is>
          <t>MEXICO</t>
        </is>
      </c>
      <c r="G515" t="n">
        <v>2482</v>
      </c>
      <c r="H515" t="inlineStr">
        <is>
          <t>DIANA DUK SANCHEZ</t>
        </is>
      </c>
      <c r="I515" t="n">
        <v>9267</v>
      </c>
      <c r="J515" t="inlineStr">
        <is>
          <t>SUBDIRECTOR DE PROMOCION COMERCIAL</t>
        </is>
      </c>
      <c r="K515" t="n">
        <v>1</v>
      </c>
      <c r="L515" t="inlineStr">
        <is>
          <t>PRESIDENCIA EJECUTIVA DEL CONSEJO</t>
        </is>
      </c>
      <c r="M515" t="n">
        <v>40</v>
      </c>
      <c r="N515" t="inlineStr">
        <is>
          <t>DIRECCION GENERAL BANCO BASE</t>
        </is>
      </c>
      <c r="O515" t="n">
        <v>410</v>
      </c>
      <c r="P515" t="inlineStr">
        <is>
          <t>DIRECCION COMERCIAL</t>
        </is>
      </c>
      <c r="Q515" t="n">
        <v>4130</v>
      </c>
      <c r="R515" t="inlineStr">
        <is>
          <t>DIRECCION COMERCIAL CDMX 2</t>
        </is>
      </c>
      <c r="S515" t="n">
        <v>41310</v>
      </c>
      <c r="T515" t="inlineStr">
        <is>
          <t>SUBDIRECCION COMERCIAL CDMX 1</t>
        </is>
      </c>
      <c r="U515" t="n">
        <v>413100</v>
      </c>
      <c r="V515" t="inlineStr">
        <is>
          <t>SUBDIRECCION COMERCIAL CDMX 1</t>
        </is>
      </c>
      <c r="W515" t="n">
        <v>134111</v>
      </c>
      <c r="X515" t="inlineStr">
        <is>
          <t>LOMAS</t>
        </is>
      </c>
      <c r="Y515" t="n">
        <v>3</v>
      </c>
      <c r="Z515" t="inlineStr">
        <is>
          <t>CAMBIARIO</t>
        </is>
      </c>
      <c r="AA515" t="n">
        <v>1</v>
      </c>
      <c r="AB515" t="inlineStr">
        <is>
          <t>NEGOCIO EN MARCHA</t>
        </is>
      </c>
      <c r="AC515" t="n">
        <v>1</v>
      </c>
      <c r="AD515" t="inlineStr">
        <is>
          <t>BANCO</t>
        </is>
      </c>
      <c r="AE515" t="n">
        <v>3</v>
      </c>
      <c r="AF515" t="inlineStr">
        <is>
          <t>FRONT</t>
        </is>
      </c>
      <c r="AG515" t="n">
        <v>134111</v>
      </c>
      <c r="AH515" t="inlineStr">
        <is>
          <t>LOMAS</t>
        </is>
      </c>
      <c r="AI515" t="inlineStr">
        <is>
          <t>YHERNANDEZ@BANCOBASE.COM</t>
        </is>
      </c>
      <c r="AJ515" s="151" t="n">
        <v>43192</v>
      </c>
      <c r="AK515" s="151" t="n"/>
      <c r="AL515" s="151" t="n"/>
    </row>
    <row r="516" hidden="1" s="150">
      <c r="A516" t="inlineStr">
        <is>
          <t>PBONILLA</t>
        </is>
      </c>
      <c r="B516" t="n">
        <v>2741</v>
      </c>
      <c r="C516" t="inlineStr">
        <is>
          <t>PAULINO EDUARDO BONILLA GONZALEZ</t>
        </is>
      </c>
      <c r="D516" t="n">
        <v>8004</v>
      </c>
      <c r="E516" t="inlineStr">
        <is>
          <t>ASESOR CAMBIARIO</t>
        </is>
      </c>
      <c r="F516" t="inlineStr">
        <is>
          <t>MEXICO</t>
        </is>
      </c>
      <c r="G516" t="n">
        <v>2482</v>
      </c>
      <c r="H516" t="inlineStr">
        <is>
          <t>DIANA DUK SANCHEZ</t>
        </is>
      </c>
      <c r="I516" t="n">
        <v>9267</v>
      </c>
      <c r="J516" t="inlineStr">
        <is>
          <t>SUBDIRECTOR DE PROMOCION COMERCIAL</t>
        </is>
      </c>
      <c r="K516" t="n">
        <v>1</v>
      </c>
      <c r="L516" t="inlineStr">
        <is>
          <t>PRESIDENCIA EJECUTIVA DEL CONSEJO</t>
        </is>
      </c>
      <c r="M516" t="n">
        <v>40</v>
      </c>
      <c r="N516" t="inlineStr">
        <is>
          <t>DIRECCION GENERAL BANCO BASE</t>
        </is>
      </c>
      <c r="O516" t="n">
        <v>410</v>
      </c>
      <c r="P516" t="inlineStr">
        <is>
          <t>DIRECCION COMERCIAL</t>
        </is>
      </c>
      <c r="Q516" t="n">
        <v>4130</v>
      </c>
      <c r="R516" t="inlineStr">
        <is>
          <t>DIRECCION COMERCIAL CDMX 2</t>
        </is>
      </c>
      <c r="S516" t="n">
        <v>41310</v>
      </c>
      <c r="T516" t="inlineStr">
        <is>
          <t>SUBDIRECCION COMERCIAL CDMX 1</t>
        </is>
      </c>
      <c r="U516" t="n">
        <v>413100</v>
      </c>
      <c r="V516" t="inlineStr">
        <is>
          <t>SUBDIRECCION COMERCIAL CDMX 1</t>
        </is>
      </c>
      <c r="W516" t="n">
        <v>134111</v>
      </c>
      <c r="X516" t="inlineStr">
        <is>
          <t>LOMAS</t>
        </is>
      </c>
      <c r="Y516" t="n">
        <v>3</v>
      </c>
      <c r="Z516" t="inlineStr">
        <is>
          <t>CAMBIARIO</t>
        </is>
      </c>
      <c r="AA516" t="n">
        <v>1</v>
      </c>
      <c r="AB516" t="inlineStr">
        <is>
          <t>NEGOCIO EN MARCHA</t>
        </is>
      </c>
      <c r="AC516" t="n">
        <v>1</v>
      </c>
      <c r="AD516" t="inlineStr">
        <is>
          <t>BANCO</t>
        </is>
      </c>
      <c r="AE516" t="n">
        <v>3</v>
      </c>
      <c r="AF516" t="inlineStr">
        <is>
          <t>FRONT</t>
        </is>
      </c>
      <c r="AG516" t="n">
        <v>134111</v>
      </c>
      <c r="AH516" t="inlineStr">
        <is>
          <t>LOMAS</t>
        </is>
      </c>
      <c r="AI516" t="inlineStr">
        <is>
          <t>PBONILLA@BANCOBASE.COM</t>
        </is>
      </c>
      <c r="AJ516" s="151" t="n">
        <v>44837</v>
      </c>
      <c r="AK516" s="151" t="n"/>
      <c r="AL516" s="151" t="n"/>
    </row>
    <row r="517" hidden="1" s="150">
      <c r="A517" t="inlineStr">
        <is>
          <t>EOSORIO</t>
        </is>
      </c>
      <c r="B517" t="n">
        <v>3607</v>
      </c>
      <c r="C517" t="inlineStr">
        <is>
          <t>ERICKA OSORIO HERNANDEZ</t>
        </is>
      </c>
      <c r="D517" t="n">
        <v>9825</v>
      </c>
      <c r="E517" t="inlineStr">
        <is>
          <t>ESPECIALISTA DE BANCA TRANSACCIONAL</t>
        </is>
      </c>
      <c r="F517" t="inlineStr">
        <is>
          <t>MEXICO</t>
        </is>
      </c>
      <c r="G517" t="n">
        <v>2482</v>
      </c>
      <c r="H517" t="inlineStr">
        <is>
          <t>DIANA DUK SANCHEZ</t>
        </is>
      </c>
      <c r="I517" t="n">
        <v>9267</v>
      </c>
      <c r="J517" t="inlineStr">
        <is>
          <t>SUBDIRECTOR DE PROMOCION COMERCIAL</t>
        </is>
      </c>
      <c r="K517" t="n">
        <v>1</v>
      </c>
      <c r="L517" t="inlineStr">
        <is>
          <t>PRESIDENCIA EJECUTIVA DEL CONSEJO</t>
        </is>
      </c>
      <c r="M517" t="n">
        <v>40</v>
      </c>
      <c r="N517" t="inlineStr">
        <is>
          <t>DIRECCION GENERAL BANCO BASE</t>
        </is>
      </c>
      <c r="O517" t="n">
        <v>410</v>
      </c>
      <c r="P517" t="inlineStr">
        <is>
          <t>DIRECCION COMERCIAL</t>
        </is>
      </c>
      <c r="Q517" t="n">
        <v>4130</v>
      </c>
      <c r="R517" t="inlineStr">
        <is>
          <t>DIRECCION COMERCIAL CDMX 2</t>
        </is>
      </c>
      <c r="S517" t="n">
        <v>41310</v>
      </c>
      <c r="T517" t="inlineStr">
        <is>
          <t>SUBDIRECCION COMERCIAL CDMX 1</t>
        </is>
      </c>
      <c r="U517" t="n">
        <v>413100</v>
      </c>
      <c r="V517" t="inlineStr">
        <is>
          <t>SUBDIRECCION COMERCIAL CDMX 1</t>
        </is>
      </c>
      <c r="W517" t="n">
        <v>134111</v>
      </c>
      <c r="X517" t="inlineStr">
        <is>
          <t>LOMAS</t>
        </is>
      </c>
      <c r="Y517" t="n">
        <v>14</v>
      </c>
      <c r="Z517" t="inlineStr">
        <is>
          <t>TRANSACCIONAL</t>
        </is>
      </c>
      <c r="AA517" t="n">
        <v>1</v>
      </c>
      <c r="AB517" t="inlineStr">
        <is>
          <t>NEGOCIO EN MARCHA</t>
        </is>
      </c>
      <c r="AC517" t="n">
        <v>1</v>
      </c>
      <c r="AD517" t="inlineStr">
        <is>
          <t>BANCO</t>
        </is>
      </c>
      <c r="AE517" t="n">
        <v>3</v>
      </c>
      <c r="AF517" t="inlineStr">
        <is>
          <t>FRONT</t>
        </is>
      </c>
      <c r="AG517" t="n">
        <v>134111</v>
      </c>
      <c r="AH517" t="inlineStr">
        <is>
          <t>LOMAS</t>
        </is>
      </c>
      <c r="AI517" t="inlineStr">
        <is>
          <t>EOSORIO@BANCOBASE.COM</t>
        </is>
      </c>
      <c r="AJ517" s="151" t="n">
        <v>45931</v>
      </c>
      <c r="AK517" s="151" t="n"/>
      <c r="AL517" s="151" t="n"/>
    </row>
    <row r="518" hidden="1" s="150">
      <c r="A518" t="inlineStr">
        <is>
          <t>EALVAREZB</t>
        </is>
      </c>
      <c r="B518" t="n">
        <v>3195</v>
      </c>
      <c r="C518" t="inlineStr">
        <is>
          <t>EDGAR ALFREDO ALVAREZ BALLESTEROS</t>
        </is>
      </c>
      <c r="D518" t="n">
        <v>9175</v>
      </c>
      <c r="E518" t="inlineStr">
        <is>
          <t>ESPECIALISTA DE FINANCIAMIENTO</t>
        </is>
      </c>
      <c r="F518" t="inlineStr">
        <is>
          <t>MEXICO</t>
        </is>
      </c>
      <c r="G518" t="n">
        <v>2482</v>
      </c>
      <c r="H518" t="inlineStr">
        <is>
          <t>DIANA DUK SANCHEZ</t>
        </is>
      </c>
      <c r="I518" t="n">
        <v>9267</v>
      </c>
      <c r="J518" t="inlineStr">
        <is>
          <t>SUBDIRECTOR DE PROMOCION COMERCIAL</t>
        </is>
      </c>
      <c r="K518" t="n">
        <v>1</v>
      </c>
      <c r="L518" t="inlineStr">
        <is>
          <t>PRESIDENCIA EJECUTIVA DEL CONSEJO</t>
        </is>
      </c>
      <c r="M518" t="n">
        <v>40</v>
      </c>
      <c r="N518" t="inlineStr">
        <is>
          <t>DIRECCION GENERAL BANCO BASE</t>
        </is>
      </c>
      <c r="O518" t="n">
        <v>410</v>
      </c>
      <c r="P518" t="inlineStr">
        <is>
          <t>DIRECCION COMERCIAL</t>
        </is>
      </c>
      <c r="Q518" t="n">
        <v>4130</v>
      </c>
      <c r="R518" t="inlineStr">
        <is>
          <t>DIRECCION COMERCIAL CDMX 2</t>
        </is>
      </c>
      <c r="S518" t="n">
        <v>41310</v>
      </c>
      <c r="T518" t="inlineStr">
        <is>
          <t>SUBDIRECCION COMERCIAL CDMX 1</t>
        </is>
      </c>
      <c r="U518" t="n">
        <v>413100</v>
      </c>
      <c r="V518" t="inlineStr">
        <is>
          <t>SUBDIRECCION COMERCIAL CDMX 1</t>
        </is>
      </c>
      <c r="W518" t="n">
        <v>134111</v>
      </c>
      <c r="X518" t="inlineStr">
        <is>
          <t>LOMAS</t>
        </is>
      </c>
      <c r="Y518" t="n">
        <v>13</v>
      </c>
      <c r="Z518" t="inlineStr">
        <is>
          <t>FINANCIAMIENTO</t>
        </is>
      </c>
      <c r="AA518" t="n">
        <v>1</v>
      </c>
      <c r="AB518" t="inlineStr">
        <is>
          <t>NEGOCIO EN MARCHA</t>
        </is>
      </c>
      <c r="AC518" t="n">
        <v>1</v>
      </c>
      <c r="AD518" t="inlineStr">
        <is>
          <t>BANCO</t>
        </is>
      </c>
      <c r="AE518" t="n">
        <v>3</v>
      </c>
      <c r="AF518" t="inlineStr">
        <is>
          <t>FRONT</t>
        </is>
      </c>
      <c r="AG518" t="n">
        <v>134111</v>
      </c>
      <c r="AH518" t="inlineStr">
        <is>
          <t>LOMAS</t>
        </is>
      </c>
      <c r="AI518" t="inlineStr">
        <is>
          <t>EALVAREZB@BANCOBASE.COM</t>
        </is>
      </c>
      <c r="AJ518" s="151" t="n">
        <v>45537</v>
      </c>
      <c r="AK518" s="151" t="n"/>
      <c r="AL518" s="151" t="n"/>
    </row>
    <row r="519" hidden="1" s="150">
      <c r="A519" t="inlineStr">
        <is>
          <t>LCAMACHO</t>
        </is>
      </c>
      <c r="B519" t="n">
        <v>3447</v>
      </c>
      <c r="C519" t="inlineStr">
        <is>
          <t>LUIS GERARDO CAMACHO GONZALEZ</t>
        </is>
      </c>
      <c r="D519" t="n">
        <v>8684</v>
      </c>
      <c r="E519" t="inlineStr">
        <is>
          <t>ESPECIALISTA DE FINANCIAMIENTO</t>
        </is>
      </c>
      <c r="F519" t="inlineStr">
        <is>
          <t>MEXICO</t>
        </is>
      </c>
      <c r="G519" t="n">
        <v>2482</v>
      </c>
      <c r="H519" t="inlineStr">
        <is>
          <t>DIANA DUK SANCHEZ</t>
        </is>
      </c>
      <c r="I519" t="n">
        <v>9267</v>
      </c>
      <c r="J519" t="inlineStr">
        <is>
          <t>SUBDIRECTOR DE PROMOCION COMERCIAL</t>
        </is>
      </c>
      <c r="K519" t="n">
        <v>1</v>
      </c>
      <c r="L519" t="inlineStr">
        <is>
          <t>PRESIDENCIA EJECUTIVA DEL CONSEJO</t>
        </is>
      </c>
      <c r="M519" t="n">
        <v>40</v>
      </c>
      <c r="N519" t="inlineStr">
        <is>
          <t>DIRECCION GENERAL BANCO BASE</t>
        </is>
      </c>
      <c r="O519" t="n">
        <v>410</v>
      </c>
      <c r="P519" t="inlineStr">
        <is>
          <t>DIRECCION COMERCIAL</t>
        </is>
      </c>
      <c r="Q519" t="n">
        <v>4130</v>
      </c>
      <c r="R519" t="inlineStr">
        <is>
          <t>DIRECCION COMERCIAL CDMX 2</t>
        </is>
      </c>
      <c r="S519" t="n">
        <v>41310</v>
      </c>
      <c r="T519" t="inlineStr">
        <is>
          <t>SUBDIRECCION COMERCIAL CDMX 1</t>
        </is>
      </c>
      <c r="U519" t="n">
        <v>413100</v>
      </c>
      <c r="V519" t="inlineStr">
        <is>
          <t>SUBDIRECCION COMERCIAL CDMX 1</t>
        </is>
      </c>
      <c r="W519" t="n">
        <v>134111</v>
      </c>
      <c r="X519" t="inlineStr">
        <is>
          <t>LOMAS</t>
        </is>
      </c>
      <c r="Y519" t="n">
        <v>13</v>
      </c>
      <c r="Z519" t="inlineStr">
        <is>
          <t>FINANCIAMIENTO</t>
        </is>
      </c>
      <c r="AA519" t="n">
        <v>1</v>
      </c>
      <c r="AB519" t="inlineStr">
        <is>
          <t>NEGOCIO EN MARCHA</t>
        </is>
      </c>
      <c r="AC519" t="n">
        <v>1</v>
      </c>
      <c r="AD519" t="inlineStr">
        <is>
          <t>BANCO</t>
        </is>
      </c>
      <c r="AE519" t="n">
        <v>3</v>
      </c>
      <c r="AF519" t="inlineStr">
        <is>
          <t>FRONT</t>
        </is>
      </c>
      <c r="AG519" t="n">
        <v>134111</v>
      </c>
      <c r="AH519" t="inlineStr">
        <is>
          <t>LOMAS</t>
        </is>
      </c>
      <c r="AI519" t="inlineStr">
        <is>
          <t>LCAMACHO@BANCOBASE.COM</t>
        </is>
      </c>
      <c r="AJ519" s="151" t="n">
        <v>45810</v>
      </c>
      <c r="AK519" s="151" t="n"/>
      <c r="AL519" s="151" t="n"/>
    </row>
    <row r="520" hidden="1" s="150">
      <c r="A520" t="inlineStr">
        <is>
          <t>ICHAVEZ</t>
        </is>
      </c>
      <c r="B520" t="n">
        <v>1386</v>
      </c>
      <c r="C520" t="inlineStr">
        <is>
          <t>ANAID ILIANA CHAVEZ ELIZALDE</t>
        </is>
      </c>
      <c r="D520" t="n">
        <v>9390</v>
      </c>
      <c r="E520" t="inlineStr">
        <is>
          <t>ASISTENTE CAMBIARIO</t>
        </is>
      </c>
      <c r="F520" t="inlineStr">
        <is>
          <t>MEXICO</t>
        </is>
      </c>
      <c r="G520" t="n">
        <v>2482</v>
      </c>
      <c r="H520" t="inlineStr">
        <is>
          <t>DIANA DUK SANCHEZ</t>
        </is>
      </c>
      <c r="I520" t="n">
        <v>9267</v>
      </c>
      <c r="J520" t="inlineStr">
        <is>
          <t>SUBDIRECTOR DE PROMOCION COMERCIAL</t>
        </is>
      </c>
      <c r="K520" t="n">
        <v>1</v>
      </c>
      <c r="L520" t="inlineStr">
        <is>
          <t>PRESIDENCIA EJECUTIVA DEL CONSEJO</t>
        </is>
      </c>
      <c r="M520" t="n">
        <v>40</v>
      </c>
      <c r="N520" t="inlineStr">
        <is>
          <t>DIRECCION GENERAL BANCO BASE</t>
        </is>
      </c>
      <c r="O520" t="n">
        <v>410</v>
      </c>
      <c r="P520" t="inlineStr">
        <is>
          <t>DIRECCION COMERCIAL</t>
        </is>
      </c>
      <c r="Q520" t="n">
        <v>4130</v>
      </c>
      <c r="R520" t="inlineStr">
        <is>
          <t>DIRECCION COMERCIAL CDMX 2</t>
        </is>
      </c>
      <c r="S520" t="n">
        <v>41310</v>
      </c>
      <c r="T520" t="inlineStr">
        <is>
          <t>SUBDIRECCION COMERCIAL CDMX 1</t>
        </is>
      </c>
      <c r="U520" t="n">
        <v>413100</v>
      </c>
      <c r="V520" t="inlineStr">
        <is>
          <t>SUBDIRECCION COMERCIAL CDMX 1</t>
        </is>
      </c>
      <c r="W520" t="n">
        <v>134111</v>
      </c>
      <c r="X520" t="inlineStr">
        <is>
          <t>LOMAS</t>
        </is>
      </c>
      <c r="Y520" t="n">
        <v>3</v>
      </c>
      <c r="Z520" t="inlineStr">
        <is>
          <t>CAMBIARIO</t>
        </is>
      </c>
      <c r="AA520" t="n">
        <v>1</v>
      </c>
      <c r="AB520" t="inlineStr">
        <is>
          <t>NEGOCIO EN MARCHA</t>
        </is>
      </c>
      <c r="AC520" t="n">
        <v>1</v>
      </c>
      <c r="AD520" t="inlineStr">
        <is>
          <t>BANCO</t>
        </is>
      </c>
      <c r="AE520" t="n">
        <v>2</v>
      </c>
      <c r="AF520" t="inlineStr">
        <is>
          <t>MIDDLE</t>
        </is>
      </c>
      <c r="AG520" t="n">
        <v>134111</v>
      </c>
      <c r="AH520" t="inlineStr">
        <is>
          <t>LOMAS</t>
        </is>
      </c>
      <c r="AI520" t="inlineStr">
        <is>
          <t>ICHAVEZ@BANCOBASE.COM</t>
        </is>
      </c>
      <c r="AJ520" s="151" t="n">
        <v>43283</v>
      </c>
      <c r="AK520" s="151" t="n"/>
      <c r="AL520" s="151" t="n"/>
    </row>
    <row r="521" hidden="1" s="150">
      <c r="A521" t="inlineStr">
        <is>
          <t>JBOTELLO</t>
        </is>
      </c>
      <c r="B521" t="n">
        <v>2547</v>
      </c>
      <c r="C521" t="inlineStr">
        <is>
          <t>JUAN CARLOS BOTELLO LEGORRETA</t>
        </is>
      </c>
      <c r="D521" t="n">
        <v>10369</v>
      </c>
      <c r="E521" t="inlineStr">
        <is>
          <t>ASISTENTE CAMBIARIO</t>
        </is>
      </c>
      <c r="F521" t="inlineStr">
        <is>
          <t>MEXICO</t>
        </is>
      </c>
      <c r="G521" t="n">
        <v>2482</v>
      </c>
      <c r="H521" t="inlineStr">
        <is>
          <t>DIANA DUK SANCHEZ</t>
        </is>
      </c>
      <c r="I521" t="n">
        <v>9267</v>
      </c>
      <c r="J521" t="inlineStr">
        <is>
          <t>SUBDIRECTOR DE PROMOCION COMERCIAL</t>
        </is>
      </c>
      <c r="K521" t="n">
        <v>1</v>
      </c>
      <c r="L521" t="inlineStr">
        <is>
          <t>PRESIDENCIA EJECUTIVA DEL CONSEJO</t>
        </is>
      </c>
      <c r="M521" t="n">
        <v>40</v>
      </c>
      <c r="N521" t="inlineStr">
        <is>
          <t>DIRECCION GENERAL BANCO BASE</t>
        </is>
      </c>
      <c r="O521" t="n">
        <v>410</v>
      </c>
      <c r="P521" t="inlineStr">
        <is>
          <t>DIRECCION COMERCIAL</t>
        </is>
      </c>
      <c r="Q521" t="n">
        <v>4130</v>
      </c>
      <c r="R521" t="inlineStr">
        <is>
          <t>DIRECCION COMERCIAL CDMX 2</t>
        </is>
      </c>
      <c r="S521" t="n">
        <v>41310</v>
      </c>
      <c r="T521" t="inlineStr">
        <is>
          <t>SUBDIRECCION COMERCIAL CDMX 1</t>
        </is>
      </c>
      <c r="U521" t="n">
        <v>413100</v>
      </c>
      <c r="V521" t="inlineStr">
        <is>
          <t>SUBDIRECCION COMERCIAL CDMX 1</t>
        </is>
      </c>
      <c r="W521" t="n">
        <v>134111</v>
      </c>
      <c r="X521" t="inlineStr">
        <is>
          <t>LOMAS</t>
        </is>
      </c>
      <c r="Y521" t="n">
        <v>3</v>
      </c>
      <c r="Z521" t="inlineStr">
        <is>
          <t>CAMBIARIO</t>
        </is>
      </c>
      <c r="AA521" t="n">
        <v>1</v>
      </c>
      <c r="AB521" t="inlineStr">
        <is>
          <t>NEGOCIO EN MARCHA</t>
        </is>
      </c>
      <c r="AC521" t="n">
        <v>1</v>
      </c>
      <c r="AD521" t="inlineStr">
        <is>
          <t>BANCO</t>
        </is>
      </c>
      <c r="AE521" t="n">
        <v>2</v>
      </c>
      <c r="AF521" t="inlineStr">
        <is>
          <t>MIDDLE</t>
        </is>
      </c>
      <c r="AG521" t="n">
        <v>134111</v>
      </c>
      <c r="AH521" t="inlineStr">
        <is>
          <t>LOMAS</t>
        </is>
      </c>
      <c r="AI521" t="inlineStr">
        <is>
          <t>JBOTELLO@BANCOBASE.COM</t>
        </is>
      </c>
      <c r="AJ521" s="151" t="n">
        <v>44459</v>
      </c>
      <c r="AK521" s="151" t="n"/>
      <c r="AL521" s="151" t="n"/>
    </row>
    <row r="522" hidden="1" s="150">
      <c r="A522" t="inlineStr">
        <is>
          <t>XRESENDIZ</t>
        </is>
      </c>
      <c r="B522" t="n">
        <v>2226</v>
      </c>
      <c r="C522" t="inlineStr">
        <is>
          <t>XIMENA MAGALI RESENDIZ TELLEZ</t>
        </is>
      </c>
      <c r="D522" t="n">
        <v>8278</v>
      </c>
      <c r="E522" t="inlineStr">
        <is>
          <t>ASISTENTE CAMBIARIO</t>
        </is>
      </c>
      <c r="F522" t="inlineStr">
        <is>
          <t>MEXICO</t>
        </is>
      </c>
      <c r="G522" t="n">
        <v>2482</v>
      </c>
      <c r="H522" t="inlineStr">
        <is>
          <t>DIANA DUK SANCHEZ</t>
        </is>
      </c>
      <c r="I522" t="n">
        <v>9267</v>
      </c>
      <c r="J522" t="inlineStr">
        <is>
          <t>SUBDIRECTOR DE PROMOCION COMERCIAL</t>
        </is>
      </c>
      <c r="K522" t="n">
        <v>1</v>
      </c>
      <c r="L522" t="inlineStr">
        <is>
          <t>PRESIDENCIA EJECUTIVA DEL CONSEJO</t>
        </is>
      </c>
      <c r="M522" t="n">
        <v>40</v>
      </c>
      <c r="N522" t="inlineStr">
        <is>
          <t>DIRECCION GENERAL BANCO BASE</t>
        </is>
      </c>
      <c r="O522" t="n">
        <v>410</v>
      </c>
      <c r="P522" t="inlineStr">
        <is>
          <t>DIRECCION COMERCIAL</t>
        </is>
      </c>
      <c r="Q522" t="n">
        <v>4130</v>
      </c>
      <c r="R522" t="inlineStr">
        <is>
          <t>DIRECCION COMERCIAL CDMX 2</t>
        </is>
      </c>
      <c r="S522" t="n">
        <v>41310</v>
      </c>
      <c r="T522" t="inlineStr">
        <is>
          <t>SUBDIRECCION COMERCIAL CDMX 1</t>
        </is>
      </c>
      <c r="U522" t="n">
        <v>413100</v>
      </c>
      <c r="V522" t="inlineStr">
        <is>
          <t>SUBDIRECCION COMERCIAL CDMX 1</t>
        </is>
      </c>
      <c r="W522" t="n">
        <v>134111</v>
      </c>
      <c r="X522" t="inlineStr">
        <is>
          <t>LOMAS</t>
        </is>
      </c>
      <c r="Y522" t="n">
        <v>3</v>
      </c>
      <c r="Z522" t="inlineStr">
        <is>
          <t>CAMBIARIO</t>
        </is>
      </c>
      <c r="AA522" t="n">
        <v>1</v>
      </c>
      <c r="AB522" t="inlineStr">
        <is>
          <t>NEGOCIO EN MARCHA</t>
        </is>
      </c>
      <c r="AC522" t="n">
        <v>1</v>
      </c>
      <c r="AD522" t="inlineStr">
        <is>
          <t>BANCO</t>
        </is>
      </c>
      <c r="AE522" t="n">
        <v>2</v>
      </c>
      <c r="AF522" t="inlineStr">
        <is>
          <t>MIDDLE</t>
        </is>
      </c>
      <c r="AG522" t="n">
        <v>134111</v>
      </c>
      <c r="AH522" t="inlineStr">
        <is>
          <t>LOMAS</t>
        </is>
      </c>
      <c r="AI522" t="inlineStr">
        <is>
          <t>XRESENDIZ@BANCOBASE.COM</t>
        </is>
      </c>
      <c r="AJ522" s="151" t="n">
        <v>43571</v>
      </c>
      <c r="AK522" s="151" t="n"/>
      <c r="AL522" s="151" t="n"/>
    </row>
    <row r="523" hidden="1" s="150">
      <c r="A523" t="inlineStr">
        <is>
          <t>MSEDANO</t>
        </is>
      </c>
      <c r="B523" t="n">
        <v>3589</v>
      </c>
      <c r="C523" t="inlineStr">
        <is>
          <t>MONICA SEDANO VELASCO</t>
        </is>
      </c>
      <c r="D523" t="n">
        <v>9183</v>
      </c>
      <c r="E523" t="inlineStr">
        <is>
          <t>SUBDIRECTOR COMERCIAL</t>
        </is>
      </c>
      <c r="F523" t="inlineStr">
        <is>
          <t>MEXICO</t>
        </is>
      </c>
      <c r="G523" t="n">
        <v>1138</v>
      </c>
      <c r="H523" t="inlineStr">
        <is>
          <t>GUSTAVO GARZA VILLARREAL</t>
        </is>
      </c>
      <c r="I523" t="n">
        <v>3615</v>
      </c>
      <c r="J523" t="inlineStr">
        <is>
          <t>DIRECTOR COMERCIAL CIUDAD DE MEXICO</t>
        </is>
      </c>
      <c r="K523" t="n">
        <v>1</v>
      </c>
      <c r="L523" t="inlineStr">
        <is>
          <t>PRESIDENCIA EJECUTIVA DEL CONSEJO</t>
        </is>
      </c>
      <c r="M523" t="n">
        <v>40</v>
      </c>
      <c r="N523" t="inlineStr">
        <is>
          <t>DIRECCION GENERAL BANCO BASE</t>
        </is>
      </c>
      <c r="O523" t="n">
        <v>410</v>
      </c>
      <c r="P523" t="inlineStr">
        <is>
          <t>DIRECCION COMERCIAL</t>
        </is>
      </c>
      <c r="Q523" t="n">
        <v>4130</v>
      </c>
      <c r="R523" t="inlineStr">
        <is>
          <t>DIRECCION COMERCIAL CDMX 2</t>
        </is>
      </c>
      <c r="S523" t="n">
        <v>41340</v>
      </c>
      <c r="T523" t="inlineStr">
        <is>
          <t>SUBDIRECCION COMERCIAL CDMX 4</t>
        </is>
      </c>
      <c r="U523" t="n">
        <v>413400</v>
      </c>
      <c r="V523" t="inlineStr">
        <is>
          <t>SUBDIRECCION COMERCIAL CDMX 4</t>
        </is>
      </c>
      <c r="W523" t="n">
        <v>134111</v>
      </c>
      <c r="X523" t="inlineStr">
        <is>
          <t>LOMAS</t>
        </is>
      </c>
      <c r="Y523" t="n">
        <v>3</v>
      </c>
      <c r="Z523" t="inlineStr">
        <is>
          <t>CAMBIARIO</t>
        </is>
      </c>
      <c r="AA523" t="n">
        <v>1</v>
      </c>
      <c r="AB523" t="inlineStr">
        <is>
          <t>NEGOCIO EN MARCHA</t>
        </is>
      </c>
      <c r="AC523" t="n">
        <v>1</v>
      </c>
      <c r="AD523" t="inlineStr">
        <is>
          <t>BANCO</t>
        </is>
      </c>
      <c r="AE523" t="n">
        <v>3</v>
      </c>
      <c r="AF523" t="inlineStr">
        <is>
          <t>FRONT</t>
        </is>
      </c>
      <c r="AG523" t="n">
        <v>134111</v>
      </c>
      <c r="AH523" t="inlineStr">
        <is>
          <t>LOMAS</t>
        </is>
      </c>
      <c r="AI523" t="inlineStr">
        <is>
          <t>MSEDANO@BANCOBASE.COM</t>
        </is>
      </c>
      <c r="AJ523" s="151" t="n">
        <v>45922</v>
      </c>
      <c r="AK523" s="151" t="n"/>
      <c r="AL523" s="151" t="n"/>
    </row>
    <row r="524" hidden="1" s="150">
      <c r="A524" t="inlineStr">
        <is>
          <t>MHERNANDEM</t>
        </is>
      </c>
      <c r="B524" t="n">
        <v>3606</v>
      </c>
      <c r="C524" t="inlineStr">
        <is>
          <t>MELISSA HERNANDEZ MEDINA</t>
        </is>
      </c>
      <c r="D524" t="n">
        <v>9375</v>
      </c>
      <c r="E524" t="inlineStr">
        <is>
          <t>ASESOR CAMBIARIO</t>
        </is>
      </c>
      <c r="F524" t="inlineStr">
        <is>
          <t>MEXICO</t>
        </is>
      </c>
      <c r="G524" t="n">
        <v>3589</v>
      </c>
      <c r="H524" t="inlineStr">
        <is>
          <t>MONICA SEDANO VELASCO</t>
        </is>
      </c>
      <c r="I524" t="n">
        <v>9183</v>
      </c>
      <c r="J524" t="inlineStr">
        <is>
          <t>SUBDIRECTOR COMERCIAL</t>
        </is>
      </c>
      <c r="K524" t="n">
        <v>1</v>
      </c>
      <c r="L524" t="inlineStr">
        <is>
          <t>PRESIDENCIA EJECUTIVA DEL CONSEJO</t>
        </is>
      </c>
      <c r="M524" t="n">
        <v>40</v>
      </c>
      <c r="N524" t="inlineStr">
        <is>
          <t>DIRECCION GENERAL BANCO BASE</t>
        </is>
      </c>
      <c r="O524" t="n">
        <v>410</v>
      </c>
      <c r="P524" t="inlineStr">
        <is>
          <t>DIRECCION COMERCIAL</t>
        </is>
      </c>
      <c r="Q524" t="n">
        <v>4130</v>
      </c>
      <c r="R524" t="inlineStr">
        <is>
          <t>DIRECCION COMERCIAL CDMX 2</t>
        </is>
      </c>
      <c r="S524" t="n">
        <v>41340</v>
      </c>
      <c r="T524" t="inlineStr">
        <is>
          <t>SUBDIRECCION COMERCIAL CDMX 4</t>
        </is>
      </c>
      <c r="U524" t="n">
        <v>413400</v>
      </c>
      <c r="V524" t="inlineStr">
        <is>
          <t>SUBDIRECCION COMERCIAL CDMX 4</t>
        </is>
      </c>
      <c r="W524" t="n">
        <v>134111</v>
      </c>
      <c r="X524" t="inlineStr">
        <is>
          <t>LOMAS</t>
        </is>
      </c>
      <c r="Y524" t="n">
        <v>3</v>
      </c>
      <c r="Z524" t="inlineStr">
        <is>
          <t>CAMBIARIO</t>
        </is>
      </c>
      <c r="AA524" t="n">
        <v>1</v>
      </c>
      <c r="AB524" t="inlineStr">
        <is>
          <t>NEGOCIO EN MARCHA</t>
        </is>
      </c>
      <c r="AC524" t="n">
        <v>1</v>
      </c>
      <c r="AD524" t="inlineStr">
        <is>
          <t>BANCO</t>
        </is>
      </c>
      <c r="AE524" t="n">
        <v>3</v>
      </c>
      <c r="AF524" t="inlineStr">
        <is>
          <t>FRONT</t>
        </is>
      </c>
      <c r="AG524" t="n">
        <v>134111</v>
      </c>
      <c r="AH524" t="inlineStr">
        <is>
          <t>LOMAS</t>
        </is>
      </c>
      <c r="AI524" t="inlineStr">
        <is>
          <t>MHERNANDEM@BANCOBASE.COM</t>
        </is>
      </c>
      <c r="AJ524" s="151" t="n">
        <v>45931</v>
      </c>
      <c r="AK524" s="151" t="n"/>
      <c r="AL524" s="151" t="n"/>
    </row>
    <row r="525" hidden="1" s="150">
      <c r="A525" t="inlineStr">
        <is>
          <t>PCAL</t>
        </is>
      </c>
      <c r="B525" t="n">
        <v>310</v>
      </c>
      <c r="C525" t="inlineStr">
        <is>
          <t>PATRICIA CAL Y MAYOR BARRIOS</t>
        </is>
      </c>
      <c r="D525" t="n">
        <v>9176</v>
      </c>
      <c r="E525" t="inlineStr">
        <is>
          <t>ASESOR CAMBIARIO</t>
        </is>
      </c>
      <c r="F525" t="inlineStr">
        <is>
          <t>MEXICO</t>
        </is>
      </c>
      <c r="G525" t="n">
        <v>3589</v>
      </c>
      <c r="H525" t="inlineStr">
        <is>
          <t>MONICA SEDANO VELASCO</t>
        </is>
      </c>
      <c r="I525" t="n">
        <v>9183</v>
      </c>
      <c r="J525" t="inlineStr">
        <is>
          <t>SUBDIRECTOR COMERCIAL</t>
        </is>
      </c>
      <c r="K525" t="n">
        <v>1</v>
      </c>
      <c r="L525" t="inlineStr">
        <is>
          <t>PRESIDENCIA EJECUTIVA DEL CONSEJO</t>
        </is>
      </c>
      <c r="M525" t="n">
        <v>40</v>
      </c>
      <c r="N525" t="inlineStr">
        <is>
          <t>DIRECCION GENERAL BANCO BASE</t>
        </is>
      </c>
      <c r="O525" t="n">
        <v>410</v>
      </c>
      <c r="P525" t="inlineStr">
        <is>
          <t>DIRECCION COMERCIAL</t>
        </is>
      </c>
      <c r="Q525" t="n">
        <v>4130</v>
      </c>
      <c r="R525" t="inlineStr">
        <is>
          <t>DIRECCION COMERCIAL CDMX 2</t>
        </is>
      </c>
      <c r="S525" t="n">
        <v>41340</v>
      </c>
      <c r="T525" t="inlineStr">
        <is>
          <t>SUBDIRECCION COMERCIAL CDMX 4</t>
        </is>
      </c>
      <c r="U525" t="n">
        <v>413400</v>
      </c>
      <c r="V525" t="inlineStr">
        <is>
          <t>SUBDIRECCION COMERCIAL CDMX 4</t>
        </is>
      </c>
      <c r="W525" t="n">
        <v>134111</v>
      </c>
      <c r="X525" t="inlineStr">
        <is>
          <t>LOMAS</t>
        </is>
      </c>
      <c r="Y525" t="n">
        <v>3</v>
      </c>
      <c r="Z525" t="inlineStr">
        <is>
          <t>CAMBIARIO</t>
        </is>
      </c>
      <c r="AA525" t="n">
        <v>1</v>
      </c>
      <c r="AB525" t="inlineStr">
        <is>
          <t>NEGOCIO EN MARCHA</t>
        </is>
      </c>
      <c r="AC525" t="n">
        <v>1</v>
      </c>
      <c r="AD525" t="inlineStr">
        <is>
          <t>BANCO</t>
        </is>
      </c>
      <c r="AE525" t="n">
        <v>3</v>
      </c>
      <c r="AF525" t="inlineStr">
        <is>
          <t>FRONT</t>
        </is>
      </c>
      <c r="AG525" t="n">
        <v>134111</v>
      </c>
      <c r="AH525" t="inlineStr">
        <is>
          <t>LOMAS</t>
        </is>
      </c>
      <c r="AI525" t="inlineStr">
        <is>
          <t>PCAL@BANCOBASE.COM</t>
        </is>
      </c>
      <c r="AJ525" s="151" t="n">
        <v>38718</v>
      </c>
      <c r="AK525" s="151" t="n"/>
      <c r="AL525" s="151" t="n"/>
    </row>
    <row r="526" hidden="1" s="150">
      <c r="A526" t="inlineStr">
        <is>
          <t>VMARTINEZ</t>
        </is>
      </c>
      <c r="B526" t="n">
        <v>3600</v>
      </c>
      <c r="C526" t="inlineStr">
        <is>
          <t>VERONICA IVONNET MARTINEZ OROZCO</t>
        </is>
      </c>
      <c r="D526" t="n">
        <v>9360</v>
      </c>
      <c r="E526" t="inlineStr">
        <is>
          <t>ASESOR CAMBIARIO</t>
        </is>
      </c>
      <c r="F526" t="inlineStr">
        <is>
          <t>MEXICO</t>
        </is>
      </c>
      <c r="G526" t="n">
        <v>3589</v>
      </c>
      <c r="H526" t="inlineStr">
        <is>
          <t>MONICA SEDANO VELASCO</t>
        </is>
      </c>
      <c r="I526" t="n">
        <v>9183</v>
      </c>
      <c r="J526" t="inlineStr">
        <is>
          <t>SUBDIRECTOR COMERCIAL</t>
        </is>
      </c>
      <c r="K526" t="n">
        <v>1</v>
      </c>
      <c r="L526" t="inlineStr">
        <is>
          <t>PRESIDENCIA EJECUTIVA DEL CONSEJO</t>
        </is>
      </c>
      <c r="M526" t="n">
        <v>40</v>
      </c>
      <c r="N526" t="inlineStr">
        <is>
          <t>DIRECCION GENERAL BANCO BASE</t>
        </is>
      </c>
      <c r="O526" t="n">
        <v>410</v>
      </c>
      <c r="P526" t="inlineStr">
        <is>
          <t>DIRECCION COMERCIAL</t>
        </is>
      </c>
      <c r="Q526" t="n">
        <v>4130</v>
      </c>
      <c r="R526" t="inlineStr">
        <is>
          <t>DIRECCION COMERCIAL CDMX 2</t>
        </is>
      </c>
      <c r="S526" t="n">
        <v>41340</v>
      </c>
      <c r="T526" t="inlineStr">
        <is>
          <t>SUBDIRECCION COMERCIAL CDMX 4</t>
        </is>
      </c>
      <c r="U526" t="n">
        <v>413400</v>
      </c>
      <c r="V526" t="inlineStr">
        <is>
          <t>SUBDIRECCION COMERCIAL CDMX 4</t>
        </is>
      </c>
      <c r="W526" t="n">
        <v>134111</v>
      </c>
      <c r="X526" t="inlineStr">
        <is>
          <t>LOMAS</t>
        </is>
      </c>
      <c r="Y526" t="n">
        <v>3</v>
      </c>
      <c r="Z526" t="inlineStr">
        <is>
          <t>CAMBIARIO</t>
        </is>
      </c>
      <c r="AA526" t="n">
        <v>1</v>
      </c>
      <c r="AB526" t="inlineStr">
        <is>
          <t>NEGOCIO EN MARCHA</t>
        </is>
      </c>
      <c r="AC526" t="n">
        <v>1</v>
      </c>
      <c r="AD526" t="inlineStr">
        <is>
          <t>BANCO</t>
        </is>
      </c>
      <c r="AE526" t="n">
        <v>3</v>
      </c>
      <c r="AF526" t="inlineStr">
        <is>
          <t>FRONT</t>
        </is>
      </c>
      <c r="AG526" t="n">
        <v>134111</v>
      </c>
      <c r="AH526" t="inlineStr">
        <is>
          <t>LOMAS</t>
        </is>
      </c>
      <c r="AI526" t="inlineStr">
        <is>
          <t>VMARTINEZ@BANCOBASE.COM</t>
        </is>
      </c>
      <c r="AJ526" s="151" t="n">
        <v>45931</v>
      </c>
      <c r="AK526" s="151" t="n"/>
      <c r="AL526" s="151" t="n"/>
    </row>
    <row r="527" hidden="1" s="150">
      <c r="A527" t="inlineStr">
        <is>
          <t>OCONTRERAS</t>
        </is>
      </c>
      <c r="B527" t="n">
        <v>3604</v>
      </c>
      <c r="C527" t="inlineStr">
        <is>
          <t>OMAR CONTRERAS LEMUS</t>
        </is>
      </c>
      <c r="D527" t="n">
        <v>8780</v>
      </c>
      <c r="E527" t="inlineStr">
        <is>
          <t>ASISTENTE CAMBIARIO</t>
        </is>
      </c>
      <c r="F527" t="inlineStr">
        <is>
          <t>MEXICO</t>
        </is>
      </c>
      <c r="G527" t="n">
        <v>3589</v>
      </c>
      <c r="H527" t="inlineStr">
        <is>
          <t>MONICA SEDANO VELASCO</t>
        </is>
      </c>
      <c r="I527" t="n">
        <v>9183</v>
      </c>
      <c r="J527" t="inlineStr">
        <is>
          <t>SUBDIRECTOR COMERCIAL</t>
        </is>
      </c>
      <c r="K527" t="n">
        <v>1</v>
      </c>
      <c r="L527" t="inlineStr">
        <is>
          <t>PRESIDENCIA EJECUTIVA DEL CONSEJO</t>
        </is>
      </c>
      <c r="M527" t="n">
        <v>40</v>
      </c>
      <c r="N527" t="inlineStr">
        <is>
          <t>DIRECCION GENERAL BANCO BASE</t>
        </is>
      </c>
      <c r="O527" t="n">
        <v>410</v>
      </c>
      <c r="P527" t="inlineStr">
        <is>
          <t>DIRECCION COMERCIAL</t>
        </is>
      </c>
      <c r="Q527" t="n">
        <v>4130</v>
      </c>
      <c r="R527" t="inlineStr">
        <is>
          <t>DIRECCION COMERCIAL CDMX 2</t>
        </is>
      </c>
      <c r="S527" t="n">
        <v>41340</v>
      </c>
      <c r="T527" t="inlineStr">
        <is>
          <t>SUBDIRECCION COMERCIAL CDMX 4</t>
        </is>
      </c>
      <c r="U527" t="n">
        <v>413400</v>
      </c>
      <c r="V527" t="inlineStr">
        <is>
          <t>SUBDIRECCION COMERCIAL CDMX 4</t>
        </is>
      </c>
      <c r="W527" t="n">
        <v>134111</v>
      </c>
      <c r="X527" t="inlineStr">
        <is>
          <t>LOMAS</t>
        </is>
      </c>
      <c r="Y527" t="n">
        <v>3</v>
      </c>
      <c r="Z527" t="inlineStr">
        <is>
          <t>CAMBIARIO</t>
        </is>
      </c>
      <c r="AA527" t="n">
        <v>1</v>
      </c>
      <c r="AB527" t="inlineStr">
        <is>
          <t>NEGOCIO EN MARCHA</t>
        </is>
      </c>
      <c r="AC527" t="n">
        <v>1</v>
      </c>
      <c r="AD527" t="inlineStr">
        <is>
          <t>BANCO</t>
        </is>
      </c>
      <c r="AE527" t="n">
        <v>2</v>
      </c>
      <c r="AF527" t="inlineStr">
        <is>
          <t>MIDDLE</t>
        </is>
      </c>
      <c r="AG527" t="n">
        <v>134111</v>
      </c>
      <c r="AH527" t="inlineStr">
        <is>
          <t>LOMAS</t>
        </is>
      </c>
      <c r="AI527" t="inlineStr">
        <is>
          <t>OCONTRERAS@BANCOBASE.COM</t>
        </is>
      </c>
      <c r="AJ527" s="151" t="n">
        <v>45931</v>
      </c>
      <c r="AK527" s="151" t="n"/>
      <c r="AL527" s="151" t="n"/>
    </row>
    <row r="528" hidden="1" s="150">
      <c r="A528" t="inlineStr">
        <is>
          <t>RNAVAA</t>
        </is>
      </c>
      <c r="B528" t="n">
        <v>3789</v>
      </c>
      <c r="C528" t="inlineStr">
        <is>
          <t>RAUL DANIEL NAVA ANGELES</t>
        </is>
      </c>
      <c r="D528" t="n">
        <v>8913</v>
      </c>
      <c r="E528" t="inlineStr">
        <is>
          <t>ASESOR CAMBIARIO</t>
        </is>
      </c>
      <c r="F528" t="inlineStr">
        <is>
          <t>MEXICO</t>
        </is>
      </c>
      <c r="G528" t="n">
        <v>3589</v>
      </c>
      <c r="H528" t="inlineStr">
        <is>
          <t>MONICA SEDANO VELASCO</t>
        </is>
      </c>
      <c r="I528" t="n">
        <v>9183</v>
      </c>
      <c r="J528" t="inlineStr">
        <is>
          <t>SUBDIRECTOR COMERCIAL</t>
        </is>
      </c>
      <c r="K528" t="n">
        <v>1</v>
      </c>
      <c r="L528" t="inlineStr">
        <is>
          <t>PRESIDENCIA EJECUTIVA DEL CONSEJO</t>
        </is>
      </c>
      <c r="M528" t="n">
        <v>40</v>
      </c>
      <c r="N528" t="inlineStr">
        <is>
          <t>DIRECCION GENERAL BANCO BASE</t>
        </is>
      </c>
      <c r="O528" t="n">
        <v>410</v>
      </c>
      <c r="P528" t="inlineStr">
        <is>
          <t>DIRECCION COMERCIAL</t>
        </is>
      </c>
      <c r="Q528" t="n">
        <v>4130</v>
      </c>
      <c r="R528" t="inlineStr">
        <is>
          <t>DIRECCION COMERCIAL CDMX 2</t>
        </is>
      </c>
      <c r="S528" t="n">
        <v>41340</v>
      </c>
      <c r="T528" t="inlineStr">
        <is>
          <t>SUBDIRECCION COMERCIAL CDMX 4</t>
        </is>
      </c>
      <c r="U528" t="n">
        <v>413400</v>
      </c>
      <c r="V528" t="inlineStr">
        <is>
          <t>SUBDIRECCION COMERCIAL CDMX 4</t>
        </is>
      </c>
      <c r="W528" t="n">
        <v>134111</v>
      </c>
      <c r="X528" t="inlineStr">
        <is>
          <t>LOMAS</t>
        </is>
      </c>
      <c r="Y528" t="n">
        <v>3</v>
      </c>
      <c r="Z528" t="inlineStr">
        <is>
          <t>CAMBIARIO</t>
        </is>
      </c>
      <c r="AA528" t="n">
        <v>1</v>
      </c>
      <c r="AB528" t="inlineStr">
        <is>
          <t>NEGOCIO EN MARCHA</t>
        </is>
      </c>
      <c r="AC528" t="n">
        <v>1</v>
      </c>
      <c r="AD528" t="inlineStr">
        <is>
          <t>BANCO</t>
        </is>
      </c>
      <c r="AE528" t="n">
        <v>3</v>
      </c>
      <c r="AF528" t="inlineStr">
        <is>
          <t>FRONT</t>
        </is>
      </c>
      <c r="AG528" t="n">
        <v>134111</v>
      </c>
      <c r="AH528" t="inlineStr">
        <is>
          <t>LOMAS</t>
        </is>
      </c>
      <c r="AI528" t="inlineStr">
        <is>
          <t>RNAVAA@BANCOBASE.COM</t>
        </is>
      </c>
      <c r="AJ528" s="151" t="n">
        <v>46098</v>
      </c>
      <c r="AK528" s="151" t="n"/>
      <c r="AL528" s="151" t="n"/>
    </row>
    <row r="529" hidden="1" s="150">
      <c r="A529" t="inlineStr">
        <is>
          <t>SRODRIGUEB</t>
        </is>
      </c>
      <c r="B529" t="n">
        <v>2742</v>
      </c>
      <c r="C529" t="inlineStr">
        <is>
          <t>STEPHANIE AURORA RODRIGUEZ BARROSO</t>
        </is>
      </c>
      <c r="D529" t="n">
        <v>8949</v>
      </c>
      <c r="E529" t="inlineStr">
        <is>
          <t>ASESOR CAMBIARIO</t>
        </is>
      </c>
      <c r="F529" t="inlineStr">
        <is>
          <t>MEXICO</t>
        </is>
      </c>
      <c r="G529" t="n">
        <v>3589</v>
      </c>
      <c r="H529" t="inlineStr">
        <is>
          <t>MONICA SEDANO VELASCO</t>
        </is>
      </c>
      <c r="I529" t="n">
        <v>9183</v>
      </c>
      <c r="J529" t="inlineStr">
        <is>
          <t>SUBDIRECTOR COMERCIAL</t>
        </is>
      </c>
      <c r="K529" t="n">
        <v>1</v>
      </c>
      <c r="L529" t="inlineStr">
        <is>
          <t>PRESIDENCIA EJECUTIVA DEL CONSEJO</t>
        </is>
      </c>
      <c r="M529" t="n">
        <v>40</v>
      </c>
      <c r="N529" t="inlineStr">
        <is>
          <t>DIRECCION GENERAL BANCO BASE</t>
        </is>
      </c>
      <c r="O529" t="n">
        <v>410</v>
      </c>
      <c r="P529" t="inlineStr">
        <is>
          <t>DIRECCION COMERCIAL</t>
        </is>
      </c>
      <c r="Q529" t="n">
        <v>4130</v>
      </c>
      <c r="R529" t="inlineStr">
        <is>
          <t>DIRECCION COMERCIAL CDMX 2</t>
        </is>
      </c>
      <c r="S529" t="n">
        <v>41340</v>
      </c>
      <c r="T529" t="inlineStr">
        <is>
          <t>SUBDIRECCION COMERCIAL CDMX 4</t>
        </is>
      </c>
      <c r="U529" t="n">
        <v>413400</v>
      </c>
      <c r="V529" t="inlineStr">
        <is>
          <t>SUBDIRECCION COMERCIAL CDMX 4</t>
        </is>
      </c>
      <c r="W529" t="n">
        <v>134111</v>
      </c>
      <c r="X529" t="inlineStr">
        <is>
          <t>LOMAS</t>
        </is>
      </c>
      <c r="Y529" t="n">
        <v>3</v>
      </c>
      <c r="Z529" t="inlineStr">
        <is>
          <t>CAMBIARIO</t>
        </is>
      </c>
      <c r="AA529" t="n">
        <v>1</v>
      </c>
      <c r="AB529" t="inlineStr">
        <is>
          <t>NEGOCIO EN MARCHA</t>
        </is>
      </c>
      <c r="AC529" t="n">
        <v>1</v>
      </c>
      <c r="AD529" t="inlineStr">
        <is>
          <t>BANCO</t>
        </is>
      </c>
      <c r="AE529" t="n">
        <v>3</v>
      </c>
      <c r="AF529" t="inlineStr">
        <is>
          <t>FRONT</t>
        </is>
      </c>
      <c r="AG529" t="n">
        <v>134111</v>
      </c>
      <c r="AH529" t="inlineStr">
        <is>
          <t>LOMAS</t>
        </is>
      </c>
      <c r="AI529" t="inlineStr">
        <is>
          <t>SRODRIGUEB@BANCOBASE.COM</t>
        </is>
      </c>
      <c r="AJ529" s="151" t="n">
        <v>44837</v>
      </c>
      <c r="AK529" s="151" t="n"/>
      <c r="AL529" s="151" t="n"/>
    </row>
    <row r="530" hidden="1" s="150">
      <c r="A530" t="inlineStr">
        <is>
          <t>MTORRESV</t>
        </is>
      </c>
      <c r="B530" t="n">
        <v>3993</v>
      </c>
      <c r="C530" t="inlineStr">
        <is>
          <t>MARIA INES TORRES VARGAS</t>
        </is>
      </c>
      <c r="D530" t="n">
        <v>8951</v>
      </c>
      <c r="E530" t="inlineStr">
        <is>
          <t>ASESOR CAMBIARIO</t>
        </is>
      </c>
      <c r="F530" t="inlineStr">
        <is>
          <t>MEXICO</t>
        </is>
      </c>
      <c r="G530" t="n">
        <v>3589</v>
      </c>
      <c r="H530" t="inlineStr">
        <is>
          <t>MONICA SEDANO VELASCO</t>
        </is>
      </c>
      <c r="I530" t="n">
        <v>9183</v>
      </c>
      <c r="J530" t="inlineStr">
        <is>
          <t>SUBDIRECTOR COMERCIAL</t>
        </is>
      </c>
      <c r="K530" t="n">
        <v>1</v>
      </c>
      <c r="L530" t="inlineStr">
        <is>
          <t>PRESIDENCIA EJECUTIVA DEL CONSEJO</t>
        </is>
      </c>
      <c r="M530" t="n">
        <v>40</v>
      </c>
      <c r="N530" t="inlineStr">
        <is>
          <t>DIRECCION GENERAL BANCO BASE</t>
        </is>
      </c>
      <c r="O530" t="n">
        <v>410</v>
      </c>
      <c r="P530" t="inlineStr">
        <is>
          <t>DIRECCION COMERCIAL</t>
        </is>
      </c>
      <c r="Q530" t="n">
        <v>4130</v>
      </c>
      <c r="R530" t="inlineStr">
        <is>
          <t>DIRECCION COMERCIAL CDMX 2</t>
        </is>
      </c>
      <c r="S530" t="n">
        <v>41340</v>
      </c>
      <c r="T530" t="inlineStr">
        <is>
          <t>SUBDIRECCION COMERCIAL CDMX 4</t>
        </is>
      </c>
      <c r="U530" t="n">
        <v>413400</v>
      </c>
      <c r="V530" t="inlineStr">
        <is>
          <t>SUBDIRECCION COMERCIAL CDMX 4</t>
        </is>
      </c>
      <c r="W530" t="n">
        <v>134111</v>
      </c>
      <c r="X530" t="inlineStr">
        <is>
          <t>LOMAS</t>
        </is>
      </c>
      <c r="Y530" t="n">
        <v>3</v>
      </c>
      <c r="Z530" t="inlineStr">
        <is>
          <t>CAMBIARIO</t>
        </is>
      </c>
      <c r="AA530" t="n">
        <v>1</v>
      </c>
      <c r="AB530" t="inlineStr">
        <is>
          <t>NEGOCIO EN MARCHA</t>
        </is>
      </c>
      <c r="AC530" t="n">
        <v>1</v>
      </c>
      <c r="AD530" t="inlineStr">
        <is>
          <t>BANCO</t>
        </is>
      </c>
      <c r="AE530" t="n">
        <v>3</v>
      </c>
      <c r="AF530" t="inlineStr">
        <is>
          <t>FRONT</t>
        </is>
      </c>
      <c r="AG530" t="n">
        <v>134111</v>
      </c>
      <c r="AH530" t="inlineStr">
        <is>
          <t>LOMAS</t>
        </is>
      </c>
      <c r="AI530" t="inlineStr">
        <is>
          <t>MTORRESV@BANCOBASE.COM</t>
        </is>
      </c>
      <c r="AJ530" s="151" t="n">
        <v>46251</v>
      </c>
      <c r="AK530" s="151" t="n"/>
      <c r="AL530" s="151" t="n"/>
    </row>
    <row r="531" hidden="1" s="150">
      <c r="A531" t="inlineStr">
        <is>
          <t>ACANSECO</t>
        </is>
      </c>
      <c r="B531" t="n">
        <v>3885</v>
      </c>
      <c r="C531" t="inlineStr">
        <is>
          <t>ALEJANDRO CANSECO LEON</t>
        </is>
      </c>
      <c r="D531" t="n">
        <v>8706</v>
      </c>
      <c r="E531" t="inlineStr">
        <is>
          <t>ESPECIALISTA DE BANCA TRANSACCIONAL</t>
        </is>
      </c>
      <c r="F531" t="inlineStr">
        <is>
          <t>MEXICO</t>
        </is>
      </c>
      <c r="G531" t="n">
        <v>3589</v>
      </c>
      <c r="H531" t="inlineStr">
        <is>
          <t>MONICA SEDANO VELASCO</t>
        </is>
      </c>
      <c r="I531" t="n">
        <v>9183</v>
      </c>
      <c r="J531" t="inlineStr">
        <is>
          <t>SUBDIRECTOR COMERCIAL</t>
        </is>
      </c>
      <c r="K531" t="n">
        <v>1</v>
      </c>
      <c r="L531" t="inlineStr">
        <is>
          <t>PRESIDENCIA EJECUTIVA DEL CONSEJO</t>
        </is>
      </c>
      <c r="M531" t="n">
        <v>40</v>
      </c>
      <c r="N531" t="inlineStr">
        <is>
          <t>DIRECCION GENERAL BANCO BASE</t>
        </is>
      </c>
      <c r="O531" t="n">
        <v>410</v>
      </c>
      <c r="P531" t="inlineStr">
        <is>
          <t>DIRECCION COMERCIAL</t>
        </is>
      </c>
      <c r="Q531" t="n">
        <v>4130</v>
      </c>
      <c r="R531" t="inlineStr">
        <is>
          <t>DIRECCION COMERCIAL CDMX 2</t>
        </is>
      </c>
      <c r="S531" t="n">
        <v>41340</v>
      </c>
      <c r="T531" t="inlineStr">
        <is>
          <t>SUBDIRECCION COMERCIAL CDMX 4</t>
        </is>
      </c>
      <c r="U531" t="n">
        <v>413400</v>
      </c>
      <c r="V531" t="inlineStr">
        <is>
          <t>SUBDIRECCION COMERCIAL CDMX 4</t>
        </is>
      </c>
      <c r="W531" t="n">
        <v>134111</v>
      </c>
      <c r="X531" t="inlineStr">
        <is>
          <t>LOMAS</t>
        </is>
      </c>
      <c r="Y531" t="n">
        <v>14</v>
      </c>
      <c r="Z531" t="inlineStr">
        <is>
          <t>TRANSACCIONAL</t>
        </is>
      </c>
      <c r="AA531" t="n">
        <v>1</v>
      </c>
      <c r="AB531" t="inlineStr">
        <is>
          <t>NEGOCIO EN MARCHA</t>
        </is>
      </c>
      <c r="AC531" t="n">
        <v>1</v>
      </c>
      <c r="AD531" t="inlineStr">
        <is>
          <t>BANCO</t>
        </is>
      </c>
      <c r="AE531" t="n">
        <v>3</v>
      </c>
      <c r="AF531" t="inlineStr">
        <is>
          <t>FRONT</t>
        </is>
      </c>
      <c r="AG531" t="n">
        <v>134111</v>
      </c>
      <c r="AH531" t="inlineStr">
        <is>
          <t>LOMAS</t>
        </is>
      </c>
      <c r="AI531" t="inlineStr">
        <is>
          <t>ACANSECO@BANCOBASE.COM</t>
        </is>
      </c>
      <c r="AJ531" s="151" t="n">
        <v>46174</v>
      </c>
      <c r="AK531" s="151" t="n"/>
      <c r="AL531" s="151" t="n"/>
    </row>
    <row r="532" hidden="1" s="150">
      <c r="A532" t="inlineStr">
        <is>
          <t>MPRECIADO</t>
        </is>
      </c>
      <c r="B532" t="n">
        <v>214</v>
      </c>
      <c r="C532" t="inlineStr">
        <is>
          <t>MIGUEL ANGEL PRECIADO HERNANDEZ</t>
        </is>
      </c>
      <c r="D532" t="n">
        <v>9472</v>
      </c>
      <c r="E532" t="inlineStr">
        <is>
          <t>SUBDIRECTOR DE PROMOCION</t>
        </is>
      </c>
      <c r="F532" t="inlineStr">
        <is>
          <t>MEXICO</t>
        </is>
      </c>
      <c r="G532" t="n">
        <v>1138</v>
      </c>
      <c r="H532" t="inlineStr">
        <is>
          <t>GUSTAVO GARZA VILLARREAL</t>
        </is>
      </c>
      <c r="I532" t="n">
        <v>3615</v>
      </c>
      <c r="J532" t="inlineStr">
        <is>
          <t>DIRECTOR COMERCIAL CIUDAD DE MEXICO</t>
        </is>
      </c>
      <c r="K532" t="n">
        <v>1</v>
      </c>
      <c r="L532" t="inlineStr">
        <is>
          <t>PRESIDENCIA EJECUTIVA DEL CONSEJO</t>
        </is>
      </c>
      <c r="M532" t="n">
        <v>40</v>
      </c>
      <c r="N532" t="inlineStr">
        <is>
          <t>DIRECCION GENERAL BANCO BASE</t>
        </is>
      </c>
      <c r="O532" t="n">
        <v>410</v>
      </c>
      <c r="P532" t="inlineStr">
        <is>
          <t>DIRECCION COMERCIAL</t>
        </is>
      </c>
      <c r="Q532" t="n">
        <v>4130</v>
      </c>
      <c r="R532" t="inlineStr">
        <is>
          <t>DIRECCION COMERCIAL CDMX 2</t>
        </is>
      </c>
      <c r="S532" t="n">
        <v>41300</v>
      </c>
      <c r="T532" t="inlineStr">
        <is>
          <t>DIRECCION COMERCIAL CDMX 2</t>
        </is>
      </c>
      <c r="U532" t="n">
        <v>413001</v>
      </c>
      <c r="V532" t="inlineStr">
        <is>
          <t>PROMOCION MEXICO 2</t>
        </is>
      </c>
      <c r="W532" t="n">
        <v>134111</v>
      </c>
      <c r="X532" t="inlineStr">
        <is>
          <t>LOMAS</t>
        </is>
      </c>
      <c r="Y532" t="n">
        <v>3</v>
      </c>
      <c r="Z532" t="inlineStr">
        <is>
          <t>CAMBIARIO</t>
        </is>
      </c>
      <c r="AA532" t="n">
        <v>1</v>
      </c>
      <c r="AB532" t="inlineStr">
        <is>
          <t>NEGOCIO EN MARCHA</t>
        </is>
      </c>
      <c r="AC532" t="n">
        <v>1</v>
      </c>
      <c r="AD532" t="inlineStr">
        <is>
          <t>BANCO</t>
        </is>
      </c>
      <c r="AE532" t="n">
        <v>3</v>
      </c>
      <c r="AF532" t="inlineStr">
        <is>
          <t>FRONT</t>
        </is>
      </c>
      <c r="AG532" t="n">
        <v>134111</v>
      </c>
      <c r="AH532" t="inlineStr">
        <is>
          <t>LOMAS</t>
        </is>
      </c>
      <c r="AI532" t="inlineStr">
        <is>
          <t>MPRECIADO@BANCOBASE.COM</t>
        </is>
      </c>
      <c r="AJ532" s="151" t="n">
        <v>37484</v>
      </c>
      <c r="AK532" s="151" t="n"/>
      <c r="AL532" s="151" t="n"/>
    </row>
    <row r="533" hidden="1" s="150">
      <c r="A533" t="inlineStr">
        <is>
          <t>LAYALA</t>
        </is>
      </c>
      <c r="B533" t="n">
        <v>1693</v>
      </c>
      <c r="C533" t="inlineStr">
        <is>
          <t>LETICIA ADRIANA AYALA HERNANDEZ</t>
        </is>
      </c>
      <c r="D533" t="n">
        <v>9204</v>
      </c>
      <c r="E533" t="inlineStr">
        <is>
          <t>ASISTENTE CAMBIARIO</t>
        </is>
      </c>
      <c r="F533" t="inlineStr">
        <is>
          <t>MEXICO</t>
        </is>
      </c>
      <c r="G533" t="n">
        <v>214</v>
      </c>
      <c r="H533" t="inlineStr">
        <is>
          <t>MIGUEL ANGEL PRECIADO HERNANDEZ</t>
        </is>
      </c>
      <c r="I533" t="n">
        <v>9472</v>
      </c>
      <c r="J533" t="inlineStr">
        <is>
          <t>SUBDIRECTOR DE PROMOCION</t>
        </is>
      </c>
      <c r="K533" t="n">
        <v>1</v>
      </c>
      <c r="L533" t="inlineStr">
        <is>
          <t>PRESIDENCIA EJECUTIVA DEL CONSEJO</t>
        </is>
      </c>
      <c r="M533" t="n">
        <v>40</v>
      </c>
      <c r="N533" t="inlineStr">
        <is>
          <t>DIRECCION GENERAL BANCO BASE</t>
        </is>
      </c>
      <c r="O533" t="n">
        <v>410</v>
      </c>
      <c r="P533" t="inlineStr">
        <is>
          <t>DIRECCION COMERCIAL</t>
        </is>
      </c>
      <c r="Q533" t="n">
        <v>4130</v>
      </c>
      <c r="R533" t="inlineStr">
        <is>
          <t>DIRECCION COMERCIAL CDMX 2</t>
        </is>
      </c>
      <c r="S533" t="n">
        <v>41300</v>
      </c>
      <c r="T533" t="inlineStr">
        <is>
          <t>DIRECCION COMERCIAL CDMX 2</t>
        </is>
      </c>
      <c r="U533" t="n">
        <v>413001</v>
      </c>
      <c r="V533" t="inlineStr">
        <is>
          <t>PROMOCION MEXICO 2</t>
        </is>
      </c>
      <c r="W533" t="n">
        <v>134111</v>
      </c>
      <c r="X533" t="inlineStr">
        <is>
          <t>LOMAS</t>
        </is>
      </c>
      <c r="Y533" t="n">
        <v>3</v>
      </c>
      <c r="Z533" t="inlineStr">
        <is>
          <t>CAMBIARIO</t>
        </is>
      </c>
      <c r="AA533" t="n">
        <v>1</v>
      </c>
      <c r="AB533" t="inlineStr">
        <is>
          <t>NEGOCIO EN MARCHA</t>
        </is>
      </c>
      <c r="AC533" t="n">
        <v>1</v>
      </c>
      <c r="AD533" t="inlineStr">
        <is>
          <t>BANCO</t>
        </is>
      </c>
      <c r="AE533" t="n">
        <v>2</v>
      </c>
      <c r="AF533" t="inlineStr">
        <is>
          <t>MIDDLE</t>
        </is>
      </c>
      <c r="AG533" t="n">
        <v>134111</v>
      </c>
      <c r="AH533" t="inlineStr">
        <is>
          <t>LOMAS</t>
        </is>
      </c>
      <c r="AI533" t="inlineStr">
        <is>
          <t>LAYALA@BANCOBASE.COM</t>
        </is>
      </c>
      <c r="AJ533" s="151" t="n">
        <v>42753</v>
      </c>
      <c r="AK533" s="151" t="n"/>
      <c r="AL533" s="151" t="n"/>
    </row>
    <row r="534" hidden="1" s="150">
      <c r="A534" t="inlineStr">
        <is>
          <t>BMORENOB</t>
        </is>
      </c>
      <c r="B534" t="n">
        <v>2555</v>
      </c>
      <c r="C534" t="inlineStr">
        <is>
          <t>BRANDON KAERY MORENO BARRETO</t>
        </is>
      </c>
      <c r="D534" t="n">
        <v>8830</v>
      </c>
      <c r="E534" t="inlineStr">
        <is>
          <t>GERENTE DE PROMOCION</t>
        </is>
      </c>
      <c r="F534" t="inlineStr">
        <is>
          <t>MEXICO</t>
        </is>
      </c>
      <c r="G534" t="n">
        <v>1138</v>
      </c>
      <c r="H534" t="inlineStr">
        <is>
          <t>GUSTAVO GARZA VILLARREAL</t>
        </is>
      </c>
      <c r="I534" t="n">
        <v>3615</v>
      </c>
      <c r="J534" t="inlineStr">
        <is>
          <t>DIRECTOR COMERCIAL CIUDAD DE MEXICO</t>
        </is>
      </c>
      <c r="K534" t="n">
        <v>1</v>
      </c>
      <c r="L534" t="inlineStr">
        <is>
          <t>PRESIDENCIA EJECUTIVA DEL CONSEJO</t>
        </is>
      </c>
      <c r="M534" t="n">
        <v>40</v>
      </c>
      <c r="N534" t="inlineStr">
        <is>
          <t>DIRECCION GENERAL BANCO BASE</t>
        </is>
      </c>
      <c r="O534" t="n">
        <v>410</v>
      </c>
      <c r="P534" t="inlineStr">
        <is>
          <t>DIRECCION COMERCIAL</t>
        </is>
      </c>
      <c r="Q534" t="n">
        <v>4130</v>
      </c>
      <c r="R534" t="inlineStr">
        <is>
          <t>DIRECCION COMERCIAL CDMX 2</t>
        </is>
      </c>
      <c r="S534" t="n">
        <v>41360</v>
      </c>
      <c r="T534" t="inlineStr">
        <is>
          <t>GERENCIA COMERCIAL CDMX 6</t>
        </is>
      </c>
      <c r="U534" t="n">
        <v>413600</v>
      </c>
      <c r="V534" t="inlineStr">
        <is>
          <t>GERENCIA COMERCIAL CDMX 6</t>
        </is>
      </c>
      <c r="W534" t="n">
        <v>134111</v>
      </c>
      <c r="X534" t="inlineStr">
        <is>
          <t>LOMAS</t>
        </is>
      </c>
      <c r="Y534" t="n">
        <v>3</v>
      </c>
      <c r="Z534" t="inlineStr">
        <is>
          <t>CAMBIARIO</t>
        </is>
      </c>
      <c r="AA534" t="n">
        <v>1</v>
      </c>
      <c r="AB534" t="inlineStr">
        <is>
          <t>NEGOCIO EN MARCHA</t>
        </is>
      </c>
      <c r="AC534" t="n">
        <v>1</v>
      </c>
      <c r="AD534" t="inlineStr">
        <is>
          <t>BANCO</t>
        </is>
      </c>
      <c r="AE534" t="n">
        <v>3</v>
      </c>
      <c r="AF534" t="inlineStr">
        <is>
          <t>FRONT</t>
        </is>
      </c>
      <c r="AG534" t="n">
        <v>134111</v>
      </c>
      <c r="AH534" t="inlineStr">
        <is>
          <t>LOMAS</t>
        </is>
      </c>
      <c r="AI534" t="inlineStr">
        <is>
          <t>BMORENOB@BANCOBASE.COM</t>
        </is>
      </c>
      <c r="AJ534" s="151" t="n">
        <v>44473</v>
      </c>
      <c r="AK534" s="151" t="n"/>
      <c r="AL534" s="151" t="n"/>
    </row>
    <row r="535" hidden="1" s="150">
      <c r="A535" t="inlineStr">
        <is>
          <t>SLUNAG</t>
        </is>
      </c>
      <c r="B535" t="n">
        <v>3417</v>
      </c>
      <c r="C535" t="inlineStr">
        <is>
          <t>SEBASTIAN LUNA GARCIA</t>
        </is>
      </c>
      <c r="D535" t="n">
        <v>8823</v>
      </c>
      <c r="E535" t="inlineStr">
        <is>
          <t>ASESOR CAMBIARIO</t>
        </is>
      </c>
      <c r="F535" t="inlineStr">
        <is>
          <t>MEXICO</t>
        </is>
      </c>
      <c r="G535" t="n">
        <v>2555</v>
      </c>
      <c r="H535" t="inlineStr">
        <is>
          <t>BRANDON KAERY MORENO BARRETO</t>
        </is>
      </c>
      <c r="I535" t="n">
        <v>8830</v>
      </c>
      <c r="J535" t="inlineStr">
        <is>
          <t>GERENTE DE PROMOCION</t>
        </is>
      </c>
      <c r="K535" t="n">
        <v>1</v>
      </c>
      <c r="L535" t="inlineStr">
        <is>
          <t>PRESIDENCIA EJECUTIVA DEL CONSEJO</t>
        </is>
      </c>
      <c r="M535" t="n">
        <v>40</v>
      </c>
      <c r="N535" t="inlineStr">
        <is>
          <t>DIRECCION GENERAL BANCO BASE</t>
        </is>
      </c>
      <c r="O535" t="n">
        <v>410</v>
      </c>
      <c r="P535" t="inlineStr">
        <is>
          <t>DIRECCION COMERCIAL</t>
        </is>
      </c>
      <c r="Q535" t="n">
        <v>4130</v>
      </c>
      <c r="R535" t="inlineStr">
        <is>
          <t>DIRECCION COMERCIAL CDMX 2</t>
        </is>
      </c>
      <c r="S535" t="n">
        <v>41360</v>
      </c>
      <c r="T535" t="inlineStr">
        <is>
          <t>GERENCIA COMERCIAL CDMX 6</t>
        </is>
      </c>
      <c r="U535" t="n">
        <v>413600</v>
      </c>
      <c r="V535" t="inlineStr">
        <is>
          <t>GERENCIA COMERCIAL CDMX 6</t>
        </is>
      </c>
      <c r="W535" t="n">
        <v>134111</v>
      </c>
      <c r="X535" t="inlineStr">
        <is>
          <t>LOMAS</t>
        </is>
      </c>
      <c r="Y535" t="n">
        <v>3</v>
      </c>
      <c r="Z535" t="inlineStr">
        <is>
          <t>CAMBIARIO</t>
        </is>
      </c>
      <c r="AA535" t="n">
        <v>1</v>
      </c>
      <c r="AB535" t="inlineStr">
        <is>
          <t>NEGOCIO EN MARCHA</t>
        </is>
      </c>
      <c r="AC535" t="n">
        <v>1</v>
      </c>
      <c r="AD535" t="inlineStr">
        <is>
          <t>BANCO</t>
        </is>
      </c>
      <c r="AE535" t="n">
        <v>3</v>
      </c>
      <c r="AF535" t="inlineStr">
        <is>
          <t>FRONT</t>
        </is>
      </c>
      <c r="AG535" t="n">
        <v>134111</v>
      </c>
      <c r="AH535" t="inlineStr">
        <is>
          <t>LOMAS</t>
        </is>
      </c>
      <c r="AI535" t="inlineStr">
        <is>
          <t>SLUNAG@BANCOBASE.COM</t>
        </is>
      </c>
      <c r="AJ535" s="151" t="n">
        <v>45768</v>
      </c>
      <c r="AK535" s="151" t="n"/>
      <c r="AL535" s="151" t="n"/>
    </row>
    <row r="536" hidden="1" s="150">
      <c r="A536" t="inlineStr">
        <is>
          <t>CGARCIAM</t>
        </is>
      </c>
      <c r="B536" t="n">
        <v>3556</v>
      </c>
      <c r="C536" t="inlineStr">
        <is>
          <t>CARLOS RODOLFO GARCIA MONCADA</t>
        </is>
      </c>
      <c r="D536" t="n">
        <v>8824</v>
      </c>
      <c r="E536" t="inlineStr">
        <is>
          <t>ASESOR CAMBIARIO</t>
        </is>
      </c>
      <c r="F536" t="inlineStr">
        <is>
          <t>MEXICO</t>
        </is>
      </c>
      <c r="G536" t="n">
        <v>2555</v>
      </c>
      <c r="H536" t="inlineStr">
        <is>
          <t>BRANDON KAERY MORENO BARRETO</t>
        </is>
      </c>
      <c r="I536" t="n">
        <v>8830</v>
      </c>
      <c r="J536" t="inlineStr">
        <is>
          <t>GERENTE DE PROMOCION</t>
        </is>
      </c>
      <c r="K536" t="n">
        <v>1</v>
      </c>
      <c r="L536" t="inlineStr">
        <is>
          <t>PRESIDENCIA EJECUTIVA DEL CONSEJO</t>
        </is>
      </c>
      <c r="M536" t="n">
        <v>40</v>
      </c>
      <c r="N536" t="inlineStr">
        <is>
          <t>DIRECCION GENERAL BANCO BASE</t>
        </is>
      </c>
      <c r="O536" t="n">
        <v>410</v>
      </c>
      <c r="P536" t="inlineStr">
        <is>
          <t>DIRECCION COMERCIAL</t>
        </is>
      </c>
      <c r="Q536" t="n">
        <v>4130</v>
      </c>
      <c r="R536" t="inlineStr">
        <is>
          <t>DIRECCION COMERCIAL CDMX 2</t>
        </is>
      </c>
      <c r="S536" t="n">
        <v>41360</v>
      </c>
      <c r="T536" t="inlineStr">
        <is>
          <t>GERENCIA COMERCIAL CDMX 6</t>
        </is>
      </c>
      <c r="U536" t="n">
        <v>413600</v>
      </c>
      <c r="V536" t="inlineStr">
        <is>
          <t>GERENCIA COMERCIAL CDMX 6</t>
        </is>
      </c>
      <c r="W536" t="n">
        <v>134111</v>
      </c>
      <c r="X536" t="inlineStr">
        <is>
          <t>LOMAS</t>
        </is>
      </c>
      <c r="Y536" t="n">
        <v>3</v>
      </c>
      <c r="Z536" t="inlineStr">
        <is>
          <t>CAMBIARIO</t>
        </is>
      </c>
      <c r="AA536" t="n">
        <v>1</v>
      </c>
      <c r="AB536" t="inlineStr">
        <is>
          <t>NEGOCIO EN MARCHA</t>
        </is>
      </c>
      <c r="AC536" t="n">
        <v>1</v>
      </c>
      <c r="AD536" t="inlineStr">
        <is>
          <t>BANCO</t>
        </is>
      </c>
      <c r="AE536" t="n">
        <v>3</v>
      </c>
      <c r="AF536" t="inlineStr">
        <is>
          <t>FRONT</t>
        </is>
      </c>
      <c r="AG536" t="n">
        <v>134111</v>
      </c>
      <c r="AH536" t="inlineStr">
        <is>
          <t>LOMAS</t>
        </is>
      </c>
      <c r="AI536" t="inlineStr">
        <is>
          <t>CGARCIAM@BANCOBASE.COM</t>
        </is>
      </c>
      <c r="AJ536" s="151" t="n">
        <v>45901</v>
      </c>
      <c r="AK536" s="151" t="n"/>
      <c r="AL536" s="151" t="n"/>
    </row>
    <row r="537" hidden="1" s="150">
      <c r="A537" t="inlineStr">
        <is>
          <t>CCARDENAS</t>
        </is>
      </c>
      <c r="B537" t="n">
        <v>3924</v>
      </c>
      <c r="C537" t="inlineStr">
        <is>
          <t>CARLOS ALBERTO CARDENAS GONZALEZ</t>
        </is>
      </c>
      <c r="D537" t="n">
        <v>8825</v>
      </c>
      <c r="E537" t="inlineStr">
        <is>
          <t>ASESOR CAMBIARIO</t>
        </is>
      </c>
      <c r="F537" t="inlineStr">
        <is>
          <t>MEXICO</t>
        </is>
      </c>
      <c r="G537" t="n">
        <v>2555</v>
      </c>
      <c r="H537" t="inlineStr">
        <is>
          <t>BRANDON KAERY MORENO BARRETO</t>
        </is>
      </c>
      <c r="I537" t="n">
        <v>8830</v>
      </c>
      <c r="J537" t="inlineStr">
        <is>
          <t>GERENTE DE PROMOCION</t>
        </is>
      </c>
      <c r="K537" t="n">
        <v>1</v>
      </c>
      <c r="L537" t="inlineStr">
        <is>
          <t>PRESIDENCIA EJECUTIVA DEL CONSEJO</t>
        </is>
      </c>
      <c r="M537" t="n">
        <v>40</v>
      </c>
      <c r="N537" t="inlineStr">
        <is>
          <t>DIRECCION GENERAL BANCO BASE</t>
        </is>
      </c>
      <c r="O537" t="n">
        <v>410</v>
      </c>
      <c r="P537" t="inlineStr">
        <is>
          <t>DIRECCION COMERCIAL</t>
        </is>
      </c>
      <c r="Q537" t="n">
        <v>4130</v>
      </c>
      <c r="R537" t="inlineStr">
        <is>
          <t>DIRECCION COMERCIAL CDMX 2</t>
        </is>
      </c>
      <c r="S537" t="n">
        <v>41360</v>
      </c>
      <c r="T537" t="inlineStr">
        <is>
          <t>GERENCIA COMERCIAL CDMX 6</t>
        </is>
      </c>
      <c r="U537" t="n">
        <v>413600</v>
      </c>
      <c r="V537" t="inlineStr">
        <is>
          <t>GERENCIA COMERCIAL CDMX 6</t>
        </is>
      </c>
      <c r="W537" t="n">
        <v>134111</v>
      </c>
      <c r="X537" t="inlineStr">
        <is>
          <t>LOMAS</t>
        </is>
      </c>
      <c r="Y537" t="n">
        <v>3</v>
      </c>
      <c r="Z537" t="inlineStr">
        <is>
          <t>CAMBIARIO</t>
        </is>
      </c>
      <c r="AA537" t="n">
        <v>1</v>
      </c>
      <c r="AB537" t="inlineStr">
        <is>
          <t>NEGOCIO EN MARCHA</t>
        </is>
      </c>
      <c r="AC537" t="n">
        <v>1</v>
      </c>
      <c r="AD537" t="inlineStr">
        <is>
          <t>BANCO</t>
        </is>
      </c>
      <c r="AE537" t="n">
        <v>3</v>
      </c>
      <c r="AF537" t="inlineStr">
        <is>
          <t>FRONT</t>
        </is>
      </c>
      <c r="AG537" t="n">
        <v>134111</v>
      </c>
      <c r="AH537" t="inlineStr">
        <is>
          <t>LOMAS</t>
        </is>
      </c>
      <c r="AI537" t="inlineStr">
        <is>
          <t>CCARDENAS@BANCOBASE.COM</t>
        </is>
      </c>
      <c r="AJ537" s="151" t="n">
        <v>46204</v>
      </c>
      <c r="AK537" s="151" t="n"/>
      <c r="AL537" s="151" t="n"/>
    </row>
    <row r="538" hidden="1" s="150">
      <c r="A538" t="inlineStr">
        <is>
          <t>MMARTINEZR</t>
        </is>
      </c>
      <c r="B538" t="n">
        <v>3808</v>
      </c>
      <c r="C538" t="inlineStr">
        <is>
          <t>MARIA FERNANDA MARTINEZ RUIZ</t>
        </is>
      </c>
      <c r="D538" t="n">
        <v>8829</v>
      </c>
      <c r="E538" t="inlineStr">
        <is>
          <t>ASISTENTE CAMBIARIO</t>
        </is>
      </c>
      <c r="F538" t="inlineStr">
        <is>
          <t>MEXICO</t>
        </is>
      </c>
      <c r="G538" t="n">
        <v>2555</v>
      </c>
      <c r="H538" t="inlineStr">
        <is>
          <t>BRANDON KAERY MORENO BARRETO</t>
        </is>
      </c>
      <c r="I538" t="n">
        <v>8830</v>
      </c>
      <c r="J538" t="inlineStr">
        <is>
          <t>GERENTE DE PROMOCION</t>
        </is>
      </c>
      <c r="K538" t="n">
        <v>1</v>
      </c>
      <c r="L538" t="inlineStr">
        <is>
          <t>PRESIDENCIA EJECUTIVA DEL CONSEJO</t>
        </is>
      </c>
      <c r="M538" t="n">
        <v>40</v>
      </c>
      <c r="N538" t="inlineStr">
        <is>
          <t>DIRECCION GENERAL BANCO BASE</t>
        </is>
      </c>
      <c r="O538" t="n">
        <v>410</v>
      </c>
      <c r="P538" t="inlineStr">
        <is>
          <t>DIRECCION COMERCIAL</t>
        </is>
      </c>
      <c r="Q538" t="n">
        <v>4130</v>
      </c>
      <c r="R538" t="inlineStr">
        <is>
          <t>DIRECCION COMERCIAL CDMX 2</t>
        </is>
      </c>
      <c r="S538" t="n">
        <v>41360</v>
      </c>
      <c r="T538" t="inlineStr">
        <is>
          <t>GERENCIA COMERCIAL CDMX 6</t>
        </is>
      </c>
      <c r="U538" t="n">
        <v>413600</v>
      </c>
      <c r="V538" t="inlineStr">
        <is>
          <t>GERENCIA COMERCIAL CDMX 6</t>
        </is>
      </c>
      <c r="W538" t="n">
        <v>134111</v>
      </c>
      <c r="X538" t="inlineStr">
        <is>
          <t>LOMAS</t>
        </is>
      </c>
      <c r="Y538" t="n">
        <v>3</v>
      </c>
      <c r="Z538" t="inlineStr">
        <is>
          <t>CAMBIARIO</t>
        </is>
      </c>
      <c r="AA538" t="n">
        <v>1</v>
      </c>
      <c r="AB538" t="inlineStr">
        <is>
          <t>NEGOCIO EN MARCHA</t>
        </is>
      </c>
      <c r="AC538" t="n">
        <v>1</v>
      </c>
      <c r="AD538" t="inlineStr">
        <is>
          <t>BANCO</t>
        </is>
      </c>
      <c r="AE538" t="n">
        <v>2</v>
      </c>
      <c r="AF538" t="inlineStr">
        <is>
          <t>MIDDLE</t>
        </is>
      </c>
      <c r="AG538" t="n">
        <v>134111</v>
      </c>
      <c r="AH538" t="inlineStr">
        <is>
          <t>LOMAS</t>
        </is>
      </c>
      <c r="AI538" t="inlineStr">
        <is>
          <t>MMARTINEZR@BANCOBASE.COM</t>
        </is>
      </c>
      <c r="AJ538" s="151" t="n">
        <v>46128</v>
      </c>
      <c r="AK538" s="151" t="n"/>
      <c r="AL538" s="151" t="n"/>
    </row>
    <row r="539" hidden="1" s="150">
      <c r="A539" t="inlineStr">
        <is>
          <t>CDAVALOS</t>
        </is>
      </c>
      <c r="B539" t="n">
        <v>319</v>
      </c>
      <c r="C539" t="inlineStr">
        <is>
          <t>CECILIA DAVALOS ZAMBRANO</t>
        </is>
      </c>
      <c r="D539" t="n">
        <v>92</v>
      </c>
      <c r="E539" t="inlineStr">
        <is>
          <t>DIRECTOR COMERCIAL FORANEAS</t>
        </is>
      </c>
      <c r="F539" t="inlineStr">
        <is>
          <t>MONTERREY</t>
        </is>
      </c>
      <c r="G539" t="n">
        <v>538</v>
      </c>
      <c r="H539" t="inlineStr">
        <is>
          <t>LUIS NICOLAS EGUIARTE CORONA</t>
        </is>
      </c>
      <c r="I539" t="n">
        <v>8232</v>
      </c>
      <c r="J539" t="inlineStr">
        <is>
          <t>DIRECTOR DE ATRACCION Y VENTAS</t>
        </is>
      </c>
      <c r="K539" t="n">
        <v>1</v>
      </c>
      <c r="L539" t="inlineStr">
        <is>
          <t>PRESIDENCIA EJECUTIVA DEL CONSEJO</t>
        </is>
      </c>
      <c r="M539" t="n">
        <v>40</v>
      </c>
      <c r="N539" t="inlineStr">
        <is>
          <t>DIRECCION GENERAL BANCO BASE</t>
        </is>
      </c>
      <c r="O539" t="n">
        <v>410</v>
      </c>
      <c r="P539" t="inlineStr">
        <is>
          <t>DIRECCION COMERCIAL</t>
        </is>
      </c>
      <c r="Q539" t="n">
        <v>4140</v>
      </c>
      <c r="R539" t="inlineStr">
        <is>
          <t>DIRECCION COMERCIAL FORANEAS</t>
        </is>
      </c>
      <c r="S539" t="n">
        <v>41400</v>
      </c>
      <c r="T539" t="inlineStr">
        <is>
          <t>DIRECCION COMERCIAL FORANEAS</t>
        </is>
      </c>
      <c r="U539" t="n">
        <v>414000</v>
      </c>
      <c r="V539" t="inlineStr">
        <is>
          <t>DIRECCION COMERCIAL FORANEAS</t>
        </is>
      </c>
      <c r="W539" t="n">
        <v>126102</v>
      </c>
      <c r="X539" t="inlineStr">
        <is>
          <t>VALLE ORIENTE</t>
        </is>
      </c>
      <c r="Y539" t="n">
        <v>3</v>
      </c>
      <c r="Z539" t="inlineStr">
        <is>
          <t>CAMBIARIO</t>
        </is>
      </c>
      <c r="AA539" t="n">
        <v>1</v>
      </c>
      <c r="AB539" t="inlineStr">
        <is>
          <t>NEGOCIO EN MARCHA</t>
        </is>
      </c>
      <c r="AC539" t="n">
        <v>1</v>
      </c>
      <c r="AD539" t="inlineStr">
        <is>
          <t>BANCO</t>
        </is>
      </c>
      <c r="AE539" t="n">
        <v>3</v>
      </c>
      <c r="AF539" t="inlineStr">
        <is>
          <t>FRONT</t>
        </is>
      </c>
      <c r="AG539" t="n">
        <v>126102</v>
      </c>
      <c r="AH539" t="inlineStr">
        <is>
          <t>MONTERREY</t>
        </is>
      </c>
      <c r="AI539" t="inlineStr">
        <is>
          <t>CDAVALOS@BANCOBASE.COM</t>
        </is>
      </c>
      <c r="AJ539" s="151" t="n">
        <v>37695</v>
      </c>
      <c r="AK539" s="151" t="n"/>
      <c r="AL539" s="151" t="n"/>
    </row>
    <row r="540" hidden="1" s="150">
      <c r="A540" t="inlineStr">
        <is>
          <t>EMIMENZA</t>
        </is>
      </c>
      <c r="B540" t="n">
        <v>1164</v>
      </c>
      <c r="C540" t="inlineStr">
        <is>
          <t>ESTEBAN MIMENZA SEBA</t>
        </is>
      </c>
      <c r="D540" t="n">
        <v>9272</v>
      </c>
      <c r="E540" t="inlineStr">
        <is>
          <t>GERENTE DE PROMOCION</t>
        </is>
      </c>
      <c r="F540" t="inlineStr">
        <is>
          <t>TELETRABAJO</t>
        </is>
      </c>
      <c r="G540" t="n">
        <v>319</v>
      </c>
      <c r="H540" t="inlineStr">
        <is>
          <t>CECILIA DAVALOS ZAMBRANO</t>
        </is>
      </c>
      <c r="I540" t="n">
        <v>92</v>
      </c>
      <c r="J540" t="inlineStr">
        <is>
          <t>DIRECTOR COMERCIAL FORANEAS</t>
        </is>
      </c>
      <c r="K540" t="n">
        <v>1</v>
      </c>
      <c r="L540" t="inlineStr">
        <is>
          <t>PRESIDENCIA EJECUTIVA DEL CONSEJO</t>
        </is>
      </c>
      <c r="M540" t="n">
        <v>40</v>
      </c>
      <c r="N540" t="inlineStr">
        <is>
          <t>DIRECCION GENERAL BANCO BASE</t>
        </is>
      </c>
      <c r="O540" t="n">
        <v>410</v>
      </c>
      <c r="P540" t="inlineStr">
        <is>
          <t>DIRECCION COMERCIAL</t>
        </is>
      </c>
      <c r="Q540" t="n">
        <v>4140</v>
      </c>
      <c r="R540" t="inlineStr">
        <is>
          <t>DIRECCION COMERCIAL FORANEAS</t>
        </is>
      </c>
      <c r="S540" t="n">
        <v>41430</v>
      </c>
      <c r="T540" t="inlineStr">
        <is>
          <t>DIRECCION OFICINA CANCUN</t>
        </is>
      </c>
      <c r="U540" t="n">
        <v>414301</v>
      </c>
      <c r="V540" t="inlineStr">
        <is>
          <t>PROMOCION CANCUN</t>
        </is>
      </c>
      <c r="W540" t="n">
        <v>126121</v>
      </c>
      <c r="X540" t="inlineStr">
        <is>
          <t>CANCUN</t>
        </is>
      </c>
      <c r="Y540" t="n">
        <v>3</v>
      </c>
      <c r="Z540" t="inlineStr">
        <is>
          <t>CAMBIARIO</t>
        </is>
      </c>
      <c r="AA540" t="n">
        <v>1</v>
      </c>
      <c r="AB540" t="inlineStr">
        <is>
          <t>NEGOCIO EN MARCHA</t>
        </is>
      </c>
      <c r="AC540" t="n">
        <v>1</v>
      </c>
      <c r="AD540" t="inlineStr">
        <is>
          <t>BANCO</t>
        </is>
      </c>
      <c r="AE540" t="n">
        <v>3</v>
      </c>
      <c r="AF540" t="inlineStr">
        <is>
          <t>FRONT</t>
        </is>
      </c>
      <c r="AG540" t="n">
        <v>126121</v>
      </c>
      <c r="AH540" t="inlineStr">
        <is>
          <t>CANCUN</t>
        </is>
      </c>
      <c r="AI540" t="inlineStr">
        <is>
          <t>EMIMENZA@BANCOBASE.COM</t>
        </is>
      </c>
      <c r="AJ540" s="151" t="n">
        <v>41807</v>
      </c>
      <c r="AK540" s="151" t="n"/>
      <c r="AL540" s="151" t="n"/>
    </row>
    <row r="541" hidden="1" s="150">
      <c r="A541" t="inlineStr">
        <is>
          <t>HSILLER</t>
        </is>
      </c>
      <c r="B541" t="n">
        <v>4000</v>
      </c>
      <c r="C541" t="inlineStr">
        <is>
          <t>HERMINIO SILLER FRIAS</t>
        </is>
      </c>
      <c r="D541" t="n">
        <v>76</v>
      </c>
      <c r="E541" t="inlineStr">
        <is>
          <t>DIRECTOR DE OFICINA TORREON</t>
        </is>
      </c>
      <c r="F541" t="inlineStr">
        <is>
          <t>TORREON</t>
        </is>
      </c>
      <c r="G541" t="n">
        <v>319</v>
      </c>
      <c r="H541" t="inlineStr">
        <is>
          <t>CECILIA DAVALOS ZAMBRANO</t>
        </is>
      </c>
      <c r="I541" t="n">
        <v>92</v>
      </c>
      <c r="J541" t="inlineStr">
        <is>
          <t>DIRECTOR COMERCIAL FORANEAS</t>
        </is>
      </c>
      <c r="K541" t="n">
        <v>1</v>
      </c>
      <c r="L541" t="inlineStr">
        <is>
          <t>PRESIDENCIA EJECUTIVA DEL CONSEJO</t>
        </is>
      </c>
      <c r="M541" t="n">
        <v>40</v>
      </c>
      <c r="N541" t="inlineStr">
        <is>
          <t>DIRECCION GENERAL BANCO BASE</t>
        </is>
      </c>
      <c r="O541" t="n">
        <v>410</v>
      </c>
      <c r="P541" t="inlineStr">
        <is>
          <t>DIRECCION COMERCIAL</t>
        </is>
      </c>
      <c r="Q541" t="n">
        <v>4140</v>
      </c>
      <c r="R541" t="inlineStr">
        <is>
          <t>DIRECCION COMERCIAL FORANEAS</t>
        </is>
      </c>
      <c r="S541" t="n">
        <v>41420</v>
      </c>
      <c r="T541" t="inlineStr">
        <is>
          <t>DIRECCION OFICINA TORREON</t>
        </is>
      </c>
      <c r="U541" t="n">
        <v>414200</v>
      </c>
      <c r="V541" t="inlineStr">
        <is>
          <t>DIRECCION OFICINA TORREON</t>
        </is>
      </c>
      <c r="W541" t="n">
        <v>126115</v>
      </c>
      <c r="X541" t="inlineStr">
        <is>
          <t>TORREON</t>
        </is>
      </c>
      <c r="Y541" t="n">
        <v>3</v>
      </c>
      <c r="Z541" t="inlineStr">
        <is>
          <t>CAMBIARIO</t>
        </is>
      </c>
      <c r="AA541" t="n">
        <v>1</v>
      </c>
      <c r="AB541" t="inlineStr">
        <is>
          <t>NEGOCIO EN MARCHA</t>
        </is>
      </c>
      <c r="AC541" t="n">
        <v>1</v>
      </c>
      <c r="AD541" t="inlineStr">
        <is>
          <t>BANCO</t>
        </is>
      </c>
      <c r="AE541" t="n">
        <v>3</v>
      </c>
      <c r="AF541" t="inlineStr">
        <is>
          <t>FRONT</t>
        </is>
      </c>
      <c r="AG541" t="n">
        <v>126115</v>
      </c>
      <c r="AH541" t="inlineStr">
        <is>
          <t>TORREON</t>
        </is>
      </c>
      <c r="AI541" t="inlineStr">
        <is>
          <t>HSILLER@BANCOBASE.COM</t>
        </is>
      </c>
      <c r="AJ541" s="151" t="n">
        <v>46251</v>
      </c>
      <c r="AK541" s="151" t="n"/>
      <c r="AL541" s="151" t="n"/>
    </row>
    <row r="542" hidden="1" s="150">
      <c r="A542" t="inlineStr">
        <is>
          <t>BHUERTAM</t>
        </is>
      </c>
      <c r="B542" t="n">
        <v>2498</v>
      </c>
      <c r="C542" t="inlineStr">
        <is>
          <t>BRENDA VERONICA HUERTA MARTINEZ</t>
        </is>
      </c>
      <c r="D542" t="n">
        <v>9874</v>
      </c>
      <c r="E542" t="inlineStr">
        <is>
          <t>ASESOR CAMBIARIO</t>
        </is>
      </c>
      <c r="F542" t="inlineStr">
        <is>
          <t>TORREON</t>
        </is>
      </c>
      <c r="G542" t="n">
        <v>4000</v>
      </c>
      <c r="H542" t="inlineStr">
        <is>
          <t>HERMINIO SILLER FRIAS</t>
        </is>
      </c>
      <c r="I542" t="n">
        <v>76</v>
      </c>
      <c r="J542" t="inlineStr">
        <is>
          <t>DIRECTOR DE OFICINA TORREON</t>
        </is>
      </c>
      <c r="K542" t="n">
        <v>1</v>
      </c>
      <c r="L542" t="inlineStr">
        <is>
          <t>PRESIDENCIA EJECUTIVA DEL CONSEJO</t>
        </is>
      </c>
      <c r="M542" t="n">
        <v>40</v>
      </c>
      <c r="N542" t="inlineStr">
        <is>
          <t>DIRECCION GENERAL BANCO BASE</t>
        </is>
      </c>
      <c r="O542" t="n">
        <v>410</v>
      </c>
      <c r="P542" t="inlineStr">
        <is>
          <t>DIRECCION COMERCIAL</t>
        </is>
      </c>
      <c r="Q542" t="n">
        <v>4140</v>
      </c>
      <c r="R542" t="inlineStr">
        <is>
          <t>DIRECCION COMERCIAL FORANEAS</t>
        </is>
      </c>
      <c r="S542" t="n">
        <v>41420</v>
      </c>
      <c r="T542" t="inlineStr">
        <is>
          <t>DIRECCION OFICINA TORREON</t>
        </is>
      </c>
      <c r="U542" t="n">
        <v>414200</v>
      </c>
      <c r="V542" t="inlineStr">
        <is>
          <t>DIRECCION OFICINA TORREON</t>
        </is>
      </c>
      <c r="W542" t="n">
        <v>126115</v>
      </c>
      <c r="X542" t="inlineStr">
        <is>
          <t>TORREON</t>
        </is>
      </c>
      <c r="Y542" t="n">
        <v>3</v>
      </c>
      <c r="Z542" t="inlineStr">
        <is>
          <t>CAMBIARIO</t>
        </is>
      </c>
      <c r="AA542" t="n">
        <v>1</v>
      </c>
      <c r="AB542" t="inlineStr">
        <is>
          <t>NEGOCIO EN MARCHA</t>
        </is>
      </c>
      <c r="AC542" t="n">
        <v>1</v>
      </c>
      <c r="AD542" t="inlineStr">
        <is>
          <t>BANCO</t>
        </is>
      </c>
      <c r="AE542" t="n">
        <v>3</v>
      </c>
      <c r="AF542" t="inlineStr">
        <is>
          <t>FRONT</t>
        </is>
      </c>
      <c r="AG542" t="n">
        <v>126115</v>
      </c>
      <c r="AH542" t="inlineStr">
        <is>
          <t>TORREON</t>
        </is>
      </c>
      <c r="AI542" t="inlineStr">
        <is>
          <t>BHUERTAM@BANCOBASE.COM</t>
        </is>
      </c>
      <c r="AJ542" s="151" t="n">
        <v>44333</v>
      </c>
      <c r="AK542" s="151" t="n"/>
      <c r="AL542" s="151" t="n"/>
    </row>
    <row r="543" hidden="1" s="150">
      <c r="A543" t="inlineStr">
        <is>
          <t>SESCOBEDO</t>
        </is>
      </c>
      <c r="B543" t="n">
        <v>3145</v>
      </c>
      <c r="C543" t="inlineStr">
        <is>
          <t>ANA SOFIA ESCOBEDO CELEDON</t>
        </is>
      </c>
      <c r="D543" t="n">
        <v>8369</v>
      </c>
      <c r="E543" t="inlineStr">
        <is>
          <t>ASESOR CAMBIARIO</t>
        </is>
      </c>
      <c r="F543" t="inlineStr">
        <is>
          <t>TORREON</t>
        </is>
      </c>
      <c r="G543" t="n">
        <v>4000</v>
      </c>
      <c r="H543" t="inlineStr">
        <is>
          <t>HERMINIO SILLER FRIAS</t>
        </is>
      </c>
      <c r="I543" t="n">
        <v>76</v>
      </c>
      <c r="J543" t="inlineStr">
        <is>
          <t>DIRECTOR DE OFICINA TORREON</t>
        </is>
      </c>
      <c r="K543" t="n">
        <v>1</v>
      </c>
      <c r="L543" t="inlineStr">
        <is>
          <t>PRESIDENCIA EJECUTIVA DEL CONSEJO</t>
        </is>
      </c>
      <c r="M543" t="n">
        <v>40</v>
      </c>
      <c r="N543" t="inlineStr">
        <is>
          <t>DIRECCION GENERAL BANCO BASE</t>
        </is>
      </c>
      <c r="O543" t="n">
        <v>410</v>
      </c>
      <c r="P543" t="inlineStr">
        <is>
          <t>DIRECCION COMERCIAL</t>
        </is>
      </c>
      <c r="Q543" t="n">
        <v>4140</v>
      </c>
      <c r="R543" t="inlineStr">
        <is>
          <t>DIRECCION COMERCIAL FORANEAS</t>
        </is>
      </c>
      <c r="S543" t="n">
        <v>41420</v>
      </c>
      <c r="T543" t="inlineStr">
        <is>
          <t>DIRECCION OFICINA TORREON</t>
        </is>
      </c>
      <c r="U543" t="n">
        <v>414200</v>
      </c>
      <c r="V543" t="inlineStr">
        <is>
          <t>DIRECCION OFICINA TORREON</t>
        </is>
      </c>
      <c r="W543" t="n">
        <v>126115</v>
      </c>
      <c r="X543" t="inlineStr">
        <is>
          <t>TORREON</t>
        </is>
      </c>
      <c r="Y543" t="n">
        <v>3</v>
      </c>
      <c r="Z543" t="inlineStr">
        <is>
          <t>CAMBIARIO</t>
        </is>
      </c>
      <c r="AA543" t="n">
        <v>1</v>
      </c>
      <c r="AB543" t="inlineStr">
        <is>
          <t>NEGOCIO EN MARCHA</t>
        </is>
      </c>
      <c r="AC543" t="n">
        <v>1</v>
      </c>
      <c r="AD543" t="inlineStr">
        <is>
          <t>BANCO</t>
        </is>
      </c>
      <c r="AE543" t="n">
        <v>3</v>
      </c>
      <c r="AF543" t="inlineStr">
        <is>
          <t>FRONT</t>
        </is>
      </c>
      <c r="AG543" t="n">
        <v>126115</v>
      </c>
      <c r="AH543" t="inlineStr">
        <is>
          <t>TORREON</t>
        </is>
      </c>
      <c r="AI543" t="inlineStr">
        <is>
          <t>SESCOBEDO@BANCOBASE.COM</t>
        </is>
      </c>
      <c r="AJ543" s="151" t="n">
        <v>45474</v>
      </c>
      <c r="AK543" s="151" t="n"/>
      <c r="AL543" s="151" t="n"/>
    </row>
    <row r="544" hidden="1" s="150">
      <c r="A544" t="inlineStr">
        <is>
          <t>FGARZAS</t>
        </is>
      </c>
      <c r="B544" t="n">
        <v>2453</v>
      </c>
      <c r="C544" t="inlineStr">
        <is>
          <t>FRANCISCO EDUARDO GARZA SANDOVAL</t>
        </is>
      </c>
      <c r="D544" t="n">
        <v>9573</v>
      </c>
      <c r="E544" t="inlineStr">
        <is>
          <t>ASESOR CAMBIARIO</t>
        </is>
      </c>
      <c r="F544" t="inlineStr">
        <is>
          <t>TORREON</t>
        </is>
      </c>
      <c r="G544" t="n">
        <v>4000</v>
      </c>
      <c r="H544" t="inlineStr">
        <is>
          <t>HERMINIO SILLER FRIAS</t>
        </is>
      </c>
      <c r="I544" t="n">
        <v>76</v>
      </c>
      <c r="J544" t="inlineStr">
        <is>
          <t>DIRECTOR DE OFICINA TORREON</t>
        </is>
      </c>
      <c r="K544" t="n">
        <v>1</v>
      </c>
      <c r="L544" t="inlineStr">
        <is>
          <t>PRESIDENCIA EJECUTIVA DEL CONSEJO</t>
        </is>
      </c>
      <c r="M544" t="n">
        <v>40</v>
      </c>
      <c r="N544" t="inlineStr">
        <is>
          <t>DIRECCION GENERAL BANCO BASE</t>
        </is>
      </c>
      <c r="O544" t="n">
        <v>410</v>
      </c>
      <c r="P544" t="inlineStr">
        <is>
          <t>DIRECCION COMERCIAL</t>
        </is>
      </c>
      <c r="Q544" t="n">
        <v>4140</v>
      </c>
      <c r="R544" t="inlineStr">
        <is>
          <t>DIRECCION COMERCIAL FORANEAS</t>
        </is>
      </c>
      <c r="S544" t="n">
        <v>41420</v>
      </c>
      <c r="T544" t="inlineStr">
        <is>
          <t>DIRECCION OFICINA TORREON</t>
        </is>
      </c>
      <c r="U544" t="n">
        <v>414200</v>
      </c>
      <c r="V544" t="inlineStr">
        <is>
          <t>DIRECCION OFICINA TORREON</t>
        </is>
      </c>
      <c r="W544" t="n">
        <v>126115</v>
      </c>
      <c r="X544" t="inlineStr">
        <is>
          <t>TORREON</t>
        </is>
      </c>
      <c r="Y544" t="n">
        <v>3</v>
      </c>
      <c r="Z544" t="inlineStr">
        <is>
          <t>CAMBIARIO</t>
        </is>
      </c>
      <c r="AA544" t="n">
        <v>1</v>
      </c>
      <c r="AB544" t="inlineStr">
        <is>
          <t>NEGOCIO EN MARCHA</t>
        </is>
      </c>
      <c r="AC544" t="n">
        <v>1</v>
      </c>
      <c r="AD544" t="inlineStr">
        <is>
          <t>BANCO</t>
        </is>
      </c>
      <c r="AE544" t="n">
        <v>3</v>
      </c>
      <c r="AF544" t="inlineStr">
        <is>
          <t>FRONT</t>
        </is>
      </c>
      <c r="AG544" t="n">
        <v>126115</v>
      </c>
      <c r="AH544" t="inlineStr">
        <is>
          <t>TORREON</t>
        </is>
      </c>
      <c r="AI544" t="inlineStr">
        <is>
          <t>FGARZAS@BANCOBASE.COM</t>
        </is>
      </c>
      <c r="AJ544" s="151" t="n">
        <v>44172</v>
      </c>
      <c r="AK544" s="151" t="n"/>
      <c r="AL544" s="151" t="n"/>
    </row>
    <row r="545" hidden="1" s="150">
      <c r="A545" t="inlineStr">
        <is>
          <t>JVIOLANTE</t>
        </is>
      </c>
      <c r="B545" t="n">
        <v>3451</v>
      </c>
      <c r="C545" t="inlineStr">
        <is>
          <t>JUDITH ADRIANA VIOLANTE CONTRERAS</t>
        </is>
      </c>
      <c r="D545" t="n">
        <v>8315</v>
      </c>
      <c r="E545" t="inlineStr">
        <is>
          <t>ESPECIALISTA DE FINANCIAMIENTO</t>
        </is>
      </c>
      <c r="F545" t="inlineStr">
        <is>
          <t>TORREON</t>
        </is>
      </c>
      <c r="G545" t="n">
        <v>4000</v>
      </c>
      <c r="H545" t="inlineStr">
        <is>
          <t>HERMINIO SILLER FRIAS</t>
        </is>
      </c>
      <c r="I545" t="n">
        <v>76</v>
      </c>
      <c r="J545" t="inlineStr">
        <is>
          <t>DIRECTOR DE OFICINA TORREON</t>
        </is>
      </c>
      <c r="K545" t="n">
        <v>1</v>
      </c>
      <c r="L545" t="inlineStr">
        <is>
          <t>PRESIDENCIA EJECUTIVA DEL CONSEJO</t>
        </is>
      </c>
      <c r="M545" t="n">
        <v>40</v>
      </c>
      <c r="N545" t="inlineStr">
        <is>
          <t>DIRECCION GENERAL BANCO BASE</t>
        </is>
      </c>
      <c r="O545" t="n">
        <v>410</v>
      </c>
      <c r="P545" t="inlineStr">
        <is>
          <t>DIRECCION COMERCIAL</t>
        </is>
      </c>
      <c r="Q545" t="n">
        <v>4140</v>
      </c>
      <c r="R545" t="inlineStr">
        <is>
          <t>DIRECCION COMERCIAL FORANEAS</t>
        </is>
      </c>
      <c r="S545" t="n">
        <v>41420</v>
      </c>
      <c r="T545" t="inlineStr">
        <is>
          <t>DIRECCION OFICINA TORREON</t>
        </is>
      </c>
      <c r="U545" t="n">
        <v>414200</v>
      </c>
      <c r="V545" t="inlineStr">
        <is>
          <t>DIRECCION OFICINA TORREON</t>
        </is>
      </c>
      <c r="W545" t="n">
        <v>126115</v>
      </c>
      <c r="X545" t="inlineStr">
        <is>
          <t>TORREON</t>
        </is>
      </c>
      <c r="Y545" t="n">
        <v>13</v>
      </c>
      <c r="Z545" t="inlineStr">
        <is>
          <t>FINANCIAMIENTO</t>
        </is>
      </c>
      <c r="AA545" t="n">
        <v>1</v>
      </c>
      <c r="AB545" t="inlineStr">
        <is>
          <t>NEGOCIO EN MARCHA</t>
        </is>
      </c>
      <c r="AC545" t="n">
        <v>1</v>
      </c>
      <c r="AD545" t="inlineStr">
        <is>
          <t>BANCO</t>
        </is>
      </c>
      <c r="AE545" t="n">
        <v>3</v>
      </c>
      <c r="AF545" t="inlineStr">
        <is>
          <t>FRONT</t>
        </is>
      </c>
      <c r="AG545" t="n">
        <v>126115</v>
      </c>
      <c r="AH545" t="inlineStr">
        <is>
          <t>TORREON</t>
        </is>
      </c>
      <c r="AI545" t="inlineStr">
        <is>
          <t>JVIOLANTE@BANCOBASE.COM</t>
        </is>
      </c>
      <c r="AJ545" s="151" t="n">
        <v>45810</v>
      </c>
      <c r="AK545" s="151" t="n"/>
      <c r="AL545" s="151" t="n"/>
    </row>
    <row r="546" hidden="1" s="150">
      <c r="A546" t="inlineStr">
        <is>
          <t>ECHAVEZG</t>
        </is>
      </c>
      <c r="B546" t="n">
        <v>2965</v>
      </c>
      <c r="C546" t="inlineStr">
        <is>
          <t>ELVIA ANGELICA CHAVEZ GUZMAN</t>
        </is>
      </c>
      <c r="D546" t="n">
        <v>9278</v>
      </c>
      <c r="E546" t="inlineStr">
        <is>
          <t>ASISTENTE CAMBIARIO</t>
        </is>
      </c>
      <c r="F546" t="inlineStr">
        <is>
          <t>TORREON</t>
        </is>
      </c>
      <c r="G546" t="n">
        <v>4000</v>
      </c>
      <c r="H546" t="inlineStr">
        <is>
          <t>HERMINIO SILLER FRIAS</t>
        </is>
      </c>
      <c r="I546" t="n">
        <v>76</v>
      </c>
      <c r="J546" t="inlineStr">
        <is>
          <t>DIRECTOR DE OFICINA TORREON</t>
        </is>
      </c>
      <c r="K546" t="n">
        <v>1</v>
      </c>
      <c r="L546" t="inlineStr">
        <is>
          <t>PRESIDENCIA EJECUTIVA DEL CONSEJO</t>
        </is>
      </c>
      <c r="M546" t="n">
        <v>40</v>
      </c>
      <c r="N546" t="inlineStr">
        <is>
          <t>DIRECCION GENERAL BANCO BASE</t>
        </is>
      </c>
      <c r="O546" t="n">
        <v>410</v>
      </c>
      <c r="P546" t="inlineStr">
        <is>
          <t>DIRECCION COMERCIAL</t>
        </is>
      </c>
      <c r="Q546" t="n">
        <v>4140</v>
      </c>
      <c r="R546" t="inlineStr">
        <is>
          <t>DIRECCION COMERCIAL FORANEAS</t>
        </is>
      </c>
      <c r="S546" t="n">
        <v>41420</v>
      </c>
      <c r="T546" t="inlineStr">
        <is>
          <t>DIRECCION OFICINA TORREON</t>
        </is>
      </c>
      <c r="U546" t="n">
        <v>414200</v>
      </c>
      <c r="V546" t="inlineStr">
        <is>
          <t>DIRECCION OFICINA TORREON</t>
        </is>
      </c>
      <c r="W546" t="n">
        <v>126115</v>
      </c>
      <c r="X546" t="inlineStr">
        <is>
          <t>TORREON</t>
        </is>
      </c>
      <c r="Y546" t="n">
        <v>3</v>
      </c>
      <c r="Z546" t="inlineStr">
        <is>
          <t>CAMBIARIO</t>
        </is>
      </c>
      <c r="AA546" t="n">
        <v>1</v>
      </c>
      <c r="AB546" t="inlineStr">
        <is>
          <t>NEGOCIO EN MARCHA</t>
        </is>
      </c>
      <c r="AC546" t="n">
        <v>1</v>
      </c>
      <c r="AD546" t="inlineStr">
        <is>
          <t>BANCO</t>
        </is>
      </c>
      <c r="AE546" t="n">
        <v>2</v>
      </c>
      <c r="AF546" t="inlineStr">
        <is>
          <t>MIDDLE</t>
        </is>
      </c>
      <c r="AG546" t="n">
        <v>126115</v>
      </c>
      <c r="AH546" t="inlineStr">
        <is>
          <t>TORREON</t>
        </is>
      </c>
      <c r="AI546" t="inlineStr">
        <is>
          <t>ECHAVEZG@BANCOBASE.COM</t>
        </is>
      </c>
      <c r="AJ546" s="151" t="n">
        <v>45187</v>
      </c>
      <c r="AK546" s="151" t="n"/>
      <c r="AL546" s="151" t="n"/>
    </row>
    <row r="547" hidden="1" s="150">
      <c r="A547" t="inlineStr">
        <is>
          <t>WCARRILLO</t>
        </is>
      </c>
      <c r="B547" t="n">
        <v>3763</v>
      </c>
      <c r="C547" t="inlineStr">
        <is>
          <t>WENDY VANESSA CARRILLO BARRAZA</t>
        </is>
      </c>
      <c r="D547" t="n">
        <v>9277</v>
      </c>
      <c r="E547" t="inlineStr">
        <is>
          <t>ASESOR CAMBIARIO</t>
        </is>
      </c>
      <c r="F547" t="inlineStr">
        <is>
          <t>TORREON</t>
        </is>
      </c>
      <c r="G547" t="n">
        <v>4000</v>
      </c>
      <c r="H547" t="inlineStr">
        <is>
          <t>HERMINIO SILLER FRIAS</t>
        </is>
      </c>
      <c r="I547" t="n">
        <v>76</v>
      </c>
      <c r="J547" t="inlineStr">
        <is>
          <t>DIRECTOR DE OFICINA TORREON</t>
        </is>
      </c>
      <c r="K547" t="n">
        <v>1</v>
      </c>
      <c r="L547" t="inlineStr">
        <is>
          <t>PRESIDENCIA EJECUTIVA DEL CONSEJO</t>
        </is>
      </c>
      <c r="M547" t="n">
        <v>40</v>
      </c>
      <c r="N547" t="inlineStr">
        <is>
          <t>DIRECCION GENERAL BANCO BASE</t>
        </is>
      </c>
      <c r="O547" t="n">
        <v>410</v>
      </c>
      <c r="P547" t="inlineStr">
        <is>
          <t>DIRECCION COMERCIAL</t>
        </is>
      </c>
      <c r="Q547" t="n">
        <v>4140</v>
      </c>
      <c r="R547" t="inlineStr">
        <is>
          <t>DIRECCION COMERCIAL FORANEAS</t>
        </is>
      </c>
      <c r="S547" t="n">
        <v>41420</v>
      </c>
      <c r="T547" t="inlineStr">
        <is>
          <t>DIRECCION OFICINA TORREON</t>
        </is>
      </c>
      <c r="U547" t="n">
        <v>414200</v>
      </c>
      <c r="V547" t="inlineStr">
        <is>
          <t>DIRECCION OFICINA TORREON</t>
        </is>
      </c>
      <c r="W547" t="n">
        <v>126115</v>
      </c>
      <c r="X547" t="inlineStr">
        <is>
          <t>TORREON</t>
        </is>
      </c>
      <c r="Y547" t="n">
        <v>3</v>
      </c>
      <c r="Z547" t="inlineStr">
        <is>
          <t>CAMBIARIO</t>
        </is>
      </c>
      <c r="AA547" t="n">
        <v>1</v>
      </c>
      <c r="AB547" t="inlineStr">
        <is>
          <t>NEGOCIO EN MARCHA</t>
        </is>
      </c>
      <c r="AC547" t="n">
        <v>1</v>
      </c>
      <c r="AD547" t="inlineStr">
        <is>
          <t>BANCO</t>
        </is>
      </c>
      <c r="AE547" t="n">
        <v>3</v>
      </c>
      <c r="AF547" t="inlineStr">
        <is>
          <t>FRONT</t>
        </is>
      </c>
      <c r="AG547" t="n">
        <v>126115</v>
      </c>
      <c r="AH547" t="inlineStr">
        <is>
          <t>TORREON</t>
        </is>
      </c>
      <c r="AI547" t="inlineStr">
        <is>
          <t>WCARRILLO@BANCOBASE.COM</t>
        </is>
      </c>
      <c r="AJ547" s="151" t="n">
        <v>46069</v>
      </c>
      <c r="AK547" s="151" t="n"/>
      <c r="AL547" s="151" t="n"/>
    </row>
    <row r="548" hidden="1" s="150">
      <c r="A548" t="inlineStr">
        <is>
          <t>ESEIJAS</t>
        </is>
      </c>
      <c r="B548" t="n">
        <v>3852</v>
      </c>
      <c r="C548" t="inlineStr">
        <is>
          <t>ERICK ARTURO SEIJAS GONZALEZ</t>
        </is>
      </c>
      <c r="D548" t="n">
        <v>10344</v>
      </c>
      <c r="E548" t="inlineStr">
        <is>
          <t>DIRECTOR DE OFICINA CHIHUAHUA</t>
        </is>
      </c>
      <c r="F548" t="inlineStr">
        <is>
          <t>CHIHUAHUA</t>
        </is>
      </c>
      <c r="G548" t="n">
        <v>319</v>
      </c>
      <c r="H548" t="inlineStr">
        <is>
          <t>CECILIA DAVALOS ZAMBRANO</t>
        </is>
      </c>
      <c r="I548" t="n">
        <v>92</v>
      </c>
      <c r="J548" t="inlineStr">
        <is>
          <t>DIRECTOR COMERCIAL FORANEAS</t>
        </is>
      </c>
      <c r="K548" t="n">
        <v>1</v>
      </c>
      <c r="L548" t="inlineStr">
        <is>
          <t>PRESIDENCIA EJECUTIVA DEL CONSEJO</t>
        </is>
      </c>
      <c r="M548" t="n">
        <v>40</v>
      </c>
      <c r="N548" t="inlineStr">
        <is>
          <t>DIRECCION GENERAL BANCO BASE</t>
        </is>
      </c>
      <c r="O548" t="n">
        <v>410</v>
      </c>
      <c r="P548" t="inlineStr">
        <is>
          <t>DIRECCION COMERCIAL</t>
        </is>
      </c>
      <c r="Q548" t="n">
        <v>4140</v>
      </c>
      <c r="R548" t="inlineStr">
        <is>
          <t>DIRECCION COMERCIAL FORANEAS</t>
        </is>
      </c>
      <c r="S548" t="n">
        <v>41440</v>
      </c>
      <c r="T548" t="inlineStr">
        <is>
          <t>DIRECCION OFICINA CHIHUAHUA</t>
        </is>
      </c>
      <c r="U548" t="n">
        <v>414400</v>
      </c>
      <c r="V548" t="inlineStr">
        <is>
          <t>DIRECCION OFICINA CHIHUAHUA</t>
        </is>
      </c>
      <c r="W548" t="n">
        <v>126131</v>
      </c>
      <c r="X548" t="inlineStr">
        <is>
          <t>CHIHUAHUA</t>
        </is>
      </c>
      <c r="Y548" t="n">
        <v>3</v>
      </c>
      <c r="Z548" t="inlineStr">
        <is>
          <t>CAMBIARIO</t>
        </is>
      </c>
      <c r="AA548" t="n">
        <v>1</v>
      </c>
      <c r="AB548" t="inlineStr">
        <is>
          <t>NEGOCIO EN MARCHA</t>
        </is>
      </c>
      <c r="AC548" t="n">
        <v>1</v>
      </c>
      <c r="AD548" t="inlineStr">
        <is>
          <t>BANCO</t>
        </is>
      </c>
      <c r="AE548" t="n">
        <v>3</v>
      </c>
      <c r="AF548" t="inlineStr">
        <is>
          <t>FRONT</t>
        </is>
      </c>
      <c r="AG548" t="n">
        <v>126131</v>
      </c>
      <c r="AH548" t="inlineStr">
        <is>
          <t>CHIHUAHUA</t>
        </is>
      </c>
      <c r="AI548" t="inlineStr">
        <is>
          <t>ESEIJAS@BANCOBASE.COM</t>
        </is>
      </c>
      <c r="AJ548" s="151" t="n">
        <v>46146</v>
      </c>
      <c r="AK548" s="151" t="n"/>
      <c r="AL548" s="151" t="n"/>
    </row>
    <row r="549" hidden="1" s="150">
      <c r="A549" t="inlineStr">
        <is>
          <t>ARONQUILLO</t>
        </is>
      </c>
      <c r="B549" t="n">
        <v>2950</v>
      </c>
      <c r="C549" t="inlineStr">
        <is>
          <t>ARON RONQUILLO HERNANDEZ</t>
        </is>
      </c>
      <c r="D549" t="n">
        <v>10341</v>
      </c>
      <c r="E549" t="inlineStr">
        <is>
          <t>ASESOR CAMBIARIO</t>
        </is>
      </c>
      <c r="F549" t="inlineStr">
        <is>
          <t>CHIHUAHUA</t>
        </is>
      </c>
      <c r="G549" t="n">
        <v>3852</v>
      </c>
      <c r="H549" t="inlineStr">
        <is>
          <t>ERICK ARTURO SEIJAS GONZALEZ</t>
        </is>
      </c>
      <c r="I549" t="n">
        <v>10344</v>
      </c>
      <c r="J549" t="inlineStr">
        <is>
          <t>DIRECTOR DE OFICINA CHIHUAHUA</t>
        </is>
      </c>
      <c r="K549" t="n">
        <v>1</v>
      </c>
      <c r="L549" t="inlineStr">
        <is>
          <t>PRESIDENCIA EJECUTIVA DEL CONSEJO</t>
        </is>
      </c>
      <c r="M549" t="n">
        <v>40</v>
      </c>
      <c r="N549" t="inlineStr">
        <is>
          <t>DIRECCION GENERAL BANCO BASE</t>
        </is>
      </c>
      <c r="O549" t="n">
        <v>410</v>
      </c>
      <c r="P549" t="inlineStr">
        <is>
          <t>DIRECCION COMERCIAL</t>
        </is>
      </c>
      <c r="Q549" t="n">
        <v>4140</v>
      </c>
      <c r="R549" t="inlineStr">
        <is>
          <t>DIRECCION COMERCIAL FORANEAS</t>
        </is>
      </c>
      <c r="S549" t="n">
        <v>41440</v>
      </c>
      <c r="T549" t="inlineStr">
        <is>
          <t>DIRECCION OFICINA CHIHUAHUA</t>
        </is>
      </c>
      <c r="U549" t="n">
        <v>414400</v>
      </c>
      <c r="V549" t="inlineStr">
        <is>
          <t>DIRECCION OFICINA CHIHUAHUA</t>
        </is>
      </c>
      <c r="W549" t="n">
        <v>126131</v>
      </c>
      <c r="X549" t="inlineStr">
        <is>
          <t>CHIHUAHUA</t>
        </is>
      </c>
      <c r="Y549" t="n">
        <v>3</v>
      </c>
      <c r="Z549" t="inlineStr">
        <is>
          <t>CAMBIARIO</t>
        </is>
      </c>
      <c r="AA549" t="n">
        <v>1</v>
      </c>
      <c r="AB549" t="inlineStr">
        <is>
          <t>NEGOCIO EN MARCHA</t>
        </is>
      </c>
      <c r="AC549" t="n">
        <v>1</v>
      </c>
      <c r="AD549" t="inlineStr">
        <is>
          <t>BANCO</t>
        </is>
      </c>
      <c r="AE549" t="n">
        <v>3</v>
      </c>
      <c r="AF549" t="inlineStr">
        <is>
          <t>FRONT</t>
        </is>
      </c>
      <c r="AG549" t="n">
        <v>126131</v>
      </c>
      <c r="AH549" t="inlineStr">
        <is>
          <t>CHIHUAHUA</t>
        </is>
      </c>
      <c r="AI549" t="inlineStr">
        <is>
          <t>ARONQUILLO@BANCOBASE.COM</t>
        </is>
      </c>
      <c r="AJ549" s="151" t="n">
        <v>45175</v>
      </c>
      <c r="AK549" s="151" t="n"/>
      <c r="AL549" s="151" t="n"/>
    </row>
    <row r="550" hidden="1" s="150">
      <c r="A550" t="inlineStr">
        <is>
          <t>CRODRIGUEA</t>
        </is>
      </c>
      <c r="B550" t="n">
        <v>2949</v>
      </c>
      <c r="C550" t="inlineStr">
        <is>
          <t>CARLOS FRANCISCO RODRIGUEZ ARMENDARIZ</t>
        </is>
      </c>
      <c r="D550" t="n">
        <v>8235</v>
      </c>
      <c r="E550" t="inlineStr">
        <is>
          <t>ASESOR CAMBIARIO</t>
        </is>
      </c>
      <c r="F550" t="inlineStr">
        <is>
          <t>CHIHUAHUA</t>
        </is>
      </c>
      <c r="G550" t="n">
        <v>3852</v>
      </c>
      <c r="H550" t="inlineStr">
        <is>
          <t>ERICK ARTURO SEIJAS GONZALEZ</t>
        </is>
      </c>
      <c r="I550" t="n">
        <v>10344</v>
      </c>
      <c r="J550" t="inlineStr">
        <is>
          <t>DIRECTOR DE OFICINA CHIHUAHUA</t>
        </is>
      </c>
      <c r="K550" t="n">
        <v>1</v>
      </c>
      <c r="L550" t="inlineStr">
        <is>
          <t>PRESIDENCIA EJECUTIVA DEL CONSEJO</t>
        </is>
      </c>
      <c r="M550" t="n">
        <v>40</v>
      </c>
      <c r="N550" t="inlineStr">
        <is>
          <t>DIRECCION GENERAL BANCO BASE</t>
        </is>
      </c>
      <c r="O550" t="n">
        <v>410</v>
      </c>
      <c r="P550" t="inlineStr">
        <is>
          <t>DIRECCION COMERCIAL</t>
        </is>
      </c>
      <c r="Q550" t="n">
        <v>4140</v>
      </c>
      <c r="R550" t="inlineStr">
        <is>
          <t>DIRECCION COMERCIAL FORANEAS</t>
        </is>
      </c>
      <c r="S550" t="n">
        <v>41440</v>
      </c>
      <c r="T550" t="inlineStr">
        <is>
          <t>DIRECCION OFICINA CHIHUAHUA</t>
        </is>
      </c>
      <c r="U550" t="n">
        <v>414400</v>
      </c>
      <c r="V550" t="inlineStr">
        <is>
          <t>DIRECCION OFICINA CHIHUAHUA</t>
        </is>
      </c>
      <c r="W550" t="n">
        <v>126131</v>
      </c>
      <c r="X550" t="inlineStr">
        <is>
          <t>CHIHUAHUA</t>
        </is>
      </c>
      <c r="Y550" t="n">
        <v>3</v>
      </c>
      <c r="Z550" t="inlineStr">
        <is>
          <t>CAMBIARIO</t>
        </is>
      </c>
      <c r="AA550" t="n">
        <v>1</v>
      </c>
      <c r="AB550" t="inlineStr">
        <is>
          <t>NEGOCIO EN MARCHA</t>
        </is>
      </c>
      <c r="AC550" t="n">
        <v>1</v>
      </c>
      <c r="AD550" t="inlineStr">
        <is>
          <t>BANCO</t>
        </is>
      </c>
      <c r="AE550" t="n">
        <v>3</v>
      </c>
      <c r="AF550" t="inlineStr">
        <is>
          <t>FRONT</t>
        </is>
      </c>
      <c r="AG550" t="n">
        <v>126131</v>
      </c>
      <c r="AH550" t="inlineStr">
        <is>
          <t>CHIHUAHUA</t>
        </is>
      </c>
      <c r="AI550" t="inlineStr">
        <is>
          <t>CRODRIGUEA@BANCOBASE.COM</t>
        </is>
      </c>
      <c r="AJ550" s="151" t="n">
        <v>45175</v>
      </c>
      <c r="AK550" s="151" t="n"/>
      <c r="AL550" s="151" t="n"/>
    </row>
    <row r="551" hidden="1" s="150">
      <c r="A551" t="inlineStr">
        <is>
          <t>TZARATE</t>
        </is>
      </c>
      <c r="B551" t="n">
        <v>2480</v>
      </c>
      <c r="C551" t="inlineStr">
        <is>
          <t>TANIA IVETTE ZARATE LOPEZ</t>
        </is>
      </c>
      <c r="D551" t="n">
        <v>8198</v>
      </c>
      <c r="E551" t="inlineStr">
        <is>
          <t>ASESOR CAMBIARIO</t>
        </is>
      </c>
      <c r="F551" t="inlineStr">
        <is>
          <t>CHIHUAHUA</t>
        </is>
      </c>
      <c r="G551" t="n">
        <v>3852</v>
      </c>
      <c r="H551" t="inlineStr">
        <is>
          <t>ERICK ARTURO SEIJAS GONZALEZ</t>
        </is>
      </c>
      <c r="I551" t="n">
        <v>10344</v>
      </c>
      <c r="J551" t="inlineStr">
        <is>
          <t>DIRECTOR DE OFICINA CHIHUAHUA</t>
        </is>
      </c>
      <c r="K551" t="n">
        <v>1</v>
      </c>
      <c r="L551" t="inlineStr">
        <is>
          <t>PRESIDENCIA EJECUTIVA DEL CONSEJO</t>
        </is>
      </c>
      <c r="M551" t="n">
        <v>40</v>
      </c>
      <c r="N551" t="inlineStr">
        <is>
          <t>DIRECCION GENERAL BANCO BASE</t>
        </is>
      </c>
      <c r="O551" t="n">
        <v>410</v>
      </c>
      <c r="P551" t="inlineStr">
        <is>
          <t>DIRECCION COMERCIAL</t>
        </is>
      </c>
      <c r="Q551" t="n">
        <v>4140</v>
      </c>
      <c r="R551" t="inlineStr">
        <is>
          <t>DIRECCION COMERCIAL FORANEAS</t>
        </is>
      </c>
      <c r="S551" t="n">
        <v>41440</v>
      </c>
      <c r="T551" t="inlineStr">
        <is>
          <t>DIRECCION OFICINA CHIHUAHUA</t>
        </is>
      </c>
      <c r="U551" t="n">
        <v>414400</v>
      </c>
      <c r="V551" t="inlineStr">
        <is>
          <t>DIRECCION OFICINA CHIHUAHUA</t>
        </is>
      </c>
      <c r="W551" t="n">
        <v>126131</v>
      </c>
      <c r="X551" t="inlineStr">
        <is>
          <t>CHIHUAHUA</t>
        </is>
      </c>
      <c r="Y551" t="n">
        <v>3</v>
      </c>
      <c r="Z551" t="inlineStr">
        <is>
          <t>CAMBIARIO</t>
        </is>
      </c>
      <c r="AA551" t="n">
        <v>1</v>
      </c>
      <c r="AB551" t="inlineStr">
        <is>
          <t>NEGOCIO EN MARCHA</t>
        </is>
      </c>
      <c r="AC551" t="n">
        <v>1</v>
      </c>
      <c r="AD551" t="inlineStr">
        <is>
          <t>BANCO</t>
        </is>
      </c>
      <c r="AE551" t="n">
        <v>3</v>
      </c>
      <c r="AF551" t="inlineStr">
        <is>
          <t>FRONT</t>
        </is>
      </c>
      <c r="AG551" t="n">
        <v>126131</v>
      </c>
      <c r="AH551" t="inlineStr">
        <is>
          <t>CHIHUAHUA</t>
        </is>
      </c>
      <c r="AI551" t="inlineStr">
        <is>
          <t>TZARATE@BANCOBASE.COM</t>
        </is>
      </c>
      <c r="AJ551" s="151" t="n">
        <v>44243</v>
      </c>
      <c r="AK551" s="151" t="n"/>
      <c r="AL551" s="151" t="n"/>
    </row>
    <row r="552" hidden="1" s="150">
      <c r="A552" t="inlineStr">
        <is>
          <t>HJURADO</t>
        </is>
      </c>
      <c r="B552" t="n">
        <v>3044</v>
      </c>
      <c r="C552" t="inlineStr">
        <is>
          <t>HECTOR ANTONIO JURADO MARTINEZ</t>
        </is>
      </c>
      <c r="D552" t="n">
        <v>8254</v>
      </c>
      <c r="E552" t="inlineStr">
        <is>
          <t>ESPECIALISTA DE FINANCIAMIENTO</t>
        </is>
      </c>
      <c r="F552" t="inlineStr">
        <is>
          <t>CHIHUAHUA</t>
        </is>
      </c>
      <c r="G552" t="n">
        <v>3852</v>
      </c>
      <c r="H552" t="inlineStr">
        <is>
          <t>ERICK ARTURO SEIJAS GONZALEZ</t>
        </is>
      </c>
      <c r="I552" t="n">
        <v>10344</v>
      </c>
      <c r="J552" t="inlineStr">
        <is>
          <t>DIRECTOR DE OFICINA CHIHUAHUA</t>
        </is>
      </c>
      <c r="K552" t="n">
        <v>1</v>
      </c>
      <c r="L552" t="inlineStr">
        <is>
          <t>PRESIDENCIA EJECUTIVA DEL CONSEJO</t>
        </is>
      </c>
      <c r="M552" t="n">
        <v>40</v>
      </c>
      <c r="N552" t="inlineStr">
        <is>
          <t>DIRECCION GENERAL BANCO BASE</t>
        </is>
      </c>
      <c r="O552" t="n">
        <v>410</v>
      </c>
      <c r="P552" t="inlineStr">
        <is>
          <t>DIRECCION COMERCIAL</t>
        </is>
      </c>
      <c r="Q552" t="n">
        <v>4140</v>
      </c>
      <c r="R552" t="inlineStr">
        <is>
          <t>DIRECCION COMERCIAL FORANEAS</t>
        </is>
      </c>
      <c r="S552" t="n">
        <v>41440</v>
      </c>
      <c r="T552" t="inlineStr">
        <is>
          <t>DIRECCION OFICINA CHIHUAHUA</t>
        </is>
      </c>
      <c r="U552" t="n">
        <v>414400</v>
      </c>
      <c r="V552" t="inlineStr">
        <is>
          <t>DIRECCION OFICINA CHIHUAHUA</t>
        </is>
      </c>
      <c r="W552" t="n">
        <v>126131</v>
      </c>
      <c r="X552" t="inlineStr">
        <is>
          <t>CHIHUAHUA</t>
        </is>
      </c>
      <c r="Y552" t="n">
        <v>13</v>
      </c>
      <c r="Z552" t="inlineStr">
        <is>
          <t>FINANCIAMIENTO</t>
        </is>
      </c>
      <c r="AA552" t="n">
        <v>1</v>
      </c>
      <c r="AB552" t="inlineStr">
        <is>
          <t>NEGOCIO EN MARCHA</t>
        </is>
      </c>
      <c r="AC552" t="n">
        <v>1</v>
      </c>
      <c r="AD552" t="inlineStr">
        <is>
          <t>BANCO</t>
        </is>
      </c>
      <c r="AE552" t="n">
        <v>3</v>
      </c>
      <c r="AF552" t="inlineStr">
        <is>
          <t>FRONT</t>
        </is>
      </c>
      <c r="AG552" t="n">
        <v>126131</v>
      </c>
      <c r="AH552" t="inlineStr">
        <is>
          <t>CHIHUAHUA</t>
        </is>
      </c>
      <c r="AI552" t="inlineStr">
        <is>
          <t>HJURADO@BANCOBASE.COM</t>
        </is>
      </c>
      <c r="AJ552" s="151" t="n">
        <v>45352</v>
      </c>
      <c r="AK552" s="151" t="n"/>
      <c r="AL552" s="151" t="n"/>
    </row>
    <row r="553" hidden="1" s="150">
      <c r="A553" t="inlineStr">
        <is>
          <t>JVENEGASA</t>
        </is>
      </c>
      <c r="B553" t="n">
        <v>3655</v>
      </c>
      <c r="C553" t="inlineStr">
        <is>
          <t>JESUS IGNACIO VENEGAS ALANIZ</t>
        </is>
      </c>
      <c r="D553" t="n">
        <v>8173</v>
      </c>
      <c r="E553" t="inlineStr">
        <is>
          <t>EJECUTIVO DE SOPORTE</t>
        </is>
      </c>
      <c r="F553" t="inlineStr">
        <is>
          <t>CHIHUAHUA</t>
        </is>
      </c>
      <c r="G553" t="n">
        <v>3852</v>
      </c>
      <c r="H553" t="inlineStr">
        <is>
          <t>ERICK ARTURO SEIJAS GONZALEZ</t>
        </is>
      </c>
      <c r="I553" t="n">
        <v>10344</v>
      </c>
      <c r="J553" t="inlineStr">
        <is>
          <t>DIRECTOR DE OFICINA CHIHUAHUA</t>
        </is>
      </c>
      <c r="K553" t="n">
        <v>1</v>
      </c>
      <c r="L553" t="inlineStr">
        <is>
          <t>PRESIDENCIA EJECUTIVA DEL CONSEJO</t>
        </is>
      </c>
      <c r="M553" t="n">
        <v>40</v>
      </c>
      <c r="N553" t="inlineStr">
        <is>
          <t>DIRECCION GENERAL BANCO BASE</t>
        </is>
      </c>
      <c r="O553" t="n">
        <v>410</v>
      </c>
      <c r="P553" t="inlineStr">
        <is>
          <t>DIRECCION COMERCIAL</t>
        </is>
      </c>
      <c r="Q553" t="n">
        <v>4140</v>
      </c>
      <c r="R553" t="inlineStr">
        <is>
          <t>DIRECCION COMERCIAL FORANEAS</t>
        </is>
      </c>
      <c r="S553" t="n">
        <v>41440</v>
      </c>
      <c r="T553" t="inlineStr">
        <is>
          <t>DIRECCION OFICINA CHIHUAHUA</t>
        </is>
      </c>
      <c r="U553" t="n">
        <v>414400</v>
      </c>
      <c r="V553" t="inlineStr">
        <is>
          <t>DIRECCION OFICINA CHIHUAHUA</t>
        </is>
      </c>
      <c r="W553" t="n">
        <v>126131</v>
      </c>
      <c r="X553" t="inlineStr">
        <is>
          <t>CHIHUAHUA</t>
        </is>
      </c>
      <c r="Y553" t="n">
        <v>17</v>
      </c>
      <c r="Z553" t="inlineStr">
        <is>
          <t>SOPORTE</t>
        </is>
      </c>
      <c r="AA553" t="n">
        <v>1</v>
      </c>
      <c r="AB553" t="inlineStr">
        <is>
          <t>NEGOCIO EN MARCHA</t>
        </is>
      </c>
      <c r="AC553" t="n">
        <v>1</v>
      </c>
      <c r="AD553" t="inlineStr">
        <is>
          <t>BANCO</t>
        </is>
      </c>
      <c r="AE553" t="n">
        <v>2</v>
      </c>
      <c r="AF553" t="inlineStr">
        <is>
          <t>MIDDLE</t>
        </is>
      </c>
      <c r="AG553" t="n">
        <v>126131</v>
      </c>
      <c r="AH553" t="inlineStr">
        <is>
          <t>CHIHUAHUA</t>
        </is>
      </c>
      <c r="AI553" t="inlineStr">
        <is>
          <t>JVENEGASA@BANCOBASE.COM</t>
        </is>
      </c>
      <c r="AJ553" s="151" t="n">
        <v>45964</v>
      </c>
      <c r="AK553" s="151" t="n"/>
      <c r="AL553" s="151" t="n"/>
    </row>
    <row r="554" hidden="1" s="150">
      <c r="A554" t="inlineStr">
        <is>
          <t>KMENDOZA</t>
        </is>
      </c>
      <c r="B554" t="n">
        <v>3773</v>
      </c>
      <c r="C554" t="inlineStr">
        <is>
          <t>KAREN NOEMI MENDOZA MARQUEZ</t>
        </is>
      </c>
      <c r="D554" t="n">
        <v>8430</v>
      </c>
      <c r="E554" t="inlineStr">
        <is>
          <t>ASISTENTE CAMBIARIO</t>
        </is>
      </c>
      <c r="F554" t="inlineStr">
        <is>
          <t>CHIHUAHUA</t>
        </is>
      </c>
      <c r="G554" t="n">
        <v>3852</v>
      </c>
      <c r="H554" t="inlineStr">
        <is>
          <t>ERICK ARTURO SEIJAS GONZALEZ</t>
        </is>
      </c>
      <c r="I554" t="n">
        <v>10344</v>
      </c>
      <c r="J554" t="inlineStr">
        <is>
          <t>DIRECTOR DE OFICINA CHIHUAHUA</t>
        </is>
      </c>
      <c r="K554" t="n">
        <v>1</v>
      </c>
      <c r="L554" t="inlineStr">
        <is>
          <t>PRESIDENCIA EJECUTIVA DEL CONSEJO</t>
        </is>
      </c>
      <c r="M554" t="n">
        <v>40</v>
      </c>
      <c r="N554" t="inlineStr">
        <is>
          <t>DIRECCION GENERAL BANCO BASE</t>
        </is>
      </c>
      <c r="O554" t="n">
        <v>410</v>
      </c>
      <c r="P554" t="inlineStr">
        <is>
          <t>DIRECCION COMERCIAL</t>
        </is>
      </c>
      <c r="Q554" t="n">
        <v>4140</v>
      </c>
      <c r="R554" t="inlineStr">
        <is>
          <t>DIRECCION COMERCIAL FORANEAS</t>
        </is>
      </c>
      <c r="S554" t="n">
        <v>41440</v>
      </c>
      <c r="T554" t="inlineStr">
        <is>
          <t>DIRECCION OFICINA CHIHUAHUA</t>
        </is>
      </c>
      <c r="U554" t="n">
        <v>414400</v>
      </c>
      <c r="V554" t="inlineStr">
        <is>
          <t>DIRECCION OFICINA CHIHUAHUA</t>
        </is>
      </c>
      <c r="W554" t="n">
        <v>126131</v>
      </c>
      <c r="X554" t="inlineStr">
        <is>
          <t>CHIHUAHUA</t>
        </is>
      </c>
      <c r="Y554" t="n">
        <v>3</v>
      </c>
      <c r="Z554" t="inlineStr">
        <is>
          <t>CAMBIARIO</t>
        </is>
      </c>
      <c r="AA554" t="n">
        <v>1</v>
      </c>
      <c r="AB554" t="inlineStr">
        <is>
          <t>NEGOCIO EN MARCHA</t>
        </is>
      </c>
      <c r="AC554" t="n">
        <v>1</v>
      </c>
      <c r="AD554" t="inlineStr">
        <is>
          <t>BANCO</t>
        </is>
      </c>
      <c r="AE554" t="n">
        <v>2</v>
      </c>
      <c r="AF554" t="inlineStr">
        <is>
          <t>MIDDLE</t>
        </is>
      </c>
      <c r="AG554" t="n">
        <v>126131</v>
      </c>
      <c r="AH554" t="inlineStr">
        <is>
          <t>CHIHUAHUA</t>
        </is>
      </c>
      <c r="AI554" t="inlineStr">
        <is>
          <t>KMENDOZA@BANCOBASE.COM</t>
        </is>
      </c>
      <c r="AJ554" s="151" t="n">
        <v>46083</v>
      </c>
      <c r="AK554" s="151" t="n"/>
      <c r="AL554" s="151" t="n"/>
    </row>
    <row r="555" hidden="1" s="150">
      <c r="A555" t="inlineStr">
        <is>
          <t>AGARCIAP</t>
        </is>
      </c>
      <c r="B555" t="n">
        <v>3966</v>
      </c>
      <c r="C555" t="inlineStr">
        <is>
          <t>ANABEL GARCIA PADILLA</t>
        </is>
      </c>
      <c r="D555" t="n">
        <v>9781</v>
      </c>
      <c r="E555" t="inlineStr">
        <is>
          <t>ASESOR CAMBIARIO</t>
        </is>
      </c>
      <c r="F555" t="inlineStr">
        <is>
          <t>CHIHUAHUA</t>
        </is>
      </c>
      <c r="G555" t="n">
        <v>3852</v>
      </c>
      <c r="H555" t="inlineStr">
        <is>
          <t>ERICK ARTURO SEIJAS GONZALEZ</t>
        </is>
      </c>
      <c r="I555" t="n">
        <v>10344</v>
      </c>
      <c r="J555" t="inlineStr">
        <is>
          <t>DIRECTOR DE OFICINA CHIHUAHUA</t>
        </is>
      </c>
      <c r="K555" t="n">
        <v>1</v>
      </c>
      <c r="L555" t="inlineStr">
        <is>
          <t>PRESIDENCIA EJECUTIVA DEL CONSEJO</t>
        </is>
      </c>
      <c r="M555" t="n">
        <v>40</v>
      </c>
      <c r="N555" t="inlineStr">
        <is>
          <t>DIRECCION GENERAL BANCO BASE</t>
        </is>
      </c>
      <c r="O555" t="n">
        <v>410</v>
      </c>
      <c r="P555" t="inlineStr">
        <is>
          <t>DIRECCION COMERCIAL</t>
        </is>
      </c>
      <c r="Q555" t="n">
        <v>4140</v>
      </c>
      <c r="R555" t="inlineStr">
        <is>
          <t>DIRECCION COMERCIAL FORANEAS</t>
        </is>
      </c>
      <c r="S555" t="n">
        <v>41440</v>
      </c>
      <c r="T555" t="inlineStr">
        <is>
          <t>DIRECCION OFICINA CHIHUAHUA</t>
        </is>
      </c>
      <c r="U555" t="n">
        <v>414400</v>
      </c>
      <c r="V555" t="inlineStr">
        <is>
          <t>DIRECCION OFICINA CHIHUAHUA</t>
        </is>
      </c>
      <c r="W555" t="n">
        <v>126131</v>
      </c>
      <c r="X555" t="inlineStr">
        <is>
          <t>CHIHUAHUA</t>
        </is>
      </c>
      <c r="Y555" t="n">
        <v>3</v>
      </c>
      <c r="Z555" t="inlineStr">
        <is>
          <t>CAMBIARIO</t>
        </is>
      </c>
      <c r="AA555" t="n">
        <v>1</v>
      </c>
      <c r="AB555" t="inlineStr">
        <is>
          <t>NEGOCIO EN MARCHA</t>
        </is>
      </c>
      <c r="AC555" t="n">
        <v>1</v>
      </c>
      <c r="AD555" t="inlineStr">
        <is>
          <t>BANCO</t>
        </is>
      </c>
      <c r="AE555" t="n">
        <v>3</v>
      </c>
      <c r="AF555" t="inlineStr">
        <is>
          <t>FRONT</t>
        </is>
      </c>
      <c r="AG555" t="n">
        <v>126131</v>
      </c>
      <c r="AH555" t="inlineStr">
        <is>
          <t>CHIHUAHUA</t>
        </is>
      </c>
      <c r="AI555" t="inlineStr">
        <is>
          <t>AGARCIAP@BANCOBASE.COM</t>
        </is>
      </c>
      <c r="AJ555" s="151" t="n">
        <v>46237</v>
      </c>
      <c r="AK555" s="151" t="n"/>
      <c r="AL555" s="151" t="n"/>
    </row>
    <row r="556" hidden="1" s="150">
      <c r="A556" t="inlineStr">
        <is>
          <t>YCEBALLOS</t>
        </is>
      </c>
      <c r="B556" t="n">
        <v>3951</v>
      </c>
      <c r="C556" t="inlineStr">
        <is>
          <t>YARENITZE CEBALLOS RIVERA</t>
        </is>
      </c>
      <c r="D556" t="n">
        <v>9780</v>
      </c>
      <c r="E556" t="inlineStr">
        <is>
          <t>ASESOR CAMBIARIO</t>
        </is>
      </c>
      <c r="F556" t="inlineStr">
        <is>
          <t>CHIHUAHUA</t>
        </is>
      </c>
      <c r="G556" t="n">
        <v>3852</v>
      </c>
      <c r="H556" t="inlineStr">
        <is>
          <t>ERICK ARTURO SEIJAS GONZALEZ</t>
        </is>
      </c>
      <c r="I556" t="n">
        <v>10344</v>
      </c>
      <c r="J556" t="inlineStr">
        <is>
          <t>DIRECTOR DE OFICINA CHIHUAHUA</t>
        </is>
      </c>
      <c r="K556" t="n">
        <v>1</v>
      </c>
      <c r="L556" t="inlineStr">
        <is>
          <t>PRESIDENCIA EJECUTIVA DEL CONSEJO</t>
        </is>
      </c>
      <c r="M556" t="n">
        <v>40</v>
      </c>
      <c r="N556" t="inlineStr">
        <is>
          <t>DIRECCION GENERAL BANCO BASE</t>
        </is>
      </c>
      <c r="O556" t="n">
        <v>410</v>
      </c>
      <c r="P556" t="inlineStr">
        <is>
          <t>DIRECCION COMERCIAL</t>
        </is>
      </c>
      <c r="Q556" t="n">
        <v>4140</v>
      </c>
      <c r="R556" t="inlineStr">
        <is>
          <t>DIRECCION COMERCIAL FORANEAS</t>
        </is>
      </c>
      <c r="S556" t="n">
        <v>41440</v>
      </c>
      <c r="T556" t="inlineStr">
        <is>
          <t>DIRECCION OFICINA CHIHUAHUA</t>
        </is>
      </c>
      <c r="U556" t="n">
        <v>414400</v>
      </c>
      <c r="V556" t="inlineStr">
        <is>
          <t>DIRECCION OFICINA CHIHUAHUA</t>
        </is>
      </c>
      <c r="W556" t="n">
        <v>126131</v>
      </c>
      <c r="X556" t="inlineStr">
        <is>
          <t>CHIHUAHUA</t>
        </is>
      </c>
      <c r="Y556" t="n">
        <v>3</v>
      </c>
      <c r="Z556" t="inlineStr">
        <is>
          <t>CAMBIARIO</t>
        </is>
      </c>
      <c r="AA556" t="n">
        <v>1</v>
      </c>
      <c r="AB556" t="inlineStr">
        <is>
          <t>NEGOCIO EN MARCHA</t>
        </is>
      </c>
      <c r="AC556" t="n">
        <v>1</v>
      </c>
      <c r="AD556" t="inlineStr">
        <is>
          <t>BANCO</t>
        </is>
      </c>
      <c r="AE556" t="n">
        <v>3</v>
      </c>
      <c r="AF556" t="inlineStr">
        <is>
          <t>FRONT</t>
        </is>
      </c>
      <c r="AG556" t="n">
        <v>126131</v>
      </c>
      <c r="AH556" t="inlineStr">
        <is>
          <t>CHIHUAHUA</t>
        </is>
      </c>
      <c r="AI556" t="inlineStr">
        <is>
          <t>YCEBALLOS@BANCOBASE.COM</t>
        </is>
      </c>
      <c r="AJ556" s="151" t="n">
        <v>46219</v>
      </c>
      <c r="AK556" s="151" t="n"/>
      <c r="AL556" s="151" t="n"/>
    </row>
    <row r="557" hidden="1" s="150">
      <c r="A557" t="inlineStr">
        <is>
          <t>ACASTILLOM</t>
        </is>
      </c>
      <c r="B557" t="n">
        <v>3945</v>
      </c>
      <c r="C557" t="inlineStr">
        <is>
          <t>ALEJANDRA CASTILLO MORENO</t>
        </is>
      </c>
      <c r="D557" t="n">
        <v>10356</v>
      </c>
      <c r="E557" t="inlineStr">
        <is>
          <t>ESPECIALISTA DE BANCA TRANSACCIONAL</t>
        </is>
      </c>
      <c r="F557" t="inlineStr">
        <is>
          <t>CHIHUAHUA</t>
        </is>
      </c>
      <c r="G557" t="n">
        <v>3852</v>
      </c>
      <c r="H557" t="inlineStr">
        <is>
          <t>ERICK ARTURO SEIJAS GONZALEZ</t>
        </is>
      </c>
      <c r="I557" t="n">
        <v>10344</v>
      </c>
      <c r="J557" t="inlineStr">
        <is>
          <t>DIRECTOR DE OFICINA CHIHUAHUA</t>
        </is>
      </c>
      <c r="K557" t="n">
        <v>1</v>
      </c>
      <c r="L557" t="inlineStr">
        <is>
          <t>PRESIDENCIA EJECUTIVA DEL CONSEJO</t>
        </is>
      </c>
      <c r="M557" t="n">
        <v>40</v>
      </c>
      <c r="N557" t="inlineStr">
        <is>
          <t>DIRECCION GENERAL BANCO BASE</t>
        </is>
      </c>
      <c r="O557" t="n">
        <v>410</v>
      </c>
      <c r="P557" t="inlineStr">
        <is>
          <t>DIRECCION COMERCIAL</t>
        </is>
      </c>
      <c r="Q557" t="n">
        <v>4140</v>
      </c>
      <c r="R557" t="inlineStr">
        <is>
          <t>DIRECCION COMERCIAL FORANEAS</t>
        </is>
      </c>
      <c r="S557" t="n">
        <v>41440</v>
      </c>
      <c r="T557" t="inlineStr">
        <is>
          <t>DIRECCION OFICINA CHIHUAHUA</t>
        </is>
      </c>
      <c r="U557" t="n">
        <v>414400</v>
      </c>
      <c r="V557" t="inlineStr">
        <is>
          <t>DIRECCION OFICINA CHIHUAHUA</t>
        </is>
      </c>
      <c r="W557" t="n">
        <v>126131</v>
      </c>
      <c r="X557" t="inlineStr">
        <is>
          <t>CHIHUAHUA</t>
        </is>
      </c>
      <c r="Y557" t="n">
        <v>14</v>
      </c>
      <c r="Z557" t="inlineStr">
        <is>
          <t>TRANSACCIONAL</t>
        </is>
      </c>
      <c r="AA557" t="n">
        <v>1</v>
      </c>
      <c r="AB557" t="inlineStr">
        <is>
          <t>NEGOCIO EN MARCHA</t>
        </is>
      </c>
      <c r="AC557" t="n">
        <v>1</v>
      </c>
      <c r="AD557" t="inlineStr">
        <is>
          <t>BANCO</t>
        </is>
      </c>
      <c r="AE557" t="n">
        <v>3</v>
      </c>
      <c r="AF557" t="inlineStr">
        <is>
          <t>FRONT</t>
        </is>
      </c>
      <c r="AG557" t="n">
        <v>126131</v>
      </c>
      <c r="AH557" t="inlineStr">
        <is>
          <t>CHIHUAHUA</t>
        </is>
      </c>
      <c r="AI557" t="inlineStr">
        <is>
          <t>ACASTILLOM@BANCOBASE.COM</t>
        </is>
      </c>
      <c r="AJ557" s="151" t="n">
        <v>46219</v>
      </c>
      <c r="AK557" s="151" t="n"/>
      <c r="AL557" s="151" t="n"/>
    </row>
    <row r="558" hidden="1" s="150">
      <c r="A558" t="inlineStr">
        <is>
          <t>MGARCIAES</t>
        </is>
      </c>
      <c r="B558" t="n">
        <v>3947</v>
      </c>
      <c r="C558" t="inlineStr">
        <is>
          <t>MIGUEL ANGEL GARCIA ESPINOZA</t>
        </is>
      </c>
      <c r="D558" t="n">
        <v>8580</v>
      </c>
      <c r="E558" t="inlineStr">
        <is>
          <t>ASESOR CAMBIARIO</t>
        </is>
      </c>
      <c r="F558" t="inlineStr">
        <is>
          <t>CIUDAD JUAREZ</t>
        </is>
      </c>
      <c r="G558" t="n">
        <v>3852</v>
      </c>
      <c r="H558" t="inlineStr">
        <is>
          <t>ERICK ARTURO SEIJAS GONZALEZ</t>
        </is>
      </c>
      <c r="I558" t="n">
        <v>10344</v>
      </c>
      <c r="J558" t="inlineStr">
        <is>
          <t>DIRECTOR DE OFICINA CHIHUAHUA</t>
        </is>
      </c>
      <c r="K558" t="n">
        <v>1</v>
      </c>
      <c r="L558" t="inlineStr">
        <is>
          <t>PRESIDENCIA EJECUTIVA DEL CONSEJO</t>
        </is>
      </c>
      <c r="M558" t="n">
        <v>40</v>
      </c>
      <c r="N558" t="inlineStr">
        <is>
          <t>DIRECCION GENERAL BANCO BASE</t>
        </is>
      </c>
      <c r="O558" t="n">
        <v>410</v>
      </c>
      <c r="P558" t="inlineStr">
        <is>
          <t>DIRECCION COMERCIAL</t>
        </is>
      </c>
      <c r="Q558" t="n">
        <v>4140</v>
      </c>
      <c r="R558" t="inlineStr">
        <is>
          <t>DIRECCION COMERCIAL FORANEAS</t>
        </is>
      </c>
      <c r="S558" t="n">
        <v>41440</v>
      </c>
      <c r="T558" t="inlineStr">
        <is>
          <t>DIRECCION OFICINA CHIHUAHUA</t>
        </is>
      </c>
      <c r="U558" t="n">
        <v>414406</v>
      </c>
      <c r="V558" t="inlineStr">
        <is>
          <t>DIRECCION OFICINA CIUDAD JUAREZ</t>
        </is>
      </c>
      <c r="W558" t="n">
        <v>126133</v>
      </c>
      <c r="X558" t="inlineStr">
        <is>
          <t>CIUDAD JUAREZ</t>
        </is>
      </c>
      <c r="Y558" t="n">
        <v>3</v>
      </c>
      <c r="Z558" t="inlineStr">
        <is>
          <t>CAMBIARIO</t>
        </is>
      </c>
      <c r="AA558" t="n">
        <v>1</v>
      </c>
      <c r="AB558" t="inlineStr">
        <is>
          <t>NEGOCIO EN MARCHA</t>
        </is>
      </c>
      <c r="AC558" t="n">
        <v>1</v>
      </c>
      <c r="AD558" t="inlineStr">
        <is>
          <t>BANCO</t>
        </is>
      </c>
      <c r="AE558" t="n">
        <v>3</v>
      </c>
      <c r="AF558" t="inlineStr">
        <is>
          <t>FRONT</t>
        </is>
      </c>
      <c r="AG558" t="n">
        <v>126133</v>
      </c>
      <c r="AH558" t="inlineStr">
        <is>
          <t>CIUDAD JUAREZ</t>
        </is>
      </c>
      <c r="AI558" t="inlineStr">
        <is>
          <t>MGARCIAES@BANCOBASE.COM</t>
        </is>
      </c>
      <c r="AJ558" s="151" t="n">
        <v>46219</v>
      </c>
      <c r="AK558" s="151" t="n"/>
      <c r="AL558" s="151" t="n"/>
    </row>
    <row r="559" hidden="1" s="150">
      <c r="A559" t="inlineStr">
        <is>
          <t>JRUVALCABA</t>
        </is>
      </c>
      <c r="B559" t="n">
        <v>3912</v>
      </c>
      <c r="C559" t="inlineStr">
        <is>
          <t>JESUS EMMANUEL RUVALCABA CORONA</t>
        </is>
      </c>
      <c r="D559" t="n">
        <v>8581</v>
      </c>
      <c r="E559" t="inlineStr">
        <is>
          <t>ASESOR CAMBIARIO</t>
        </is>
      </c>
      <c r="F559" t="inlineStr">
        <is>
          <t>CIUDAD JUAREZ</t>
        </is>
      </c>
      <c r="G559" t="n">
        <v>3852</v>
      </c>
      <c r="H559" t="inlineStr">
        <is>
          <t>ERICK ARTURO SEIJAS GONZALEZ</t>
        </is>
      </c>
      <c r="I559" t="n">
        <v>10344</v>
      </c>
      <c r="J559" t="inlineStr">
        <is>
          <t>DIRECTOR DE OFICINA CHIHUAHUA</t>
        </is>
      </c>
      <c r="K559" t="n">
        <v>1</v>
      </c>
      <c r="L559" t="inlineStr">
        <is>
          <t>PRESIDENCIA EJECUTIVA DEL CONSEJO</t>
        </is>
      </c>
      <c r="M559" t="n">
        <v>40</v>
      </c>
      <c r="N559" t="inlineStr">
        <is>
          <t>DIRECCION GENERAL BANCO BASE</t>
        </is>
      </c>
      <c r="O559" t="n">
        <v>410</v>
      </c>
      <c r="P559" t="inlineStr">
        <is>
          <t>DIRECCION COMERCIAL</t>
        </is>
      </c>
      <c r="Q559" t="n">
        <v>4140</v>
      </c>
      <c r="R559" t="inlineStr">
        <is>
          <t>DIRECCION COMERCIAL FORANEAS</t>
        </is>
      </c>
      <c r="S559" t="n">
        <v>41440</v>
      </c>
      <c r="T559" t="inlineStr">
        <is>
          <t>DIRECCION OFICINA CHIHUAHUA</t>
        </is>
      </c>
      <c r="U559" t="n">
        <v>414406</v>
      </c>
      <c r="V559" t="inlineStr">
        <is>
          <t>DIRECCION OFICINA CIUDAD JUAREZ</t>
        </is>
      </c>
      <c r="W559" t="n">
        <v>126133</v>
      </c>
      <c r="X559" t="inlineStr">
        <is>
          <t>CIUDAD JUAREZ</t>
        </is>
      </c>
      <c r="Y559" t="n">
        <v>3</v>
      </c>
      <c r="Z559" t="inlineStr">
        <is>
          <t>CAMBIARIO</t>
        </is>
      </c>
      <c r="AA559" t="n">
        <v>1</v>
      </c>
      <c r="AB559" t="inlineStr">
        <is>
          <t>NEGOCIO EN MARCHA</t>
        </is>
      </c>
      <c r="AC559" t="n">
        <v>1</v>
      </c>
      <c r="AD559" t="inlineStr">
        <is>
          <t>BANCO</t>
        </is>
      </c>
      <c r="AE559" t="n">
        <v>3</v>
      </c>
      <c r="AF559" t="inlineStr">
        <is>
          <t>FRONT</t>
        </is>
      </c>
      <c r="AG559" t="n">
        <v>126133</v>
      </c>
      <c r="AH559" t="inlineStr">
        <is>
          <t>CIUDAD JUAREZ</t>
        </is>
      </c>
      <c r="AI559" t="inlineStr">
        <is>
          <t>JRUVALCABA@BANCOBASE.COM</t>
        </is>
      </c>
      <c r="AJ559" s="151" t="n">
        <v>46189</v>
      </c>
      <c r="AK559" s="151" t="n"/>
      <c r="AL559" s="151" t="n"/>
    </row>
    <row r="560" hidden="1" s="150">
      <c r="A560" t="inlineStr">
        <is>
          <t>IJUAREZT</t>
        </is>
      </c>
      <c r="B560" t="n">
        <v>3026</v>
      </c>
      <c r="C560" t="inlineStr">
        <is>
          <t>IVAN RODRIGO JUAREZ TELLO</t>
        </is>
      </c>
      <c r="D560" t="n">
        <v>80</v>
      </c>
      <c r="E560" t="inlineStr">
        <is>
          <t>DIRECTOR DE OFICINA CANCUN</t>
        </is>
      </c>
      <c r="F560" t="inlineStr">
        <is>
          <t>CANCUN</t>
        </is>
      </c>
      <c r="G560" t="n">
        <v>319</v>
      </c>
      <c r="H560" t="inlineStr">
        <is>
          <t>CECILIA DAVALOS ZAMBRANO</t>
        </is>
      </c>
      <c r="I560" t="n">
        <v>92</v>
      </c>
      <c r="J560" t="inlineStr">
        <is>
          <t>DIRECTOR COMERCIAL FORANEAS</t>
        </is>
      </c>
      <c r="K560" t="n">
        <v>1</v>
      </c>
      <c r="L560" t="inlineStr">
        <is>
          <t>PRESIDENCIA EJECUTIVA DEL CONSEJO</t>
        </is>
      </c>
      <c r="M560" t="n">
        <v>40</v>
      </c>
      <c r="N560" t="inlineStr">
        <is>
          <t>DIRECCION GENERAL BANCO BASE</t>
        </is>
      </c>
      <c r="O560" t="n">
        <v>410</v>
      </c>
      <c r="P560" t="inlineStr">
        <is>
          <t>DIRECCION COMERCIAL</t>
        </is>
      </c>
      <c r="Q560" t="n">
        <v>4140</v>
      </c>
      <c r="R560" t="inlineStr">
        <is>
          <t>DIRECCION COMERCIAL FORANEAS</t>
        </is>
      </c>
      <c r="S560" t="n">
        <v>41430</v>
      </c>
      <c r="T560" t="inlineStr">
        <is>
          <t>DIRECCION OFICINA CANCUN</t>
        </is>
      </c>
      <c r="U560" t="n">
        <v>414300</v>
      </c>
      <c r="V560" t="inlineStr">
        <is>
          <t>DIRECCION OFICINA CANCUN</t>
        </is>
      </c>
      <c r="W560" t="n">
        <v>126121</v>
      </c>
      <c r="X560" t="inlineStr">
        <is>
          <t>CANCUN</t>
        </is>
      </c>
      <c r="Y560" t="n">
        <v>7</v>
      </c>
      <c r="Z560" t="inlineStr">
        <is>
          <t>TERRITORIAL</t>
        </is>
      </c>
      <c r="AA560" t="n">
        <v>1</v>
      </c>
      <c r="AB560" t="inlineStr">
        <is>
          <t>NEGOCIO EN MARCHA</t>
        </is>
      </c>
      <c r="AC560" t="n">
        <v>1</v>
      </c>
      <c r="AD560" t="inlineStr">
        <is>
          <t>BANCO</t>
        </is>
      </c>
      <c r="AE560" t="n">
        <v>3</v>
      </c>
      <c r="AF560" t="inlineStr">
        <is>
          <t>FRONT</t>
        </is>
      </c>
      <c r="AG560" t="n">
        <v>126121</v>
      </c>
      <c r="AH560" t="inlineStr">
        <is>
          <t>CANCUN</t>
        </is>
      </c>
      <c r="AI560" t="inlineStr">
        <is>
          <t>IJUAREZT@BANCOBASE.COM</t>
        </is>
      </c>
      <c r="AJ560" s="151" t="n">
        <v>45328</v>
      </c>
      <c r="AK560" s="151" t="n"/>
      <c r="AL560" s="151" t="n"/>
    </row>
    <row r="561" hidden="1" s="150">
      <c r="A561" t="inlineStr">
        <is>
          <t>BDAMIAN</t>
        </is>
      </c>
      <c r="B561" t="n">
        <v>2583</v>
      </c>
      <c r="C561" t="inlineStr">
        <is>
          <t>BARBARA DAMIAN PALACIOS</t>
        </is>
      </c>
      <c r="D561" t="n">
        <v>9566</v>
      </c>
      <c r="E561" t="inlineStr">
        <is>
          <t>ASESOR CAMBIARIO</t>
        </is>
      </c>
      <c r="F561" t="inlineStr">
        <is>
          <t>CANCUN</t>
        </is>
      </c>
      <c r="G561" t="n">
        <v>3026</v>
      </c>
      <c r="H561" t="inlineStr">
        <is>
          <t>IVAN RODRIGO JUAREZ TELLO</t>
        </is>
      </c>
      <c r="I561" t="n">
        <v>80</v>
      </c>
      <c r="J561" t="inlineStr">
        <is>
          <t>DIRECTOR DE OFICINA CANCUN</t>
        </is>
      </c>
      <c r="K561" t="n">
        <v>1</v>
      </c>
      <c r="L561" t="inlineStr">
        <is>
          <t>PRESIDENCIA EJECUTIVA DEL CONSEJO</t>
        </is>
      </c>
      <c r="M561" t="n">
        <v>40</v>
      </c>
      <c r="N561" t="inlineStr">
        <is>
          <t>DIRECCION GENERAL BANCO BASE</t>
        </is>
      </c>
      <c r="O561" t="n">
        <v>410</v>
      </c>
      <c r="P561" t="inlineStr">
        <is>
          <t>DIRECCION COMERCIAL</t>
        </is>
      </c>
      <c r="Q561" t="n">
        <v>4140</v>
      </c>
      <c r="R561" t="inlineStr">
        <is>
          <t>DIRECCION COMERCIAL FORANEAS</t>
        </is>
      </c>
      <c r="S561" t="n">
        <v>41430</v>
      </c>
      <c r="T561" t="inlineStr">
        <is>
          <t>DIRECCION OFICINA CANCUN</t>
        </is>
      </c>
      <c r="U561" t="n">
        <v>414300</v>
      </c>
      <c r="V561" t="inlineStr">
        <is>
          <t>DIRECCION OFICINA CANCUN</t>
        </is>
      </c>
      <c r="W561" t="n">
        <v>126122</v>
      </c>
      <c r="X561" t="inlineStr">
        <is>
          <t>MERIDA</t>
        </is>
      </c>
      <c r="Y561" t="n">
        <v>3</v>
      </c>
      <c r="Z561" t="inlineStr">
        <is>
          <t>CAMBIARIO</t>
        </is>
      </c>
      <c r="AA561" t="n">
        <v>1</v>
      </c>
      <c r="AB561" t="inlineStr">
        <is>
          <t>NEGOCIO EN MARCHA</t>
        </is>
      </c>
      <c r="AC561" t="n">
        <v>1</v>
      </c>
      <c r="AD561" t="inlineStr">
        <is>
          <t>BANCO</t>
        </is>
      </c>
      <c r="AE561" t="n">
        <v>3</v>
      </c>
      <c r="AF561" t="inlineStr">
        <is>
          <t>FRONT</t>
        </is>
      </c>
      <c r="AG561" t="n">
        <v>126121</v>
      </c>
      <c r="AH561" t="inlineStr">
        <is>
          <t>CANCUN</t>
        </is>
      </c>
      <c r="AI561" t="inlineStr">
        <is>
          <t>BDAMIAN@BANCOBASE.COM</t>
        </is>
      </c>
      <c r="AJ561" s="151" t="n">
        <v>44531</v>
      </c>
      <c r="AK561" s="151" t="n"/>
      <c r="AL561" s="151" t="n"/>
    </row>
    <row r="562" hidden="1" s="150">
      <c r="A562" t="inlineStr">
        <is>
          <t>IELIAS</t>
        </is>
      </c>
      <c r="B562" t="n">
        <v>3698</v>
      </c>
      <c r="C562" t="inlineStr">
        <is>
          <t>IVANA YOAZOHARA ELIAS ALVARADO</t>
        </is>
      </c>
      <c r="D562" t="n">
        <v>10303</v>
      </c>
      <c r="E562" t="inlineStr">
        <is>
          <t>ASESOR CAMBIARIO</t>
        </is>
      </c>
      <c r="F562" t="inlineStr">
        <is>
          <t>CANCUN</t>
        </is>
      </c>
      <c r="G562" t="n">
        <v>3026</v>
      </c>
      <c r="H562" t="inlineStr">
        <is>
          <t>IVAN RODRIGO JUAREZ TELLO</t>
        </is>
      </c>
      <c r="I562" t="n">
        <v>80</v>
      </c>
      <c r="J562" t="inlineStr">
        <is>
          <t>DIRECTOR DE OFICINA CANCUN</t>
        </is>
      </c>
      <c r="K562" t="n">
        <v>1</v>
      </c>
      <c r="L562" t="inlineStr">
        <is>
          <t>PRESIDENCIA EJECUTIVA DEL CONSEJO</t>
        </is>
      </c>
      <c r="M562" t="n">
        <v>40</v>
      </c>
      <c r="N562" t="inlineStr">
        <is>
          <t>DIRECCION GENERAL BANCO BASE</t>
        </is>
      </c>
      <c r="O562" t="n">
        <v>410</v>
      </c>
      <c r="P562" t="inlineStr">
        <is>
          <t>DIRECCION COMERCIAL</t>
        </is>
      </c>
      <c r="Q562" t="n">
        <v>4140</v>
      </c>
      <c r="R562" t="inlineStr">
        <is>
          <t>DIRECCION COMERCIAL FORANEAS</t>
        </is>
      </c>
      <c r="S562" t="n">
        <v>41430</v>
      </c>
      <c r="T562" t="inlineStr">
        <is>
          <t>DIRECCION OFICINA CANCUN</t>
        </is>
      </c>
      <c r="U562" t="n">
        <v>414300</v>
      </c>
      <c r="V562" t="inlineStr">
        <is>
          <t>DIRECCION OFICINA CANCUN</t>
        </is>
      </c>
      <c r="W562" t="n">
        <v>126121</v>
      </c>
      <c r="X562" t="inlineStr">
        <is>
          <t>CANCUN</t>
        </is>
      </c>
      <c r="Y562" t="n">
        <v>3</v>
      </c>
      <c r="Z562" t="inlineStr">
        <is>
          <t>CAMBIARIO</t>
        </is>
      </c>
      <c r="AA562" t="n">
        <v>1</v>
      </c>
      <c r="AB562" t="inlineStr">
        <is>
          <t>NEGOCIO EN MARCHA</t>
        </is>
      </c>
      <c r="AC562" t="n">
        <v>1</v>
      </c>
      <c r="AD562" t="inlineStr">
        <is>
          <t>BANCO</t>
        </is>
      </c>
      <c r="AE562" t="n">
        <v>3</v>
      </c>
      <c r="AF562" t="inlineStr">
        <is>
          <t>FRONT</t>
        </is>
      </c>
      <c r="AG562" t="n">
        <v>126121</v>
      </c>
      <c r="AH562" t="inlineStr">
        <is>
          <t>CANCUN</t>
        </is>
      </c>
      <c r="AI562" t="inlineStr">
        <is>
          <t>IELIAS@BANCOBASE.COM</t>
        </is>
      </c>
      <c r="AJ562" s="151" t="n">
        <v>45992</v>
      </c>
      <c r="AK562" s="151" t="n"/>
      <c r="AL562" s="151" t="n"/>
    </row>
    <row r="563" hidden="1" s="150">
      <c r="A563" t="inlineStr">
        <is>
          <t>VSOLAR</t>
        </is>
      </c>
      <c r="B563" t="n">
        <v>3588</v>
      </c>
      <c r="C563" t="inlineStr">
        <is>
          <t>VICTOR MANUEL SOLAR SARACHAGA I</t>
        </is>
      </c>
      <c r="D563" t="n">
        <v>8640</v>
      </c>
      <c r="E563" t="inlineStr">
        <is>
          <t>ASESOR CAMBIARIO</t>
        </is>
      </c>
      <c r="F563" t="inlineStr">
        <is>
          <t>CANCUN</t>
        </is>
      </c>
      <c r="G563" t="n">
        <v>3026</v>
      </c>
      <c r="H563" t="inlineStr">
        <is>
          <t>IVAN RODRIGO JUAREZ TELLO</t>
        </is>
      </c>
      <c r="I563" t="n">
        <v>80</v>
      </c>
      <c r="J563" t="inlineStr">
        <is>
          <t>DIRECTOR DE OFICINA CANCUN</t>
        </is>
      </c>
      <c r="K563" t="n">
        <v>1</v>
      </c>
      <c r="L563" t="inlineStr">
        <is>
          <t>PRESIDENCIA EJECUTIVA DEL CONSEJO</t>
        </is>
      </c>
      <c r="M563" t="n">
        <v>40</v>
      </c>
      <c r="N563" t="inlineStr">
        <is>
          <t>DIRECCION GENERAL BANCO BASE</t>
        </is>
      </c>
      <c r="O563" t="n">
        <v>410</v>
      </c>
      <c r="P563" t="inlineStr">
        <is>
          <t>DIRECCION COMERCIAL</t>
        </is>
      </c>
      <c r="Q563" t="n">
        <v>4140</v>
      </c>
      <c r="R563" t="inlineStr">
        <is>
          <t>DIRECCION COMERCIAL FORANEAS</t>
        </is>
      </c>
      <c r="S563" t="n">
        <v>41430</v>
      </c>
      <c r="T563" t="inlineStr">
        <is>
          <t>DIRECCION OFICINA CANCUN</t>
        </is>
      </c>
      <c r="U563" t="n">
        <v>414300</v>
      </c>
      <c r="V563" t="inlineStr">
        <is>
          <t>DIRECCION OFICINA CANCUN</t>
        </is>
      </c>
      <c r="W563" t="n">
        <v>126122</v>
      </c>
      <c r="X563" t="inlineStr">
        <is>
          <t>MERIDA</t>
        </is>
      </c>
      <c r="Y563" t="n">
        <v>3</v>
      </c>
      <c r="Z563" t="inlineStr">
        <is>
          <t>CAMBIARIO</t>
        </is>
      </c>
      <c r="AA563" t="n">
        <v>1</v>
      </c>
      <c r="AB563" t="inlineStr">
        <is>
          <t>NEGOCIO EN MARCHA</t>
        </is>
      </c>
      <c r="AC563" t="n">
        <v>1</v>
      </c>
      <c r="AD563" t="inlineStr">
        <is>
          <t>BANCO</t>
        </is>
      </c>
      <c r="AE563" t="n">
        <v>3</v>
      </c>
      <c r="AF563" t="inlineStr">
        <is>
          <t>FRONT</t>
        </is>
      </c>
      <c r="AG563" t="n">
        <v>126121</v>
      </c>
      <c r="AH563" t="inlineStr">
        <is>
          <t>CANCUN</t>
        </is>
      </c>
      <c r="AI563" t="inlineStr">
        <is>
          <t>VSOLAR@BANCOBASE.COM</t>
        </is>
      </c>
      <c r="AJ563" s="151" t="n">
        <v>45922</v>
      </c>
      <c r="AK563" s="151" t="n"/>
      <c r="AL563" s="151" t="n"/>
    </row>
    <row r="564" hidden="1" s="150">
      <c r="A564" t="inlineStr">
        <is>
          <t>DFERNANDEA</t>
        </is>
      </c>
      <c r="B564" t="n">
        <v>3412</v>
      </c>
      <c r="C564" t="inlineStr">
        <is>
          <t>DANIELA FERNANDEZ ARGUETA</t>
        </is>
      </c>
      <c r="D564" t="n">
        <v>9706</v>
      </c>
      <c r="E564" t="inlineStr">
        <is>
          <t>ASESOR CAMBIARIO</t>
        </is>
      </c>
      <c r="F564" t="inlineStr">
        <is>
          <t>CANCUN</t>
        </is>
      </c>
      <c r="G564" t="n">
        <v>3026</v>
      </c>
      <c r="H564" t="inlineStr">
        <is>
          <t>IVAN RODRIGO JUAREZ TELLO</t>
        </is>
      </c>
      <c r="I564" t="n">
        <v>80</v>
      </c>
      <c r="J564" t="inlineStr">
        <is>
          <t>DIRECTOR DE OFICINA CANCUN</t>
        </is>
      </c>
      <c r="K564" t="n">
        <v>1</v>
      </c>
      <c r="L564" t="inlineStr">
        <is>
          <t>PRESIDENCIA EJECUTIVA DEL CONSEJO</t>
        </is>
      </c>
      <c r="M564" t="n">
        <v>40</v>
      </c>
      <c r="N564" t="inlineStr">
        <is>
          <t>DIRECCION GENERAL BANCO BASE</t>
        </is>
      </c>
      <c r="O564" t="n">
        <v>410</v>
      </c>
      <c r="P564" t="inlineStr">
        <is>
          <t>DIRECCION COMERCIAL</t>
        </is>
      </c>
      <c r="Q564" t="n">
        <v>4140</v>
      </c>
      <c r="R564" t="inlineStr">
        <is>
          <t>DIRECCION COMERCIAL FORANEAS</t>
        </is>
      </c>
      <c r="S564" t="n">
        <v>41430</v>
      </c>
      <c r="T564" t="inlineStr">
        <is>
          <t>DIRECCION OFICINA CANCUN</t>
        </is>
      </c>
      <c r="U564" t="n">
        <v>414300</v>
      </c>
      <c r="V564" t="inlineStr">
        <is>
          <t>DIRECCION OFICINA CANCUN</t>
        </is>
      </c>
      <c r="W564" t="n">
        <v>126121</v>
      </c>
      <c r="X564" t="inlineStr">
        <is>
          <t>CANCUN</t>
        </is>
      </c>
      <c r="Y564" t="n">
        <v>3</v>
      </c>
      <c r="Z564" t="inlineStr">
        <is>
          <t>CAMBIARIO</t>
        </is>
      </c>
      <c r="AA564" t="n">
        <v>1</v>
      </c>
      <c r="AB564" t="inlineStr">
        <is>
          <t>NEGOCIO EN MARCHA</t>
        </is>
      </c>
      <c r="AC564" t="n">
        <v>1</v>
      </c>
      <c r="AD564" t="inlineStr">
        <is>
          <t>BANCO</t>
        </is>
      </c>
      <c r="AE564" t="n">
        <v>3</v>
      </c>
      <c r="AF564" t="inlineStr">
        <is>
          <t>FRONT</t>
        </is>
      </c>
      <c r="AG564" t="n">
        <v>126121</v>
      </c>
      <c r="AH564" t="inlineStr">
        <is>
          <t>CANCUN</t>
        </is>
      </c>
      <c r="AI564" t="inlineStr">
        <is>
          <t>DFERNANDEA@BANCOBASE.COM</t>
        </is>
      </c>
      <c r="AJ564" s="151" t="n">
        <v>45768</v>
      </c>
      <c r="AK564" s="151" t="n"/>
      <c r="AL564" s="151" t="n"/>
    </row>
    <row r="565" hidden="1" s="150">
      <c r="A565" t="inlineStr">
        <is>
          <t>CCABRERA</t>
        </is>
      </c>
      <c r="B565" t="n">
        <v>3667</v>
      </c>
      <c r="C565" t="inlineStr">
        <is>
          <t>CLAUDIA PAOLA CABRERA AGUILERA</t>
        </is>
      </c>
      <c r="D565" t="n">
        <v>8924</v>
      </c>
      <c r="E565" t="inlineStr">
        <is>
          <t>ASESOR CAMBIARIO</t>
        </is>
      </c>
      <c r="F565" t="inlineStr">
        <is>
          <t>CANCUN</t>
        </is>
      </c>
      <c r="G565" t="n">
        <v>3026</v>
      </c>
      <c r="H565" t="inlineStr">
        <is>
          <t>IVAN RODRIGO JUAREZ TELLO</t>
        </is>
      </c>
      <c r="I565" t="n">
        <v>80</v>
      </c>
      <c r="J565" t="inlineStr">
        <is>
          <t>DIRECTOR DE OFICINA CANCUN</t>
        </is>
      </c>
      <c r="K565" t="n">
        <v>1</v>
      </c>
      <c r="L565" t="inlineStr">
        <is>
          <t>PRESIDENCIA EJECUTIVA DEL CONSEJO</t>
        </is>
      </c>
      <c r="M565" t="n">
        <v>40</v>
      </c>
      <c r="N565" t="inlineStr">
        <is>
          <t>DIRECCION GENERAL BANCO BASE</t>
        </is>
      </c>
      <c r="O565" t="n">
        <v>410</v>
      </c>
      <c r="P565" t="inlineStr">
        <is>
          <t>DIRECCION COMERCIAL</t>
        </is>
      </c>
      <c r="Q565" t="n">
        <v>4140</v>
      </c>
      <c r="R565" t="inlineStr">
        <is>
          <t>DIRECCION COMERCIAL FORANEAS</t>
        </is>
      </c>
      <c r="S565" t="n">
        <v>41430</v>
      </c>
      <c r="T565" t="inlineStr">
        <is>
          <t>DIRECCION OFICINA CANCUN</t>
        </is>
      </c>
      <c r="U565" t="n">
        <v>414300</v>
      </c>
      <c r="V565" t="inlineStr">
        <is>
          <t>DIRECCION OFICINA CANCUN</t>
        </is>
      </c>
      <c r="W565" t="n">
        <v>126121</v>
      </c>
      <c r="X565" t="inlineStr">
        <is>
          <t>CANCUN</t>
        </is>
      </c>
      <c r="Y565" t="n">
        <v>3</v>
      </c>
      <c r="Z565" t="inlineStr">
        <is>
          <t>CAMBIARIO</t>
        </is>
      </c>
      <c r="AA565" t="n">
        <v>1</v>
      </c>
      <c r="AB565" t="inlineStr">
        <is>
          <t>NEGOCIO EN MARCHA</t>
        </is>
      </c>
      <c r="AC565" t="n">
        <v>1</v>
      </c>
      <c r="AD565" t="inlineStr">
        <is>
          <t>BANCO</t>
        </is>
      </c>
      <c r="AE565" t="n">
        <v>3</v>
      </c>
      <c r="AF565" t="inlineStr">
        <is>
          <t>FRONT</t>
        </is>
      </c>
      <c r="AG565" t="n">
        <v>126121</v>
      </c>
      <c r="AH565" t="inlineStr">
        <is>
          <t>CANCUN</t>
        </is>
      </c>
      <c r="AI565" t="inlineStr">
        <is>
          <t>CCABRERA@BANCOBASE.COM</t>
        </is>
      </c>
      <c r="AJ565" s="151" t="n">
        <v>45964</v>
      </c>
      <c r="AK565" s="151" t="n"/>
      <c r="AL565" s="151" t="n"/>
    </row>
    <row r="566" hidden="1" s="150">
      <c r="A566" t="inlineStr">
        <is>
          <t>VRIOS</t>
        </is>
      </c>
      <c r="B566" t="n">
        <v>3268</v>
      </c>
      <c r="C566" t="inlineStr">
        <is>
          <t>MA. VICTORIA RIOS LOPEZ</t>
        </is>
      </c>
      <c r="D566" t="n">
        <v>9687</v>
      </c>
      <c r="E566" t="inlineStr">
        <is>
          <t>ASESOR CAMBIARIO</t>
        </is>
      </c>
      <c r="F566" t="inlineStr">
        <is>
          <t>CANCUN</t>
        </is>
      </c>
      <c r="G566" t="n">
        <v>3026</v>
      </c>
      <c r="H566" t="inlineStr">
        <is>
          <t>IVAN RODRIGO JUAREZ TELLO</t>
        </is>
      </c>
      <c r="I566" t="n">
        <v>80</v>
      </c>
      <c r="J566" t="inlineStr">
        <is>
          <t>DIRECTOR DE OFICINA CANCUN</t>
        </is>
      </c>
      <c r="K566" t="n">
        <v>1</v>
      </c>
      <c r="L566" t="inlineStr">
        <is>
          <t>PRESIDENCIA EJECUTIVA DEL CONSEJO</t>
        </is>
      </c>
      <c r="M566" t="n">
        <v>40</v>
      </c>
      <c r="N566" t="inlineStr">
        <is>
          <t>DIRECCION GENERAL BANCO BASE</t>
        </is>
      </c>
      <c r="O566" t="n">
        <v>410</v>
      </c>
      <c r="P566" t="inlineStr">
        <is>
          <t>DIRECCION COMERCIAL</t>
        </is>
      </c>
      <c r="Q566" t="n">
        <v>4140</v>
      </c>
      <c r="R566" t="inlineStr">
        <is>
          <t>DIRECCION COMERCIAL FORANEAS</t>
        </is>
      </c>
      <c r="S566" t="n">
        <v>41430</v>
      </c>
      <c r="T566" t="inlineStr">
        <is>
          <t>DIRECCION OFICINA CANCUN</t>
        </is>
      </c>
      <c r="U566" t="n">
        <v>414300</v>
      </c>
      <c r="V566" t="inlineStr">
        <is>
          <t>DIRECCION OFICINA CANCUN</t>
        </is>
      </c>
      <c r="W566" t="n">
        <v>126121</v>
      </c>
      <c r="X566" t="inlineStr">
        <is>
          <t>CANCUN</t>
        </is>
      </c>
      <c r="Y566" t="n">
        <v>3</v>
      </c>
      <c r="Z566" t="inlineStr">
        <is>
          <t>CAMBIARIO</t>
        </is>
      </c>
      <c r="AA566" t="n">
        <v>1</v>
      </c>
      <c r="AB566" t="inlineStr">
        <is>
          <t>NEGOCIO EN MARCHA</t>
        </is>
      </c>
      <c r="AC566" t="n">
        <v>1</v>
      </c>
      <c r="AD566" t="inlineStr">
        <is>
          <t>BANCO</t>
        </is>
      </c>
      <c r="AE566" t="n">
        <v>3</v>
      </c>
      <c r="AF566" t="inlineStr">
        <is>
          <t>FRONT</t>
        </is>
      </c>
      <c r="AG566" t="n">
        <v>126121</v>
      </c>
      <c r="AH566" t="inlineStr">
        <is>
          <t>CANCUN</t>
        </is>
      </c>
      <c r="AI566" t="inlineStr">
        <is>
          <t>VRIOS@BANCOBASE.COM</t>
        </is>
      </c>
      <c r="AJ566" s="151" t="n">
        <v>45615</v>
      </c>
      <c r="AK566" s="151" t="n"/>
      <c r="AL566" s="151" t="n"/>
    </row>
    <row r="567" hidden="1" s="150">
      <c r="A567" t="inlineStr">
        <is>
          <t>EZAVALA</t>
        </is>
      </c>
      <c r="B567" t="n">
        <v>1050</v>
      </c>
      <c r="C567" t="inlineStr">
        <is>
          <t>ESTHER ZAVALA ORTEGA</t>
        </is>
      </c>
      <c r="D567" t="n">
        <v>9276</v>
      </c>
      <c r="E567" t="inlineStr">
        <is>
          <t>ASESOR CAMBIARIO</t>
        </is>
      </c>
      <c r="F567" t="inlineStr">
        <is>
          <t>CANCUN</t>
        </is>
      </c>
      <c r="G567" t="n">
        <v>3026</v>
      </c>
      <c r="H567" t="inlineStr">
        <is>
          <t>IVAN RODRIGO JUAREZ TELLO</t>
        </is>
      </c>
      <c r="I567" t="n">
        <v>80</v>
      </c>
      <c r="J567" t="inlineStr">
        <is>
          <t>DIRECTOR DE OFICINA CANCUN</t>
        </is>
      </c>
      <c r="K567" t="n">
        <v>1</v>
      </c>
      <c r="L567" t="inlineStr">
        <is>
          <t>PRESIDENCIA EJECUTIVA DEL CONSEJO</t>
        </is>
      </c>
      <c r="M567" t="n">
        <v>40</v>
      </c>
      <c r="N567" t="inlineStr">
        <is>
          <t>DIRECCION GENERAL BANCO BASE</t>
        </is>
      </c>
      <c r="O567" t="n">
        <v>410</v>
      </c>
      <c r="P567" t="inlineStr">
        <is>
          <t>DIRECCION COMERCIAL</t>
        </is>
      </c>
      <c r="Q567" t="n">
        <v>4140</v>
      </c>
      <c r="R567" t="inlineStr">
        <is>
          <t>DIRECCION COMERCIAL FORANEAS</t>
        </is>
      </c>
      <c r="S567" t="n">
        <v>41430</v>
      </c>
      <c r="T567" t="inlineStr">
        <is>
          <t>DIRECCION OFICINA CANCUN</t>
        </is>
      </c>
      <c r="U567" t="n">
        <v>414300</v>
      </c>
      <c r="V567" t="inlineStr">
        <is>
          <t>DIRECCION OFICINA CANCUN</t>
        </is>
      </c>
      <c r="W567" t="n">
        <v>126121</v>
      </c>
      <c r="X567" t="inlineStr">
        <is>
          <t>CANCUN</t>
        </is>
      </c>
      <c r="Y567" t="n">
        <v>3</v>
      </c>
      <c r="Z567" t="inlineStr">
        <is>
          <t>CAMBIARIO</t>
        </is>
      </c>
      <c r="AA567" t="n">
        <v>1</v>
      </c>
      <c r="AB567" t="inlineStr">
        <is>
          <t>NEGOCIO EN MARCHA</t>
        </is>
      </c>
      <c r="AC567" t="n">
        <v>1</v>
      </c>
      <c r="AD567" t="inlineStr">
        <is>
          <t>BANCO</t>
        </is>
      </c>
      <c r="AE567" t="n">
        <v>3</v>
      </c>
      <c r="AF567" t="inlineStr">
        <is>
          <t>FRONT</t>
        </is>
      </c>
      <c r="AG567" t="n">
        <v>126121</v>
      </c>
      <c r="AH567" t="inlineStr">
        <is>
          <t>CANCUN</t>
        </is>
      </c>
      <c r="AI567" t="inlineStr">
        <is>
          <t>EZAVALA@BANCOBASE.COM</t>
        </is>
      </c>
      <c r="AJ567" s="151" t="n">
        <v>41502</v>
      </c>
      <c r="AK567" s="151" t="n"/>
      <c r="AL567" s="151" t="n"/>
    </row>
    <row r="568" hidden="1" s="150">
      <c r="A568" t="inlineStr">
        <is>
          <t>ELECHUGA</t>
        </is>
      </c>
      <c r="B568" t="n">
        <v>3129</v>
      </c>
      <c r="C568" t="inlineStr">
        <is>
          <t>ERICK EMILIANO LECHUGA VALDEZ</t>
        </is>
      </c>
      <c r="D568" t="n">
        <v>9321</v>
      </c>
      <c r="E568" t="inlineStr">
        <is>
          <t>ASESOR CAMBIARIO</t>
        </is>
      </c>
      <c r="F568" t="inlineStr">
        <is>
          <t>CANCUN</t>
        </is>
      </c>
      <c r="G568" t="n">
        <v>3026</v>
      </c>
      <c r="H568" t="inlineStr">
        <is>
          <t>IVAN RODRIGO JUAREZ TELLO</t>
        </is>
      </c>
      <c r="I568" t="n">
        <v>80</v>
      </c>
      <c r="J568" t="inlineStr">
        <is>
          <t>DIRECTOR DE OFICINA CANCUN</t>
        </is>
      </c>
      <c r="K568" t="n">
        <v>1</v>
      </c>
      <c r="L568" t="inlineStr">
        <is>
          <t>PRESIDENCIA EJECUTIVA DEL CONSEJO</t>
        </is>
      </c>
      <c r="M568" t="n">
        <v>40</v>
      </c>
      <c r="N568" t="inlineStr">
        <is>
          <t>DIRECCION GENERAL BANCO BASE</t>
        </is>
      </c>
      <c r="O568" t="n">
        <v>410</v>
      </c>
      <c r="P568" t="inlineStr">
        <is>
          <t>DIRECCION COMERCIAL</t>
        </is>
      </c>
      <c r="Q568" t="n">
        <v>4140</v>
      </c>
      <c r="R568" t="inlineStr">
        <is>
          <t>DIRECCION COMERCIAL FORANEAS</t>
        </is>
      </c>
      <c r="S568" t="n">
        <v>41430</v>
      </c>
      <c r="T568" t="inlineStr">
        <is>
          <t>DIRECCION OFICINA CANCUN</t>
        </is>
      </c>
      <c r="U568" t="n">
        <v>414300</v>
      </c>
      <c r="V568" t="inlineStr">
        <is>
          <t>DIRECCION OFICINA CANCUN</t>
        </is>
      </c>
      <c r="W568" t="n">
        <v>126122</v>
      </c>
      <c r="X568" t="inlineStr">
        <is>
          <t>MERIDA</t>
        </is>
      </c>
      <c r="Y568" t="n">
        <v>3</v>
      </c>
      <c r="Z568" t="inlineStr">
        <is>
          <t>CAMBIARIO</t>
        </is>
      </c>
      <c r="AA568" t="n">
        <v>1</v>
      </c>
      <c r="AB568" t="inlineStr">
        <is>
          <t>NEGOCIO EN MARCHA</t>
        </is>
      </c>
      <c r="AC568" t="n">
        <v>1</v>
      </c>
      <c r="AD568" t="inlineStr">
        <is>
          <t>BANCO</t>
        </is>
      </c>
      <c r="AE568" t="n">
        <v>3</v>
      </c>
      <c r="AF568" t="inlineStr">
        <is>
          <t>FRONT</t>
        </is>
      </c>
      <c r="AG568" t="n">
        <v>126121</v>
      </c>
      <c r="AH568" t="inlineStr">
        <is>
          <t>CANCUN</t>
        </is>
      </c>
      <c r="AI568" t="inlineStr">
        <is>
          <t>ELECHUGA@BANCOBASE.COM</t>
        </is>
      </c>
      <c r="AJ568" s="151" t="n">
        <v>45446</v>
      </c>
      <c r="AK568" s="151" t="n"/>
      <c r="AL568" s="151" t="n"/>
    </row>
    <row r="569" hidden="1" s="150">
      <c r="A569" t="inlineStr">
        <is>
          <t>CCABANAS</t>
        </is>
      </c>
      <c r="B569" t="n">
        <v>2516</v>
      </c>
      <c r="C569" t="inlineStr">
        <is>
          <t>CRISTINA CABAÑAS LEON</t>
        </is>
      </c>
      <c r="D569" t="n">
        <v>9258</v>
      </c>
      <c r="E569" t="inlineStr">
        <is>
          <t>ESPECIALISTA DE FINANCIAMIENTO</t>
        </is>
      </c>
      <c r="F569" t="inlineStr">
        <is>
          <t>TELETRABAJO</t>
        </is>
      </c>
      <c r="G569" t="n">
        <v>3026</v>
      </c>
      <c r="H569" t="inlineStr">
        <is>
          <t>IVAN RODRIGO JUAREZ TELLO</t>
        </is>
      </c>
      <c r="I569" t="n">
        <v>80</v>
      </c>
      <c r="J569" t="inlineStr">
        <is>
          <t>DIRECTOR DE OFICINA CANCUN</t>
        </is>
      </c>
      <c r="K569" t="n">
        <v>1</v>
      </c>
      <c r="L569" t="inlineStr">
        <is>
          <t>PRESIDENCIA EJECUTIVA DEL CONSEJO</t>
        </is>
      </c>
      <c r="M569" t="n">
        <v>40</v>
      </c>
      <c r="N569" t="inlineStr">
        <is>
          <t>DIRECCION GENERAL BANCO BASE</t>
        </is>
      </c>
      <c r="O569" t="n">
        <v>410</v>
      </c>
      <c r="P569" t="inlineStr">
        <is>
          <t>DIRECCION COMERCIAL</t>
        </is>
      </c>
      <c r="Q569" t="n">
        <v>4140</v>
      </c>
      <c r="R569" t="inlineStr">
        <is>
          <t>DIRECCION COMERCIAL FORANEAS</t>
        </is>
      </c>
      <c r="S569" t="n">
        <v>41430</v>
      </c>
      <c r="T569" t="inlineStr">
        <is>
          <t>DIRECCION OFICINA CANCUN</t>
        </is>
      </c>
      <c r="U569" t="n">
        <v>414300</v>
      </c>
      <c r="V569" t="inlineStr">
        <is>
          <t>DIRECCION OFICINA CANCUN</t>
        </is>
      </c>
      <c r="W569" t="n">
        <v>126121</v>
      </c>
      <c r="X569" t="inlineStr">
        <is>
          <t>CANCUN</t>
        </is>
      </c>
      <c r="Y569" t="n">
        <v>13</v>
      </c>
      <c r="Z569" t="inlineStr">
        <is>
          <t>FINANCIAMIENTO</t>
        </is>
      </c>
      <c r="AA569" t="n">
        <v>1</v>
      </c>
      <c r="AB569" t="inlineStr">
        <is>
          <t>NEGOCIO EN MARCHA</t>
        </is>
      </c>
      <c r="AC569" t="n">
        <v>1</v>
      </c>
      <c r="AD569" t="inlineStr">
        <is>
          <t>BANCO</t>
        </is>
      </c>
      <c r="AE569" t="n">
        <v>3</v>
      </c>
      <c r="AF569" t="inlineStr">
        <is>
          <t>FRONT</t>
        </is>
      </c>
      <c r="AG569" t="n">
        <v>126121</v>
      </c>
      <c r="AH569" t="inlineStr">
        <is>
          <t>CANCUN</t>
        </is>
      </c>
      <c r="AI569" t="inlineStr">
        <is>
          <t>CCABANAS@BANCOBASE.COM</t>
        </is>
      </c>
      <c r="AJ569" s="151" t="n">
        <v>44363</v>
      </c>
      <c r="AK569" s="151" t="n"/>
      <c r="AL569" s="151" t="n"/>
    </row>
    <row r="570" hidden="1" s="150">
      <c r="A570" t="inlineStr">
        <is>
          <t>ADMALDONAD</t>
        </is>
      </c>
      <c r="B570" t="n">
        <v>1710</v>
      </c>
      <c r="C570" t="inlineStr">
        <is>
          <t>ADRIANA MALDONADO DAVILA</t>
        </is>
      </c>
      <c r="D570" t="n">
        <v>9986</v>
      </c>
      <c r="E570" t="inlineStr">
        <is>
          <t>ESPECIALISTA DE BANCA TRANSACCIONAL</t>
        </is>
      </c>
      <c r="F570" t="inlineStr">
        <is>
          <t>CANCUN</t>
        </is>
      </c>
      <c r="G570" t="n">
        <v>3026</v>
      </c>
      <c r="H570" t="inlineStr">
        <is>
          <t>IVAN RODRIGO JUAREZ TELLO</t>
        </is>
      </c>
      <c r="I570" t="n">
        <v>80</v>
      </c>
      <c r="J570" t="inlineStr">
        <is>
          <t>DIRECTOR DE OFICINA CANCUN</t>
        </is>
      </c>
      <c r="K570" t="n">
        <v>1</v>
      </c>
      <c r="L570" t="inlineStr">
        <is>
          <t>PRESIDENCIA EJECUTIVA DEL CONSEJO</t>
        </is>
      </c>
      <c r="M570" t="n">
        <v>40</v>
      </c>
      <c r="N570" t="inlineStr">
        <is>
          <t>DIRECCION GENERAL BANCO BASE</t>
        </is>
      </c>
      <c r="O570" t="n">
        <v>410</v>
      </c>
      <c r="P570" t="inlineStr">
        <is>
          <t>DIRECCION COMERCIAL</t>
        </is>
      </c>
      <c r="Q570" t="n">
        <v>4140</v>
      </c>
      <c r="R570" t="inlineStr">
        <is>
          <t>DIRECCION COMERCIAL FORANEAS</t>
        </is>
      </c>
      <c r="S570" t="n">
        <v>41430</v>
      </c>
      <c r="T570" t="inlineStr">
        <is>
          <t>DIRECCION OFICINA CANCUN</t>
        </is>
      </c>
      <c r="U570" t="n">
        <v>414300</v>
      </c>
      <c r="V570" t="inlineStr">
        <is>
          <t>DIRECCION OFICINA CANCUN</t>
        </is>
      </c>
      <c r="W570" t="n">
        <v>126121</v>
      </c>
      <c r="X570" t="inlineStr">
        <is>
          <t>CANCUN</t>
        </is>
      </c>
      <c r="Y570" t="n">
        <v>14</v>
      </c>
      <c r="Z570" t="inlineStr">
        <is>
          <t>TRANSACCIONAL</t>
        </is>
      </c>
      <c r="AA570" t="n">
        <v>1</v>
      </c>
      <c r="AB570" t="inlineStr">
        <is>
          <t>NEGOCIO EN MARCHA</t>
        </is>
      </c>
      <c r="AC570" t="n">
        <v>1</v>
      </c>
      <c r="AD570" t="inlineStr">
        <is>
          <t>BANCO</t>
        </is>
      </c>
      <c r="AE570" t="n">
        <v>3</v>
      </c>
      <c r="AF570" t="inlineStr">
        <is>
          <t>FRONT</t>
        </is>
      </c>
      <c r="AG570" t="n">
        <v>126121</v>
      </c>
      <c r="AH570" t="inlineStr">
        <is>
          <t>CANCUN</t>
        </is>
      </c>
      <c r="AI570" t="inlineStr">
        <is>
          <t>ADMALDONAD@BANCOBASE.COM</t>
        </is>
      </c>
      <c r="AJ570" s="151" t="n">
        <v>42782</v>
      </c>
      <c r="AK570" s="151" t="n"/>
      <c r="AL570" s="151" t="n"/>
    </row>
    <row r="571" hidden="1" s="150">
      <c r="A571" t="inlineStr">
        <is>
          <t>BJUAREZ</t>
        </is>
      </c>
      <c r="B571" t="n">
        <v>955</v>
      </c>
      <c r="C571" t="inlineStr">
        <is>
          <t>BLANCA ANDREA JUAREZ LOPEZ</t>
        </is>
      </c>
      <c r="D571" t="n">
        <v>6054</v>
      </c>
      <c r="E571" t="inlineStr">
        <is>
          <t>ASISTENTE CAMBIARIO</t>
        </is>
      </c>
      <c r="F571" t="inlineStr">
        <is>
          <t>CANCUN</t>
        </is>
      </c>
      <c r="G571" t="n">
        <v>3026</v>
      </c>
      <c r="H571" t="inlineStr">
        <is>
          <t>IVAN RODRIGO JUAREZ TELLO</t>
        </is>
      </c>
      <c r="I571" t="n">
        <v>80</v>
      </c>
      <c r="J571" t="inlineStr">
        <is>
          <t>DIRECTOR DE OFICINA CANCUN</t>
        </is>
      </c>
      <c r="K571" t="n">
        <v>1</v>
      </c>
      <c r="L571" t="inlineStr">
        <is>
          <t>PRESIDENCIA EJECUTIVA DEL CONSEJO</t>
        </is>
      </c>
      <c r="M571" t="n">
        <v>40</v>
      </c>
      <c r="N571" t="inlineStr">
        <is>
          <t>DIRECCION GENERAL BANCO BASE</t>
        </is>
      </c>
      <c r="O571" t="n">
        <v>410</v>
      </c>
      <c r="P571" t="inlineStr">
        <is>
          <t>DIRECCION COMERCIAL</t>
        </is>
      </c>
      <c r="Q571" t="n">
        <v>4140</v>
      </c>
      <c r="R571" t="inlineStr">
        <is>
          <t>DIRECCION COMERCIAL FORANEAS</t>
        </is>
      </c>
      <c r="S571" t="n">
        <v>41430</v>
      </c>
      <c r="T571" t="inlineStr">
        <is>
          <t>DIRECCION OFICINA CANCUN</t>
        </is>
      </c>
      <c r="U571" t="n">
        <v>414300</v>
      </c>
      <c r="V571" t="inlineStr">
        <is>
          <t>DIRECCION OFICINA CANCUN</t>
        </is>
      </c>
      <c r="W571" t="n">
        <v>126121</v>
      </c>
      <c r="X571" t="inlineStr">
        <is>
          <t>CANCUN</t>
        </is>
      </c>
      <c r="Y571" t="n">
        <v>3</v>
      </c>
      <c r="Z571" t="inlineStr">
        <is>
          <t>CAMBIARIO</t>
        </is>
      </c>
      <c r="AA571" t="n">
        <v>1</v>
      </c>
      <c r="AB571" t="inlineStr">
        <is>
          <t>NEGOCIO EN MARCHA</t>
        </is>
      </c>
      <c r="AC571" t="n">
        <v>1</v>
      </c>
      <c r="AD571" t="inlineStr">
        <is>
          <t>BANCO</t>
        </is>
      </c>
      <c r="AE571" t="n">
        <v>2</v>
      </c>
      <c r="AF571" t="inlineStr">
        <is>
          <t>MIDDLE</t>
        </is>
      </c>
      <c r="AG571" t="n">
        <v>126121</v>
      </c>
      <c r="AH571" t="inlineStr">
        <is>
          <t>CANCUN</t>
        </is>
      </c>
      <c r="AI571" t="inlineStr">
        <is>
          <t>BJUAREZ@BANCOBASE.COM</t>
        </is>
      </c>
      <c r="AJ571" s="151" t="n">
        <v>41198</v>
      </c>
      <c r="AK571" s="151" t="n"/>
      <c r="AL571" s="151" t="n"/>
    </row>
    <row r="572" hidden="1" s="150">
      <c r="A572" t="inlineStr">
        <is>
          <t>YGARCIA</t>
        </is>
      </c>
      <c r="B572" t="n">
        <v>3174</v>
      </c>
      <c r="C572" t="inlineStr">
        <is>
          <t>KARLA YADIRA GARCIA CORONA</t>
        </is>
      </c>
      <c r="D572" t="n">
        <v>8404</v>
      </c>
      <c r="E572" t="inlineStr">
        <is>
          <t>ASISTENTE CAMBIARIO</t>
        </is>
      </c>
      <c r="F572" t="inlineStr">
        <is>
          <t>CANCUN</t>
        </is>
      </c>
      <c r="G572" t="n">
        <v>3026</v>
      </c>
      <c r="H572" t="inlineStr">
        <is>
          <t>IVAN RODRIGO JUAREZ TELLO</t>
        </is>
      </c>
      <c r="I572" t="n">
        <v>80</v>
      </c>
      <c r="J572" t="inlineStr">
        <is>
          <t>DIRECTOR DE OFICINA CANCUN</t>
        </is>
      </c>
      <c r="K572" t="n">
        <v>1</v>
      </c>
      <c r="L572" t="inlineStr">
        <is>
          <t>PRESIDENCIA EJECUTIVA DEL CONSEJO</t>
        </is>
      </c>
      <c r="M572" t="n">
        <v>40</v>
      </c>
      <c r="N572" t="inlineStr">
        <is>
          <t>DIRECCION GENERAL BANCO BASE</t>
        </is>
      </c>
      <c r="O572" t="n">
        <v>410</v>
      </c>
      <c r="P572" t="inlineStr">
        <is>
          <t>DIRECCION COMERCIAL</t>
        </is>
      </c>
      <c r="Q572" t="n">
        <v>4140</v>
      </c>
      <c r="R572" t="inlineStr">
        <is>
          <t>DIRECCION COMERCIAL FORANEAS</t>
        </is>
      </c>
      <c r="S572" t="n">
        <v>41430</v>
      </c>
      <c r="T572" t="inlineStr">
        <is>
          <t>DIRECCION OFICINA CANCUN</t>
        </is>
      </c>
      <c r="U572" t="n">
        <v>414300</v>
      </c>
      <c r="V572" t="inlineStr">
        <is>
          <t>DIRECCION OFICINA CANCUN</t>
        </is>
      </c>
      <c r="W572" t="n">
        <v>126121</v>
      </c>
      <c r="X572" t="inlineStr">
        <is>
          <t>CANCUN</t>
        </is>
      </c>
      <c r="Y572" t="n">
        <v>3</v>
      </c>
      <c r="Z572" t="inlineStr">
        <is>
          <t>CAMBIARIO</t>
        </is>
      </c>
      <c r="AA572" t="n">
        <v>1</v>
      </c>
      <c r="AB572" t="inlineStr">
        <is>
          <t>NEGOCIO EN MARCHA</t>
        </is>
      </c>
      <c r="AC572" t="n">
        <v>1</v>
      </c>
      <c r="AD572" t="inlineStr">
        <is>
          <t>BANCO</t>
        </is>
      </c>
      <c r="AE572" t="n">
        <v>2</v>
      </c>
      <c r="AF572" t="inlineStr">
        <is>
          <t>MIDDLE</t>
        </is>
      </c>
      <c r="AG572" t="n">
        <v>126121</v>
      </c>
      <c r="AH572" t="inlineStr">
        <is>
          <t>CANCUN</t>
        </is>
      </c>
      <c r="AI572" t="inlineStr">
        <is>
          <t>YGARCIA@BANCOBASE.COM</t>
        </is>
      </c>
      <c r="AJ572" s="151" t="n">
        <v>45505</v>
      </c>
      <c r="AK572" s="151" t="n"/>
      <c r="AL572" s="151" t="n"/>
    </row>
    <row r="573" hidden="1" s="150">
      <c r="A573" t="inlineStr">
        <is>
          <t>ZGARCIAB</t>
        </is>
      </c>
      <c r="B573" t="n">
        <v>3901</v>
      </c>
      <c r="C573" t="inlineStr">
        <is>
          <t>ZAJHIA DEL MAR GARCIA BURGOS</t>
        </is>
      </c>
      <c r="D573" t="n">
        <v>5052</v>
      </c>
      <c r="E573" t="inlineStr">
        <is>
          <t>ASISTENTE CAMBIARIO</t>
        </is>
      </c>
      <c r="F573" t="inlineStr">
        <is>
          <t>CANCUN</t>
        </is>
      </c>
      <c r="G573" t="n">
        <v>3026</v>
      </c>
      <c r="H573" t="inlineStr">
        <is>
          <t>IVAN RODRIGO JUAREZ TELLO</t>
        </is>
      </c>
      <c r="I573" t="n">
        <v>80</v>
      </c>
      <c r="J573" t="inlineStr">
        <is>
          <t>DIRECTOR DE OFICINA CANCUN</t>
        </is>
      </c>
      <c r="K573" t="n">
        <v>1</v>
      </c>
      <c r="L573" t="inlineStr">
        <is>
          <t>PRESIDENCIA EJECUTIVA DEL CONSEJO</t>
        </is>
      </c>
      <c r="M573" t="n">
        <v>40</v>
      </c>
      <c r="N573" t="inlineStr">
        <is>
          <t>DIRECCION GENERAL BANCO BASE</t>
        </is>
      </c>
      <c r="O573" t="n">
        <v>410</v>
      </c>
      <c r="P573" t="inlineStr">
        <is>
          <t>DIRECCION COMERCIAL</t>
        </is>
      </c>
      <c r="Q573" t="n">
        <v>4140</v>
      </c>
      <c r="R573" t="inlineStr">
        <is>
          <t>DIRECCION COMERCIAL FORANEAS</t>
        </is>
      </c>
      <c r="S573" t="n">
        <v>41430</v>
      </c>
      <c r="T573" t="inlineStr">
        <is>
          <t>DIRECCION OFICINA CANCUN</t>
        </is>
      </c>
      <c r="U573" t="n">
        <v>414300</v>
      </c>
      <c r="V573" t="inlineStr">
        <is>
          <t>DIRECCION OFICINA CANCUN</t>
        </is>
      </c>
      <c r="W573" t="n">
        <v>126122</v>
      </c>
      <c r="X573" t="inlineStr">
        <is>
          <t>MERIDA</t>
        </is>
      </c>
      <c r="Y573" t="n">
        <v>3</v>
      </c>
      <c r="Z573" t="inlineStr">
        <is>
          <t>CAMBIARIO</t>
        </is>
      </c>
      <c r="AA573" t="n">
        <v>1</v>
      </c>
      <c r="AB573" t="inlineStr">
        <is>
          <t>NEGOCIO EN MARCHA</t>
        </is>
      </c>
      <c r="AC573" t="n">
        <v>1</v>
      </c>
      <c r="AD573" t="inlineStr">
        <is>
          <t>BANCO</t>
        </is>
      </c>
      <c r="AE573" t="n">
        <v>2</v>
      </c>
      <c r="AF573" t="inlineStr">
        <is>
          <t>MIDDLE</t>
        </is>
      </c>
      <c r="AG573" t="n">
        <v>126121</v>
      </c>
      <c r="AH573" t="inlineStr">
        <is>
          <t>CANCUN</t>
        </is>
      </c>
      <c r="AI573" t="inlineStr">
        <is>
          <t>ZGARCIAB@BANCOBASE.COM</t>
        </is>
      </c>
      <c r="AJ573" s="151" t="n">
        <v>46189</v>
      </c>
      <c r="AK573" s="151" t="n"/>
      <c r="AL573" s="151" t="n"/>
    </row>
    <row r="574" hidden="1" s="150">
      <c r="A574" t="inlineStr">
        <is>
          <t>NPARTIDA</t>
        </is>
      </c>
      <c r="B574" t="n">
        <v>3558</v>
      </c>
      <c r="C574" t="inlineStr">
        <is>
          <t>NADIA FERNANDA PARTIDA GASCA</t>
        </is>
      </c>
      <c r="D574" t="n">
        <v>8129</v>
      </c>
      <c r="E574" t="inlineStr">
        <is>
          <t>SUBDIRECTOR COMERCIAL</t>
        </is>
      </c>
      <c r="F574" t="inlineStr">
        <is>
          <t>TIJUANA</t>
        </is>
      </c>
      <c r="G574" t="n">
        <v>319</v>
      </c>
      <c r="H574" t="inlineStr">
        <is>
          <t>CECILIA DAVALOS ZAMBRANO</t>
        </is>
      </c>
      <c r="I574" t="n">
        <v>92</v>
      </c>
      <c r="J574" t="inlineStr">
        <is>
          <t>DIRECTOR COMERCIAL FORANEAS</t>
        </is>
      </c>
      <c r="K574" t="n">
        <v>1</v>
      </c>
      <c r="L574" t="inlineStr">
        <is>
          <t>PRESIDENCIA EJECUTIVA DEL CONSEJO</t>
        </is>
      </c>
      <c r="M574" t="n">
        <v>40</v>
      </c>
      <c r="N574" t="inlineStr">
        <is>
          <t>DIRECCION GENERAL BANCO BASE</t>
        </is>
      </c>
      <c r="O574" t="n">
        <v>410</v>
      </c>
      <c r="P574" t="inlineStr">
        <is>
          <t>DIRECCION COMERCIAL</t>
        </is>
      </c>
      <c r="Q574" t="n">
        <v>4140</v>
      </c>
      <c r="R574" t="inlineStr">
        <is>
          <t>DIRECCION COMERCIAL FORANEAS</t>
        </is>
      </c>
      <c r="S574" t="n">
        <v>41410</v>
      </c>
      <c r="T574" t="inlineStr">
        <is>
          <t>DIRECCION OFICINA TIJUANA</t>
        </is>
      </c>
      <c r="U574" t="n">
        <v>414100</v>
      </c>
      <c r="V574" t="inlineStr">
        <is>
          <t>SUBDIRECCION COMERCIAL TIJUANA 1</t>
        </is>
      </c>
      <c r="W574" t="n">
        <v>126114</v>
      </c>
      <c r="X574" t="inlineStr">
        <is>
          <t>TIJUANA</t>
        </is>
      </c>
      <c r="Y574" t="n">
        <v>3</v>
      </c>
      <c r="Z574" t="inlineStr">
        <is>
          <t>CAMBIARIO</t>
        </is>
      </c>
      <c r="AA574" t="n">
        <v>1</v>
      </c>
      <c r="AB574" t="inlineStr">
        <is>
          <t>NEGOCIO EN MARCHA</t>
        </is>
      </c>
      <c r="AC574" t="n">
        <v>1</v>
      </c>
      <c r="AD574" t="inlineStr">
        <is>
          <t>BANCO</t>
        </is>
      </c>
      <c r="AE574" t="n">
        <v>3</v>
      </c>
      <c r="AF574" t="inlineStr">
        <is>
          <t>FRONT</t>
        </is>
      </c>
      <c r="AG574" t="n">
        <v>126114</v>
      </c>
      <c r="AH574" t="inlineStr">
        <is>
          <t>TIJUANA</t>
        </is>
      </c>
      <c r="AI574" t="inlineStr">
        <is>
          <t>NPARTIDA@BANCOBASE.COM</t>
        </is>
      </c>
      <c r="AJ574" s="151" t="n">
        <v>45908</v>
      </c>
      <c r="AK574" s="151" t="n"/>
      <c r="AL574" s="151" t="n"/>
    </row>
    <row r="575" hidden="1" s="150">
      <c r="A575" t="inlineStr">
        <is>
          <t>ACONTRERAL</t>
        </is>
      </c>
      <c r="B575" t="n">
        <v>3227</v>
      </c>
      <c r="C575" t="inlineStr">
        <is>
          <t>ALEJANDRA CONTRERAS LOPEZ</t>
        </is>
      </c>
      <c r="D575" t="n">
        <v>8215</v>
      </c>
      <c r="E575" t="inlineStr">
        <is>
          <t>ASESOR CAMBIARIO</t>
        </is>
      </c>
      <c r="F575" t="inlineStr">
        <is>
          <t>TIJUANA</t>
        </is>
      </c>
      <c r="G575" t="n">
        <v>3558</v>
      </c>
      <c r="H575" t="inlineStr">
        <is>
          <t>NADIA FERNANDA PARTIDA GASCA</t>
        </is>
      </c>
      <c r="I575" t="n">
        <v>8129</v>
      </c>
      <c r="J575" t="inlineStr">
        <is>
          <t>SUBDIRECTOR COMERCIAL</t>
        </is>
      </c>
      <c r="K575" t="n">
        <v>1</v>
      </c>
      <c r="L575" t="inlineStr">
        <is>
          <t>PRESIDENCIA EJECUTIVA DEL CONSEJO</t>
        </is>
      </c>
      <c r="M575" t="n">
        <v>40</v>
      </c>
      <c r="N575" t="inlineStr">
        <is>
          <t>DIRECCION GENERAL BANCO BASE</t>
        </is>
      </c>
      <c r="O575" t="n">
        <v>410</v>
      </c>
      <c r="P575" t="inlineStr">
        <is>
          <t>DIRECCION COMERCIAL</t>
        </is>
      </c>
      <c r="Q575" t="n">
        <v>4140</v>
      </c>
      <c r="R575" t="inlineStr">
        <is>
          <t>DIRECCION COMERCIAL FORANEAS</t>
        </is>
      </c>
      <c r="S575" t="n">
        <v>41410</v>
      </c>
      <c r="T575" t="inlineStr">
        <is>
          <t>DIRECCION OFICINA TIJUANA</t>
        </is>
      </c>
      <c r="U575" t="n">
        <v>414100</v>
      </c>
      <c r="V575" t="inlineStr">
        <is>
          <t>SUBDIRECCION COMERCIAL TIJUANA 1</t>
        </is>
      </c>
      <c r="W575" t="n">
        <v>126114</v>
      </c>
      <c r="X575" t="inlineStr">
        <is>
          <t>TIJUANA</t>
        </is>
      </c>
      <c r="Y575" t="n">
        <v>3</v>
      </c>
      <c r="Z575" t="inlineStr">
        <is>
          <t>CAMBIARIO</t>
        </is>
      </c>
      <c r="AA575" t="n">
        <v>1</v>
      </c>
      <c r="AB575" t="inlineStr">
        <is>
          <t>NEGOCIO EN MARCHA</t>
        </is>
      </c>
      <c r="AC575" t="n">
        <v>1</v>
      </c>
      <c r="AD575" t="inlineStr">
        <is>
          <t>BANCO</t>
        </is>
      </c>
      <c r="AE575" t="n">
        <v>3</v>
      </c>
      <c r="AF575" t="inlineStr">
        <is>
          <t>FRONT</t>
        </is>
      </c>
      <c r="AG575" t="n">
        <v>126114</v>
      </c>
      <c r="AH575" t="inlineStr">
        <is>
          <t>TIJUANA</t>
        </is>
      </c>
      <c r="AI575" t="inlineStr">
        <is>
          <t>ACONTRERAL@BANCOBASE.COM</t>
        </is>
      </c>
      <c r="AJ575" s="151" t="n">
        <v>45572</v>
      </c>
      <c r="AK575" s="151" t="n"/>
      <c r="AL575" s="151" t="n"/>
    </row>
    <row r="576" hidden="1" s="150">
      <c r="A576" t="inlineStr">
        <is>
          <t>DDIAZ</t>
        </is>
      </c>
      <c r="B576" t="n">
        <v>3264</v>
      </c>
      <c r="C576" t="inlineStr">
        <is>
          <t>DANIEL FRANCISCO DIAZ SARACHO</t>
        </is>
      </c>
      <c r="D576" t="n">
        <v>9613</v>
      </c>
      <c r="E576" t="inlineStr">
        <is>
          <t>ASESOR CAMBIARIO</t>
        </is>
      </c>
      <c r="F576" t="inlineStr">
        <is>
          <t>TELETRABAJO</t>
        </is>
      </c>
      <c r="G576" t="n">
        <v>3558</v>
      </c>
      <c r="H576" t="inlineStr">
        <is>
          <t>NADIA FERNANDA PARTIDA GASCA</t>
        </is>
      </c>
      <c r="I576" t="n">
        <v>8129</v>
      </c>
      <c r="J576" t="inlineStr">
        <is>
          <t>SUBDIRECTOR COMERCIAL</t>
        </is>
      </c>
      <c r="K576" t="n">
        <v>1</v>
      </c>
      <c r="L576" t="inlineStr">
        <is>
          <t>PRESIDENCIA EJECUTIVA DEL CONSEJO</t>
        </is>
      </c>
      <c r="M576" t="n">
        <v>40</v>
      </c>
      <c r="N576" t="inlineStr">
        <is>
          <t>DIRECCION GENERAL BANCO BASE</t>
        </is>
      </c>
      <c r="O576" t="n">
        <v>410</v>
      </c>
      <c r="P576" t="inlineStr">
        <is>
          <t>DIRECCION COMERCIAL</t>
        </is>
      </c>
      <c r="Q576" t="n">
        <v>4140</v>
      </c>
      <c r="R576" t="inlineStr">
        <is>
          <t>DIRECCION COMERCIAL FORANEAS</t>
        </is>
      </c>
      <c r="S576" t="n">
        <v>41410</v>
      </c>
      <c r="T576" t="inlineStr">
        <is>
          <t>DIRECCION OFICINA TIJUANA</t>
        </is>
      </c>
      <c r="U576" t="n">
        <v>414100</v>
      </c>
      <c r="V576" t="inlineStr">
        <is>
          <t>SUBDIRECCION COMERCIAL TIJUANA 1</t>
        </is>
      </c>
      <c r="W576" t="n">
        <v>126114</v>
      </c>
      <c r="X576" t="inlineStr">
        <is>
          <t>TIJUANA</t>
        </is>
      </c>
      <c r="Y576" t="n">
        <v>3</v>
      </c>
      <c r="Z576" t="inlineStr">
        <is>
          <t>CAMBIARIO</t>
        </is>
      </c>
      <c r="AA576" t="n">
        <v>1</v>
      </c>
      <c r="AB576" t="inlineStr">
        <is>
          <t>NEGOCIO EN MARCHA</t>
        </is>
      </c>
      <c r="AC576" t="n">
        <v>1</v>
      </c>
      <c r="AD576" t="inlineStr">
        <is>
          <t>BANCO</t>
        </is>
      </c>
      <c r="AE576" t="n">
        <v>3</v>
      </c>
      <c r="AF576" t="inlineStr">
        <is>
          <t>FRONT</t>
        </is>
      </c>
      <c r="AG576" t="n">
        <v>126114</v>
      </c>
      <c r="AH576" t="inlineStr">
        <is>
          <t>TIJUANA</t>
        </is>
      </c>
      <c r="AI576" t="inlineStr">
        <is>
          <t>DDIAZ@BANCOBASE.COM</t>
        </is>
      </c>
      <c r="AJ576" s="151" t="n">
        <v>45603</v>
      </c>
      <c r="AK576" s="151" t="n"/>
      <c r="AL576" s="151" t="n"/>
    </row>
    <row r="577" hidden="1" s="150">
      <c r="A577" t="inlineStr">
        <is>
          <t>EBARRIOS</t>
        </is>
      </c>
      <c r="B577" t="n">
        <v>3539</v>
      </c>
      <c r="C577" t="inlineStr">
        <is>
          <t>ELIANA MELISSA BARRIOS MARIA</t>
        </is>
      </c>
      <c r="D577" t="n">
        <v>8571</v>
      </c>
      <c r="E577" t="inlineStr">
        <is>
          <t>ASESOR CAMBIARIO</t>
        </is>
      </c>
      <c r="F577" t="inlineStr">
        <is>
          <t>TIJUANA</t>
        </is>
      </c>
      <c r="G577" t="n">
        <v>3558</v>
      </c>
      <c r="H577" t="inlineStr">
        <is>
          <t>NADIA FERNANDA PARTIDA GASCA</t>
        </is>
      </c>
      <c r="I577" t="n">
        <v>8129</v>
      </c>
      <c r="J577" t="inlineStr">
        <is>
          <t>SUBDIRECTOR COMERCIAL</t>
        </is>
      </c>
      <c r="K577" t="n">
        <v>1</v>
      </c>
      <c r="L577" t="inlineStr">
        <is>
          <t>PRESIDENCIA EJECUTIVA DEL CONSEJO</t>
        </is>
      </c>
      <c r="M577" t="n">
        <v>40</v>
      </c>
      <c r="N577" t="inlineStr">
        <is>
          <t>DIRECCION GENERAL BANCO BASE</t>
        </is>
      </c>
      <c r="O577" t="n">
        <v>410</v>
      </c>
      <c r="P577" t="inlineStr">
        <is>
          <t>DIRECCION COMERCIAL</t>
        </is>
      </c>
      <c r="Q577" t="n">
        <v>4140</v>
      </c>
      <c r="R577" t="inlineStr">
        <is>
          <t>DIRECCION COMERCIAL FORANEAS</t>
        </is>
      </c>
      <c r="S577" t="n">
        <v>41410</v>
      </c>
      <c r="T577" t="inlineStr">
        <is>
          <t>DIRECCION OFICINA TIJUANA</t>
        </is>
      </c>
      <c r="U577" t="n">
        <v>414100</v>
      </c>
      <c r="V577" t="inlineStr">
        <is>
          <t>SUBDIRECCION COMERCIAL TIJUANA 1</t>
        </is>
      </c>
      <c r="W577" t="n">
        <v>126114</v>
      </c>
      <c r="X577" t="inlineStr">
        <is>
          <t>TIJUANA</t>
        </is>
      </c>
      <c r="Y577" t="n">
        <v>3</v>
      </c>
      <c r="Z577" t="inlineStr">
        <is>
          <t>CAMBIARIO</t>
        </is>
      </c>
      <c r="AA577" t="n">
        <v>1</v>
      </c>
      <c r="AB577" t="inlineStr">
        <is>
          <t>NEGOCIO EN MARCHA</t>
        </is>
      </c>
      <c r="AC577" t="n">
        <v>1</v>
      </c>
      <c r="AD577" t="inlineStr">
        <is>
          <t>BANCO</t>
        </is>
      </c>
      <c r="AE577" t="n">
        <v>3</v>
      </c>
      <c r="AF577" t="inlineStr">
        <is>
          <t>FRONT</t>
        </is>
      </c>
      <c r="AG577" t="n">
        <v>126114</v>
      </c>
      <c r="AH577" t="inlineStr">
        <is>
          <t>TIJUANA</t>
        </is>
      </c>
      <c r="AI577" t="inlineStr">
        <is>
          <t>EBARRIOS@BANCOBASE.COM</t>
        </is>
      </c>
      <c r="AJ577" s="151" t="n">
        <v>45894</v>
      </c>
      <c r="AK577" s="151" t="n"/>
      <c r="AL577" s="151" t="n"/>
    </row>
    <row r="578" hidden="1" s="150">
      <c r="A578" t="inlineStr">
        <is>
          <t>GHERNANDEM</t>
        </is>
      </c>
      <c r="B578" t="n">
        <v>3218</v>
      </c>
      <c r="C578" t="inlineStr">
        <is>
          <t>GERMAN ADRIAN HERNANDEZ MORA</t>
        </is>
      </c>
      <c r="D578" t="n">
        <v>6036</v>
      </c>
      <c r="E578" t="inlineStr">
        <is>
          <t>ASESOR CAMBIARIO</t>
        </is>
      </c>
      <c r="F578" t="inlineStr">
        <is>
          <t>TIJUANA</t>
        </is>
      </c>
      <c r="G578" t="n">
        <v>3558</v>
      </c>
      <c r="H578" t="inlineStr">
        <is>
          <t>NADIA FERNANDA PARTIDA GASCA</t>
        </is>
      </c>
      <c r="I578" t="n">
        <v>8129</v>
      </c>
      <c r="J578" t="inlineStr">
        <is>
          <t>SUBDIRECTOR COMERCIAL</t>
        </is>
      </c>
      <c r="K578" t="n">
        <v>1</v>
      </c>
      <c r="L578" t="inlineStr">
        <is>
          <t>PRESIDENCIA EJECUTIVA DEL CONSEJO</t>
        </is>
      </c>
      <c r="M578" t="n">
        <v>40</v>
      </c>
      <c r="N578" t="inlineStr">
        <is>
          <t>DIRECCION GENERAL BANCO BASE</t>
        </is>
      </c>
      <c r="O578" t="n">
        <v>410</v>
      </c>
      <c r="P578" t="inlineStr">
        <is>
          <t>DIRECCION COMERCIAL</t>
        </is>
      </c>
      <c r="Q578" t="n">
        <v>4140</v>
      </c>
      <c r="R578" t="inlineStr">
        <is>
          <t>DIRECCION COMERCIAL FORANEAS</t>
        </is>
      </c>
      <c r="S578" t="n">
        <v>41410</v>
      </c>
      <c r="T578" t="inlineStr">
        <is>
          <t>DIRECCION OFICINA TIJUANA</t>
        </is>
      </c>
      <c r="U578" t="n">
        <v>414100</v>
      </c>
      <c r="V578" t="inlineStr">
        <is>
          <t>SUBDIRECCION COMERCIAL TIJUANA 1</t>
        </is>
      </c>
      <c r="W578" t="n">
        <v>126114</v>
      </c>
      <c r="X578" t="inlineStr">
        <is>
          <t>TIJUANA</t>
        </is>
      </c>
      <c r="Y578" t="n">
        <v>3</v>
      </c>
      <c r="Z578" t="inlineStr">
        <is>
          <t>CAMBIARIO</t>
        </is>
      </c>
      <c r="AA578" t="n">
        <v>1</v>
      </c>
      <c r="AB578" t="inlineStr">
        <is>
          <t>NEGOCIO EN MARCHA</t>
        </is>
      </c>
      <c r="AC578" t="n">
        <v>1</v>
      </c>
      <c r="AD578" t="inlineStr">
        <is>
          <t>BANCO</t>
        </is>
      </c>
      <c r="AE578" t="n">
        <v>3</v>
      </c>
      <c r="AF578" t="inlineStr">
        <is>
          <t>FRONT</t>
        </is>
      </c>
      <c r="AG578" t="n">
        <v>126114</v>
      </c>
      <c r="AH578" t="inlineStr">
        <is>
          <t>TIJUANA</t>
        </is>
      </c>
      <c r="AI578" t="inlineStr">
        <is>
          <t>GHERNANDEM@BANCOBASE.COM</t>
        </is>
      </c>
      <c r="AJ578" s="151" t="n">
        <v>45567</v>
      </c>
      <c r="AK578" s="151" t="n"/>
      <c r="AL578" s="151" t="n"/>
    </row>
    <row r="579" hidden="1" s="150">
      <c r="A579" t="inlineStr">
        <is>
          <t>JZAMARRON</t>
        </is>
      </c>
      <c r="B579" t="n">
        <v>495</v>
      </c>
      <c r="C579" t="inlineStr">
        <is>
          <t>JOSE ANGEL ZAMARRON MARROQUIN</t>
        </is>
      </c>
      <c r="D579" t="n">
        <v>8216</v>
      </c>
      <c r="E579" t="inlineStr">
        <is>
          <t>ASESOR CAMBIARIO</t>
        </is>
      </c>
      <c r="F579" t="inlineStr">
        <is>
          <t>TIJUANA</t>
        </is>
      </c>
      <c r="G579" t="n">
        <v>3558</v>
      </c>
      <c r="H579" t="inlineStr">
        <is>
          <t>NADIA FERNANDA PARTIDA GASCA</t>
        </is>
      </c>
      <c r="I579" t="n">
        <v>8129</v>
      </c>
      <c r="J579" t="inlineStr">
        <is>
          <t>SUBDIRECTOR COMERCIAL</t>
        </is>
      </c>
      <c r="K579" t="n">
        <v>1</v>
      </c>
      <c r="L579" t="inlineStr">
        <is>
          <t>PRESIDENCIA EJECUTIVA DEL CONSEJO</t>
        </is>
      </c>
      <c r="M579" t="n">
        <v>40</v>
      </c>
      <c r="N579" t="inlineStr">
        <is>
          <t>DIRECCION GENERAL BANCO BASE</t>
        </is>
      </c>
      <c r="O579" t="n">
        <v>410</v>
      </c>
      <c r="P579" t="inlineStr">
        <is>
          <t>DIRECCION COMERCIAL</t>
        </is>
      </c>
      <c r="Q579" t="n">
        <v>4140</v>
      </c>
      <c r="R579" t="inlineStr">
        <is>
          <t>DIRECCION COMERCIAL FORANEAS</t>
        </is>
      </c>
      <c r="S579" t="n">
        <v>41410</v>
      </c>
      <c r="T579" t="inlineStr">
        <is>
          <t>DIRECCION OFICINA TIJUANA</t>
        </is>
      </c>
      <c r="U579" t="n">
        <v>414100</v>
      </c>
      <c r="V579" t="inlineStr">
        <is>
          <t>SUBDIRECCION COMERCIAL TIJUANA 1</t>
        </is>
      </c>
      <c r="W579" t="n">
        <v>126114</v>
      </c>
      <c r="X579" t="inlineStr">
        <is>
          <t>TIJUANA</t>
        </is>
      </c>
      <c r="Y579" t="n">
        <v>3</v>
      </c>
      <c r="Z579" t="inlineStr">
        <is>
          <t>CAMBIARIO</t>
        </is>
      </c>
      <c r="AA579" t="n">
        <v>1</v>
      </c>
      <c r="AB579" t="inlineStr">
        <is>
          <t>NEGOCIO EN MARCHA</t>
        </is>
      </c>
      <c r="AC579" t="n">
        <v>1</v>
      </c>
      <c r="AD579" t="inlineStr">
        <is>
          <t>BANCO</t>
        </is>
      </c>
      <c r="AE579" t="n">
        <v>3</v>
      </c>
      <c r="AF579" t="inlineStr">
        <is>
          <t>FRONT</t>
        </is>
      </c>
      <c r="AG579" t="n">
        <v>126114</v>
      </c>
      <c r="AH579" t="inlineStr">
        <is>
          <t>TIJUANA</t>
        </is>
      </c>
      <c r="AI579" t="inlineStr">
        <is>
          <t>JZAMARRON@BANCOBASE.COM</t>
        </is>
      </c>
      <c r="AJ579" s="151" t="n">
        <v>39646</v>
      </c>
      <c r="AK579" s="151" t="n"/>
      <c r="AL579" s="151" t="n"/>
    </row>
    <row r="580" hidden="1" s="150">
      <c r="A580" t="inlineStr">
        <is>
          <t>KESPINOZAB</t>
        </is>
      </c>
      <c r="B580" t="n">
        <v>3673</v>
      </c>
      <c r="C580" t="inlineStr">
        <is>
          <t>KARINA ESPINOZA BUELNA</t>
        </is>
      </c>
      <c r="D580" t="n">
        <v>8261</v>
      </c>
      <c r="E580" t="inlineStr">
        <is>
          <t>ASESOR CAMBIARIO</t>
        </is>
      </c>
      <c r="F580" t="inlineStr">
        <is>
          <t>TIJUANA</t>
        </is>
      </c>
      <c r="G580" t="n">
        <v>3558</v>
      </c>
      <c r="H580" t="inlineStr">
        <is>
          <t>NADIA FERNANDA PARTIDA GASCA</t>
        </is>
      </c>
      <c r="I580" t="n">
        <v>8129</v>
      </c>
      <c r="J580" t="inlineStr">
        <is>
          <t>SUBDIRECTOR COMERCIAL</t>
        </is>
      </c>
      <c r="K580" t="n">
        <v>1</v>
      </c>
      <c r="L580" t="inlineStr">
        <is>
          <t>PRESIDENCIA EJECUTIVA DEL CONSEJO</t>
        </is>
      </c>
      <c r="M580" t="n">
        <v>40</v>
      </c>
      <c r="N580" t="inlineStr">
        <is>
          <t>DIRECCION GENERAL BANCO BASE</t>
        </is>
      </c>
      <c r="O580" t="n">
        <v>410</v>
      </c>
      <c r="P580" t="inlineStr">
        <is>
          <t>DIRECCION COMERCIAL</t>
        </is>
      </c>
      <c r="Q580" t="n">
        <v>4140</v>
      </c>
      <c r="R580" t="inlineStr">
        <is>
          <t>DIRECCION COMERCIAL FORANEAS</t>
        </is>
      </c>
      <c r="S580" t="n">
        <v>41410</v>
      </c>
      <c r="T580" t="inlineStr">
        <is>
          <t>DIRECCION OFICINA TIJUANA</t>
        </is>
      </c>
      <c r="U580" t="n">
        <v>414100</v>
      </c>
      <c r="V580" t="inlineStr">
        <is>
          <t>SUBDIRECCION COMERCIAL TIJUANA 1</t>
        </is>
      </c>
      <c r="W580" t="n">
        <v>126114</v>
      </c>
      <c r="X580" t="inlineStr">
        <is>
          <t>TIJUANA</t>
        </is>
      </c>
      <c r="Y580" t="n">
        <v>3</v>
      </c>
      <c r="Z580" t="inlineStr">
        <is>
          <t>CAMBIARIO</t>
        </is>
      </c>
      <c r="AA580" t="n">
        <v>1</v>
      </c>
      <c r="AB580" t="inlineStr">
        <is>
          <t>NEGOCIO EN MARCHA</t>
        </is>
      </c>
      <c r="AC580" t="n">
        <v>1</v>
      </c>
      <c r="AD580" t="inlineStr">
        <is>
          <t>BANCO</t>
        </is>
      </c>
      <c r="AE580" t="n">
        <v>3</v>
      </c>
      <c r="AF580" t="inlineStr">
        <is>
          <t>FRONT</t>
        </is>
      </c>
      <c r="AG580" t="n">
        <v>126114</v>
      </c>
      <c r="AH580" t="inlineStr">
        <is>
          <t>TIJUANA</t>
        </is>
      </c>
      <c r="AI580" t="inlineStr">
        <is>
          <t>KESPINOZAB@BANCOBASE.COM</t>
        </is>
      </c>
      <c r="AJ580" s="151" t="n">
        <v>45971</v>
      </c>
      <c r="AK580" s="151" t="n"/>
      <c r="AL580" s="151" t="n"/>
    </row>
    <row r="581" hidden="1" s="150">
      <c r="A581" t="inlineStr">
        <is>
          <t>MCORDOVAH</t>
        </is>
      </c>
      <c r="B581" t="n">
        <v>3895</v>
      </c>
      <c r="C581" t="inlineStr">
        <is>
          <t>MAYRA PATRICIA CORDOVA HERNANDEZ</t>
        </is>
      </c>
      <c r="D581" t="n">
        <v>8218</v>
      </c>
      <c r="E581" t="inlineStr">
        <is>
          <t>ASESOR CAMBIARIO</t>
        </is>
      </c>
      <c r="F581" t="inlineStr">
        <is>
          <t>TIJUANA</t>
        </is>
      </c>
      <c r="G581" t="n">
        <v>3558</v>
      </c>
      <c r="H581" t="inlineStr">
        <is>
          <t>NADIA FERNANDA PARTIDA GASCA</t>
        </is>
      </c>
      <c r="I581" t="n">
        <v>8129</v>
      </c>
      <c r="J581" t="inlineStr">
        <is>
          <t>SUBDIRECTOR COMERCIAL</t>
        </is>
      </c>
      <c r="K581" t="n">
        <v>1</v>
      </c>
      <c r="L581" t="inlineStr">
        <is>
          <t>PRESIDENCIA EJECUTIVA DEL CONSEJO</t>
        </is>
      </c>
      <c r="M581" t="n">
        <v>40</v>
      </c>
      <c r="N581" t="inlineStr">
        <is>
          <t>DIRECCION GENERAL BANCO BASE</t>
        </is>
      </c>
      <c r="O581" t="n">
        <v>410</v>
      </c>
      <c r="P581" t="inlineStr">
        <is>
          <t>DIRECCION COMERCIAL</t>
        </is>
      </c>
      <c r="Q581" t="n">
        <v>4140</v>
      </c>
      <c r="R581" t="inlineStr">
        <is>
          <t>DIRECCION COMERCIAL FORANEAS</t>
        </is>
      </c>
      <c r="S581" t="n">
        <v>41410</v>
      </c>
      <c r="T581" t="inlineStr">
        <is>
          <t>DIRECCION OFICINA TIJUANA</t>
        </is>
      </c>
      <c r="U581" t="n">
        <v>414100</v>
      </c>
      <c r="V581" t="inlineStr">
        <is>
          <t>SUBDIRECCION COMERCIAL TIJUANA 1</t>
        </is>
      </c>
      <c r="W581" t="n">
        <v>126114</v>
      </c>
      <c r="X581" t="inlineStr">
        <is>
          <t>TIJUANA</t>
        </is>
      </c>
      <c r="Y581" t="n">
        <v>3</v>
      </c>
      <c r="Z581" t="inlineStr">
        <is>
          <t>CAMBIARIO</t>
        </is>
      </c>
      <c r="AA581" t="n">
        <v>1</v>
      </c>
      <c r="AB581" t="inlineStr">
        <is>
          <t>NEGOCIO EN MARCHA</t>
        </is>
      </c>
      <c r="AC581" t="n">
        <v>1</v>
      </c>
      <c r="AD581" t="inlineStr">
        <is>
          <t>BANCO</t>
        </is>
      </c>
      <c r="AE581" t="n">
        <v>3</v>
      </c>
      <c r="AF581" t="inlineStr">
        <is>
          <t>FRONT</t>
        </is>
      </c>
      <c r="AG581" t="n">
        <v>126114</v>
      </c>
      <c r="AH581" t="inlineStr">
        <is>
          <t>TIJUANA</t>
        </is>
      </c>
      <c r="AI581" t="inlineStr">
        <is>
          <t>MCORDOVAH@BANCOBASE.COM</t>
        </is>
      </c>
      <c r="AJ581" s="151" t="n">
        <v>46174</v>
      </c>
      <c r="AK581" s="151" t="n"/>
      <c r="AL581" s="151" t="n"/>
    </row>
    <row r="582" hidden="1" s="150">
      <c r="A582" t="inlineStr">
        <is>
          <t>MRODRIGUC</t>
        </is>
      </c>
      <c r="B582" t="n">
        <v>3214</v>
      </c>
      <c r="C582" t="inlineStr">
        <is>
          <t>MAXIMINO RODRIGUEZ CHAVEZ</t>
        </is>
      </c>
      <c r="D582" t="n">
        <v>6045</v>
      </c>
      <c r="E582" t="inlineStr">
        <is>
          <t>ASESOR CAMBIARIO</t>
        </is>
      </c>
      <c r="F582" t="inlineStr">
        <is>
          <t>TIJUANA</t>
        </is>
      </c>
      <c r="G582" t="n">
        <v>3558</v>
      </c>
      <c r="H582" t="inlineStr">
        <is>
          <t>NADIA FERNANDA PARTIDA GASCA</t>
        </is>
      </c>
      <c r="I582" t="n">
        <v>8129</v>
      </c>
      <c r="J582" t="inlineStr">
        <is>
          <t>SUBDIRECTOR COMERCIAL</t>
        </is>
      </c>
      <c r="K582" t="n">
        <v>1</v>
      </c>
      <c r="L582" t="inlineStr">
        <is>
          <t>PRESIDENCIA EJECUTIVA DEL CONSEJO</t>
        </is>
      </c>
      <c r="M582" t="n">
        <v>40</v>
      </c>
      <c r="N582" t="inlineStr">
        <is>
          <t>DIRECCION GENERAL BANCO BASE</t>
        </is>
      </c>
      <c r="O582" t="n">
        <v>410</v>
      </c>
      <c r="P582" t="inlineStr">
        <is>
          <t>DIRECCION COMERCIAL</t>
        </is>
      </c>
      <c r="Q582" t="n">
        <v>4140</v>
      </c>
      <c r="R582" t="inlineStr">
        <is>
          <t>DIRECCION COMERCIAL FORANEAS</t>
        </is>
      </c>
      <c r="S582" t="n">
        <v>41410</v>
      </c>
      <c r="T582" t="inlineStr">
        <is>
          <t>DIRECCION OFICINA TIJUANA</t>
        </is>
      </c>
      <c r="U582" t="n">
        <v>414100</v>
      </c>
      <c r="V582" t="inlineStr">
        <is>
          <t>SUBDIRECCION COMERCIAL TIJUANA 1</t>
        </is>
      </c>
      <c r="W582" t="n">
        <v>126114</v>
      </c>
      <c r="X582" t="inlineStr">
        <is>
          <t>TIJUANA</t>
        </is>
      </c>
      <c r="Y582" t="n">
        <v>3</v>
      </c>
      <c r="Z582" t="inlineStr">
        <is>
          <t>CAMBIARIO</t>
        </is>
      </c>
      <c r="AA582" t="n">
        <v>1</v>
      </c>
      <c r="AB582" t="inlineStr">
        <is>
          <t>NEGOCIO EN MARCHA</t>
        </is>
      </c>
      <c r="AC582" t="n">
        <v>1</v>
      </c>
      <c r="AD582" t="inlineStr">
        <is>
          <t>BANCO</t>
        </is>
      </c>
      <c r="AE582" t="n">
        <v>3</v>
      </c>
      <c r="AF582" t="inlineStr">
        <is>
          <t>FRONT</t>
        </is>
      </c>
      <c r="AG582" t="n">
        <v>126114</v>
      </c>
      <c r="AH582" t="inlineStr">
        <is>
          <t>TIJUANA</t>
        </is>
      </c>
      <c r="AI582" t="inlineStr">
        <is>
          <t>MRODRIGUC@BANCOBASE.COM</t>
        </is>
      </c>
      <c r="AJ582" s="151" t="n">
        <v>45567</v>
      </c>
      <c r="AK582" s="151" t="n"/>
      <c r="AL582" s="151" t="n"/>
    </row>
    <row r="583" hidden="1" s="150">
      <c r="A583" t="inlineStr">
        <is>
          <t>LOLIVAS</t>
        </is>
      </c>
      <c r="B583" t="n">
        <v>3752</v>
      </c>
      <c r="C583" t="inlineStr">
        <is>
          <t>LIZBETH OLIVAS CANELA</t>
        </is>
      </c>
      <c r="D583" t="n">
        <v>130</v>
      </c>
      <c r="E583" t="inlineStr">
        <is>
          <t>ASISTENTE CAMBIARIO</t>
        </is>
      </c>
      <c r="F583" t="inlineStr">
        <is>
          <t>TIJUANA</t>
        </is>
      </c>
      <c r="G583" t="n">
        <v>3558</v>
      </c>
      <c r="H583" t="inlineStr">
        <is>
          <t>NADIA FERNANDA PARTIDA GASCA</t>
        </is>
      </c>
      <c r="I583" t="n">
        <v>8129</v>
      </c>
      <c r="J583" t="inlineStr">
        <is>
          <t>SUBDIRECTOR COMERCIAL</t>
        </is>
      </c>
      <c r="K583" t="n">
        <v>1</v>
      </c>
      <c r="L583" t="inlineStr">
        <is>
          <t>PRESIDENCIA EJECUTIVA DEL CONSEJO</t>
        </is>
      </c>
      <c r="M583" t="n">
        <v>40</v>
      </c>
      <c r="N583" t="inlineStr">
        <is>
          <t>DIRECCION GENERAL BANCO BASE</t>
        </is>
      </c>
      <c r="O583" t="n">
        <v>410</v>
      </c>
      <c r="P583" t="inlineStr">
        <is>
          <t>DIRECCION COMERCIAL</t>
        </is>
      </c>
      <c r="Q583" t="n">
        <v>4140</v>
      </c>
      <c r="R583" t="inlineStr">
        <is>
          <t>DIRECCION COMERCIAL FORANEAS</t>
        </is>
      </c>
      <c r="S583" t="n">
        <v>41410</v>
      </c>
      <c r="T583" t="inlineStr">
        <is>
          <t>DIRECCION OFICINA TIJUANA</t>
        </is>
      </c>
      <c r="U583" t="n">
        <v>414100</v>
      </c>
      <c r="V583" t="inlineStr">
        <is>
          <t>SUBDIRECCION COMERCIAL TIJUANA 1</t>
        </is>
      </c>
      <c r="W583" t="n">
        <v>126114</v>
      </c>
      <c r="X583" t="inlineStr">
        <is>
          <t>TIJUANA</t>
        </is>
      </c>
      <c r="Y583" t="n">
        <v>3</v>
      </c>
      <c r="Z583" t="inlineStr">
        <is>
          <t>CAMBIARIO</t>
        </is>
      </c>
      <c r="AA583" t="n">
        <v>1</v>
      </c>
      <c r="AB583" t="inlineStr">
        <is>
          <t>NEGOCIO EN MARCHA</t>
        </is>
      </c>
      <c r="AC583" t="n">
        <v>1</v>
      </c>
      <c r="AD583" t="inlineStr">
        <is>
          <t>BANCO</t>
        </is>
      </c>
      <c r="AE583" t="n">
        <v>2</v>
      </c>
      <c r="AF583" t="inlineStr">
        <is>
          <t>MIDDLE</t>
        </is>
      </c>
      <c r="AG583" t="n">
        <v>126114</v>
      </c>
      <c r="AH583" t="inlineStr">
        <is>
          <t>TIJUANA</t>
        </is>
      </c>
      <c r="AI583" t="inlineStr">
        <is>
          <t>LOLIVAS@BANCOBASE.COM</t>
        </is>
      </c>
      <c r="AJ583" s="151" t="n">
        <v>46056</v>
      </c>
      <c r="AK583" s="151" t="n"/>
      <c r="AL583" s="151" t="n"/>
    </row>
    <row r="584" hidden="1" s="150">
      <c r="A584" t="inlineStr">
        <is>
          <t>MMARTINEZS</t>
        </is>
      </c>
      <c r="B584" t="n">
        <v>3263</v>
      </c>
      <c r="C584" t="inlineStr">
        <is>
          <t>MELISSA VIANEY MARTINEZ SEPULVEDA</t>
        </is>
      </c>
      <c r="D584" t="n">
        <v>8455</v>
      </c>
      <c r="E584" t="inlineStr">
        <is>
          <t>EJECUTIVO DE SOPORTE</t>
        </is>
      </c>
      <c r="F584" t="inlineStr">
        <is>
          <t>TIJUANA</t>
        </is>
      </c>
      <c r="G584" t="n">
        <v>3558</v>
      </c>
      <c r="H584" t="inlineStr">
        <is>
          <t>NADIA FERNANDA PARTIDA GASCA</t>
        </is>
      </c>
      <c r="I584" t="n">
        <v>8129</v>
      </c>
      <c r="J584" t="inlineStr">
        <is>
          <t>SUBDIRECTOR COMERCIAL</t>
        </is>
      </c>
      <c r="K584" t="n">
        <v>1</v>
      </c>
      <c r="L584" t="inlineStr">
        <is>
          <t>PRESIDENCIA EJECUTIVA DEL CONSEJO</t>
        </is>
      </c>
      <c r="M584" t="n">
        <v>40</v>
      </c>
      <c r="N584" t="inlineStr">
        <is>
          <t>DIRECCION GENERAL BANCO BASE</t>
        </is>
      </c>
      <c r="O584" t="n">
        <v>410</v>
      </c>
      <c r="P584" t="inlineStr">
        <is>
          <t>DIRECCION COMERCIAL</t>
        </is>
      </c>
      <c r="Q584" t="n">
        <v>4140</v>
      </c>
      <c r="R584" t="inlineStr">
        <is>
          <t>DIRECCION COMERCIAL FORANEAS</t>
        </is>
      </c>
      <c r="S584" t="n">
        <v>41410</v>
      </c>
      <c r="T584" t="inlineStr">
        <is>
          <t>DIRECCION OFICINA TIJUANA</t>
        </is>
      </c>
      <c r="U584" t="n">
        <v>414100</v>
      </c>
      <c r="V584" t="inlineStr">
        <is>
          <t>SUBDIRECCION COMERCIAL TIJUANA 1</t>
        </is>
      </c>
      <c r="W584" t="n">
        <v>126114</v>
      </c>
      <c r="X584" t="inlineStr">
        <is>
          <t>TIJUANA</t>
        </is>
      </c>
      <c r="Y584" t="n">
        <v>17</v>
      </c>
      <c r="Z584" t="inlineStr">
        <is>
          <t>SOPORTE</t>
        </is>
      </c>
      <c r="AA584" t="n">
        <v>1</v>
      </c>
      <c r="AB584" t="inlineStr">
        <is>
          <t>NEGOCIO EN MARCHA</t>
        </is>
      </c>
      <c r="AC584" t="n">
        <v>1</v>
      </c>
      <c r="AD584" t="inlineStr">
        <is>
          <t>BANCO</t>
        </is>
      </c>
      <c r="AE584" t="n">
        <v>2</v>
      </c>
      <c r="AF584" t="inlineStr">
        <is>
          <t>MIDDLE</t>
        </is>
      </c>
      <c r="AG584" t="n">
        <v>126114</v>
      </c>
      <c r="AH584" t="inlineStr">
        <is>
          <t>TIJUANA</t>
        </is>
      </c>
      <c r="AI584" t="inlineStr">
        <is>
          <t>MMARTINEZS@BANCOBASE.COM</t>
        </is>
      </c>
      <c r="AJ584" s="151" t="n">
        <v>45603</v>
      </c>
      <c r="AK584" s="151" t="n"/>
      <c r="AL584" s="151" t="n"/>
    </row>
    <row r="585" hidden="1" s="150">
      <c r="A585" t="inlineStr">
        <is>
          <t>MPAZ</t>
        </is>
      </c>
      <c r="B585" t="n">
        <v>3213</v>
      </c>
      <c r="C585" t="inlineStr">
        <is>
          <t>PAULA MONTSERRAT PAZ VALDESPINO</t>
        </is>
      </c>
      <c r="D585" t="n">
        <v>9727</v>
      </c>
      <c r="E585" t="inlineStr">
        <is>
          <t>ASISTENTE CAMBIARIO</t>
        </is>
      </c>
      <c r="F585" t="inlineStr">
        <is>
          <t>TIJUANA</t>
        </is>
      </c>
      <c r="G585" t="n">
        <v>3558</v>
      </c>
      <c r="H585" t="inlineStr">
        <is>
          <t>NADIA FERNANDA PARTIDA GASCA</t>
        </is>
      </c>
      <c r="I585" t="n">
        <v>8129</v>
      </c>
      <c r="J585" t="inlineStr">
        <is>
          <t>SUBDIRECTOR COMERCIAL</t>
        </is>
      </c>
      <c r="K585" t="n">
        <v>1</v>
      </c>
      <c r="L585" t="inlineStr">
        <is>
          <t>PRESIDENCIA EJECUTIVA DEL CONSEJO</t>
        </is>
      </c>
      <c r="M585" t="n">
        <v>40</v>
      </c>
      <c r="N585" t="inlineStr">
        <is>
          <t>DIRECCION GENERAL BANCO BASE</t>
        </is>
      </c>
      <c r="O585" t="n">
        <v>410</v>
      </c>
      <c r="P585" t="inlineStr">
        <is>
          <t>DIRECCION COMERCIAL</t>
        </is>
      </c>
      <c r="Q585" t="n">
        <v>4140</v>
      </c>
      <c r="R585" t="inlineStr">
        <is>
          <t>DIRECCION COMERCIAL FORANEAS</t>
        </is>
      </c>
      <c r="S585" t="n">
        <v>41410</v>
      </c>
      <c r="T585" t="inlineStr">
        <is>
          <t>DIRECCION OFICINA TIJUANA</t>
        </is>
      </c>
      <c r="U585" t="n">
        <v>414100</v>
      </c>
      <c r="V585" t="inlineStr">
        <is>
          <t>SUBDIRECCION COMERCIAL TIJUANA 1</t>
        </is>
      </c>
      <c r="W585" t="n">
        <v>126114</v>
      </c>
      <c r="X585" t="inlineStr">
        <is>
          <t>TIJUANA</t>
        </is>
      </c>
      <c r="Y585" t="n">
        <v>3</v>
      </c>
      <c r="Z585" t="inlineStr">
        <is>
          <t>CAMBIARIO</t>
        </is>
      </c>
      <c r="AA585" t="n">
        <v>1</v>
      </c>
      <c r="AB585" t="inlineStr">
        <is>
          <t>NEGOCIO EN MARCHA</t>
        </is>
      </c>
      <c r="AC585" t="n">
        <v>1</v>
      </c>
      <c r="AD585" t="inlineStr">
        <is>
          <t>BANCO</t>
        </is>
      </c>
      <c r="AE585" t="n">
        <v>2</v>
      </c>
      <c r="AF585" t="inlineStr">
        <is>
          <t>MIDDLE</t>
        </is>
      </c>
      <c r="AG585" t="n">
        <v>126114</v>
      </c>
      <c r="AH585" t="inlineStr">
        <is>
          <t>TIJUANA</t>
        </is>
      </c>
      <c r="AI585" t="inlineStr">
        <is>
          <t>MPAZ@BANCOBASE.COM</t>
        </is>
      </c>
      <c r="AJ585" s="151" t="n">
        <v>45567</v>
      </c>
      <c r="AK585" s="151" t="n"/>
      <c r="AL585" s="151" t="n"/>
    </row>
    <row r="586" hidden="1" s="150">
      <c r="A586" t="inlineStr">
        <is>
          <t>MCORTEZ</t>
        </is>
      </c>
      <c r="B586" t="n">
        <v>2700</v>
      </c>
      <c r="C586" t="inlineStr">
        <is>
          <t>MELANI SADE CORTEZ MENDOZA</t>
        </is>
      </c>
      <c r="D586" t="n">
        <v>8199</v>
      </c>
      <c r="E586" t="inlineStr">
        <is>
          <t>ESPECIALISTA DE FINANCIAMIENTO</t>
        </is>
      </c>
      <c r="F586" t="inlineStr">
        <is>
          <t>TIJUANA</t>
        </is>
      </c>
      <c r="G586" t="n">
        <v>3558</v>
      </c>
      <c r="H586" t="inlineStr">
        <is>
          <t>NADIA FERNANDA PARTIDA GASCA</t>
        </is>
      </c>
      <c r="I586" t="n">
        <v>8129</v>
      </c>
      <c r="J586" t="inlineStr">
        <is>
          <t>SUBDIRECTOR COMERCIAL</t>
        </is>
      </c>
      <c r="K586" t="n">
        <v>1</v>
      </c>
      <c r="L586" t="inlineStr">
        <is>
          <t>PRESIDENCIA EJECUTIVA DEL CONSEJO</t>
        </is>
      </c>
      <c r="M586" t="n">
        <v>40</v>
      </c>
      <c r="N586" t="inlineStr">
        <is>
          <t>DIRECCION GENERAL BANCO BASE</t>
        </is>
      </c>
      <c r="O586" t="n">
        <v>410</v>
      </c>
      <c r="P586" t="inlineStr">
        <is>
          <t>DIRECCION COMERCIAL</t>
        </is>
      </c>
      <c r="Q586" t="n">
        <v>4140</v>
      </c>
      <c r="R586" t="inlineStr">
        <is>
          <t>DIRECCION COMERCIAL FORANEAS</t>
        </is>
      </c>
      <c r="S586" t="n">
        <v>41410</v>
      </c>
      <c r="T586" t="inlineStr">
        <is>
          <t>DIRECCION OFICINA TIJUANA</t>
        </is>
      </c>
      <c r="U586" t="n">
        <v>414100</v>
      </c>
      <c r="V586" t="inlineStr">
        <is>
          <t>SUBDIRECCION COMERCIAL TIJUANA 1</t>
        </is>
      </c>
      <c r="W586" t="n">
        <v>126114</v>
      </c>
      <c r="X586" t="inlineStr">
        <is>
          <t>TIJUANA</t>
        </is>
      </c>
      <c r="Y586" t="n">
        <v>13</v>
      </c>
      <c r="Z586" t="inlineStr">
        <is>
          <t>FINANCIAMIENTO</t>
        </is>
      </c>
      <c r="AA586" t="n">
        <v>1</v>
      </c>
      <c r="AB586" t="inlineStr">
        <is>
          <t>NEGOCIO EN MARCHA</t>
        </is>
      </c>
      <c r="AC586" t="n">
        <v>1</v>
      </c>
      <c r="AD586" t="inlineStr">
        <is>
          <t>BANCO</t>
        </is>
      </c>
      <c r="AE586" t="n">
        <v>3</v>
      </c>
      <c r="AF586" t="inlineStr">
        <is>
          <t>FRONT</t>
        </is>
      </c>
      <c r="AG586" t="n">
        <v>126114</v>
      </c>
      <c r="AH586" t="inlineStr">
        <is>
          <t>TIJUANA</t>
        </is>
      </c>
      <c r="AI586" t="inlineStr">
        <is>
          <t>MCORTEZ@BANCOBASE.COM</t>
        </is>
      </c>
      <c r="AJ586" s="151" t="n">
        <v>44774</v>
      </c>
      <c r="AK586" s="151" t="n"/>
      <c r="AL586" s="151" t="n"/>
    </row>
    <row r="587" hidden="1" s="150">
      <c r="A587" t="inlineStr">
        <is>
          <t>OCHAVEZ</t>
        </is>
      </c>
      <c r="B587" t="n">
        <v>3670</v>
      </c>
      <c r="C587" t="inlineStr">
        <is>
          <t>OMAR CHAVEZ ESPINOSA</t>
        </is>
      </c>
      <c r="D587" t="n">
        <v>8759</v>
      </c>
      <c r="E587" t="inlineStr">
        <is>
          <t>ESPECIALISTA DE BANCA TRANSACCIONAL</t>
        </is>
      </c>
      <c r="F587" t="inlineStr">
        <is>
          <t>TIJUANA</t>
        </is>
      </c>
      <c r="G587" t="n">
        <v>3558</v>
      </c>
      <c r="H587" t="inlineStr">
        <is>
          <t>NADIA FERNANDA PARTIDA GASCA</t>
        </is>
      </c>
      <c r="I587" t="n">
        <v>8129</v>
      </c>
      <c r="J587" t="inlineStr">
        <is>
          <t>SUBDIRECTOR COMERCIAL</t>
        </is>
      </c>
      <c r="K587" t="n">
        <v>1</v>
      </c>
      <c r="L587" t="inlineStr">
        <is>
          <t>PRESIDENCIA EJECUTIVA DEL CONSEJO</t>
        </is>
      </c>
      <c r="M587" t="n">
        <v>40</v>
      </c>
      <c r="N587" t="inlineStr">
        <is>
          <t>DIRECCION GENERAL BANCO BASE</t>
        </is>
      </c>
      <c r="O587" t="n">
        <v>410</v>
      </c>
      <c r="P587" t="inlineStr">
        <is>
          <t>DIRECCION COMERCIAL</t>
        </is>
      </c>
      <c r="Q587" t="n">
        <v>4140</v>
      </c>
      <c r="R587" t="inlineStr">
        <is>
          <t>DIRECCION COMERCIAL FORANEAS</t>
        </is>
      </c>
      <c r="S587" t="n">
        <v>41410</v>
      </c>
      <c r="T587" t="inlineStr">
        <is>
          <t>DIRECCION OFICINA TIJUANA</t>
        </is>
      </c>
      <c r="U587" t="n">
        <v>414100</v>
      </c>
      <c r="V587" t="inlineStr">
        <is>
          <t>SUBDIRECCION COMERCIAL TIJUANA 1</t>
        </is>
      </c>
      <c r="W587" t="n">
        <v>126114</v>
      </c>
      <c r="X587" t="inlineStr">
        <is>
          <t>TIJUANA</t>
        </is>
      </c>
      <c r="Y587" t="n">
        <v>14</v>
      </c>
      <c r="Z587" t="inlineStr">
        <is>
          <t>TRANSACCIONAL</t>
        </is>
      </c>
      <c r="AA587" t="n">
        <v>1</v>
      </c>
      <c r="AB587" t="inlineStr">
        <is>
          <t>NEGOCIO EN MARCHA</t>
        </is>
      </c>
      <c r="AC587" t="n">
        <v>1</v>
      </c>
      <c r="AD587" t="inlineStr">
        <is>
          <t>BANCO</t>
        </is>
      </c>
      <c r="AE587" t="n">
        <v>3</v>
      </c>
      <c r="AF587" t="inlineStr">
        <is>
          <t>FRONT</t>
        </is>
      </c>
      <c r="AG587" t="n">
        <v>126114</v>
      </c>
      <c r="AH587" t="inlineStr">
        <is>
          <t>TIJUANA</t>
        </is>
      </c>
      <c r="AI587" t="inlineStr">
        <is>
          <t>OCHAVEZ@BANCOBASE.COM</t>
        </is>
      </c>
      <c r="AJ587" s="151" t="n">
        <v>45971</v>
      </c>
      <c r="AK587" s="151" t="n"/>
      <c r="AL587" s="151" t="n"/>
    </row>
    <row r="588" hidden="1" s="150">
      <c r="A588" t="inlineStr">
        <is>
          <t>BROBLES</t>
        </is>
      </c>
      <c r="B588" t="n">
        <v>3672</v>
      </c>
      <c r="C588" t="inlineStr">
        <is>
          <t>BEATRIZ ELENA ROBLES LEON</t>
        </is>
      </c>
      <c r="D588" t="n">
        <v>8350</v>
      </c>
      <c r="E588" t="inlineStr">
        <is>
          <t>ASESOR CAMBIARIO</t>
        </is>
      </c>
      <c r="F588" t="inlineStr">
        <is>
          <t>TIJUANA</t>
        </is>
      </c>
      <c r="I588" t="n">
        <v>8145</v>
      </c>
      <c r="J588" t="inlineStr">
        <is>
          <t>SUBDIRECTOR COMERCIAL</t>
        </is>
      </c>
      <c r="K588" t="n">
        <v>1</v>
      </c>
      <c r="L588" t="inlineStr">
        <is>
          <t>PRESIDENCIA EJECUTIVA DEL CONSEJO</t>
        </is>
      </c>
      <c r="M588" t="n">
        <v>40</v>
      </c>
      <c r="N588" t="inlineStr">
        <is>
          <t>DIRECCION GENERAL BANCO BASE</t>
        </is>
      </c>
      <c r="O588" t="n">
        <v>410</v>
      </c>
      <c r="P588" t="inlineStr">
        <is>
          <t>DIRECCION COMERCIAL</t>
        </is>
      </c>
      <c r="Q588" t="n">
        <v>4140</v>
      </c>
      <c r="R588" t="inlineStr">
        <is>
          <t>DIRECCION COMERCIAL FORANEAS</t>
        </is>
      </c>
      <c r="S588" t="n">
        <v>41410</v>
      </c>
      <c r="T588" t="inlineStr">
        <is>
          <t>DIRECCION OFICINA TIJUANA</t>
        </is>
      </c>
      <c r="U588" t="n">
        <v>414106</v>
      </c>
      <c r="V588" t="inlineStr">
        <is>
          <t>SUBDIRECCION COMERCIAL TIJUANA 2</t>
        </is>
      </c>
      <c r="W588" t="n">
        <v>126114</v>
      </c>
      <c r="X588" t="inlineStr">
        <is>
          <t>TIJUANA</t>
        </is>
      </c>
      <c r="Y588" t="n">
        <v>3</v>
      </c>
      <c r="Z588" t="inlineStr">
        <is>
          <t>CAMBIARIO</t>
        </is>
      </c>
      <c r="AA588" t="n">
        <v>1</v>
      </c>
      <c r="AB588" t="inlineStr">
        <is>
          <t>NEGOCIO EN MARCHA</t>
        </is>
      </c>
      <c r="AC588" t="n">
        <v>1</v>
      </c>
      <c r="AD588" t="inlineStr">
        <is>
          <t>BANCO</t>
        </is>
      </c>
      <c r="AE588" t="n">
        <v>3</v>
      </c>
      <c r="AF588" t="inlineStr">
        <is>
          <t>FRONT</t>
        </is>
      </c>
      <c r="AG588" t="n">
        <v>126114</v>
      </c>
      <c r="AH588" t="inlineStr">
        <is>
          <t>TIJUANA</t>
        </is>
      </c>
      <c r="AI588" t="inlineStr">
        <is>
          <t>BROBLES@BANCOBASE.COM</t>
        </is>
      </c>
      <c r="AJ588" s="151" t="n">
        <v>45971</v>
      </c>
      <c r="AK588" s="151" t="n"/>
      <c r="AL588" s="151" t="n"/>
    </row>
    <row r="589" hidden="1" s="150">
      <c r="A589" t="inlineStr">
        <is>
          <t>CBERNALA</t>
        </is>
      </c>
      <c r="B589" t="n">
        <v>3547</v>
      </c>
      <c r="C589" t="inlineStr">
        <is>
          <t>CLAUDIA LETICIA BERNAL ARRIAGA</t>
        </is>
      </c>
      <c r="D589" t="n">
        <v>8572</v>
      </c>
      <c r="E589" t="inlineStr">
        <is>
          <t>ASESOR CAMBIARIO</t>
        </is>
      </c>
      <c r="F589" t="inlineStr">
        <is>
          <t>TIJUANA</t>
        </is>
      </c>
      <c r="I589" t="n">
        <v>8145</v>
      </c>
      <c r="J589" t="inlineStr">
        <is>
          <t>SUBDIRECTOR COMERCIAL</t>
        </is>
      </c>
      <c r="K589" t="n">
        <v>1</v>
      </c>
      <c r="L589" t="inlineStr">
        <is>
          <t>PRESIDENCIA EJECUTIVA DEL CONSEJO</t>
        </is>
      </c>
      <c r="M589" t="n">
        <v>40</v>
      </c>
      <c r="N589" t="inlineStr">
        <is>
          <t>DIRECCION GENERAL BANCO BASE</t>
        </is>
      </c>
      <c r="O589" t="n">
        <v>410</v>
      </c>
      <c r="P589" t="inlineStr">
        <is>
          <t>DIRECCION COMERCIAL</t>
        </is>
      </c>
      <c r="Q589" t="n">
        <v>4140</v>
      </c>
      <c r="R589" t="inlineStr">
        <is>
          <t>DIRECCION COMERCIAL FORANEAS</t>
        </is>
      </c>
      <c r="S589" t="n">
        <v>41410</v>
      </c>
      <c r="T589" t="inlineStr">
        <is>
          <t>DIRECCION OFICINA TIJUANA</t>
        </is>
      </c>
      <c r="U589" t="n">
        <v>414106</v>
      </c>
      <c r="V589" t="inlineStr">
        <is>
          <t>SUBDIRECCION COMERCIAL TIJUANA 2</t>
        </is>
      </c>
      <c r="W589" t="n">
        <v>126114</v>
      </c>
      <c r="X589" t="inlineStr">
        <is>
          <t>TIJUANA</t>
        </is>
      </c>
      <c r="Y589" t="n">
        <v>3</v>
      </c>
      <c r="Z589" t="inlineStr">
        <is>
          <t>CAMBIARIO</t>
        </is>
      </c>
      <c r="AA589" t="n">
        <v>1</v>
      </c>
      <c r="AB589" t="inlineStr">
        <is>
          <t>NEGOCIO EN MARCHA</t>
        </is>
      </c>
      <c r="AC589" t="n">
        <v>1</v>
      </c>
      <c r="AD589" t="inlineStr">
        <is>
          <t>BANCO</t>
        </is>
      </c>
      <c r="AE589" t="n">
        <v>3</v>
      </c>
      <c r="AF589" t="inlineStr">
        <is>
          <t>FRONT</t>
        </is>
      </c>
      <c r="AG589" t="n">
        <v>126114</v>
      </c>
      <c r="AH589" t="inlineStr">
        <is>
          <t>TIJUANA</t>
        </is>
      </c>
      <c r="AI589" t="inlineStr">
        <is>
          <t>CBERNALA@BANCOBASE.COM</t>
        </is>
      </c>
      <c r="AJ589" s="151" t="n">
        <v>45901</v>
      </c>
      <c r="AK589" s="151" t="n"/>
      <c r="AL589" s="151" t="n"/>
    </row>
    <row r="590" hidden="1" s="150">
      <c r="A590" t="inlineStr">
        <is>
          <t>CRAMIREZF</t>
        </is>
      </c>
      <c r="B590" t="n">
        <v>2692</v>
      </c>
      <c r="C590" t="inlineStr">
        <is>
          <t>CARLOS RAMIREZ FERNANDEZ</t>
        </is>
      </c>
      <c r="D590" t="n">
        <v>8217</v>
      </c>
      <c r="E590" t="inlineStr">
        <is>
          <t>ASESOR CAMBIARIO</t>
        </is>
      </c>
      <c r="F590" t="inlineStr">
        <is>
          <t>TELETRABAJO</t>
        </is>
      </c>
      <c r="I590" t="n">
        <v>8145</v>
      </c>
      <c r="J590" t="inlineStr">
        <is>
          <t>SUBDIRECTOR COMERCIAL</t>
        </is>
      </c>
      <c r="K590" t="n">
        <v>1</v>
      </c>
      <c r="L590" t="inlineStr">
        <is>
          <t>PRESIDENCIA EJECUTIVA DEL CONSEJO</t>
        </is>
      </c>
      <c r="M590" t="n">
        <v>40</v>
      </c>
      <c r="N590" t="inlineStr">
        <is>
          <t>DIRECCION GENERAL BANCO BASE</t>
        </is>
      </c>
      <c r="O590" t="n">
        <v>410</v>
      </c>
      <c r="P590" t="inlineStr">
        <is>
          <t>DIRECCION COMERCIAL</t>
        </is>
      </c>
      <c r="Q590" t="n">
        <v>4140</v>
      </c>
      <c r="R590" t="inlineStr">
        <is>
          <t>DIRECCION COMERCIAL FORANEAS</t>
        </is>
      </c>
      <c r="S590" t="n">
        <v>41410</v>
      </c>
      <c r="T590" t="inlineStr">
        <is>
          <t>DIRECCION OFICINA TIJUANA</t>
        </is>
      </c>
      <c r="U590" t="n">
        <v>414106</v>
      </c>
      <c r="V590" t="inlineStr">
        <is>
          <t>SUBDIRECCION COMERCIAL TIJUANA 2</t>
        </is>
      </c>
      <c r="W590" t="n">
        <v>126114</v>
      </c>
      <c r="X590" t="inlineStr">
        <is>
          <t>TIJUANA</t>
        </is>
      </c>
      <c r="Y590" t="n">
        <v>3</v>
      </c>
      <c r="Z590" t="inlineStr">
        <is>
          <t>CAMBIARIO</t>
        </is>
      </c>
      <c r="AA590" t="n">
        <v>1</v>
      </c>
      <c r="AB590" t="inlineStr">
        <is>
          <t>NEGOCIO EN MARCHA</t>
        </is>
      </c>
      <c r="AC590" t="n">
        <v>1</v>
      </c>
      <c r="AD590" t="inlineStr">
        <is>
          <t>BANCO</t>
        </is>
      </c>
      <c r="AE590" t="n">
        <v>3</v>
      </c>
      <c r="AF590" t="inlineStr">
        <is>
          <t>FRONT</t>
        </is>
      </c>
      <c r="AG590" t="n">
        <v>126114</v>
      </c>
      <c r="AH590" t="inlineStr">
        <is>
          <t>TIJUANA</t>
        </is>
      </c>
      <c r="AI590" t="inlineStr">
        <is>
          <t>CRAMIREZF@BANCOBASE.COM</t>
        </is>
      </c>
      <c r="AJ590" s="151" t="n">
        <v>44760</v>
      </c>
      <c r="AK590" s="151" t="n"/>
      <c r="AL590" s="151" t="n"/>
    </row>
    <row r="591" hidden="1" s="150">
      <c r="A591" t="inlineStr">
        <is>
          <t>FSIVILLA</t>
        </is>
      </c>
      <c r="B591" t="n">
        <v>3585</v>
      </c>
      <c r="C591" t="inlineStr">
        <is>
          <t>FRANCISCO JAVIER SIVILLA CORTES</t>
        </is>
      </c>
      <c r="D591" t="n">
        <v>8570</v>
      </c>
      <c r="E591" t="inlineStr">
        <is>
          <t>ASESOR CAMBIARIO</t>
        </is>
      </c>
      <c r="F591" t="inlineStr">
        <is>
          <t>TELETRABAJO</t>
        </is>
      </c>
      <c r="I591" t="n">
        <v>8145</v>
      </c>
      <c r="J591" t="inlineStr">
        <is>
          <t>SUBDIRECTOR COMERCIAL</t>
        </is>
      </c>
      <c r="K591" t="n">
        <v>1</v>
      </c>
      <c r="L591" t="inlineStr">
        <is>
          <t>PRESIDENCIA EJECUTIVA DEL CONSEJO</t>
        </is>
      </c>
      <c r="M591" t="n">
        <v>40</v>
      </c>
      <c r="N591" t="inlineStr">
        <is>
          <t>DIRECCION GENERAL BANCO BASE</t>
        </is>
      </c>
      <c r="O591" t="n">
        <v>410</v>
      </c>
      <c r="P591" t="inlineStr">
        <is>
          <t>DIRECCION COMERCIAL</t>
        </is>
      </c>
      <c r="Q591" t="n">
        <v>4140</v>
      </c>
      <c r="R591" t="inlineStr">
        <is>
          <t>DIRECCION COMERCIAL FORANEAS</t>
        </is>
      </c>
      <c r="S591" t="n">
        <v>41410</v>
      </c>
      <c r="T591" t="inlineStr">
        <is>
          <t>DIRECCION OFICINA TIJUANA</t>
        </is>
      </c>
      <c r="U591" t="n">
        <v>414106</v>
      </c>
      <c r="V591" t="inlineStr">
        <is>
          <t>SUBDIRECCION COMERCIAL TIJUANA 2</t>
        </is>
      </c>
      <c r="W591" t="n">
        <v>126114</v>
      </c>
      <c r="X591" t="inlineStr">
        <is>
          <t>TIJUANA</t>
        </is>
      </c>
      <c r="Y591" t="n">
        <v>3</v>
      </c>
      <c r="Z591" t="inlineStr">
        <is>
          <t>CAMBIARIO</t>
        </is>
      </c>
      <c r="AA591" t="n">
        <v>1</v>
      </c>
      <c r="AB591" t="inlineStr">
        <is>
          <t>NEGOCIO EN MARCHA</t>
        </is>
      </c>
      <c r="AC591" t="n">
        <v>1</v>
      </c>
      <c r="AD591" t="inlineStr">
        <is>
          <t>BANCO</t>
        </is>
      </c>
      <c r="AE591" t="n">
        <v>3</v>
      </c>
      <c r="AF591" t="inlineStr">
        <is>
          <t>FRONT</t>
        </is>
      </c>
      <c r="AG591" t="n">
        <v>126114</v>
      </c>
      <c r="AH591" t="inlineStr">
        <is>
          <t>TIJUANA</t>
        </is>
      </c>
      <c r="AI591" t="inlineStr">
        <is>
          <t>FSIVILLA@BANCOBASE.COM</t>
        </is>
      </c>
      <c r="AJ591" s="151" t="n">
        <v>45917</v>
      </c>
      <c r="AK591" s="151" t="n"/>
      <c r="AL591" s="151" t="n"/>
    </row>
    <row r="592" hidden="1" s="150">
      <c r="A592" t="inlineStr">
        <is>
          <t>MPINEDAT</t>
        </is>
      </c>
      <c r="B592" t="n">
        <v>3562</v>
      </c>
      <c r="C592" t="inlineStr">
        <is>
          <t>MANUEL DE JESUS PINEDA TRUJILLO</t>
        </is>
      </c>
      <c r="D592" t="n">
        <v>8772</v>
      </c>
      <c r="E592" t="inlineStr">
        <is>
          <t>ASESOR CAMBIARIO</t>
        </is>
      </c>
      <c r="F592" t="inlineStr">
        <is>
          <t>TIJUANA</t>
        </is>
      </c>
      <c r="I592" t="n">
        <v>8145</v>
      </c>
      <c r="J592" t="inlineStr">
        <is>
          <t>SUBDIRECTOR COMERCIAL</t>
        </is>
      </c>
      <c r="K592" t="n">
        <v>1</v>
      </c>
      <c r="L592" t="inlineStr">
        <is>
          <t>PRESIDENCIA EJECUTIVA DEL CONSEJO</t>
        </is>
      </c>
      <c r="M592" t="n">
        <v>40</v>
      </c>
      <c r="N592" t="inlineStr">
        <is>
          <t>DIRECCION GENERAL BANCO BASE</t>
        </is>
      </c>
      <c r="O592" t="n">
        <v>410</v>
      </c>
      <c r="P592" t="inlineStr">
        <is>
          <t>DIRECCION COMERCIAL</t>
        </is>
      </c>
      <c r="Q592" t="n">
        <v>4140</v>
      </c>
      <c r="R592" t="inlineStr">
        <is>
          <t>DIRECCION COMERCIAL FORANEAS</t>
        </is>
      </c>
      <c r="S592" t="n">
        <v>41410</v>
      </c>
      <c r="T592" t="inlineStr">
        <is>
          <t>DIRECCION OFICINA TIJUANA</t>
        </is>
      </c>
      <c r="U592" t="n">
        <v>414106</v>
      </c>
      <c r="V592" t="inlineStr">
        <is>
          <t>SUBDIRECCION COMERCIAL TIJUANA 2</t>
        </is>
      </c>
      <c r="W592" t="n">
        <v>126114</v>
      </c>
      <c r="X592" t="inlineStr">
        <is>
          <t>TIJUANA</t>
        </is>
      </c>
      <c r="Y592" t="n">
        <v>3</v>
      </c>
      <c r="Z592" t="inlineStr">
        <is>
          <t>CAMBIARIO</t>
        </is>
      </c>
      <c r="AA592" t="n">
        <v>1</v>
      </c>
      <c r="AB592" t="inlineStr">
        <is>
          <t>NEGOCIO EN MARCHA</t>
        </is>
      </c>
      <c r="AC592" t="n">
        <v>1</v>
      </c>
      <c r="AD592" t="inlineStr">
        <is>
          <t>BANCO</t>
        </is>
      </c>
      <c r="AE592" t="n">
        <v>3</v>
      </c>
      <c r="AF592" t="inlineStr">
        <is>
          <t>FRONT</t>
        </is>
      </c>
      <c r="AG592" t="n">
        <v>126114</v>
      </c>
      <c r="AH592" t="inlineStr">
        <is>
          <t>TIJUANA</t>
        </is>
      </c>
      <c r="AI592" t="inlineStr">
        <is>
          <t>MPINEDAT@BANCOBASE.COM</t>
        </is>
      </c>
      <c r="AJ592" s="151" t="n">
        <v>45908</v>
      </c>
      <c r="AK592" s="151" t="n"/>
      <c r="AL592" s="151" t="n"/>
    </row>
    <row r="593" hidden="1" s="150">
      <c r="A593" t="inlineStr">
        <is>
          <t>MSALGADO</t>
        </is>
      </c>
      <c r="B593" t="n">
        <v>2230</v>
      </c>
      <c r="C593" t="inlineStr">
        <is>
          <t>MARISOL SALGADO HERNANDEZ</t>
        </is>
      </c>
      <c r="D593" t="n">
        <v>9285</v>
      </c>
      <c r="E593" t="inlineStr">
        <is>
          <t>ASESOR CAMBIARIO</t>
        </is>
      </c>
      <c r="F593" t="inlineStr">
        <is>
          <t>TIJUANA</t>
        </is>
      </c>
      <c r="I593" t="n">
        <v>8145</v>
      </c>
      <c r="J593" t="inlineStr">
        <is>
          <t>SUBDIRECTOR COMERCIAL</t>
        </is>
      </c>
      <c r="K593" t="n">
        <v>1</v>
      </c>
      <c r="L593" t="inlineStr">
        <is>
          <t>PRESIDENCIA EJECUTIVA DEL CONSEJO</t>
        </is>
      </c>
      <c r="M593" t="n">
        <v>40</v>
      </c>
      <c r="N593" t="inlineStr">
        <is>
          <t>DIRECCION GENERAL BANCO BASE</t>
        </is>
      </c>
      <c r="O593" t="n">
        <v>410</v>
      </c>
      <c r="P593" t="inlineStr">
        <is>
          <t>DIRECCION COMERCIAL</t>
        </is>
      </c>
      <c r="Q593" t="n">
        <v>4140</v>
      </c>
      <c r="R593" t="inlineStr">
        <is>
          <t>DIRECCION COMERCIAL FORANEAS</t>
        </is>
      </c>
      <c r="S593" t="n">
        <v>41410</v>
      </c>
      <c r="T593" t="inlineStr">
        <is>
          <t>DIRECCION OFICINA TIJUANA</t>
        </is>
      </c>
      <c r="U593" t="n">
        <v>414106</v>
      </c>
      <c r="V593" t="inlineStr">
        <is>
          <t>SUBDIRECCION COMERCIAL TIJUANA 2</t>
        </is>
      </c>
      <c r="W593" t="n">
        <v>126114</v>
      </c>
      <c r="X593" t="inlineStr">
        <is>
          <t>TIJUANA</t>
        </is>
      </c>
      <c r="Y593" t="n">
        <v>3</v>
      </c>
      <c r="Z593" t="inlineStr">
        <is>
          <t>CAMBIARIO</t>
        </is>
      </c>
      <c r="AA593" t="n">
        <v>1</v>
      </c>
      <c r="AB593" t="inlineStr">
        <is>
          <t>NEGOCIO EN MARCHA</t>
        </is>
      </c>
      <c r="AC593" t="n">
        <v>1</v>
      </c>
      <c r="AD593" t="inlineStr">
        <is>
          <t>BANCO</t>
        </is>
      </c>
      <c r="AE593" t="n">
        <v>3</v>
      </c>
      <c r="AF593" t="inlineStr">
        <is>
          <t>FRONT</t>
        </is>
      </c>
      <c r="AG593" t="n">
        <v>126114</v>
      </c>
      <c r="AH593" t="inlineStr">
        <is>
          <t>TIJUANA</t>
        </is>
      </c>
      <c r="AI593" t="inlineStr">
        <is>
          <t>MSALGADO@BANCOBASE.COM</t>
        </is>
      </c>
      <c r="AJ593" s="151" t="n">
        <v>43578</v>
      </c>
      <c r="AK593" s="151" t="n"/>
      <c r="AL593" s="151" t="n"/>
    </row>
    <row r="594" hidden="1" s="150">
      <c r="A594" t="inlineStr">
        <is>
          <t>RANGULOA</t>
        </is>
      </c>
      <c r="B594" t="n">
        <v>3538</v>
      </c>
      <c r="C594" t="inlineStr">
        <is>
          <t>RENATO ANGULO AGUILERA</t>
        </is>
      </c>
      <c r="D594" t="n">
        <v>8573</v>
      </c>
      <c r="E594" t="inlineStr">
        <is>
          <t>ASESOR CAMBIARIO</t>
        </is>
      </c>
      <c r="F594" t="inlineStr">
        <is>
          <t>TIJUANA</t>
        </is>
      </c>
      <c r="I594" t="n">
        <v>8145</v>
      </c>
      <c r="J594" t="inlineStr">
        <is>
          <t>SUBDIRECTOR COMERCIAL</t>
        </is>
      </c>
      <c r="K594" t="n">
        <v>1</v>
      </c>
      <c r="L594" t="inlineStr">
        <is>
          <t>PRESIDENCIA EJECUTIVA DEL CONSEJO</t>
        </is>
      </c>
      <c r="M594" t="n">
        <v>40</v>
      </c>
      <c r="N594" t="inlineStr">
        <is>
          <t>DIRECCION GENERAL BANCO BASE</t>
        </is>
      </c>
      <c r="O594" t="n">
        <v>410</v>
      </c>
      <c r="P594" t="inlineStr">
        <is>
          <t>DIRECCION COMERCIAL</t>
        </is>
      </c>
      <c r="Q594" t="n">
        <v>4140</v>
      </c>
      <c r="R594" t="inlineStr">
        <is>
          <t>DIRECCION COMERCIAL FORANEAS</t>
        </is>
      </c>
      <c r="S594" t="n">
        <v>41410</v>
      </c>
      <c r="T594" t="inlineStr">
        <is>
          <t>DIRECCION OFICINA TIJUANA</t>
        </is>
      </c>
      <c r="U594" t="n">
        <v>414106</v>
      </c>
      <c r="V594" t="inlineStr">
        <is>
          <t>SUBDIRECCION COMERCIAL TIJUANA 2</t>
        </is>
      </c>
      <c r="W594" t="n">
        <v>126114</v>
      </c>
      <c r="X594" t="inlineStr">
        <is>
          <t>TIJUANA</t>
        </is>
      </c>
      <c r="Y594" t="n">
        <v>3</v>
      </c>
      <c r="Z594" t="inlineStr">
        <is>
          <t>CAMBIARIO</t>
        </is>
      </c>
      <c r="AA594" t="n">
        <v>1</v>
      </c>
      <c r="AB594" t="inlineStr">
        <is>
          <t>NEGOCIO EN MARCHA</t>
        </is>
      </c>
      <c r="AC594" t="n">
        <v>1</v>
      </c>
      <c r="AD594" t="inlineStr">
        <is>
          <t>BANCO</t>
        </is>
      </c>
      <c r="AE594" t="n">
        <v>3</v>
      </c>
      <c r="AF594" t="inlineStr">
        <is>
          <t>FRONT</t>
        </is>
      </c>
      <c r="AG594" t="n">
        <v>126114</v>
      </c>
      <c r="AH594" t="inlineStr">
        <is>
          <t>TIJUANA</t>
        </is>
      </c>
      <c r="AI594" t="inlineStr">
        <is>
          <t>RANGULOA@BANCOBASE.COM</t>
        </is>
      </c>
      <c r="AJ594" s="151" t="n">
        <v>45894</v>
      </c>
      <c r="AK594" s="151" t="n"/>
      <c r="AL594" s="151" t="n"/>
    </row>
    <row r="595" hidden="1" s="150">
      <c r="A595" t="inlineStr">
        <is>
          <t>DBADILLO</t>
        </is>
      </c>
      <c r="B595" t="n">
        <v>3786</v>
      </c>
      <c r="C595" t="inlineStr">
        <is>
          <t>DANNA PAOLA BADILLO RAMIREZ</t>
        </is>
      </c>
      <c r="D595" t="n">
        <v>8574</v>
      </c>
      <c r="E595" t="inlineStr">
        <is>
          <t>ASISTENTE CAMBIARIO</t>
        </is>
      </c>
      <c r="F595" t="inlineStr">
        <is>
          <t>TIJUANA</t>
        </is>
      </c>
      <c r="I595" t="n">
        <v>8145</v>
      </c>
      <c r="J595" t="inlineStr">
        <is>
          <t>SUBDIRECTOR COMERCIAL</t>
        </is>
      </c>
      <c r="K595" t="n">
        <v>1</v>
      </c>
      <c r="L595" t="inlineStr">
        <is>
          <t>PRESIDENCIA EJECUTIVA DEL CONSEJO</t>
        </is>
      </c>
      <c r="M595" t="n">
        <v>40</v>
      </c>
      <c r="N595" t="inlineStr">
        <is>
          <t>DIRECCION GENERAL BANCO BASE</t>
        </is>
      </c>
      <c r="O595" t="n">
        <v>410</v>
      </c>
      <c r="P595" t="inlineStr">
        <is>
          <t>DIRECCION COMERCIAL</t>
        </is>
      </c>
      <c r="Q595" t="n">
        <v>4140</v>
      </c>
      <c r="R595" t="inlineStr">
        <is>
          <t>DIRECCION COMERCIAL FORANEAS</t>
        </is>
      </c>
      <c r="S595" t="n">
        <v>41410</v>
      </c>
      <c r="T595" t="inlineStr">
        <is>
          <t>DIRECCION OFICINA TIJUANA</t>
        </is>
      </c>
      <c r="U595" t="n">
        <v>414106</v>
      </c>
      <c r="V595" t="inlineStr">
        <is>
          <t>SUBDIRECCION COMERCIAL TIJUANA 2</t>
        </is>
      </c>
      <c r="W595" t="n">
        <v>126114</v>
      </c>
      <c r="X595" t="inlineStr">
        <is>
          <t>TIJUANA</t>
        </is>
      </c>
      <c r="Y595" t="n">
        <v>3</v>
      </c>
      <c r="Z595" t="inlineStr">
        <is>
          <t>CAMBIARIO</t>
        </is>
      </c>
      <c r="AA595" t="n">
        <v>1</v>
      </c>
      <c r="AB595" t="inlineStr">
        <is>
          <t>NEGOCIO EN MARCHA</t>
        </is>
      </c>
      <c r="AC595" t="n">
        <v>1</v>
      </c>
      <c r="AD595" t="inlineStr">
        <is>
          <t>BANCO</t>
        </is>
      </c>
      <c r="AE595" t="n">
        <v>2</v>
      </c>
      <c r="AF595" t="inlineStr">
        <is>
          <t>MIDDLE</t>
        </is>
      </c>
      <c r="AG595" t="n">
        <v>126114</v>
      </c>
      <c r="AH595" t="inlineStr">
        <is>
          <t>TIJUANA</t>
        </is>
      </c>
      <c r="AI595" t="inlineStr">
        <is>
          <t>DBADILLO@BANCOBASE.COM</t>
        </is>
      </c>
      <c r="AJ595" s="151" t="n">
        <v>46098</v>
      </c>
      <c r="AK595" s="151" t="n"/>
      <c r="AL595" s="151" t="n"/>
    </row>
    <row r="596" hidden="1" s="150">
      <c r="A596" t="inlineStr">
        <is>
          <t>FSAENZ</t>
        </is>
      </c>
      <c r="B596" t="n">
        <v>3848</v>
      </c>
      <c r="C596" t="inlineStr">
        <is>
          <t>LUIS FERNANDO SAENZ DE LA TORRE</t>
        </is>
      </c>
      <c r="D596" t="n">
        <v>9983</v>
      </c>
      <c r="E596" t="inlineStr">
        <is>
          <t>ESPECIALISTA DE BANCA TRANSACCIONAL</t>
        </is>
      </c>
      <c r="F596" t="inlineStr">
        <is>
          <t>TIJUANA</t>
        </is>
      </c>
      <c r="I596" t="n">
        <v>8145</v>
      </c>
      <c r="J596" t="inlineStr">
        <is>
          <t>SUBDIRECTOR COMERCIAL</t>
        </is>
      </c>
      <c r="K596" t="n">
        <v>1</v>
      </c>
      <c r="L596" t="inlineStr">
        <is>
          <t>PRESIDENCIA EJECUTIVA DEL CONSEJO</t>
        </is>
      </c>
      <c r="M596" t="n">
        <v>40</v>
      </c>
      <c r="N596" t="inlineStr">
        <is>
          <t>DIRECCION GENERAL BANCO BASE</t>
        </is>
      </c>
      <c r="O596" t="n">
        <v>410</v>
      </c>
      <c r="P596" t="inlineStr">
        <is>
          <t>DIRECCION COMERCIAL</t>
        </is>
      </c>
      <c r="Q596" t="n">
        <v>4140</v>
      </c>
      <c r="R596" t="inlineStr">
        <is>
          <t>DIRECCION COMERCIAL FORANEAS</t>
        </is>
      </c>
      <c r="S596" t="n">
        <v>41410</v>
      </c>
      <c r="T596" t="inlineStr">
        <is>
          <t>DIRECCION OFICINA TIJUANA</t>
        </is>
      </c>
      <c r="U596" t="n">
        <v>414106</v>
      </c>
      <c r="V596" t="inlineStr">
        <is>
          <t>SUBDIRECCION COMERCIAL TIJUANA 2</t>
        </is>
      </c>
      <c r="W596" t="n">
        <v>126114</v>
      </c>
      <c r="X596" t="inlineStr">
        <is>
          <t>TIJUANA</t>
        </is>
      </c>
      <c r="Y596" t="n">
        <v>14</v>
      </c>
      <c r="Z596" t="inlineStr">
        <is>
          <t>TRANSACCIONAL</t>
        </is>
      </c>
      <c r="AA596" t="n">
        <v>1</v>
      </c>
      <c r="AB596" t="inlineStr">
        <is>
          <t>NEGOCIO EN MARCHA</t>
        </is>
      </c>
      <c r="AC596" t="n">
        <v>1</v>
      </c>
      <c r="AD596" t="inlineStr">
        <is>
          <t>BANCO</t>
        </is>
      </c>
      <c r="AE596" t="n">
        <v>3</v>
      </c>
      <c r="AF596" t="inlineStr">
        <is>
          <t>FRONT</t>
        </is>
      </c>
      <c r="AG596" t="n">
        <v>126114</v>
      </c>
      <c r="AH596" t="inlineStr">
        <is>
          <t>TIJUANA</t>
        </is>
      </c>
      <c r="AI596" t="inlineStr">
        <is>
          <t>FSAENZ@BANCOBASE.COM</t>
        </is>
      </c>
      <c r="AJ596" s="151" t="n">
        <v>46146</v>
      </c>
      <c r="AK596" s="151" t="n"/>
      <c r="AL596" s="151" t="n"/>
    </row>
    <row r="597" hidden="1" s="150">
      <c r="A597" t="inlineStr">
        <is>
          <t>JANTILLON</t>
        </is>
      </c>
      <c r="B597" t="n">
        <v>3582</v>
      </c>
      <c r="C597" t="inlineStr">
        <is>
          <t>JAVIER ARTURO ANTILLON TALAMANTE</t>
        </is>
      </c>
      <c r="D597" t="n">
        <v>8775</v>
      </c>
      <c r="E597" t="inlineStr">
        <is>
          <t>DIRECTOR DE OFICINA HERMOSILLO</t>
        </is>
      </c>
      <c r="F597" t="inlineStr">
        <is>
          <t>HERMOSILLO</t>
        </is>
      </c>
      <c r="G597" t="n">
        <v>319</v>
      </c>
      <c r="H597" t="inlineStr">
        <is>
          <t>CECILIA DAVALOS ZAMBRANO</t>
        </is>
      </c>
      <c r="I597" t="n">
        <v>92</v>
      </c>
      <c r="J597" t="inlineStr">
        <is>
          <t>DIRECTOR COMERCIAL FORANEAS</t>
        </is>
      </c>
      <c r="K597" t="n">
        <v>1</v>
      </c>
      <c r="L597" t="inlineStr">
        <is>
          <t>PRESIDENCIA EJECUTIVA DEL CONSEJO</t>
        </is>
      </c>
      <c r="M597" t="n">
        <v>40</v>
      </c>
      <c r="N597" t="inlineStr">
        <is>
          <t>DIRECCION GENERAL BANCO BASE</t>
        </is>
      </c>
      <c r="O597" t="n">
        <v>410</v>
      </c>
      <c r="P597" t="inlineStr">
        <is>
          <t>DIRECCION COMERCIAL</t>
        </is>
      </c>
      <c r="Q597" t="n">
        <v>4140</v>
      </c>
      <c r="R597" t="inlineStr">
        <is>
          <t>DIRECCION COMERCIAL FORANEAS</t>
        </is>
      </c>
      <c r="S597" t="n">
        <v>41460</v>
      </c>
      <c r="T597" t="inlineStr">
        <is>
          <t>DIRECCION OFICINA HERMOSILLO</t>
        </is>
      </c>
      <c r="U597" t="n">
        <v>414600</v>
      </c>
      <c r="V597" t="inlineStr">
        <is>
          <t>DIRECCION OFICINA HERMOSILLO</t>
        </is>
      </c>
      <c r="W597" t="n">
        <v>126134</v>
      </c>
      <c r="X597" t="inlineStr">
        <is>
          <t>HERMOSILLO</t>
        </is>
      </c>
      <c r="Y597" t="n">
        <v>3</v>
      </c>
      <c r="Z597" t="inlineStr">
        <is>
          <t>CAMBIARIO</t>
        </is>
      </c>
      <c r="AA597" t="n">
        <v>1</v>
      </c>
      <c r="AB597" t="inlineStr">
        <is>
          <t>NEGOCIO EN MARCHA</t>
        </is>
      </c>
      <c r="AC597" t="n">
        <v>1</v>
      </c>
      <c r="AD597" t="inlineStr">
        <is>
          <t>BANCO</t>
        </is>
      </c>
      <c r="AE597" t="n">
        <v>3</v>
      </c>
      <c r="AF597" t="inlineStr">
        <is>
          <t>FRONT</t>
        </is>
      </c>
      <c r="AG597" t="n">
        <v>126134</v>
      </c>
      <c r="AH597" t="inlineStr">
        <is>
          <t>HERMOSILLO</t>
        </is>
      </c>
      <c r="AI597" t="inlineStr">
        <is>
          <t>JANTILLON@BANCOBASE.COM</t>
        </is>
      </c>
      <c r="AJ597" s="151" t="n">
        <v>45917</v>
      </c>
      <c r="AK597" s="151" t="n"/>
      <c r="AL597" s="151" t="n"/>
    </row>
    <row r="598" hidden="1" s="150">
      <c r="A598" t="inlineStr">
        <is>
          <t>MCOTA</t>
        </is>
      </c>
      <c r="B598" t="n">
        <v>3576</v>
      </c>
      <c r="C598" t="inlineStr">
        <is>
          <t>MARTIN GERARDO COTA ARMENTA</t>
        </is>
      </c>
      <c r="D598" t="n">
        <v>8777</v>
      </c>
      <c r="E598" t="inlineStr">
        <is>
          <t>ASESOR CAMBIARIO</t>
        </is>
      </c>
      <c r="F598" t="inlineStr">
        <is>
          <t>HERMOSILLO</t>
        </is>
      </c>
      <c r="G598" t="n">
        <v>3582</v>
      </c>
      <c r="H598" t="inlineStr">
        <is>
          <t>JAVIER ARTURO ANTILLON TALAMANTE</t>
        </is>
      </c>
      <c r="I598" t="n">
        <v>8775</v>
      </c>
      <c r="J598" t="inlineStr">
        <is>
          <t>DIRECTOR DE OFICINA HERMOSILLO</t>
        </is>
      </c>
      <c r="K598" t="n">
        <v>1</v>
      </c>
      <c r="L598" t="inlineStr">
        <is>
          <t>PRESIDENCIA EJECUTIVA DEL CONSEJO</t>
        </is>
      </c>
      <c r="M598" t="n">
        <v>40</v>
      </c>
      <c r="N598" t="inlineStr">
        <is>
          <t>DIRECCION GENERAL BANCO BASE</t>
        </is>
      </c>
      <c r="O598" t="n">
        <v>410</v>
      </c>
      <c r="P598" t="inlineStr">
        <is>
          <t>DIRECCION COMERCIAL</t>
        </is>
      </c>
      <c r="Q598" t="n">
        <v>4140</v>
      </c>
      <c r="R598" t="inlineStr">
        <is>
          <t>DIRECCION COMERCIAL FORANEAS</t>
        </is>
      </c>
      <c r="S598" t="n">
        <v>41460</v>
      </c>
      <c r="T598" t="inlineStr">
        <is>
          <t>DIRECCION OFICINA HERMOSILLO</t>
        </is>
      </c>
      <c r="U598" t="n">
        <v>414600</v>
      </c>
      <c r="V598" t="inlineStr">
        <is>
          <t>DIRECCION OFICINA HERMOSILLO</t>
        </is>
      </c>
      <c r="W598" t="n">
        <v>126134</v>
      </c>
      <c r="X598" t="inlineStr">
        <is>
          <t>HERMOSILLO</t>
        </is>
      </c>
      <c r="Y598" t="n">
        <v>3</v>
      </c>
      <c r="Z598" t="inlineStr">
        <is>
          <t>CAMBIARIO</t>
        </is>
      </c>
      <c r="AA598" t="n">
        <v>1</v>
      </c>
      <c r="AB598" t="inlineStr">
        <is>
          <t>NEGOCIO EN MARCHA</t>
        </is>
      </c>
      <c r="AC598" t="n">
        <v>1</v>
      </c>
      <c r="AD598" t="inlineStr">
        <is>
          <t>BANCO</t>
        </is>
      </c>
      <c r="AE598" t="n">
        <v>3</v>
      </c>
      <c r="AF598" t="inlineStr">
        <is>
          <t>FRONT</t>
        </is>
      </c>
      <c r="AG598" t="n">
        <v>126134</v>
      </c>
      <c r="AH598" t="inlineStr">
        <is>
          <t>HERMOSILLO</t>
        </is>
      </c>
      <c r="AI598" t="inlineStr">
        <is>
          <t>MCOTA@BANCOBASE.COM</t>
        </is>
      </c>
      <c r="AJ598" s="151" t="n">
        <v>45917</v>
      </c>
      <c r="AK598" s="151" t="n"/>
      <c r="AL598" s="151" t="n"/>
    </row>
    <row r="599" hidden="1" s="150">
      <c r="A599" t="inlineStr">
        <is>
          <t>YQUINTEROS</t>
        </is>
      </c>
      <c r="B599" t="n">
        <v>3645</v>
      </c>
      <c r="C599" t="inlineStr">
        <is>
          <t>YISEL BEATRIZ QUINTEROS MUNGUIA</t>
        </is>
      </c>
      <c r="D599" t="n">
        <v>8811</v>
      </c>
      <c r="E599" t="inlineStr">
        <is>
          <t>ASISTENTE CAMBIARIO</t>
        </is>
      </c>
      <c r="F599" t="inlineStr">
        <is>
          <t>HERMOSILLO</t>
        </is>
      </c>
      <c r="G599" t="n">
        <v>3582</v>
      </c>
      <c r="H599" t="inlineStr">
        <is>
          <t>JAVIER ARTURO ANTILLON TALAMANTE</t>
        </is>
      </c>
      <c r="I599" t="n">
        <v>8775</v>
      </c>
      <c r="J599" t="inlineStr">
        <is>
          <t>DIRECTOR DE OFICINA HERMOSILLO</t>
        </is>
      </c>
      <c r="K599" t="n">
        <v>1</v>
      </c>
      <c r="L599" t="inlineStr">
        <is>
          <t>PRESIDENCIA EJECUTIVA DEL CONSEJO</t>
        </is>
      </c>
      <c r="M599" t="n">
        <v>40</v>
      </c>
      <c r="N599" t="inlineStr">
        <is>
          <t>DIRECCION GENERAL BANCO BASE</t>
        </is>
      </c>
      <c r="O599" t="n">
        <v>410</v>
      </c>
      <c r="P599" t="inlineStr">
        <is>
          <t>DIRECCION COMERCIAL</t>
        </is>
      </c>
      <c r="Q599" t="n">
        <v>4140</v>
      </c>
      <c r="R599" t="inlineStr">
        <is>
          <t>DIRECCION COMERCIAL FORANEAS</t>
        </is>
      </c>
      <c r="S599" t="n">
        <v>41460</v>
      </c>
      <c r="T599" t="inlineStr">
        <is>
          <t>DIRECCION OFICINA HERMOSILLO</t>
        </is>
      </c>
      <c r="U599" t="n">
        <v>414600</v>
      </c>
      <c r="V599" t="inlineStr">
        <is>
          <t>DIRECCION OFICINA HERMOSILLO</t>
        </is>
      </c>
      <c r="W599" t="n">
        <v>126134</v>
      </c>
      <c r="X599" t="inlineStr">
        <is>
          <t>HERMOSILLO</t>
        </is>
      </c>
      <c r="Y599" t="n">
        <v>3</v>
      </c>
      <c r="Z599" t="inlineStr">
        <is>
          <t>CAMBIARIO</t>
        </is>
      </c>
      <c r="AA599" t="n">
        <v>1</v>
      </c>
      <c r="AB599" t="inlineStr">
        <is>
          <t>NEGOCIO EN MARCHA</t>
        </is>
      </c>
      <c r="AC599" t="n">
        <v>1</v>
      </c>
      <c r="AD599" t="inlineStr">
        <is>
          <t>BANCO</t>
        </is>
      </c>
      <c r="AE599" t="n">
        <v>2</v>
      </c>
      <c r="AF599" t="inlineStr">
        <is>
          <t>MIDDLE</t>
        </is>
      </c>
      <c r="AG599" t="n">
        <v>126134</v>
      </c>
      <c r="AH599" t="inlineStr">
        <is>
          <t>HERMOSILLO</t>
        </is>
      </c>
      <c r="AI599" t="inlineStr">
        <is>
          <t>YQUINTEROS@BANCOBASE.COM</t>
        </is>
      </c>
      <c r="AJ599" s="151" t="n">
        <v>45946</v>
      </c>
      <c r="AK599" s="151" t="n"/>
      <c r="AL599" s="151" t="n"/>
    </row>
    <row r="600" hidden="1" s="150">
      <c r="A600" t="inlineStr">
        <is>
          <t>KESTRADA</t>
        </is>
      </c>
      <c r="B600" t="n">
        <v>3756</v>
      </c>
      <c r="C600" t="inlineStr">
        <is>
          <t>KARINA DEL CARMEN ESTRADA TRUJILLO</t>
        </is>
      </c>
      <c r="D600" t="n">
        <v>8808</v>
      </c>
      <c r="E600" t="inlineStr">
        <is>
          <t>ASESOR CAMBIARIO</t>
        </is>
      </c>
      <c r="F600" t="inlineStr">
        <is>
          <t>HERMOSILLO</t>
        </is>
      </c>
      <c r="G600" t="n">
        <v>3582</v>
      </c>
      <c r="H600" t="inlineStr">
        <is>
          <t>JAVIER ARTURO ANTILLON TALAMANTE</t>
        </is>
      </c>
      <c r="I600" t="n">
        <v>8775</v>
      </c>
      <c r="J600" t="inlineStr">
        <is>
          <t>DIRECTOR DE OFICINA HERMOSILLO</t>
        </is>
      </c>
      <c r="K600" t="n">
        <v>1</v>
      </c>
      <c r="L600" t="inlineStr">
        <is>
          <t>PRESIDENCIA EJECUTIVA DEL CONSEJO</t>
        </is>
      </c>
      <c r="M600" t="n">
        <v>40</v>
      </c>
      <c r="N600" t="inlineStr">
        <is>
          <t>DIRECCION GENERAL BANCO BASE</t>
        </is>
      </c>
      <c r="O600" t="n">
        <v>410</v>
      </c>
      <c r="P600" t="inlineStr">
        <is>
          <t>DIRECCION COMERCIAL</t>
        </is>
      </c>
      <c r="Q600" t="n">
        <v>4140</v>
      </c>
      <c r="R600" t="inlineStr">
        <is>
          <t>DIRECCION COMERCIAL FORANEAS</t>
        </is>
      </c>
      <c r="S600" t="n">
        <v>41460</v>
      </c>
      <c r="T600" t="inlineStr">
        <is>
          <t>DIRECCION OFICINA HERMOSILLO</t>
        </is>
      </c>
      <c r="U600" t="n">
        <v>414600</v>
      </c>
      <c r="V600" t="inlineStr">
        <is>
          <t>DIRECCION OFICINA HERMOSILLO</t>
        </is>
      </c>
      <c r="W600" t="n">
        <v>126134</v>
      </c>
      <c r="X600" t="inlineStr">
        <is>
          <t>HERMOSILLO</t>
        </is>
      </c>
      <c r="Y600" t="n">
        <v>3</v>
      </c>
      <c r="Z600" t="inlineStr">
        <is>
          <t>CAMBIARIO</t>
        </is>
      </c>
      <c r="AA600" t="n">
        <v>1</v>
      </c>
      <c r="AB600" t="inlineStr">
        <is>
          <t>NEGOCIO EN MARCHA</t>
        </is>
      </c>
      <c r="AC600" t="n">
        <v>1</v>
      </c>
      <c r="AD600" t="inlineStr">
        <is>
          <t>BANCO</t>
        </is>
      </c>
      <c r="AE600" t="n">
        <v>3</v>
      </c>
      <c r="AF600" t="inlineStr">
        <is>
          <t>FRONT</t>
        </is>
      </c>
      <c r="AG600" t="n">
        <v>126134</v>
      </c>
      <c r="AH600" t="inlineStr">
        <is>
          <t>HERMOSILLO</t>
        </is>
      </c>
      <c r="AI600" t="inlineStr">
        <is>
          <t>KESTRADA@BANCOBASE.COM</t>
        </is>
      </c>
      <c r="AJ600" s="151" t="n">
        <v>46056</v>
      </c>
      <c r="AK600" s="151" t="n"/>
      <c r="AL600" s="151" t="n"/>
    </row>
    <row r="601" hidden="1" s="150">
      <c r="A601" t="inlineStr">
        <is>
          <t>BCAZARES</t>
        </is>
      </c>
      <c r="B601" t="n">
        <v>3755</v>
      </c>
      <c r="C601" t="inlineStr">
        <is>
          <t>BRENDA JUDITH CAZARES NUNEZ</t>
        </is>
      </c>
      <c r="D601" t="n">
        <v>8812</v>
      </c>
      <c r="E601" t="inlineStr">
        <is>
          <t>ESPECIALISTA DE BANCA TRANSACCIONAL</t>
        </is>
      </c>
      <c r="F601" t="inlineStr">
        <is>
          <t>HERMOSILLO</t>
        </is>
      </c>
      <c r="G601" t="n">
        <v>3582</v>
      </c>
      <c r="H601" t="inlineStr">
        <is>
          <t>JAVIER ARTURO ANTILLON TALAMANTE</t>
        </is>
      </c>
      <c r="I601" t="n">
        <v>8775</v>
      </c>
      <c r="J601" t="inlineStr">
        <is>
          <t>DIRECTOR DE OFICINA HERMOSILLO</t>
        </is>
      </c>
      <c r="K601" t="n">
        <v>1</v>
      </c>
      <c r="L601" t="inlineStr">
        <is>
          <t>PRESIDENCIA EJECUTIVA DEL CONSEJO</t>
        </is>
      </c>
      <c r="M601" t="n">
        <v>40</v>
      </c>
      <c r="N601" t="inlineStr">
        <is>
          <t>DIRECCION GENERAL BANCO BASE</t>
        </is>
      </c>
      <c r="O601" t="n">
        <v>410</v>
      </c>
      <c r="P601" t="inlineStr">
        <is>
          <t>DIRECCION COMERCIAL</t>
        </is>
      </c>
      <c r="Q601" t="n">
        <v>4140</v>
      </c>
      <c r="R601" t="inlineStr">
        <is>
          <t>DIRECCION COMERCIAL FORANEAS</t>
        </is>
      </c>
      <c r="S601" t="n">
        <v>41460</v>
      </c>
      <c r="T601" t="inlineStr">
        <is>
          <t>DIRECCION OFICINA HERMOSILLO</t>
        </is>
      </c>
      <c r="U601" t="n">
        <v>414600</v>
      </c>
      <c r="V601" t="inlineStr">
        <is>
          <t>DIRECCION OFICINA HERMOSILLO</t>
        </is>
      </c>
      <c r="W601" t="n">
        <v>126134</v>
      </c>
      <c r="X601" t="inlineStr">
        <is>
          <t>HERMOSILLO</t>
        </is>
      </c>
      <c r="Y601" t="n">
        <v>14</v>
      </c>
      <c r="Z601" t="inlineStr">
        <is>
          <t>TRANSACCIONAL</t>
        </is>
      </c>
      <c r="AA601" t="n">
        <v>1</v>
      </c>
      <c r="AB601" t="inlineStr">
        <is>
          <t>NEGOCIO EN MARCHA</t>
        </is>
      </c>
      <c r="AC601" t="n">
        <v>1</v>
      </c>
      <c r="AD601" t="inlineStr">
        <is>
          <t>BANCO</t>
        </is>
      </c>
      <c r="AE601" t="n">
        <v>3</v>
      </c>
      <c r="AF601" t="inlineStr">
        <is>
          <t>FRONT</t>
        </is>
      </c>
      <c r="AG601" t="n">
        <v>126134</v>
      </c>
      <c r="AH601" t="inlineStr">
        <is>
          <t>HERMOSILLO</t>
        </is>
      </c>
      <c r="AI601" t="inlineStr">
        <is>
          <t>BCAZARES@BANCOBASE.COM</t>
        </is>
      </c>
      <c r="AJ601" s="151" t="n">
        <v>46056</v>
      </c>
      <c r="AK601" s="151" t="n"/>
      <c r="AL601" s="151" t="n"/>
    </row>
    <row r="602" hidden="1" s="150">
      <c r="A602" t="inlineStr">
        <is>
          <t>AMEZA</t>
        </is>
      </c>
      <c r="B602" t="n">
        <v>3771</v>
      </c>
      <c r="C602" t="inlineStr">
        <is>
          <t>ALMA BEATRIZ MEZA SANTIAGO</t>
        </is>
      </c>
      <c r="D602" t="n">
        <v>8807</v>
      </c>
      <c r="E602" t="inlineStr">
        <is>
          <t>ASESOR CAMBIARIO</t>
        </is>
      </c>
      <c r="F602" t="inlineStr">
        <is>
          <t>HERMOSILLO</t>
        </is>
      </c>
      <c r="G602" t="n">
        <v>3582</v>
      </c>
      <c r="H602" t="inlineStr">
        <is>
          <t>JAVIER ARTURO ANTILLON TALAMANTE</t>
        </is>
      </c>
      <c r="I602" t="n">
        <v>8775</v>
      </c>
      <c r="J602" t="inlineStr">
        <is>
          <t>DIRECTOR DE OFICINA HERMOSILLO</t>
        </is>
      </c>
      <c r="K602" t="n">
        <v>1</v>
      </c>
      <c r="L602" t="inlineStr">
        <is>
          <t>PRESIDENCIA EJECUTIVA DEL CONSEJO</t>
        </is>
      </c>
      <c r="M602" t="n">
        <v>40</v>
      </c>
      <c r="N602" t="inlineStr">
        <is>
          <t>DIRECCION GENERAL BANCO BASE</t>
        </is>
      </c>
      <c r="O602" t="n">
        <v>410</v>
      </c>
      <c r="P602" t="inlineStr">
        <is>
          <t>DIRECCION COMERCIAL</t>
        </is>
      </c>
      <c r="Q602" t="n">
        <v>4140</v>
      </c>
      <c r="R602" t="inlineStr">
        <is>
          <t>DIRECCION COMERCIAL FORANEAS</t>
        </is>
      </c>
      <c r="S602" t="n">
        <v>41460</v>
      </c>
      <c r="T602" t="inlineStr">
        <is>
          <t>DIRECCION OFICINA HERMOSILLO</t>
        </is>
      </c>
      <c r="U602" t="n">
        <v>414600</v>
      </c>
      <c r="V602" t="inlineStr">
        <is>
          <t>DIRECCION OFICINA HERMOSILLO</t>
        </is>
      </c>
      <c r="W602" t="n">
        <v>126134</v>
      </c>
      <c r="X602" t="inlineStr">
        <is>
          <t>HERMOSILLO</t>
        </is>
      </c>
      <c r="Y602" t="n">
        <v>3</v>
      </c>
      <c r="Z602" t="inlineStr">
        <is>
          <t>CAMBIARIO</t>
        </is>
      </c>
      <c r="AA602" t="n">
        <v>1</v>
      </c>
      <c r="AB602" t="inlineStr">
        <is>
          <t>NEGOCIO EN MARCHA</t>
        </is>
      </c>
      <c r="AC602" t="n">
        <v>1</v>
      </c>
      <c r="AD602" t="inlineStr">
        <is>
          <t>BANCO</t>
        </is>
      </c>
      <c r="AE602" t="n">
        <v>3</v>
      </c>
      <c r="AF602" t="inlineStr">
        <is>
          <t>FRONT</t>
        </is>
      </c>
      <c r="AG602" t="n">
        <v>126134</v>
      </c>
      <c r="AH602" t="inlineStr">
        <is>
          <t>HERMOSILLO</t>
        </is>
      </c>
      <c r="AI602" t="inlineStr">
        <is>
          <t>AMEZA@BANCOBASE.COM</t>
        </is>
      </c>
      <c r="AJ602" s="151" t="n">
        <v>46083</v>
      </c>
      <c r="AK602" s="151" t="n"/>
      <c r="AL602" s="151" t="n"/>
    </row>
    <row r="603" hidden="1" s="150">
      <c r="A603" t="inlineStr">
        <is>
          <t>JLABORIN</t>
        </is>
      </c>
      <c r="B603" t="n">
        <v>2549</v>
      </c>
      <c r="C603" t="inlineStr">
        <is>
          <t>JUAN ALBERTO LABORIN SALAZAR</t>
        </is>
      </c>
      <c r="D603" t="n">
        <v>9011</v>
      </c>
      <c r="E603" t="inlineStr">
        <is>
          <t>ASESOR CAMBIARIO</t>
        </is>
      </c>
      <c r="F603" t="inlineStr">
        <is>
          <t>TELETRABAJO</t>
        </is>
      </c>
      <c r="G603" t="n">
        <v>3582</v>
      </c>
      <c r="H603" t="inlineStr">
        <is>
          <t>JAVIER ARTURO ANTILLON TALAMANTE</t>
        </is>
      </c>
      <c r="I603" t="n">
        <v>8775</v>
      </c>
      <c r="J603" t="inlineStr">
        <is>
          <t>DIRECTOR DE OFICINA HERMOSILLO</t>
        </is>
      </c>
      <c r="K603" t="n">
        <v>1</v>
      </c>
      <c r="L603" t="inlineStr">
        <is>
          <t>PRESIDENCIA EJECUTIVA DEL CONSEJO</t>
        </is>
      </c>
      <c r="M603" t="n">
        <v>40</v>
      </c>
      <c r="N603" t="inlineStr">
        <is>
          <t>DIRECCION GENERAL BANCO BASE</t>
        </is>
      </c>
      <c r="O603" t="n">
        <v>410</v>
      </c>
      <c r="P603" t="inlineStr">
        <is>
          <t>DIRECCION COMERCIAL</t>
        </is>
      </c>
      <c r="Q603" t="n">
        <v>4140</v>
      </c>
      <c r="R603" t="inlineStr">
        <is>
          <t>DIRECCION COMERCIAL FORANEAS</t>
        </is>
      </c>
      <c r="S603" t="n">
        <v>41460</v>
      </c>
      <c r="T603" t="inlineStr">
        <is>
          <t>DIRECCION OFICINA HERMOSILLO</t>
        </is>
      </c>
      <c r="U603" t="n">
        <v>414600</v>
      </c>
      <c r="V603" t="inlineStr">
        <is>
          <t>DIRECCION OFICINA HERMOSILLO</t>
        </is>
      </c>
      <c r="W603" t="n">
        <v>126134</v>
      </c>
      <c r="X603" t="inlineStr">
        <is>
          <t>HERMOSILLO</t>
        </is>
      </c>
      <c r="Y603" t="n">
        <v>3</v>
      </c>
      <c r="Z603" t="inlineStr">
        <is>
          <t>CAMBIARIO</t>
        </is>
      </c>
      <c r="AA603" t="n">
        <v>1</v>
      </c>
      <c r="AB603" t="inlineStr">
        <is>
          <t>NEGOCIO EN MARCHA</t>
        </is>
      </c>
      <c r="AC603" t="n">
        <v>1</v>
      </c>
      <c r="AD603" t="inlineStr">
        <is>
          <t>BANCO</t>
        </is>
      </c>
      <c r="AE603" t="n">
        <v>3</v>
      </c>
      <c r="AF603" t="inlineStr">
        <is>
          <t>FRONT</t>
        </is>
      </c>
      <c r="AG603" t="n">
        <v>126134</v>
      </c>
      <c r="AH603" t="inlineStr">
        <is>
          <t>HERMOSILLO</t>
        </is>
      </c>
      <c r="AI603" t="inlineStr">
        <is>
          <t>JLABORIN@BANCOBASE.COM</t>
        </is>
      </c>
      <c r="AJ603" s="151" t="n">
        <v>44461</v>
      </c>
      <c r="AK603" s="151" t="n"/>
      <c r="AL603" s="151" t="n"/>
    </row>
    <row r="604" hidden="1" s="150">
      <c r="A604" t="inlineStr">
        <is>
          <t>SRODRIGUZ</t>
        </is>
      </c>
      <c r="B604" t="n">
        <v>2604</v>
      </c>
      <c r="C604" t="inlineStr">
        <is>
          <t>SERGIO RODRIGUEZ ZAZUETA</t>
        </is>
      </c>
      <c r="D604" t="n">
        <v>10048</v>
      </c>
      <c r="E604" t="inlineStr">
        <is>
          <t>ASESOR CAMBIARIO</t>
        </is>
      </c>
      <c r="F604" t="inlineStr">
        <is>
          <t>TELETRABAJO</t>
        </is>
      </c>
      <c r="G604" t="n">
        <v>3582</v>
      </c>
      <c r="H604" t="inlineStr">
        <is>
          <t>JAVIER ARTURO ANTILLON TALAMANTE</t>
        </is>
      </c>
      <c r="I604" t="n">
        <v>8775</v>
      </c>
      <c r="J604" t="inlineStr">
        <is>
          <t>DIRECTOR DE OFICINA HERMOSILLO</t>
        </is>
      </c>
      <c r="K604" t="n">
        <v>1</v>
      </c>
      <c r="L604" t="inlineStr">
        <is>
          <t>PRESIDENCIA EJECUTIVA DEL CONSEJO</t>
        </is>
      </c>
      <c r="M604" t="n">
        <v>40</v>
      </c>
      <c r="N604" t="inlineStr">
        <is>
          <t>DIRECCION GENERAL BANCO BASE</t>
        </is>
      </c>
      <c r="O604" t="n">
        <v>410</v>
      </c>
      <c r="P604" t="inlineStr">
        <is>
          <t>DIRECCION COMERCIAL</t>
        </is>
      </c>
      <c r="Q604" t="n">
        <v>4140</v>
      </c>
      <c r="R604" t="inlineStr">
        <is>
          <t>DIRECCION COMERCIAL FORANEAS</t>
        </is>
      </c>
      <c r="S604" t="n">
        <v>41460</v>
      </c>
      <c r="T604" t="inlineStr">
        <is>
          <t>DIRECCION OFICINA HERMOSILLO</t>
        </is>
      </c>
      <c r="U604" t="n">
        <v>414600</v>
      </c>
      <c r="V604" t="inlineStr">
        <is>
          <t>DIRECCION OFICINA HERMOSILLO</t>
        </is>
      </c>
      <c r="W604" t="n">
        <v>126134</v>
      </c>
      <c r="X604" t="inlineStr">
        <is>
          <t>HERMOSILLO</t>
        </is>
      </c>
      <c r="Y604" t="n">
        <v>3</v>
      </c>
      <c r="Z604" t="inlineStr">
        <is>
          <t>CAMBIARIO</t>
        </is>
      </c>
      <c r="AA604" t="n">
        <v>1</v>
      </c>
      <c r="AB604" t="inlineStr">
        <is>
          <t>NEGOCIO EN MARCHA</t>
        </is>
      </c>
      <c r="AC604" t="n">
        <v>1</v>
      </c>
      <c r="AD604" t="inlineStr">
        <is>
          <t>BANCO</t>
        </is>
      </c>
      <c r="AE604" t="n">
        <v>3</v>
      </c>
      <c r="AF604" t="inlineStr">
        <is>
          <t>FRONT</t>
        </is>
      </c>
      <c r="AG604" t="n">
        <v>126134</v>
      </c>
      <c r="AH604" t="inlineStr">
        <is>
          <t>HERMOSILLO</t>
        </is>
      </c>
      <c r="AI604" t="inlineStr">
        <is>
          <t>SRODRIGUZ@BANCOBASE.COM</t>
        </is>
      </c>
      <c r="AJ604" s="151" t="n">
        <v>44578</v>
      </c>
      <c r="AK604" s="151" t="n"/>
      <c r="AL604" s="151" t="n"/>
    </row>
    <row r="605" hidden="1" s="150">
      <c r="A605" t="inlineStr">
        <is>
          <t>MVILLARREA</t>
        </is>
      </c>
      <c r="B605" t="n">
        <v>1570</v>
      </c>
      <c r="C605" t="inlineStr">
        <is>
          <t>JAVIER MAURICIO VILLARREAL MARTINEZ</t>
        </is>
      </c>
      <c r="D605" t="n">
        <v>8209</v>
      </c>
      <c r="E605" t="inlineStr">
        <is>
          <t>DIRECTOR COMERCIAL FORANEAS</t>
        </is>
      </c>
      <c r="F605" t="inlineStr">
        <is>
          <t>MONTERREY</t>
        </is>
      </c>
      <c r="G605" t="n">
        <v>538</v>
      </c>
      <c r="H605" t="inlineStr">
        <is>
          <t>LUIS NICOLAS EGUIARTE CORONA</t>
        </is>
      </c>
      <c r="I605" t="n">
        <v>8232</v>
      </c>
      <c r="J605" t="inlineStr">
        <is>
          <t>DIRECTOR DE ATRACCION Y VENTAS</t>
        </is>
      </c>
      <c r="K605" t="n">
        <v>1</v>
      </c>
      <c r="L605" t="inlineStr">
        <is>
          <t>PRESIDENCIA EJECUTIVA DEL CONSEJO</t>
        </is>
      </c>
      <c r="M605" t="n">
        <v>40</v>
      </c>
      <c r="N605" t="inlineStr">
        <is>
          <t>DIRECCION GENERAL BANCO BASE</t>
        </is>
      </c>
      <c r="O605" t="n">
        <v>410</v>
      </c>
      <c r="P605" t="inlineStr">
        <is>
          <t>DIRECCION COMERCIAL</t>
        </is>
      </c>
      <c r="Q605" t="n">
        <v>4140</v>
      </c>
      <c r="R605" t="inlineStr">
        <is>
          <t>DIRECCION COMERCIAL FORANEAS</t>
        </is>
      </c>
      <c r="S605" t="n">
        <v>41400</v>
      </c>
      <c r="T605" t="inlineStr">
        <is>
          <t>DIRECCION COMERCIAL FORANEAS</t>
        </is>
      </c>
      <c r="U605" t="n">
        <v>414000</v>
      </c>
      <c r="V605" t="inlineStr">
        <is>
          <t>DIRECCION COMERCIAL FORANEAS</t>
        </is>
      </c>
      <c r="W605" t="n">
        <v>126102</v>
      </c>
      <c r="X605" t="inlineStr">
        <is>
          <t>VALLE ORIENTE</t>
        </is>
      </c>
      <c r="Y605" t="n">
        <v>3</v>
      </c>
      <c r="Z605" t="inlineStr">
        <is>
          <t>CAMBIARIO</t>
        </is>
      </c>
      <c r="AA605" t="n">
        <v>1</v>
      </c>
      <c r="AB605" t="inlineStr">
        <is>
          <t>NEGOCIO EN MARCHA</t>
        </is>
      </c>
      <c r="AC605" t="n">
        <v>1</v>
      </c>
      <c r="AD605" t="inlineStr">
        <is>
          <t>BANCO</t>
        </is>
      </c>
      <c r="AE605" t="n">
        <v>3</v>
      </c>
      <c r="AF605" t="inlineStr">
        <is>
          <t>FRONT</t>
        </is>
      </c>
      <c r="AG605" t="n">
        <v>126102</v>
      </c>
      <c r="AH605" t="inlineStr">
        <is>
          <t>MONTERREY</t>
        </is>
      </c>
      <c r="AI605" t="inlineStr">
        <is>
          <t>MVILLARREA@BANCOBASE.COM</t>
        </is>
      </c>
      <c r="AJ605" s="151" t="n">
        <v>42522</v>
      </c>
      <c r="AK605" s="151" t="n"/>
      <c r="AL605" s="151" t="n"/>
    </row>
    <row r="606" hidden="1" s="150">
      <c r="A606" t="inlineStr">
        <is>
          <t>CTREVINO</t>
        </is>
      </c>
      <c r="B606" t="n">
        <v>482</v>
      </c>
      <c r="C606" t="inlineStr">
        <is>
          <t>CARLOS FERNANDO TREVIÑO VILLARREAL</t>
        </is>
      </c>
      <c r="D606" t="n">
        <v>71</v>
      </c>
      <c r="E606" t="inlineStr">
        <is>
          <t>DIRECTOR COMERCIAL MONTERREY</t>
        </is>
      </c>
      <c r="F606" t="inlineStr">
        <is>
          <t>MONTERREY</t>
        </is>
      </c>
      <c r="G606" t="n">
        <v>538</v>
      </c>
      <c r="H606" t="inlineStr">
        <is>
          <t>LUIS NICOLAS EGUIARTE CORONA</t>
        </is>
      </c>
      <c r="I606" t="n">
        <v>8232</v>
      </c>
      <c r="J606" t="inlineStr">
        <is>
          <t>DIRECTOR DE ATRACCION Y VENTAS</t>
        </is>
      </c>
      <c r="K606" t="n">
        <v>1</v>
      </c>
      <c r="L606" t="inlineStr">
        <is>
          <t>PRESIDENCIA EJECUTIVA DEL CONSEJO</t>
        </is>
      </c>
      <c r="M606" t="n">
        <v>40</v>
      </c>
      <c r="N606" t="inlineStr">
        <is>
          <t>DIRECCION GENERAL BANCO BASE</t>
        </is>
      </c>
      <c r="O606" t="n">
        <v>410</v>
      </c>
      <c r="P606" t="inlineStr">
        <is>
          <t>DIRECCION COMERCIAL</t>
        </is>
      </c>
      <c r="Q606" t="n">
        <v>4150</v>
      </c>
      <c r="R606" t="inlineStr">
        <is>
          <t>DIRECCION COMERCIAL MONTERREY 1</t>
        </is>
      </c>
      <c r="S606" t="n">
        <v>41500</v>
      </c>
      <c r="T606" t="inlineStr">
        <is>
          <t>DIRECCION COMERCIAL MONTERREY</t>
        </is>
      </c>
      <c r="U606" t="n">
        <v>415000</v>
      </c>
      <c r="V606" t="inlineStr">
        <is>
          <t>DIRECCION COMERCIAL MONTERREY</t>
        </is>
      </c>
      <c r="W606" t="n">
        <v>126102</v>
      </c>
      <c r="X606" t="inlineStr">
        <is>
          <t>VALLE ORIENTE</t>
        </is>
      </c>
      <c r="Y606" t="n">
        <v>3</v>
      </c>
      <c r="Z606" t="inlineStr">
        <is>
          <t>CAMBIARIO</t>
        </is>
      </c>
      <c r="AA606" t="n">
        <v>1</v>
      </c>
      <c r="AB606" t="inlineStr">
        <is>
          <t>NEGOCIO EN MARCHA</t>
        </is>
      </c>
      <c r="AC606" t="n">
        <v>1</v>
      </c>
      <c r="AD606" t="inlineStr">
        <is>
          <t>BANCO</t>
        </is>
      </c>
      <c r="AE606" t="n">
        <v>3</v>
      </c>
      <c r="AF606" t="inlineStr">
        <is>
          <t>FRONT</t>
        </is>
      </c>
      <c r="AG606" t="n">
        <v>126102</v>
      </c>
      <c r="AH606" t="inlineStr">
        <is>
          <t>MONTERREY</t>
        </is>
      </c>
      <c r="AI606" t="inlineStr">
        <is>
          <t>CTREVINO@BANCOBASE.COM</t>
        </is>
      </c>
      <c r="AJ606" s="151" t="n">
        <v>39601</v>
      </c>
      <c r="AK606" s="151" t="n"/>
      <c r="AL606" s="151" t="n"/>
    </row>
    <row r="607" hidden="1" s="150">
      <c r="A607" t="inlineStr">
        <is>
          <t>EGARCIALOE</t>
        </is>
      </c>
      <c r="B607" t="n">
        <v>3450</v>
      </c>
      <c r="C607" t="inlineStr">
        <is>
          <t>ELIZABETH GARCIA LOERA</t>
        </is>
      </c>
      <c r="D607" t="n">
        <v>7000</v>
      </c>
      <c r="E607" t="inlineStr">
        <is>
          <t>ANALISTA DE GESTION</t>
        </is>
      </c>
      <c r="F607" t="inlineStr">
        <is>
          <t>MONTERREY</t>
        </is>
      </c>
      <c r="G607" t="n">
        <v>482</v>
      </c>
      <c r="H607" t="inlineStr">
        <is>
          <t>CARLOS FERNANDO TREVIÑO VILLARREAL</t>
        </is>
      </c>
      <c r="I607" t="n">
        <v>71</v>
      </c>
      <c r="J607" t="inlineStr">
        <is>
          <t>DIRECTOR COMERCIAL MONTERREY</t>
        </is>
      </c>
      <c r="K607" t="n">
        <v>1</v>
      </c>
      <c r="L607" t="inlineStr">
        <is>
          <t>PRESIDENCIA EJECUTIVA DEL CONSEJO</t>
        </is>
      </c>
      <c r="M607" t="n">
        <v>40</v>
      </c>
      <c r="N607" t="inlineStr">
        <is>
          <t>DIRECCION GENERAL BANCO BASE</t>
        </is>
      </c>
      <c r="O607" t="n">
        <v>410</v>
      </c>
      <c r="P607" t="inlineStr">
        <is>
          <t>DIRECCION COMERCIAL</t>
        </is>
      </c>
      <c r="Q607" t="n">
        <v>4150</v>
      </c>
      <c r="R607" t="inlineStr">
        <is>
          <t>DIRECCION COMERCIAL MONTERREY 1</t>
        </is>
      </c>
      <c r="S607" t="n">
        <v>41500</v>
      </c>
      <c r="T607" t="inlineStr">
        <is>
          <t>DIRECCION COMERCIAL MONTERREY</t>
        </is>
      </c>
      <c r="U607" t="n">
        <v>415000</v>
      </c>
      <c r="V607" t="inlineStr">
        <is>
          <t>DIRECCION COMERCIAL MONTERREY</t>
        </is>
      </c>
      <c r="W607" t="n">
        <v>126102</v>
      </c>
      <c r="X607" t="inlineStr">
        <is>
          <t>VALLE ORIENTE</t>
        </is>
      </c>
      <c r="Y607" t="n">
        <v>3</v>
      </c>
      <c r="Z607" t="inlineStr">
        <is>
          <t>CAMBIARIO</t>
        </is>
      </c>
      <c r="AA607" t="n">
        <v>1</v>
      </c>
      <c r="AB607" t="inlineStr">
        <is>
          <t>NEGOCIO EN MARCHA</t>
        </is>
      </c>
      <c r="AC607" t="n">
        <v>1</v>
      </c>
      <c r="AD607" t="inlineStr">
        <is>
          <t>BANCO</t>
        </is>
      </c>
      <c r="AE607" t="n">
        <v>1</v>
      </c>
      <c r="AF607" t="inlineStr">
        <is>
          <t>BACK</t>
        </is>
      </c>
      <c r="AG607" t="n">
        <v>126102</v>
      </c>
      <c r="AH607" t="inlineStr">
        <is>
          <t>MONTERREY</t>
        </is>
      </c>
      <c r="AI607" t="inlineStr">
        <is>
          <t>EGARCIALOE@BANCOBASE.COM</t>
        </is>
      </c>
      <c r="AJ607" s="151" t="n">
        <v>45810</v>
      </c>
      <c r="AK607" s="151" t="n"/>
      <c r="AL607" s="151" t="n"/>
    </row>
    <row r="608" hidden="1" s="150">
      <c r="A608" t="inlineStr">
        <is>
          <t>HTAMEZ</t>
        </is>
      </c>
      <c r="B608" t="n">
        <v>393</v>
      </c>
      <c r="C608" t="inlineStr">
        <is>
          <t>HECTOR ALAN TAMEZ CEPEDA</t>
        </is>
      </c>
      <c r="D608" t="n">
        <v>9269</v>
      </c>
      <c r="E608" t="inlineStr">
        <is>
          <t>GERENTE DE PROMOCION</t>
        </is>
      </c>
      <c r="F608" t="inlineStr">
        <is>
          <t>MONTERREY</t>
        </is>
      </c>
      <c r="G608" t="n">
        <v>482</v>
      </c>
      <c r="H608" t="inlineStr">
        <is>
          <t>CARLOS FERNANDO TREVIÑO VILLARREAL</t>
        </is>
      </c>
      <c r="I608" t="n">
        <v>71</v>
      </c>
      <c r="J608" t="inlineStr">
        <is>
          <t>DIRECTOR COMERCIAL MONTERREY</t>
        </is>
      </c>
      <c r="K608" t="n">
        <v>1</v>
      </c>
      <c r="L608" t="inlineStr">
        <is>
          <t>PRESIDENCIA EJECUTIVA DEL CONSEJO</t>
        </is>
      </c>
      <c r="M608" t="n">
        <v>40</v>
      </c>
      <c r="N608" t="inlineStr">
        <is>
          <t>DIRECCION GENERAL BANCO BASE</t>
        </is>
      </c>
      <c r="O608" t="n">
        <v>410</v>
      </c>
      <c r="P608" t="inlineStr">
        <is>
          <t>DIRECCION COMERCIAL</t>
        </is>
      </c>
      <c r="Q608" t="n">
        <v>4150</v>
      </c>
      <c r="R608" t="inlineStr">
        <is>
          <t>DIRECCION COMERCIAL MONTERREY 1</t>
        </is>
      </c>
      <c r="S608" t="n">
        <v>41500</v>
      </c>
      <c r="T608" t="inlineStr">
        <is>
          <t>DIRECCION COMERCIAL MONTERREY</t>
        </is>
      </c>
      <c r="U608" t="n">
        <v>415001</v>
      </c>
      <c r="V608" t="inlineStr">
        <is>
          <t>PROMOCION MONTERREY</t>
        </is>
      </c>
      <c r="W608" t="n">
        <v>126102</v>
      </c>
      <c r="X608" t="inlineStr">
        <is>
          <t>VALLE ORIENTE</t>
        </is>
      </c>
      <c r="Y608" t="n">
        <v>3</v>
      </c>
      <c r="Z608" t="inlineStr">
        <is>
          <t>CAMBIARIO</t>
        </is>
      </c>
      <c r="AA608" t="n">
        <v>1</v>
      </c>
      <c r="AB608" t="inlineStr">
        <is>
          <t>NEGOCIO EN MARCHA</t>
        </is>
      </c>
      <c r="AC608" t="n">
        <v>1</v>
      </c>
      <c r="AD608" t="inlineStr">
        <is>
          <t>BANCO</t>
        </is>
      </c>
      <c r="AE608" t="n">
        <v>3</v>
      </c>
      <c r="AF608" t="inlineStr">
        <is>
          <t>FRONT</t>
        </is>
      </c>
      <c r="AG608" t="n">
        <v>126102</v>
      </c>
      <c r="AH608" t="inlineStr">
        <is>
          <t>MONTERREY</t>
        </is>
      </c>
      <c r="AI608" t="inlineStr">
        <is>
          <t>HTAMEZ@BANCOBASE.COM</t>
        </is>
      </c>
      <c r="AJ608" s="151" t="n">
        <v>39173</v>
      </c>
      <c r="AK608" s="151" t="n"/>
      <c r="AL608" s="151" t="n"/>
    </row>
    <row r="609" hidden="1" s="150">
      <c r="A609" t="inlineStr">
        <is>
          <t>DRUIZ</t>
        </is>
      </c>
      <c r="B609" t="n">
        <v>1766</v>
      </c>
      <c r="C609" t="inlineStr">
        <is>
          <t>DANIELA ITZEL RUIZ PEDROZA</t>
        </is>
      </c>
      <c r="D609" t="n">
        <v>9313</v>
      </c>
      <c r="E609" t="inlineStr">
        <is>
          <t>ASISTENTE CAMBIARIO</t>
        </is>
      </c>
      <c r="F609" t="inlineStr">
        <is>
          <t>MONTERREY</t>
        </is>
      </c>
      <c r="G609" t="n">
        <v>393</v>
      </c>
      <c r="H609" t="inlineStr">
        <is>
          <t>HECTOR ALAN TAMEZ CEPEDA</t>
        </is>
      </c>
      <c r="I609" t="n">
        <v>9269</v>
      </c>
      <c r="J609" t="inlineStr">
        <is>
          <t>GERENTE DE PROMOCION</t>
        </is>
      </c>
      <c r="K609" t="n">
        <v>1</v>
      </c>
      <c r="L609" t="inlineStr">
        <is>
          <t>PRESIDENCIA EJECUTIVA DEL CONSEJO</t>
        </is>
      </c>
      <c r="M609" t="n">
        <v>40</v>
      </c>
      <c r="N609" t="inlineStr">
        <is>
          <t>DIRECCION GENERAL BANCO BASE</t>
        </is>
      </c>
      <c r="O609" t="n">
        <v>410</v>
      </c>
      <c r="P609" t="inlineStr">
        <is>
          <t>DIRECCION COMERCIAL</t>
        </is>
      </c>
      <c r="Q609" t="n">
        <v>4150</v>
      </c>
      <c r="R609" t="inlineStr">
        <is>
          <t>DIRECCION COMERCIAL MONTERREY 1</t>
        </is>
      </c>
      <c r="S609" t="n">
        <v>41500</v>
      </c>
      <c r="T609" t="inlineStr">
        <is>
          <t>DIRECCION COMERCIAL MONTERREY</t>
        </is>
      </c>
      <c r="U609" t="n">
        <v>415001</v>
      </c>
      <c r="V609" t="inlineStr">
        <is>
          <t>PROMOCION MONTERREY</t>
        </is>
      </c>
      <c r="W609" t="n">
        <v>126102</v>
      </c>
      <c r="X609" t="inlineStr">
        <is>
          <t>VALLE ORIENTE</t>
        </is>
      </c>
      <c r="Y609" t="n">
        <v>3</v>
      </c>
      <c r="Z609" t="inlineStr">
        <is>
          <t>CAMBIARIO</t>
        </is>
      </c>
      <c r="AA609" t="n">
        <v>1</v>
      </c>
      <c r="AB609" t="inlineStr">
        <is>
          <t>NEGOCIO EN MARCHA</t>
        </is>
      </c>
      <c r="AC609" t="n">
        <v>1</v>
      </c>
      <c r="AD609" t="inlineStr">
        <is>
          <t>BANCO</t>
        </is>
      </c>
      <c r="AE609" t="n">
        <v>2</v>
      </c>
      <c r="AF609" t="inlineStr">
        <is>
          <t>MIDDLE</t>
        </is>
      </c>
      <c r="AG609" t="n">
        <v>126102</v>
      </c>
      <c r="AH609" t="inlineStr">
        <is>
          <t>MONTERREY</t>
        </is>
      </c>
      <c r="AI609" t="inlineStr">
        <is>
          <t>DRUIZ@BANCOBASE.COM</t>
        </is>
      </c>
      <c r="AJ609" s="151" t="n">
        <v>42877</v>
      </c>
      <c r="AK609" s="151" t="n"/>
      <c r="AL609" s="151" t="n"/>
    </row>
    <row r="610" hidden="1" s="150">
      <c r="A610" t="inlineStr">
        <is>
          <t>LGARZA</t>
        </is>
      </c>
      <c r="B610" t="n">
        <v>144</v>
      </c>
      <c r="C610" t="inlineStr">
        <is>
          <t>LAURA LORENA GARZA SAENZ</t>
        </is>
      </c>
      <c r="D610" t="n">
        <v>9250</v>
      </c>
      <c r="E610" t="inlineStr">
        <is>
          <t>GERENTE DE PROMOCION</t>
        </is>
      </c>
      <c r="F610" t="inlineStr">
        <is>
          <t>MONTERREY</t>
        </is>
      </c>
      <c r="G610" t="n">
        <v>482</v>
      </c>
      <c r="H610" t="inlineStr">
        <is>
          <t>CARLOS FERNANDO TREVIÑO VILLARREAL</t>
        </is>
      </c>
      <c r="I610" t="n">
        <v>71</v>
      </c>
      <c r="J610" t="inlineStr">
        <is>
          <t>DIRECTOR COMERCIAL MONTERREY</t>
        </is>
      </c>
      <c r="K610" t="n">
        <v>1</v>
      </c>
      <c r="L610" t="inlineStr">
        <is>
          <t>PRESIDENCIA EJECUTIVA DEL CONSEJO</t>
        </is>
      </c>
      <c r="M610" t="n">
        <v>40</v>
      </c>
      <c r="N610" t="inlineStr">
        <is>
          <t>DIRECCION GENERAL BANCO BASE</t>
        </is>
      </c>
      <c r="O610" t="n">
        <v>410</v>
      </c>
      <c r="P610" t="inlineStr">
        <is>
          <t>DIRECCION COMERCIAL</t>
        </is>
      </c>
      <c r="Q610" t="n">
        <v>4150</v>
      </c>
      <c r="R610" t="inlineStr">
        <is>
          <t>DIRECCION COMERCIAL MONTERREY 1</t>
        </is>
      </c>
      <c r="S610" t="n">
        <v>41500</v>
      </c>
      <c r="T610" t="inlineStr">
        <is>
          <t>DIRECCION COMERCIAL MONTERREY</t>
        </is>
      </c>
      <c r="U610" t="n">
        <v>415001</v>
      </c>
      <c r="V610" t="inlineStr">
        <is>
          <t>PROMOCION MONTERREY</t>
        </is>
      </c>
      <c r="W610" t="n">
        <v>126102</v>
      </c>
      <c r="X610" t="inlineStr">
        <is>
          <t>VALLE ORIENTE</t>
        </is>
      </c>
      <c r="Y610" t="n">
        <v>3</v>
      </c>
      <c r="Z610" t="inlineStr">
        <is>
          <t>CAMBIARIO</t>
        </is>
      </c>
      <c r="AA610" t="n">
        <v>1</v>
      </c>
      <c r="AB610" t="inlineStr">
        <is>
          <t>NEGOCIO EN MARCHA</t>
        </is>
      </c>
      <c r="AC610" t="n">
        <v>1</v>
      </c>
      <c r="AD610" t="inlineStr">
        <is>
          <t>BANCO</t>
        </is>
      </c>
      <c r="AE610" t="n">
        <v>3</v>
      </c>
      <c r="AF610" t="inlineStr">
        <is>
          <t>FRONT</t>
        </is>
      </c>
      <c r="AG610" t="n">
        <v>126102</v>
      </c>
      <c r="AH610" t="inlineStr">
        <is>
          <t>MONTERREY</t>
        </is>
      </c>
      <c r="AI610" t="inlineStr">
        <is>
          <t>LGARZA@BANCOBASE.COM</t>
        </is>
      </c>
      <c r="AJ610" s="151" t="n">
        <v>36404</v>
      </c>
      <c r="AK610" s="151" t="n"/>
      <c r="AL610" s="151" t="n"/>
    </row>
    <row r="611" hidden="1" s="150">
      <c r="A611" t="inlineStr">
        <is>
          <t>SJAIME</t>
        </is>
      </c>
      <c r="B611" t="n">
        <v>2896</v>
      </c>
      <c r="C611" t="inlineStr">
        <is>
          <t>SAMANTHA JACKELINE JAIME ZAMORA</t>
        </is>
      </c>
      <c r="D611" t="n">
        <v>6057</v>
      </c>
      <c r="E611" t="inlineStr">
        <is>
          <t>ASISTENTE CAMBIARIO</t>
        </is>
      </c>
      <c r="F611" t="inlineStr">
        <is>
          <t>MONTERREY</t>
        </is>
      </c>
      <c r="G611" t="n">
        <v>144</v>
      </c>
      <c r="H611" t="inlineStr">
        <is>
          <t>LAURA LORENA GARZA SAENZ</t>
        </is>
      </c>
      <c r="I611" t="n">
        <v>9250</v>
      </c>
      <c r="J611" t="inlineStr">
        <is>
          <t>GERENTE DE PROMOCION</t>
        </is>
      </c>
      <c r="K611" t="n">
        <v>1</v>
      </c>
      <c r="L611" t="inlineStr">
        <is>
          <t>PRESIDENCIA EJECUTIVA DEL CONSEJO</t>
        </is>
      </c>
      <c r="M611" t="n">
        <v>40</v>
      </c>
      <c r="N611" t="inlineStr">
        <is>
          <t>DIRECCION GENERAL BANCO BASE</t>
        </is>
      </c>
      <c r="O611" t="n">
        <v>410</v>
      </c>
      <c r="P611" t="inlineStr">
        <is>
          <t>DIRECCION COMERCIAL</t>
        </is>
      </c>
      <c r="Q611" t="n">
        <v>4150</v>
      </c>
      <c r="R611" t="inlineStr">
        <is>
          <t>DIRECCION COMERCIAL MONTERREY 1</t>
        </is>
      </c>
      <c r="S611" t="n">
        <v>41500</v>
      </c>
      <c r="T611" t="inlineStr">
        <is>
          <t>DIRECCION COMERCIAL MONTERREY</t>
        </is>
      </c>
      <c r="U611" t="n">
        <v>415001</v>
      </c>
      <c r="V611" t="inlineStr">
        <is>
          <t>PROMOCION MONTERREY</t>
        </is>
      </c>
      <c r="W611" t="n">
        <v>126102</v>
      </c>
      <c r="X611" t="inlineStr">
        <is>
          <t>VALLE ORIENTE</t>
        </is>
      </c>
      <c r="Y611" t="n">
        <v>3</v>
      </c>
      <c r="Z611" t="inlineStr">
        <is>
          <t>CAMBIARIO</t>
        </is>
      </c>
      <c r="AA611" t="n">
        <v>1</v>
      </c>
      <c r="AB611" t="inlineStr">
        <is>
          <t>NEGOCIO EN MARCHA</t>
        </is>
      </c>
      <c r="AC611" t="n">
        <v>1</v>
      </c>
      <c r="AD611" t="inlineStr">
        <is>
          <t>BANCO</t>
        </is>
      </c>
      <c r="AE611" t="n">
        <v>2</v>
      </c>
      <c r="AF611" t="inlineStr">
        <is>
          <t>MIDDLE</t>
        </is>
      </c>
      <c r="AG611" t="n">
        <v>126102</v>
      </c>
      <c r="AH611" t="inlineStr">
        <is>
          <t>MONTERREY</t>
        </is>
      </c>
      <c r="AI611" t="inlineStr">
        <is>
          <t>SJAIME@BANCOBASE.COM</t>
        </is>
      </c>
      <c r="AJ611" s="151" t="n">
        <v>45078</v>
      </c>
      <c r="AK611" s="151" t="n"/>
      <c r="AL611" s="151" t="n"/>
    </row>
    <row r="612" hidden="1" s="150">
      <c r="A612" t="inlineStr">
        <is>
          <t>AMARIN</t>
        </is>
      </c>
      <c r="B612" t="n">
        <v>82</v>
      </c>
      <c r="C612" t="inlineStr">
        <is>
          <t>ANTONIO MARIN ALANIS</t>
        </is>
      </c>
      <c r="D612" t="n">
        <v>578</v>
      </c>
      <c r="E612" t="inlineStr">
        <is>
          <t>SUBDIRECTOR DE PROMOCION</t>
        </is>
      </c>
      <c r="F612" t="inlineStr">
        <is>
          <t>MONTERREY</t>
        </is>
      </c>
      <c r="G612" t="n">
        <v>482</v>
      </c>
      <c r="H612" t="inlineStr">
        <is>
          <t>CARLOS FERNANDO TREVIÑO VILLARREAL</t>
        </is>
      </c>
      <c r="I612" t="n">
        <v>71</v>
      </c>
      <c r="J612" t="inlineStr">
        <is>
          <t>DIRECTOR COMERCIAL MONTERREY</t>
        </is>
      </c>
      <c r="K612" t="n">
        <v>1</v>
      </c>
      <c r="L612" t="inlineStr">
        <is>
          <t>PRESIDENCIA EJECUTIVA DEL CONSEJO</t>
        </is>
      </c>
      <c r="M612" t="n">
        <v>40</v>
      </c>
      <c r="N612" t="inlineStr">
        <is>
          <t>DIRECCION GENERAL BANCO BASE</t>
        </is>
      </c>
      <c r="O612" t="n">
        <v>410</v>
      </c>
      <c r="P612" t="inlineStr">
        <is>
          <t>DIRECCION COMERCIAL</t>
        </is>
      </c>
      <c r="Q612" t="n">
        <v>4150</v>
      </c>
      <c r="R612" t="inlineStr">
        <is>
          <t>DIRECCION COMERCIAL MONTERREY 1</t>
        </is>
      </c>
      <c r="S612" t="n">
        <v>41500</v>
      </c>
      <c r="T612" t="inlineStr">
        <is>
          <t>DIRECCION COMERCIAL MONTERREY</t>
        </is>
      </c>
      <c r="U612" t="n">
        <v>415001</v>
      </c>
      <c r="V612" t="inlineStr">
        <is>
          <t>PROMOCION MONTERREY</t>
        </is>
      </c>
      <c r="W612" t="n">
        <v>126102</v>
      </c>
      <c r="X612" t="inlineStr">
        <is>
          <t>VALLE ORIENTE</t>
        </is>
      </c>
      <c r="Y612" t="n">
        <v>3</v>
      </c>
      <c r="Z612" t="inlineStr">
        <is>
          <t>CAMBIARIO</t>
        </is>
      </c>
      <c r="AA612" t="n">
        <v>1</v>
      </c>
      <c r="AB612" t="inlineStr">
        <is>
          <t>NEGOCIO EN MARCHA</t>
        </is>
      </c>
      <c r="AC612" t="n">
        <v>1</v>
      </c>
      <c r="AD612" t="inlineStr">
        <is>
          <t>BANCO</t>
        </is>
      </c>
      <c r="AE612" t="n">
        <v>3</v>
      </c>
      <c r="AF612" t="inlineStr">
        <is>
          <t>FRONT</t>
        </is>
      </c>
      <c r="AG612" t="n">
        <v>126102</v>
      </c>
      <c r="AH612" t="inlineStr">
        <is>
          <t>MONTERREY</t>
        </is>
      </c>
      <c r="AI612" t="inlineStr">
        <is>
          <t>AMARIN@BANCOBASE.COM</t>
        </is>
      </c>
      <c r="AJ612" s="151" t="n">
        <v>35278</v>
      </c>
      <c r="AK612" s="151" t="n"/>
      <c r="AL612" s="151" t="n"/>
    </row>
    <row r="613" hidden="1" s="150">
      <c r="A613" t="inlineStr">
        <is>
          <t>MMEDRANOT</t>
        </is>
      </c>
      <c r="B613" t="n">
        <v>475</v>
      </c>
      <c r="C613" t="inlineStr">
        <is>
          <t>MARINA ELIZABETH MEDRANO TREVIÑO</t>
        </is>
      </c>
      <c r="D613" t="n">
        <v>9310</v>
      </c>
      <c r="E613" t="inlineStr">
        <is>
          <t>EJECUTIVO DE PROMOCION CAMBIARIO</t>
        </is>
      </c>
      <c r="F613" t="inlineStr">
        <is>
          <t>MONTERREY</t>
        </is>
      </c>
      <c r="G613" t="n">
        <v>82</v>
      </c>
      <c r="H613" t="inlineStr">
        <is>
          <t>ANTONIO MARIN ALANIS</t>
        </is>
      </c>
      <c r="I613" t="n">
        <v>578</v>
      </c>
      <c r="J613" t="inlineStr">
        <is>
          <t>SUBDIRECTOR DE PROMOCION</t>
        </is>
      </c>
      <c r="K613" t="n">
        <v>1</v>
      </c>
      <c r="L613" t="inlineStr">
        <is>
          <t>PRESIDENCIA EJECUTIVA DEL CONSEJO</t>
        </is>
      </c>
      <c r="M613" t="n">
        <v>40</v>
      </c>
      <c r="N613" t="inlineStr">
        <is>
          <t>DIRECCION GENERAL BANCO BASE</t>
        </is>
      </c>
      <c r="O613" t="n">
        <v>410</v>
      </c>
      <c r="P613" t="inlineStr">
        <is>
          <t>DIRECCION COMERCIAL</t>
        </is>
      </c>
      <c r="Q613" t="n">
        <v>4150</v>
      </c>
      <c r="R613" t="inlineStr">
        <is>
          <t>DIRECCION COMERCIAL MONTERREY 1</t>
        </is>
      </c>
      <c r="S613" t="n">
        <v>41500</v>
      </c>
      <c r="T613" t="inlineStr">
        <is>
          <t>DIRECCION COMERCIAL MONTERREY</t>
        </is>
      </c>
      <c r="U613" t="n">
        <v>415001</v>
      </c>
      <c r="V613" t="inlineStr">
        <is>
          <t>PROMOCION MONTERREY</t>
        </is>
      </c>
      <c r="W613" t="n">
        <v>126102</v>
      </c>
      <c r="X613" t="inlineStr">
        <is>
          <t>VALLE ORIENTE</t>
        </is>
      </c>
      <c r="Y613" t="n">
        <v>3</v>
      </c>
      <c r="Z613" t="inlineStr">
        <is>
          <t>CAMBIARIO</t>
        </is>
      </c>
      <c r="AA613" t="n">
        <v>1</v>
      </c>
      <c r="AB613" t="inlineStr">
        <is>
          <t>NEGOCIO EN MARCHA</t>
        </is>
      </c>
      <c r="AC613" t="n">
        <v>1</v>
      </c>
      <c r="AD613" t="inlineStr">
        <is>
          <t>BANCO</t>
        </is>
      </c>
      <c r="AE613" t="n">
        <v>2</v>
      </c>
      <c r="AF613" t="inlineStr">
        <is>
          <t>MIDDLE</t>
        </is>
      </c>
      <c r="AG613" t="n">
        <v>126102</v>
      </c>
      <c r="AH613" t="inlineStr">
        <is>
          <t>MONTERREY</t>
        </is>
      </c>
      <c r="AI613" t="inlineStr">
        <is>
          <t>MMEDRANOT@BANCOBASE.COM</t>
        </is>
      </c>
      <c r="AJ613" s="151" t="n">
        <v>39584</v>
      </c>
      <c r="AK613" s="151" t="n"/>
      <c r="AL613" s="151" t="n"/>
    </row>
    <row r="614" hidden="1" s="150">
      <c r="A614" t="inlineStr">
        <is>
          <t>APAZQUEL</t>
        </is>
      </c>
      <c r="B614" t="n">
        <v>211</v>
      </c>
      <c r="C614" t="inlineStr">
        <is>
          <t>ARTURO PAZQUEL FERNANDEZ</t>
        </is>
      </c>
      <c r="D614" t="n">
        <v>1578</v>
      </c>
      <c r="E614" t="inlineStr">
        <is>
          <t>SUBDIRECTOR DE PROMOCION</t>
        </is>
      </c>
      <c r="F614" t="inlineStr">
        <is>
          <t>MONTERREY</t>
        </is>
      </c>
      <c r="G614" t="n">
        <v>482</v>
      </c>
      <c r="H614" t="inlineStr">
        <is>
          <t>CARLOS FERNANDO TREVIÑO VILLARREAL</t>
        </is>
      </c>
      <c r="I614" t="n">
        <v>71</v>
      </c>
      <c r="J614" t="inlineStr">
        <is>
          <t>DIRECTOR COMERCIAL MONTERREY</t>
        </is>
      </c>
      <c r="K614" t="n">
        <v>1</v>
      </c>
      <c r="L614" t="inlineStr">
        <is>
          <t>PRESIDENCIA EJECUTIVA DEL CONSEJO</t>
        </is>
      </c>
      <c r="M614" t="n">
        <v>40</v>
      </c>
      <c r="N614" t="inlineStr">
        <is>
          <t>DIRECCION GENERAL BANCO BASE</t>
        </is>
      </c>
      <c r="O614" t="n">
        <v>410</v>
      </c>
      <c r="P614" t="inlineStr">
        <is>
          <t>DIRECCION COMERCIAL</t>
        </is>
      </c>
      <c r="Q614" t="n">
        <v>4150</v>
      </c>
      <c r="R614" t="inlineStr">
        <is>
          <t>DIRECCION COMERCIAL MONTERREY 1</t>
        </is>
      </c>
      <c r="S614" t="n">
        <v>41500</v>
      </c>
      <c r="T614" t="inlineStr">
        <is>
          <t>DIRECCION COMERCIAL MONTERREY</t>
        </is>
      </c>
      <c r="U614" t="n">
        <v>415001</v>
      </c>
      <c r="V614" t="inlineStr">
        <is>
          <t>PROMOCION MONTERREY</t>
        </is>
      </c>
      <c r="W614" t="n">
        <v>126102</v>
      </c>
      <c r="X614" t="inlineStr">
        <is>
          <t>VALLE ORIENTE</t>
        </is>
      </c>
      <c r="Y614" t="n">
        <v>3</v>
      </c>
      <c r="Z614" t="inlineStr">
        <is>
          <t>CAMBIARIO</t>
        </is>
      </c>
      <c r="AA614" t="n">
        <v>1</v>
      </c>
      <c r="AB614" t="inlineStr">
        <is>
          <t>NEGOCIO EN MARCHA</t>
        </is>
      </c>
      <c r="AC614" t="n">
        <v>1</v>
      </c>
      <c r="AD614" t="inlineStr">
        <is>
          <t>BANCO</t>
        </is>
      </c>
      <c r="AE614" t="n">
        <v>3</v>
      </c>
      <c r="AF614" t="inlineStr">
        <is>
          <t>FRONT</t>
        </is>
      </c>
      <c r="AG614" t="n">
        <v>126102</v>
      </c>
      <c r="AH614" t="inlineStr">
        <is>
          <t>MONTERREY</t>
        </is>
      </c>
      <c r="AI614" t="inlineStr">
        <is>
          <t>APAZQUEL@BANCOBASE.COM</t>
        </is>
      </c>
      <c r="AJ614" s="151" t="n">
        <v>37438</v>
      </c>
      <c r="AK614" s="151" t="n"/>
      <c r="AL614" s="151" t="n"/>
    </row>
    <row r="615" hidden="1" s="150">
      <c r="A615" t="inlineStr">
        <is>
          <t>RNAVARRO</t>
        </is>
      </c>
      <c r="B615" t="n">
        <v>685</v>
      </c>
      <c r="C615" t="inlineStr">
        <is>
          <t>RAQUEL PATRICIA NAVARRO SALINAS</t>
        </is>
      </c>
      <c r="D615" t="n">
        <v>9271</v>
      </c>
      <c r="E615" t="inlineStr">
        <is>
          <t>EJECUTIVO DE PROMOCION CAMBIARIO</t>
        </is>
      </c>
      <c r="F615" t="inlineStr">
        <is>
          <t>MONTERREY</t>
        </is>
      </c>
      <c r="G615" t="n">
        <v>211</v>
      </c>
      <c r="H615" t="inlineStr">
        <is>
          <t>ARTURO PAZQUEL FERNANDEZ</t>
        </is>
      </c>
      <c r="I615" t="n">
        <v>1578</v>
      </c>
      <c r="J615" t="inlineStr">
        <is>
          <t>SUBDIRECTOR DE PROMOCION</t>
        </is>
      </c>
      <c r="K615" t="n">
        <v>1</v>
      </c>
      <c r="L615" t="inlineStr">
        <is>
          <t>PRESIDENCIA EJECUTIVA DEL CONSEJO</t>
        </is>
      </c>
      <c r="M615" t="n">
        <v>40</v>
      </c>
      <c r="N615" t="inlineStr">
        <is>
          <t>DIRECCION GENERAL BANCO BASE</t>
        </is>
      </c>
      <c r="O615" t="n">
        <v>410</v>
      </c>
      <c r="P615" t="inlineStr">
        <is>
          <t>DIRECCION COMERCIAL</t>
        </is>
      </c>
      <c r="Q615" t="n">
        <v>4150</v>
      </c>
      <c r="R615" t="inlineStr">
        <is>
          <t>DIRECCION COMERCIAL MONTERREY 1</t>
        </is>
      </c>
      <c r="S615" t="n">
        <v>41500</v>
      </c>
      <c r="T615" t="inlineStr">
        <is>
          <t>DIRECCION COMERCIAL MONTERREY</t>
        </is>
      </c>
      <c r="U615" t="n">
        <v>415001</v>
      </c>
      <c r="V615" t="inlineStr">
        <is>
          <t>PROMOCION MONTERREY</t>
        </is>
      </c>
      <c r="W615" t="n">
        <v>126102</v>
      </c>
      <c r="X615" t="inlineStr">
        <is>
          <t>VALLE ORIENTE</t>
        </is>
      </c>
      <c r="Y615" t="n">
        <v>3</v>
      </c>
      <c r="Z615" t="inlineStr">
        <is>
          <t>CAMBIARIO</t>
        </is>
      </c>
      <c r="AA615" t="n">
        <v>1</v>
      </c>
      <c r="AB615" t="inlineStr">
        <is>
          <t>NEGOCIO EN MARCHA</t>
        </is>
      </c>
      <c r="AC615" t="n">
        <v>1</v>
      </c>
      <c r="AD615" t="inlineStr">
        <is>
          <t>BANCO</t>
        </is>
      </c>
      <c r="AE615" t="n">
        <v>2</v>
      </c>
      <c r="AF615" t="inlineStr">
        <is>
          <t>MIDDLE</t>
        </is>
      </c>
      <c r="AG615" t="n">
        <v>126102</v>
      </c>
      <c r="AH615" t="inlineStr">
        <is>
          <t>MONTERREY</t>
        </is>
      </c>
      <c r="AI615" t="inlineStr">
        <is>
          <t>RNAVARRO@BANCOBASE.COM</t>
        </is>
      </c>
      <c r="AJ615" s="151" t="n">
        <v>40513</v>
      </c>
      <c r="AK615" s="151" t="n"/>
      <c r="AL615" s="151" t="n"/>
    </row>
    <row r="616" hidden="1" s="150">
      <c r="A616" t="inlineStr">
        <is>
          <t>JVALERO</t>
        </is>
      </c>
      <c r="B616" t="n">
        <v>85</v>
      </c>
      <c r="C616" t="inlineStr">
        <is>
          <t>JOSE ISABEL VALERO LARA</t>
        </is>
      </c>
      <c r="D616" t="n">
        <v>9018</v>
      </c>
      <c r="E616" t="inlineStr">
        <is>
          <t>SUBDIRECTOR DE PROMOCION</t>
        </is>
      </c>
      <c r="F616" t="inlineStr">
        <is>
          <t>MONTERREY</t>
        </is>
      </c>
      <c r="G616" t="n">
        <v>482</v>
      </c>
      <c r="H616" t="inlineStr">
        <is>
          <t>CARLOS FERNANDO TREVIÑO VILLARREAL</t>
        </is>
      </c>
      <c r="I616" t="n">
        <v>71</v>
      </c>
      <c r="J616" t="inlineStr">
        <is>
          <t>DIRECTOR COMERCIAL MONTERREY</t>
        </is>
      </c>
      <c r="K616" t="n">
        <v>1</v>
      </c>
      <c r="L616" t="inlineStr">
        <is>
          <t>PRESIDENCIA EJECUTIVA DEL CONSEJO</t>
        </is>
      </c>
      <c r="M616" t="n">
        <v>40</v>
      </c>
      <c r="N616" t="inlineStr">
        <is>
          <t>DIRECCION GENERAL BANCO BASE</t>
        </is>
      </c>
      <c r="O616" t="n">
        <v>410</v>
      </c>
      <c r="P616" t="inlineStr">
        <is>
          <t>DIRECCION COMERCIAL</t>
        </is>
      </c>
      <c r="Q616" t="n">
        <v>4150</v>
      </c>
      <c r="R616" t="inlineStr">
        <is>
          <t>DIRECCION COMERCIAL MONTERREY 1</t>
        </is>
      </c>
      <c r="S616" t="n">
        <v>41500</v>
      </c>
      <c r="T616" t="inlineStr">
        <is>
          <t>DIRECCION COMERCIAL MONTERREY</t>
        </is>
      </c>
      <c r="U616" t="n">
        <v>415001</v>
      </c>
      <c r="V616" t="inlineStr">
        <is>
          <t>PROMOCION MONTERREY</t>
        </is>
      </c>
      <c r="W616" t="n">
        <v>126102</v>
      </c>
      <c r="X616" t="inlineStr">
        <is>
          <t>VALLE ORIENTE</t>
        </is>
      </c>
      <c r="Y616" t="n">
        <v>3</v>
      </c>
      <c r="Z616" t="inlineStr">
        <is>
          <t>CAMBIARIO</t>
        </is>
      </c>
      <c r="AA616" t="n">
        <v>1</v>
      </c>
      <c r="AB616" t="inlineStr">
        <is>
          <t>NEGOCIO EN MARCHA</t>
        </is>
      </c>
      <c r="AC616" t="n">
        <v>1</v>
      </c>
      <c r="AD616" t="inlineStr">
        <is>
          <t>BANCO</t>
        </is>
      </c>
      <c r="AE616" t="n">
        <v>3</v>
      </c>
      <c r="AF616" t="inlineStr">
        <is>
          <t>FRONT</t>
        </is>
      </c>
      <c r="AG616" t="n">
        <v>126102</v>
      </c>
      <c r="AH616" t="inlineStr">
        <is>
          <t>MONTERREY</t>
        </is>
      </c>
      <c r="AI616" t="inlineStr">
        <is>
          <t>JVALERO@BANCOBASE.COM</t>
        </is>
      </c>
      <c r="AJ616" s="151" t="n">
        <v>35400</v>
      </c>
      <c r="AK616" s="151" t="n"/>
      <c r="AL616" s="151" t="n"/>
    </row>
    <row r="617" hidden="1" s="150">
      <c r="A617" t="inlineStr">
        <is>
          <t>MCASTILLO</t>
        </is>
      </c>
      <c r="B617" t="n">
        <v>435</v>
      </c>
      <c r="C617" t="inlineStr">
        <is>
          <t>MARINA MARIBEL CASTILLO CARRIZALES</t>
        </is>
      </c>
      <c r="D617" t="n">
        <v>3611</v>
      </c>
      <c r="E617" t="inlineStr">
        <is>
          <t>EJECUTIVO DE PROMOCION CAMBIARIO</t>
        </is>
      </c>
      <c r="F617" t="inlineStr">
        <is>
          <t>MONTERREY</t>
        </is>
      </c>
      <c r="G617" t="n">
        <v>85</v>
      </c>
      <c r="H617" t="inlineStr">
        <is>
          <t>JOSE ISABEL VALERO LARA</t>
        </is>
      </c>
      <c r="I617" t="n">
        <v>9018</v>
      </c>
      <c r="J617" t="inlineStr">
        <is>
          <t>SUBDIRECTOR DE PROMOCION</t>
        </is>
      </c>
      <c r="K617" t="n">
        <v>1</v>
      </c>
      <c r="L617" t="inlineStr">
        <is>
          <t>PRESIDENCIA EJECUTIVA DEL CONSEJO</t>
        </is>
      </c>
      <c r="M617" t="n">
        <v>40</v>
      </c>
      <c r="N617" t="inlineStr">
        <is>
          <t>DIRECCION GENERAL BANCO BASE</t>
        </is>
      </c>
      <c r="O617" t="n">
        <v>410</v>
      </c>
      <c r="P617" t="inlineStr">
        <is>
          <t>DIRECCION COMERCIAL</t>
        </is>
      </c>
      <c r="Q617" t="n">
        <v>4150</v>
      </c>
      <c r="R617" t="inlineStr">
        <is>
          <t>DIRECCION COMERCIAL MONTERREY 1</t>
        </is>
      </c>
      <c r="S617" t="n">
        <v>41500</v>
      </c>
      <c r="T617" t="inlineStr">
        <is>
          <t>DIRECCION COMERCIAL MONTERREY</t>
        </is>
      </c>
      <c r="U617" t="n">
        <v>415001</v>
      </c>
      <c r="V617" t="inlineStr">
        <is>
          <t>PROMOCION MONTERREY</t>
        </is>
      </c>
      <c r="W617" t="n">
        <v>126102</v>
      </c>
      <c r="X617" t="inlineStr">
        <is>
          <t>VALLE ORIENTE</t>
        </is>
      </c>
      <c r="Y617" t="n">
        <v>3</v>
      </c>
      <c r="Z617" t="inlineStr">
        <is>
          <t>CAMBIARIO</t>
        </is>
      </c>
      <c r="AA617" t="n">
        <v>1</v>
      </c>
      <c r="AB617" t="inlineStr">
        <is>
          <t>NEGOCIO EN MARCHA</t>
        </is>
      </c>
      <c r="AC617" t="n">
        <v>1</v>
      </c>
      <c r="AD617" t="inlineStr">
        <is>
          <t>BANCO</t>
        </is>
      </c>
      <c r="AE617" t="n">
        <v>2</v>
      </c>
      <c r="AF617" t="inlineStr">
        <is>
          <t>MIDDLE</t>
        </is>
      </c>
      <c r="AG617" t="n">
        <v>126102</v>
      </c>
      <c r="AH617" t="inlineStr">
        <is>
          <t>MONTERREY</t>
        </is>
      </c>
      <c r="AI617" t="inlineStr">
        <is>
          <t>MCASTILLO@BANCOBASE.COM</t>
        </is>
      </c>
      <c r="AJ617" s="151" t="n">
        <v>39417</v>
      </c>
      <c r="AK617" s="151" t="n"/>
      <c r="AL617" s="151" t="n"/>
    </row>
    <row r="618" hidden="1" s="150">
      <c r="A618" t="inlineStr">
        <is>
          <t>MTREVINOGO</t>
        </is>
      </c>
      <c r="B618" t="n">
        <v>3128</v>
      </c>
      <c r="C618" t="inlineStr">
        <is>
          <t>MARCELA TREVIÑO GONZALEZ</t>
        </is>
      </c>
      <c r="D618" t="n">
        <v>8354</v>
      </c>
      <c r="E618" t="inlineStr">
        <is>
          <t>ESPECIALISTA DE FINANCIAMIENTO</t>
        </is>
      </c>
      <c r="F618" t="inlineStr">
        <is>
          <t>MONTERREY</t>
        </is>
      </c>
      <c r="G618" t="n">
        <v>482</v>
      </c>
      <c r="H618" t="inlineStr">
        <is>
          <t>CARLOS FERNANDO TREVIÑO VILLARREAL</t>
        </is>
      </c>
      <c r="I618" t="n">
        <v>71</v>
      </c>
      <c r="J618" t="inlineStr">
        <is>
          <t>DIRECTOR COMERCIAL MONTERREY</t>
        </is>
      </c>
      <c r="K618" t="n">
        <v>1</v>
      </c>
      <c r="L618" t="inlineStr">
        <is>
          <t>PRESIDENCIA EJECUTIVA DEL CONSEJO</t>
        </is>
      </c>
      <c r="M618" t="n">
        <v>40</v>
      </c>
      <c r="N618" t="inlineStr">
        <is>
          <t>DIRECCION GENERAL BANCO BASE</t>
        </is>
      </c>
      <c r="O618" t="n">
        <v>410</v>
      </c>
      <c r="P618" t="inlineStr">
        <is>
          <t>DIRECCION COMERCIAL</t>
        </is>
      </c>
      <c r="Q618" t="n">
        <v>4150</v>
      </c>
      <c r="R618" t="inlineStr">
        <is>
          <t>DIRECCION COMERCIAL MONTERREY 1</t>
        </is>
      </c>
      <c r="S618" t="n">
        <v>41500</v>
      </c>
      <c r="T618" t="inlineStr">
        <is>
          <t>DIRECCION COMERCIAL MONTERREY</t>
        </is>
      </c>
      <c r="U618" t="n">
        <v>415001</v>
      </c>
      <c r="V618" t="inlineStr">
        <is>
          <t>PROMOCION MONTERREY</t>
        </is>
      </c>
      <c r="W618" t="n">
        <v>126102</v>
      </c>
      <c r="X618" t="inlineStr">
        <is>
          <t>VALLE ORIENTE</t>
        </is>
      </c>
      <c r="Y618" t="n">
        <v>13</v>
      </c>
      <c r="Z618" t="inlineStr">
        <is>
          <t>FINANCIAMIENTO</t>
        </is>
      </c>
      <c r="AA618" t="n">
        <v>1</v>
      </c>
      <c r="AB618" t="inlineStr">
        <is>
          <t>NEGOCIO EN MARCHA</t>
        </is>
      </c>
      <c r="AC618" t="n">
        <v>1</v>
      </c>
      <c r="AD618" t="inlineStr">
        <is>
          <t>BANCO</t>
        </is>
      </c>
      <c r="AE618" t="n">
        <v>3</v>
      </c>
      <c r="AF618" t="inlineStr">
        <is>
          <t>FRONT</t>
        </is>
      </c>
      <c r="AG618" t="n">
        <v>126102</v>
      </c>
      <c r="AH618" t="inlineStr">
        <is>
          <t>MONTERREY</t>
        </is>
      </c>
      <c r="AI618" t="inlineStr">
        <is>
          <t>MTREVINOGO@BANCOBASE.COM</t>
        </is>
      </c>
      <c r="AJ618" s="151" t="n">
        <v>45446</v>
      </c>
      <c r="AK618" s="151" t="n"/>
      <c r="AL618" s="151" t="n"/>
    </row>
    <row r="619" hidden="1" s="150">
      <c r="A619" t="inlineStr">
        <is>
          <t>IMELENDEZ</t>
        </is>
      </c>
      <c r="B619" t="n">
        <v>1472</v>
      </c>
      <c r="C619" t="inlineStr">
        <is>
          <t>IRMA YOLANDA MELENDEZ ALVAREZ</t>
        </is>
      </c>
      <c r="D619" t="n">
        <v>9680</v>
      </c>
      <c r="E619" t="inlineStr">
        <is>
          <t>ESPECIALISTA DE BANCA TRANSACCIONAL</t>
        </is>
      </c>
      <c r="F619" t="inlineStr">
        <is>
          <t>MONTERREY</t>
        </is>
      </c>
      <c r="G619" t="n">
        <v>482</v>
      </c>
      <c r="H619" t="inlineStr">
        <is>
          <t>CARLOS FERNANDO TREVIÑO VILLARREAL</t>
        </is>
      </c>
      <c r="I619" t="n">
        <v>71</v>
      </c>
      <c r="J619" t="inlineStr">
        <is>
          <t>DIRECTOR COMERCIAL MONTERREY</t>
        </is>
      </c>
      <c r="K619" t="n">
        <v>1</v>
      </c>
      <c r="L619" t="inlineStr">
        <is>
          <t>PRESIDENCIA EJECUTIVA DEL CONSEJO</t>
        </is>
      </c>
      <c r="M619" t="n">
        <v>40</v>
      </c>
      <c r="N619" t="inlineStr">
        <is>
          <t>DIRECCION GENERAL BANCO BASE</t>
        </is>
      </c>
      <c r="O619" t="n">
        <v>410</v>
      </c>
      <c r="P619" t="inlineStr">
        <is>
          <t>DIRECCION COMERCIAL</t>
        </is>
      </c>
      <c r="Q619" t="n">
        <v>4150</v>
      </c>
      <c r="R619" t="inlineStr">
        <is>
          <t>DIRECCION COMERCIAL MONTERREY 1</t>
        </is>
      </c>
      <c r="S619" t="n">
        <v>41500</v>
      </c>
      <c r="T619" t="inlineStr">
        <is>
          <t>DIRECCION COMERCIAL MONTERREY</t>
        </is>
      </c>
      <c r="U619" t="n">
        <v>415001</v>
      </c>
      <c r="V619" t="inlineStr">
        <is>
          <t>PROMOCION MONTERREY</t>
        </is>
      </c>
      <c r="W619" t="n">
        <v>126102</v>
      </c>
      <c r="X619" t="inlineStr">
        <is>
          <t>VALLE ORIENTE</t>
        </is>
      </c>
      <c r="Y619" t="n">
        <v>14</v>
      </c>
      <c r="Z619" t="inlineStr">
        <is>
          <t>TRANSACCIONAL</t>
        </is>
      </c>
      <c r="AA619" t="n">
        <v>1</v>
      </c>
      <c r="AB619" t="inlineStr">
        <is>
          <t>NEGOCIO EN MARCHA</t>
        </is>
      </c>
      <c r="AC619" t="n">
        <v>1</v>
      </c>
      <c r="AD619" t="inlineStr">
        <is>
          <t>BANCO</t>
        </is>
      </c>
      <c r="AE619" t="n">
        <v>3</v>
      </c>
      <c r="AF619" t="inlineStr">
        <is>
          <t>FRONT</t>
        </is>
      </c>
      <c r="AG619" t="n">
        <v>126102</v>
      </c>
      <c r="AH619" t="inlineStr">
        <is>
          <t>MONTERREY</t>
        </is>
      </c>
      <c r="AI619" t="inlineStr">
        <is>
          <t>IMELENDEZ@BANCOBASE.COM</t>
        </is>
      </c>
      <c r="AJ619" s="151" t="n">
        <v>42408</v>
      </c>
      <c r="AK619" s="151" t="n"/>
      <c r="AL619" s="151" t="n"/>
    </row>
    <row r="620" hidden="1" s="150">
      <c r="A620" t="inlineStr">
        <is>
          <t>ERODRIGUEA</t>
        </is>
      </c>
      <c r="B620" t="n">
        <v>2661</v>
      </c>
      <c r="C620" t="inlineStr">
        <is>
          <t>EDEN EMMANUEL RODRIGUEZ ALVARADO</t>
        </is>
      </c>
      <c r="D620" t="n">
        <v>10244</v>
      </c>
      <c r="E620" t="inlineStr">
        <is>
          <t>ESPECIALISTA DE FINANCIAMIENTO</t>
        </is>
      </c>
      <c r="F620" t="inlineStr">
        <is>
          <t>MONTERREY</t>
        </is>
      </c>
      <c r="G620" t="n">
        <v>482</v>
      </c>
      <c r="H620" t="inlineStr">
        <is>
          <t>CARLOS FERNANDO TREVIÑO VILLARREAL</t>
        </is>
      </c>
      <c r="I620" t="n">
        <v>71</v>
      </c>
      <c r="J620" t="inlineStr">
        <is>
          <t>DIRECTOR COMERCIAL MONTERREY</t>
        </is>
      </c>
      <c r="K620" t="n">
        <v>1</v>
      </c>
      <c r="L620" t="inlineStr">
        <is>
          <t>PRESIDENCIA EJECUTIVA DEL CONSEJO</t>
        </is>
      </c>
      <c r="M620" t="n">
        <v>40</v>
      </c>
      <c r="N620" t="inlineStr">
        <is>
          <t>DIRECCION GENERAL BANCO BASE</t>
        </is>
      </c>
      <c r="O620" t="n">
        <v>410</v>
      </c>
      <c r="P620" t="inlineStr">
        <is>
          <t>DIRECCION COMERCIAL</t>
        </is>
      </c>
      <c r="Q620" t="n">
        <v>4150</v>
      </c>
      <c r="R620" t="inlineStr">
        <is>
          <t>DIRECCION COMERCIAL MONTERREY 1</t>
        </is>
      </c>
      <c r="S620" t="n">
        <v>41500</v>
      </c>
      <c r="T620" t="inlineStr">
        <is>
          <t>DIRECCION COMERCIAL MONTERREY</t>
        </is>
      </c>
      <c r="U620" t="n">
        <v>415001</v>
      </c>
      <c r="V620" t="inlineStr">
        <is>
          <t>PROMOCION MONTERREY</t>
        </is>
      </c>
      <c r="W620" t="n">
        <v>126102</v>
      </c>
      <c r="X620" t="inlineStr">
        <is>
          <t>VALLE ORIENTE</t>
        </is>
      </c>
      <c r="Y620" t="n">
        <v>13</v>
      </c>
      <c r="Z620" t="inlineStr">
        <is>
          <t>FINANCIAMIENTO</t>
        </is>
      </c>
      <c r="AA620" t="n">
        <v>1</v>
      </c>
      <c r="AB620" t="inlineStr">
        <is>
          <t>NEGOCIO EN MARCHA</t>
        </is>
      </c>
      <c r="AC620" t="n">
        <v>1</v>
      </c>
      <c r="AD620" t="inlineStr">
        <is>
          <t>BANCO</t>
        </is>
      </c>
      <c r="AE620" t="n">
        <v>3</v>
      </c>
      <c r="AF620" t="inlineStr">
        <is>
          <t>FRONT</t>
        </is>
      </c>
      <c r="AG620" t="n">
        <v>126102</v>
      </c>
      <c r="AH620" t="inlineStr">
        <is>
          <t>MONTERREY</t>
        </is>
      </c>
      <c r="AI620" t="inlineStr">
        <is>
          <t>ERODRIGUEA@BANCOBASE.COM</t>
        </is>
      </c>
      <c r="AJ620" s="151" t="n">
        <v>44718</v>
      </c>
      <c r="AK620" s="151" t="n"/>
      <c r="AL620" s="151" t="n"/>
    </row>
    <row r="621" hidden="1" s="150">
      <c r="A621" t="inlineStr">
        <is>
          <t>OESPINOSA</t>
        </is>
      </c>
      <c r="B621" t="n">
        <v>201</v>
      </c>
      <c r="C621" t="inlineStr">
        <is>
          <t>OSCAR MARCELO ESPINOSA BERARDI</t>
        </is>
      </c>
      <c r="D621" t="n">
        <v>8600</v>
      </c>
      <c r="E621" t="inlineStr">
        <is>
          <t>ASESOR CAMBIARIO</t>
        </is>
      </c>
      <c r="F621" t="inlineStr">
        <is>
          <t>MONTERREY</t>
        </is>
      </c>
      <c r="G621" t="n">
        <v>482</v>
      </c>
      <c r="H621" t="inlineStr">
        <is>
          <t>CARLOS FERNANDO TREVIÑO VILLARREAL</t>
        </is>
      </c>
      <c r="I621" t="n">
        <v>71</v>
      </c>
      <c r="J621" t="inlineStr">
        <is>
          <t>DIRECTOR COMERCIAL MONTERREY</t>
        </is>
      </c>
      <c r="K621" t="n">
        <v>1</v>
      </c>
      <c r="L621" t="inlineStr">
        <is>
          <t>PRESIDENCIA EJECUTIVA DEL CONSEJO</t>
        </is>
      </c>
      <c r="M621" t="n">
        <v>40</v>
      </c>
      <c r="N621" t="inlineStr">
        <is>
          <t>DIRECCION GENERAL BANCO BASE</t>
        </is>
      </c>
      <c r="O621" t="n">
        <v>410</v>
      </c>
      <c r="P621" t="inlineStr">
        <is>
          <t>DIRECCION COMERCIAL</t>
        </is>
      </c>
      <c r="Q621" t="n">
        <v>4150</v>
      </c>
      <c r="R621" t="inlineStr">
        <is>
          <t>DIRECCION COMERCIAL MONTERREY 1</t>
        </is>
      </c>
      <c r="S621" t="n">
        <v>41500</v>
      </c>
      <c r="T621" t="inlineStr">
        <is>
          <t>DIRECCION COMERCIAL MONTERREY</t>
        </is>
      </c>
      <c r="U621" t="n">
        <v>415001</v>
      </c>
      <c r="V621" t="inlineStr">
        <is>
          <t>PROMOCION MONTERREY</t>
        </is>
      </c>
      <c r="W621" t="n">
        <v>126102</v>
      </c>
      <c r="X621" t="inlineStr">
        <is>
          <t>VALLE ORIENTE</t>
        </is>
      </c>
      <c r="Y621" t="n">
        <v>3</v>
      </c>
      <c r="Z621" t="inlineStr">
        <is>
          <t>CAMBIARIO</t>
        </is>
      </c>
      <c r="AA621" t="n">
        <v>1</v>
      </c>
      <c r="AB621" t="inlineStr">
        <is>
          <t>NEGOCIO EN MARCHA</t>
        </is>
      </c>
      <c r="AC621" t="n">
        <v>1</v>
      </c>
      <c r="AD621" t="inlineStr">
        <is>
          <t>BANCO</t>
        </is>
      </c>
      <c r="AE621" t="n">
        <v>3</v>
      </c>
      <c r="AF621" t="inlineStr">
        <is>
          <t>FRONT</t>
        </is>
      </c>
      <c r="AG621" t="n">
        <v>126102</v>
      </c>
      <c r="AH621" t="inlineStr">
        <is>
          <t>MONTERREY</t>
        </is>
      </c>
      <c r="AI621" t="inlineStr">
        <is>
          <t>OESPINOSA@BANCOBASE.COM</t>
        </is>
      </c>
      <c r="AJ621" s="151" t="n">
        <v>37257</v>
      </c>
      <c r="AK621" s="151" t="n"/>
      <c r="AL621" s="151" t="n"/>
    </row>
    <row r="622" hidden="1" s="150">
      <c r="A622" t="inlineStr">
        <is>
          <t>RFRANCOO</t>
        </is>
      </c>
      <c r="B622" t="n">
        <v>3308</v>
      </c>
      <c r="C622" t="inlineStr">
        <is>
          <t>RAMSES MOISES FRANCO OLIVARES</t>
        </is>
      </c>
      <c r="D622" t="n">
        <v>8403</v>
      </c>
      <c r="E622" t="inlineStr">
        <is>
          <t>EJECUTIVO DE SOPORTE</t>
        </is>
      </c>
      <c r="F622" t="inlineStr">
        <is>
          <t>MONTERREY</t>
        </is>
      </c>
      <c r="G622" t="n">
        <v>482</v>
      </c>
      <c r="H622" t="inlineStr">
        <is>
          <t>CARLOS FERNANDO TREVIÑO VILLARREAL</t>
        </is>
      </c>
      <c r="I622" t="n">
        <v>71</v>
      </c>
      <c r="J622" t="inlineStr">
        <is>
          <t>DIRECTOR COMERCIAL MONTERREY</t>
        </is>
      </c>
      <c r="K622" t="n">
        <v>1</v>
      </c>
      <c r="L622" t="inlineStr">
        <is>
          <t>PRESIDENCIA EJECUTIVA DEL CONSEJO</t>
        </is>
      </c>
      <c r="M622" t="n">
        <v>40</v>
      </c>
      <c r="N622" t="inlineStr">
        <is>
          <t>DIRECCION GENERAL BANCO BASE</t>
        </is>
      </c>
      <c r="O622" t="n">
        <v>410</v>
      </c>
      <c r="P622" t="inlineStr">
        <is>
          <t>DIRECCION COMERCIAL</t>
        </is>
      </c>
      <c r="Q622" t="n">
        <v>4150</v>
      </c>
      <c r="R622" t="inlineStr">
        <is>
          <t>DIRECCION COMERCIAL MONTERREY 1</t>
        </is>
      </c>
      <c r="S622" t="n">
        <v>41500</v>
      </c>
      <c r="T622" t="inlineStr">
        <is>
          <t>DIRECCION COMERCIAL MONTERREY</t>
        </is>
      </c>
      <c r="U622" t="n">
        <v>415001</v>
      </c>
      <c r="V622" t="inlineStr">
        <is>
          <t>PROMOCION MONTERREY</t>
        </is>
      </c>
      <c r="W622" t="n">
        <v>126102</v>
      </c>
      <c r="X622" t="inlineStr">
        <is>
          <t>VALLE ORIENTE</t>
        </is>
      </c>
      <c r="Y622" t="n">
        <v>17</v>
      </c>
      <c r="Z622" t="inlineStr">
        <is>
          <t>SOPORTE</t>
        </is>
      </c>
      <c r="AA622" t="n">
        <v>1</v>
      </c>
      <c r="AB622" t="inlineStr">
        <is>
          <t>NEGOCIO EN MARCHA</t>
        </is>
      </c>
      <c r="AC622" t="n">
        <v>1</v>
      </c>
      <c r="AD622" t="inlineStr">
        <is>
          <t>BANCO</t>
        </is>
      </c>
      <c r="AE622" t="n">
        <v>2</v>
      </c>
      <c r="AF622" t="inlineStr">
        <is>
          <t>MIDDLE</t>
        </is>
      </c>
      <c r="AG622" t="n">
        <v>126102</v>
      </c>
      <c r="AH622" t="inlineStr">
        <is>
          <t>MONTERREY</t>
        </is>
      </c>
      <c r="AI622" t="inlineStr">
        <is>
          <t>RFRANCOO@BANCOBASE.COM</t>
        </is>
      </c>
      <c r="AJ622" s="151" t="n">
        <v>45663</v>
      </c>
      <c r="AK622" s="151" t="n"/>
      <c r="AL622" s="151" t="n"/>
    </row>
    <row r="623" hidden="1" s="150">
      <c r="A623" t="inlineStr">
        <is>
          <t>IJASSO</t>
        </is>
      </c>
      <c r="B623" t="n">
        <v>3772</v>
      </c>
      <c r="C623" t="inlineStr">
        <is>
          <t>IVAN JASSO OVALLE</t>
        </is>
      </c>
      <c r="D623" t="n">
        <v>9268</v>
      </c>
      <c r="E623" t="inlineStr">
        <is>
          <t>SUBDIRECTOR COMERCIAL</t>
        </is>
      </c>
      <c r="F623" t="inlineStr">
        <is>
          <t>MONTERREY</t>
        </is>
      </c>
      <c r="G623" t="n">
        <v>482</v>
      </c>
      <c r="H623" t="inlineStr">
        <is>
          <t>CARLOS FERNANDO TREVIÑO VILLARREAL</t>
        </is>
      </c>
      <c r="I623" t="n">
        <v>71</v>
      </c>
      <c r="J623" t="inlineStr">
        <is>
          <t>DIRECTOR COMERCIAL MONTERREY</t>
        </is>
      </c>
      <c r="K623" t="n">
        <v>1</v>
      </c>
      <c r="L623" t="inlineStr">
        <is>
          <t>PRESIDENCIA EJECUTIVA DEL CONSEJO</t>
        </is>
      </c>
      <c r="M623" t="n">
        <v>40</v>
      </c>
      <c r="N623" t="inlineStr">
        <is>
          <t>DIRECCION GENERAL BANCO BASE</t>
        </is>
      </c>
      <c r="O623" t="n">
        <v>410</v>
      </c>
      <c r="P623" t="inlineStr">
        <is>
          <t>DIRECCION COMERCIAL</t>
        </is>
      </c>
      <c r="Q623" t="n">
        <v>4150</v>
      </c>
      <c r="R623" t="inlineStr">
        <is>
          <t>DIRECCION COMERCIAL MONTERREY 1</t>
        </is>
      </c>
      <c r="S623" t="n">
        <v>41501</v>
      </c>
      <c r="T623" t="inlineStr">
        <is>
          <t>SUBDIRECCION COMERCIAL MONTERREY 6</t>
        </is>
      </c>
      <c r="U623" t="n">
        <v>415011</v>
      </c>
      <c r="V623" t="inlineStr">
        <is>
          <t>SUBDIRECCION COMERCIAL MONTERREY 6</t>
        </is>
      </c>
      <c r="W623" t="n">
        <v>126102</v>
      </c>
      <c r="X623" t="inlineStr">
        <is>
          <t>VALLE ORIENTE</t>
        </is>
      </c>
      <c r="Y623" t="n">
        <v>3</v>
      </c>
      <c r="Z623" t="inlineStr">
        <is>
          <t>CAMBIARIO</t>
        </is>
      </c>
      <c r="AA623" t="n">
        <v>1</v>
      </c>
      <c r="AB623" t="inlineStr">
        <is>
          <t>NEGOCIO EN MARCHA</t>
        </is>
      </c>
      <c r="AC623" t="n">
        <v>1</v>
      </c>
      <c r="AD623" t="inlineStr">
        <is>
          <t>BANCO</t>
        </is>
      </c>
      <c r="AE623" t="n">
        <v>3</v>
      </c>
      <c r="AF623" t="inlineStr">
        <is>
          <t>FRONT</t>
        </is>
      </c>
      <c r="AG623" t="n">
        <v>126102</v>
      </c>
      <c r="AH623" t="inlineStr">
        <is>
          <t>MONTERREY</t>
        </is>
      </c>
      <c r="AI623" t="inlineStr">
        <is>
          <t>IJASSO@BANCOBASE.COM</t>
        </is>
      </c>
      <c r="AJ623" s="151" t="n">
        <v>46083</v>
      </c>
      <c r="AK623" s="151" t="n"/>
      <c r="AL623" s="151" t="n"/>
    </row>
    <row r="624" hidden="1" s="150">
      <c r="A624" t="inlineStr">
        <is>
          <t>AVILLASANT</t>
        </is>
      </c>
      <c r="B624" t="n">
        <v>683</v>
      </c>
      <c r="C624" t="inlineStr">
        <is>
          <t>ANDRES VILLASANTE REYNA</t>
        </is>
      </c>
      <c r="D624" t="n">
        <v>8594</v>
      </c>
      <c r="E624" t="inlineStr">
        <is>
          <t>ASESOR CAMBIARIO</t>
        </is>
      </c>
      <c r="F624" t="inlineStr">
        <is>
          <t>TELETRABAJO</t>
        </is>
      </c>
      <c r="G624" t="n">
        <v>3772</v>
      </c>
      <c r="H624" t="inlineStr">
        <is>
          <t>IVAN JASSO OVALLE</t>
        </is>
      </c>
      <c r="I624" t="n">
        <v>9268</v>
      </c>
      <c r="J624" t="inlineStr">
        <is>
          <t>SUBDIRECTOR COMERCIAL</t>
        </is>
      </c>
      <c r="K624" t="n">
        <v>1</v>
      </c>
      <c r="L624" t="inlineStr">
        <is>
          <t>PRESIDENCIA EJECUTIVA DEL CONSEJO</t>
        </is>
      </c>
      <c r="M624" t="n">
        <v>40</v>
      </c>
      <c r="N624" t="inlineStr">
        <is>
          <t>DIRECCION GENERAL BANCO BASE</t>
        </is>
      </c>
      <c r="O624" t="n">
        <v>410</v>
      </c>
      <c r="P624" t="inlineStr">
        <is>
          <t>DIRECCION COMERCIAL</t>
        </is>
      </c>
      <c r="Q624" t="n">
        <v>4150</v>
      </c>
      <c r="R624" t="inlineStr">
        <is>
          <t>DIRECCION COMERCIAL MONTERREY 1</t>
        </is>
      </c>
      <c r="S624" t="n">
        <v>41501</v>
      </c>
      <c r="T624" t="inlineStr">
        <is>
          <t>SUBDIRECCION COMERCIAL MONTERREY 6</t>
        </is>
      </c>
      <c r="U624" t="n">
        <v>415011</v>
      </c>
      <c r="V624" t="inlineStr">
        <is>
          <t>SUBDIRECCION COMERCIAL MONTERREY 6</t>
        </is>
      </c>
      <c r="W624" t="n">
        <v>126102</v>
      </c>
      <c r="X624" t="inlineStr">
        <is>
          <t>VALLE ORIENTE</t>
        </is>
      </c>
      <c r="Y624" t="n">
        <v>3</v>
      </c>
      <c r="Z624" t="inlineStr">
        <is>
          <t>CAMBIARIO</t>
        </is>
      </c>
      <c r="AA624" t="n">
        <v>1</v>
      </c>
      <c r="AB624" t="inlineStr">
        <is>
          <t>NEGOCIO EN MARCHA</t>
        </is>
      </c>
      <c r="AC624" t="n">
        <v>1</v>
      </c>
      <c r="AD624" t="inlineStr">
        <is>
          <t>BANCO</t>
        </is>
      </c>
      <c r="AE624" t="n">
        <v>3</v>
      </c>
      <c r="AF624" t="inlineStr">
        <is>
          <t>FRONT</t>
        </is>
      </c>
      <c r="AG624" t="n">
        <v>126102</v>
      </c>
      <c r="AH624" t="inlineStr">
        <is>
          <t>MONTERREY</t>
        </is>
      </c>
      <c r="AI624" t="inlineStr">
        <is>
          <t>AVILLASANT@BANCOBASE.COM</t>
        </is>
      </c>
      <c r="AJ624" s="151" t="n">
        <v>40513</v>
      </c>
      <c r="AK624" s="151" t="n"/>
      <c r="AL624" s="151" t="n"/>
    </row>
    <row r="625" hidden="1" s="150">
      <c r="A625" t="inlineStr">
        <is>
          <t>MMARTINEZO</t>
        </is>
      </c>
      <c r="B625" t="n">
        <v>321</v>
      </c>
      <c r="C625" t="inlineStr">
        <is>
          <t>MONICA YANETT MARTINEZ ONTIVEROS</t>
        </is>
      </c>
      <c r="D625" t="n">
        <v>8596</v>
      </c>
      <c r="E625" t="inlineStr">
        <is>
          <t>ASESOR CAMBIARIO</t>
        </is>
      </c>
      <c r="F625" t="inlineStr">
        <is>
          <t>MONTERREY</t>
        </is>
      </c>
      <c r="G625" t="n">
        <v>3772</v>
      </c>
      <c r="H625" t="inlineStr">
        <is>
          <t>IVAN JASSO OVALLE</t>
        </is>
      </c>
      <c r="I625" t="n">
        <v>9268</v>
      </c>
      <c r="J625" t="inlineStr">
        <is>
          <t>SUBDIRECTOR COMERCIAL</t>
        </is>
      </c>
      <c r="K625" t="n">
        <v>1</v>
      </c>
      <c r="L625" t="inlineStr">
        <is>
          <t>PRESIDENCIA EJECUTIVA DEL CONSEJO</t>
        </is>
      </c>
      <c r="M625" t="n">
        <v>40</v>
      </c>
      <c r="N625" t="inlineStr">
        <is>
          <t>DIRECCION GENERAL BANCO BASE</t>
        </is>
      </c>
      <c r="O625" t="n">
        <v>410</v>
      </c>
      <c r="P625" t="inlineStr">
        <is>
          <t>DIRECCION COMERCIAL</t>
        </is>
      </c>
      <c r="Q625" t="n">
        <v>4150</v>
      </c>
      <c r="R625" t="inlineStr">
        <is>
          <t>DIRECCION COMERCIAL MONTERREY 1</t>
        </is>
      </c>
      <c r="S625" t="n">
        <v>41501</v>
      </c>
      <c r="T625" t="inlineStr">
        <is>
          <t>SUBDIRECCION COMERCIAL MONTERREY 6</t>
        </is>
      </c>
      <c r="U625" t="n">
        <v>415011</v>
      </c>
      <c r="V625" t="inlineStr">
        <is>
          <t>SUBDIRECCION COMERCIAL MONTERREY 6</t>
        </is>
      </c>
      <c r="W625" t="n">
        <v>126102</v>
      </c>
      <c r="X625" t="inlineStr">
        <is>
          <t>VALLE ORIENTE</t>
        </is>
      </c>
      <c r="Y625" t="n">
        <v>3</v>
      </c>
      <c r="Z625" t="inlineStr">
        <is>
          <t>CAMBIARIO</t>
        </is>
      </c>
      <c r="AA625" t="n">
        <v>1</v>
      </c>
      <c r="AB625" t="inlineStr">
        <is>
          <t>NEGOCIO EN MARCHA</t>
        </is>
      </c>
      <c r="AC625" t="n">
        <v>1</v>
      </c>
      <c r="AD625" t="inlineStr">
        <is>
          <t>BANCO</t>
        </is>
      </c>
      <c r="AE625" t="n">
        <v>3</v>
      </c>
      <c r="AF625" t="inlineStr">
        <is>
          <t>FRONT</t>
        </is>
      </c>
      <c r="AG625" t="n">
        <v>126102</v>
      </c>
      <c r="AH625" t="inlineStr">
        <is>
          <t>MONTERREY</t>
        </is>
      </c>
      <c r="AI625" t="inlineStr">
        <is>
          <t>MMARTINEZO@BANCOBASE.COM</t>
        </is>
      </c>
      <c r="AJ625" s="151" t="n">
        <v>38792</v>
      </c>
      <c r="AK625" s="151" t="n"/>
      <c r="AL625" s="151" t="n"/>
    </row>
    <row r="626" hidden="1" s="150">
      <c r="A626" t="inlineStr">
        <is>
          <t>MTREVINO</t>
        </is>
      </c>
      <c r="B626" t="n">
        <v>15</v>
      </c>
      <c r="C626" t="inlineStr">
        <is>
          <t>MYRIAM ELIZABETH TREVIÑO PEREZ</t>
        </is>
      </c>
      <c r="D626" t="n">
        <v>8598</v>
      </c>
      <c r="E626" t="inlineStr">
        <is>
          <t>GERENTE DE PROMOCION</t>
        </is>
      </c>
      <c r="F626" t="inlineStr">
        <is>
          <t>MONTERREY</t>
        </is>
      </c>
      <c r="G626" t="n">
        <v>3772</v>
      </c>
      <c r="H626" t="inlineStr">
        <is>
          <t>IVAN JASSO OVALLE</t>
        </is>
      </c>
      <c r="I626" t="n">
        <v>9268</v>
      </c>
      <c r="J626" t="inlineStr">
        <is>
          <t>SUBDIRECTOR COMERCIAL</t>
        </is>
      </c>
      <c r="K626" t="n">
        <v>1</v>
      </c>
      <c r="L626" t="inlineStr">
        <is>
          <t>PRESIDENCIA EJECUTIVA DEL CONSEJO</t>
        </is>
      </c>
      <c r="M626" t="n">
        <v>40</v>
      </c>
      <c r="N626" t="inlineStr">
        <is>
          <t>DIRECCION GENERAL BANCO BASE</t>
        </is>
      </c>
      <c r="O626" t="n">
        <v>410</v>
      </c>
      <c r="P626" t="inlineStr">
        <is>
          <t>DIRECCION COMERCIAL</t>
        </is>
      </c>
      <c r="Q626" t="n">
        <v>4150</v>
      </c>
      <c r="R626" t="inlineStr">
        <is>
          <t>DIRECCION COMERCIAL MONTERREY 1</t>
        </is>
      </c>
      <c r="S626" t="n">
        <v>41501</v>
      </c>
      <c r="T626" t="inlineStr">
        <is>
          <t>SUBDIRECCION COMERCIAL MONTERREY 6</t>
        </is>
      </c>
      <c r="U626" t="n">
        <v>415011</v>
      </c>
      <c r="V626" t="inlineStr">
        <is>
          <t>SUBDIRECCION COMERCIAL MONTERREY 6</t>
        </is>
      </c>
      <c r="W626" t="n">
        <v>126102</v>
      </c>
      <c r="X626" t="inlineStr">
        <is>
          <t>VALLE ORIENTE</t>
        </is>
      </c>
      <c r="Y626" t="n">
        <v>3</v>
      </c>
      <c r="Z626" t="inlineStr">
        <is>
          <t>CAMBIARIO</t>
        </is>
      </c>
      <c r="AA626" t="n">
        <v>1</v>
      </c>
      <c r="AB626" t="inlineStr">
        <is>
          <t>NEGOCIO EN MARCHA</t>
        </is>
      </c>
      <c r="AC626" t="n">
        <v>1</v>
      </c>
      <c r="AD626" t="inlineStr">
        <is>
          <t>BANCO</t>
        </is>
      </c>
      <c r="AE626" t="n">
        <v>3</v>
      </c>
      <c r="AF626" t="inlineStr">
        <is>
          <t>FRONT</t>
        </is>
      </c>
      <c r="AG626" t="n">
        <v>126102</v>
      </c>
      <c r="AH626" t="inlineStr">
        <is>
          <t>MONTERREY</t>
        </is>
      </c>
      <c r="AI626" t="inlineStr">
        <is>
          <t>MTREVINO@BANCOBASE.COM</t>
        </is>
      </c>
      <c r="AJ626" s="151" t="n">
        <v>33519</v>
      </c>
      <c r="AK626" s="151" t="n"/>
      <c r="AL626" s="151" t="n"/>
    </row>
    <row r="627" hidden="1" s="150">
      <c r="A627" t="inlineStr">
        <is>
          <t>DSERRANO</t>
        </is>
      </c>
      <c r="B627" t="n">
        <v>3127</v>
      </c>
      <c r="C627" t="inlineStr">
        <is>
          <t>DANIELA SERRANO VAZQUEZ</t>
        </is>
      </c>
      <c r="D627" t="n">
        <v>8652</v>
      </c>
      <c r="E627" t="inlineStr">
        <is>
          <t>ASISTENTE CAMBIARIO</t>
        </is>
      </c>
      <c r="F627" t="inlineStr">
        <is>
          <t>MONTERREY</t>
        </is>
      </c>
      <c r="G627" t="n">
        <v>3772</v>
      </c>
      <c r="H627" t="inlineStr">
        <is>
          <t>IVAN JASSO OVALLE</t>
        </is>
      </c>
      <c r="I627" t="n">
        <v>9268</v>
      </c>
      <c r="J627" t="inlineStr">
        <is>
          <t>SUBDIRECTOR COMERCIAL</t>
        </is>
      </c>
      <c r="K627" t="n">
        <v>1</v>
      </c>
      <c r="L627" t="inlineStr">
        <is>
          <t>PRESIDENCIA EJECUTIVA DEL CONSEJO</t>
        </is>
      </c>
      <c r="M627" t="n">
        <v>40</v>
      </c>
      <c r="N627" t="inlineStr">
        <is>
          <t>DIRECCION GENERAL BANCO BASE</t>
        </is>
      </c>
      <c r="O627" t="n">
        <v>410</v>
      </c>
      <c r="P627" t="inlineStr">
        <is>
          <t>DIRECCION COMERCIAL</t>
        </is>
      </c>
      <c r="Q627" t="n">
        <v>4150</v>
      </c>
      <c r="R627" t="inlineStr">
        <is>
          <t>DIRECCION COMERCIAL MONTERREY 1</t>
        </is>
      </c>
      <c r="S627" t="n">
        <v>41501</v>
      </c>
      <c r="T627" t="inlineStr">
        <is>
          <t>SUBDIRECCION COMERCIAL MONTERREY 6</t>
        </is>
      </c>
      <c r="U627" t="n">
        <v>415011</v>
      </c>
      <c r="V627" t="inlineStr">
        <is>
          <t>SUBDIRECCION COMERCIAL MONTERREY 6</t>
        </is>
      </c>
      <c r="W627" t="n">
        <v>126102</v>
      </c>
      <c r="X627" t="inlineStr">
        <is>
          <t>VALLE ORIENTE</t>
        </is>
      </c>
      <c r="Y627" t="n">
        <v>3</v>
      </c>
      <c r="Z627" t="inlineStr">
        <is>
          <t>CAMBIARIO</t>
        </is>
      </c>
      <c r="AA627" t="n">
        <v>1</v>
      </c>
      <c r="AB627" t="inlineStr">
        <is>
          <t>NEGOCIO EN MARCHA</t>
        </is>
      </c>
      <c r="AC627" t="n">
        <v>1</v>
      </c>
      <c r="AD627" t="inlineStr">
        <is>
          <t>BANCO</t>
        </is>
      </c>
      <c r="AE627" t="n">
        <v>2</v>
      </c>
      <c r="AF627" t="inlineStr">
        <is>
          <t>MIDDLE</t>
        </is>
      </c>
      <c r="AG627" t="n">
        <v>126102</v>
      </c>
      <c r="AH627" t="inlineStr">
        <is>
          <t>MONTERREY</t>
        </is>
      </c>
      <c r="AI627" t="inlineStr">
        <is>
          <t>DSERRANO@BANCOBASE.COM</t>
        </is>
      </c>
      <c r="AJ627" s="151" t="n">
        <v>45446</v>
      </c>
      <c r="AK627" s="151" t="n"/>
      <c r="AL627" s="151" t="n"/>
    </row>
    <row r="628" hidden="1" s="150">
      <c r="A628" t="inlineStr">
        <is>
          <t>PRANGEL</t>
        </is>
      </c>
      <c r="B628" t="n">
        <v>2088</v>
      </c>
      <c r="C628" t="inlineStr">
        <is>
          <t>PERLA PAOLA RANGEL MARTINEZ</t>
        </is>
      </c>
      <c r="D628" t="n">
        <v>8670</v>
      </c>
      <c r="E628" t="inlineStr">
        <is>
          <t>ESPECIALISTA DE BANCA TRANSACCIONAL</t>
        </is>
      </c>
      <c r="F628" t="inlineStr">
        <is>
          <t>MONTERREY</t>
        </is>
      </c>
      <c r="G628" t="n">
        <v>3772</v>
      </c>
      <c r="H628" t="inlineStr">
        <is>
          <t>IVAN JASSO OVALLE</t>
        </is>
      </c>
      <c r="I628" t="n">
        <v>9268</v>
      </c>
      <c r="J628" t="inlineStr">
        <is>
          <t>SUBDIRECTOR COMERCIAL</t>
        </is>
      </c>
      <c r="K628" t="n">
        <v>1</v>
      </c>
      <c r="L628" t="inlineStr">
        <is>
          <t>PRESIDENCIA EJECUTIVA DEL CONSEJO</t>
        </is>
      </c>
      <c r="M628" t="n">
        <v>40</v>
      </c>
      <c r="N628" t="inlineStr">
        <is>
          <t>DIRECCION GENERAL BANCO BASE</t>
        </is>
      </c>
      <c r="O628" t="n">
        <v>410</v>
      </c>
      <c r="P628" t="inlineStr">
        <is>
          <t>DIRECCION COMERCIAL</t>
        </is>
      </c>
      <c r="Q628" t="n">
        <v>4150</v>
      </c>
      <c r="R628" t="inlineStr">
        <is>
          <t>DIRECCION COMERCIAL MONTERREY 1</t>
        </is>
      </c>
      <c r="S628" t="n">
        <v>41501</v>
      </c>
      <c r="T628" t="inlineStr">
        <is>
          <t>SUBDIRECCION COMERCIAL MONTERREY 6</t>
        </is>
      </c>
      <c r="U628" t="n">
        <v>415011</v>
      </c>
      <c r="V628" t="inlineStr">
        <is>
          <t>SUBDIRECCION COMERCIAL MONTERREY 6</t>
        </is>
      </c>
      <c r="W628" t="n">
        <v>126102</v>
      </c>
      <c r="X628" t="inlineStr">
        <is>
          <t>VALLE ORIENTE</t>
        </is>
      </c>
      <c r="Y628" t="n">
        <v>14</v>
      </c>
      <c r="Z628" t="inlineStr">
        <is>
          <t>TRANSACCIONAL</t>
        </is>
      </c>
      <c r="AA628" t="n">
        <v>1</v>
      </c>
      <c r="AB628" t="inlineStr">
        <is>
          <t>NEGOCIO EN MARCHA</t>
        </is>
      </c>
      <c r="AC628" t="n">
        <v>1</v>
      </c>
      <c r="AD628" t="inlineStr">
        <is>
          <t>BANCO</t>
        </is>
      </c>
      <c r="AE628" t="n">
        <v>3</v>
      </c>
      <c r="AF628" t="inlineStr">
        <is>
          <t>FRONT</t>
        </is>
      </c>
      <c r="AG628" t="n">
        <v>126102</v>
      </c>
      <c r="AH628" t="inlineStr">
        <is>
          <t>MONTERREY</t>
        </is>
      </c>
      <c r="AI628" t="inlineStr">
        <is>
          <t>PRANGEL@BANCOBASE.COM</t>
        </is>
      </c>
      <c r="AJ628" s="151" t="n">
        <v>43346</v>
      </c>
      <c r="AK628" s="151" t="n"/>
      <c r="AL628" s="151" t="n"/>
    </row>
    <row r="629" hidden="1" s="150">
      <c r="A629" t="inlineStr">
        <is>
          <t>AMACIAS</t>
        </is>
      </c>
      <c r="B629" t="n">
        <v>2297</v>
      </c>
      <c r="C629" t="inlineStr">
        <is>
          <t>ALMA NELLY MACIAS MARISCAL</t>
        </is>
      </c>
      <c r="D629" t="n">
        <v>10112</v>
      </c>
      <c r="E629" t="inlineStr">
        <is>
          <t>ESPECIALISTA DE FINANCIAMIENTO</t>
        </is>
      </c>
      <c r="F629" t="inlineStr">
        <is>
          <t>MONTERREY</t>
        </is>
      </c>
      <c r="G629" t="n">
        <v>3772</v>
      </c>
      <c r="H629" t="inlineStr">
        <is>
          <t>IVAN JASSO OVALLE</t>
        </is>
      </c>
      <c r="I629" t="n">
        <v>9268</v>
      </c>
      <c r="J629" t="inlineStr">
        <is>
          <t>SUBDIRECTOR COMERCIAL</t>
        </is>
      </c>
      <c r="K629" t="n">
        <v>1</v>
      </c>
      <c r="L629" t="inlineStr">
        <is>
          <t>PRESIDENCIA EJECUTIVA DEL CONSEJO</t>
        </is>
      </c>
      <c r="M629" t="n">
        <v>40</v>
      </c>
      <c r="N629" t="inlineStr">
        <is>
          <t>DIRECCION GENERAL BANCO BASE</t>
        </is>
      </c>
      <c r="O629" t="n">
        <v>410</v>
      </c>
      <c r="P629" t="inlineStr">
        <is>
          <t>DIRECCION COMERCIAL</t>
        </is>
      </c>
      <c r="Q629" t="n">
        <v>4150</v>
      </c>
      <c r="R629" t="inlineStr">
        <is>
          <t>DIRECCION COMERCIAL MONTERREY 1</t>
        </is>
      </c>
      <c r="S629" t="n">
        <v>41501</v>
      </c>
      <c r="T629" t="inlineStr">
        <is>
          <t>SUBDIRECCION COMERCIAL MONTERREY 6</t>
        </is>
      </c>
      <c r="U629" t="n">
        <v>415011</v>
      </c>
      <c r="V629" t="inlineStr">
        <is>
          <t>SUBDIRECCION COMERCIAL MONTERREY 6</t>
        </is>
      </c>
      <c r="W629" t="n">
        <v>126102</v>
      </c>
      <c r="X629" t="inlineStr">
        <is>
          <t>VALLE ORIENTE</t>
        </is>
      </c>
      <c r="Y629" t="n">
        <v>13</v>
      </c>
      <c r="Z629" t="inlineStr">
        <is>
          <t>FINANCIAMIENTO</t>
        </is>
      </c>
      <c r="AA629" t="n">
        <v>1</v>
      </c>
      <c r="AB629" t="inlineStr">
        <is>
          <t>NEGOCIO EN MARCHA</t>
        </is>
      </c>
      <c r="AC629" t="n">
        <v>1</v>
      </c>
      <c r="AD629" t="inlineStr">
        <is>
          <t>BANCO</t>
        </is>
      </c>
      <c r="AE629" t="n">
        <v>3</v>
      </c>
      <c r="AF629" t="inlineStr">
        <is>
          <t>FRONT</t>
        </is>
      </c>
      <c r="AG629" t="n">
        <v>126102</v>
      </c>
      <c r="AH629" t="inlineStr">
        <is>
          <t>MONTERREY</t>
        </is>
      </c>
      <c r="AI629" t="inlineStr">
        <is>
          <t>AMACIAS@BANCOBASE.COM</t>
        </is>
      </c>
      <c r="AJ629" s="151" t="n">
        <v>43682</v>
      </c>
      <c r="AK629" s="151" t="n"/>
      <c r="AL629" s="151" t="n"/>
    </row>
    <row r="630" hidden="1" s="150">
      <c r="A630" t="inlineStr">
        <is>
          <t>ESANCHEZCA</t>
        </is>
      </c>
      <c r="B630" t="n">
        <v>3017</v>
      </c>
      <c r="C630" t="inlineStr">
        <is>
          <t>FATIMA ELIZABETH SANCHEZ CARMONA</t>
        </is>
      </c>
      <c r="D630" t="n">
        <v>9944</v>
      </c>
      <c r="E630" t="inlineStr">
        <is>
          <t>ASESOR CAMBIARIO</t>
        </is>
      </c>
      <c r="F630" t="inlineStr">
        <is>
          <t>MONTERREY</t>
        </is>
      </c>
      <c r="G630" t="n">
        <v>3772</v>
      </c>
      <c r="H630" t="inlineStr">
        <is>
          <t>IVAN JASSO OVALLE</t>
        </is>
      </c>
      <c r="I630" t="n">
        <v>9268</v>
      </c>
      <c r="J630" t="inlineStr">
        <is>
          <t>SUBDIRECTOR COMERCIAL</t>
        </is>
      </c>
      <c r="K630" t="n">
        <v>1</v>
      </c>
      <c r="L630" t="inlineStr">
        <is>
          <t>PRESIDENCIA EJECUTIVA DEL CONSEJO</t>
        </is>
      </c>
      <c r="M630" t="n">
        <v>40</v>
      </c>
      <c r="N630" t="inlineStr">
        <is>
          <t>DIRECCION GENERAL BANCO BASE</t>
        </is>
      </c>
      <c r="O630" t="n">
        <v>410</v>
      </c>
      <c r="P630" t="inlineStr">
        <is>
          <t>DIRECCION COMERCIAL</t>
        </is>
      </c>
      <c r="Q630" t="n">
        <v>4150</v>
      </c>
      <c r="R630" t="inlineStr">
        <is>
          <t>DIRECCION COMERCIAL MONTERREY 1</t>
        </is>
      </c>
      <c r="S630" t="n">
        <v>41501</v>
      </c>
      <c r="T630" t="inlineStr">
        <is>
          <t>SUBDIRECCION COMERCIAL MONTERREY 6</t>
        </is>
      </c>
      <c r="U630" t="n">
        <v>415011</v>
      </c>
      <c r="V630" t="inlineStr">
        <is>
          <t>SUBDIRECCION COMERCIAL MONTERREY 6</t>
        </is>
      </c>
      <c r="W630" t="n">
        <v>126102</v>
      </c>
      <c r="X630" t="inlineStr">
        <is>
          <t>VALLE ORIENTE</t>
        </is>
      </c>
      <c r="Y630" t="n">
        <v>3</v>
      </c>
      <c r="Z630" t="inlineStr">
        <is>
          <t>CAMBIARIO</t>
        </is>
      </c>
      <c r="AA630" t="n">
        <v>1</v>
      </c>
      <c r="AB630" t="inlineStr">
        <is>
          <t>NEGOCIO EN MARCHA</t>
        </is>
      </c>
      <c r="AC630" t="n">
        <v>1</v>
      </c>
      <c r="AD630" t="inlineStr">
        <is>
          <t>BANCO</t>
        </is>
      </c>
      <c r="AE630" t="n">
        <v>3</v>
      </c>
      <c r="AF630" t="inlineStr">
        <is>
          <t>FRONT</t>
        </is>
      </c>
      <c r="AG630" t="n">
        <v>126102</v>
      </c>
      <c r="AH630" t="inlineStr">
        <is>
          <t>MONTERREY</t>
        </is>
      </c>
      <c r="AI630" t="inlineStr">
        <is>
          <t>ESANCHEZCA@BANCOBASE.COM</t>
        </is>
      </c>
      <c r="AJ630" s="151" t="n">
        <v>45323</v>
      </c>
      <c r="AK630" s="151" t="n"/>
      <c r="AL630" s="151" t="n"/>
    </row>
    <row r="631" hidden="1" s="150">
      <c r="A631" t="inlineStr">
        <is>
          <t>MPENAA</t>
        </is>
      </c>
      <c r="B631" t="n">
        <v>3636</v>
      </c>
      <c r="C631" t="inlineStr">
        <is>
          <t>MELVIN PEÑA ALVARADO</t>
        </is>
      </c>
      <c r="D631" t="n">
        <v>8595</v>
      </c>
      <c r="E631" t="inlineStr">
        <is>
          <t>ASESOR CAMBIARIO</t>
        </is>
      </c>
      <c r="F631" t="inlineStr">
        <is>
          <t>MONTERREY</t>
        </is>
      </c>
      <c r="G631" t="n">
        <v>3772</v>
      </c>
      <c r="H631" t="inlineStr">
        <is>
          <t>IVAN JASSO OVALLE</t>
        </is>
      </c>
      <c r="I631" t="n">
        <v>9268</v>
      </c>
      <c r="J631" t="inlineStr">
        <is>
          <t>SUBDIRECTOR COMERCIAL</t>
        </is>
      </c>
      <c r="K631" t="n">
        <v>1</v>
      </c>
      <c r="L631" t="inlineStr">
        <is>
          <t>PRESIDENCIA EJECUTIVA DEL CONSEJO</t>
        </is>
      </c>
      <c r="M631" t="n">
        <v>40</v>
      </c>
      <c r="N631" t="inlineStr">
        <is>
          <t>DIRECCION GENERAL BANCO BASE</t>
        </is>
      </c>
      <c r="O631" t="n">
        <v>410</v>
      </c>
      <c r="P631" t="inlineStr">
        <is>
          <t>DIRECCION COMERCIAL</t>
        </is>
      </c>
      <c r="Q631" t="n">
        <v>4150</v>
      </c>
      <c r="R631" t="inlineStr">
        <is>
          <t>DIRECCION COMERCIAL MONTERREY 1</t>
        </is>
      </c>
      <c r="S631" t="n">
        <v>41501</v>
      </c>
      <c r="T631" t="inlineStr">
        <is>
          <t>SUBDIRECCION COMERCIAL MONTERREY 6</t>
        </is>
      </c>
      <c r="U631" t="n">
        <v>415011</v>
      </c>
      <c r="V631" t="inlineStr">
        <is>
          <t>SUBDIRECCION COMERCIAL MONTERREY 6</t>
        </is>
      </c>
      <c r="W631" t="n">
        <v>126102</v>
      </c>
      <c r="X631" t="inlineStr">
        <is>
          <t>VALLE ORIENTE</t>
        </is>
      </c>
      <c r="Y631" t="n">
        <v>3</v>
      </c>
      <c r="Z631" t="inlineStr">
        <is>
          <t>CAMBIARIO</t>
        </is>
      </c>
      <c r="AA631" t="n">
        <v>1</v>
      </c>
      <c r="AB631" t="inlineStr">
        <is>
          <t>NEGOCIO EN MARCHA</t>
        </is>
      </c>
      <c r="AC631" t="n">
        <v>1</v>
      </c>
      <c r="AD631" t="inlineStr">
        <is>
          <t>BANCO</t>
        </is>
      </c>
      <c r="AE631" t="n">
        <v>3</v>
      </c>
      <c r="AF631" t="inlineStr">
        <is>
          <t>FRONT</t>
        </is>
      </c>
      <c r="AG631" t="n">
        <v>126102</v>
      </c>
      <c r="AH631" t="inlineStr">
        <is>
          <t>MONTERREY</t>
        </is>
      </c>
      <c r="AI631" t="inlineStr">
        <is>
          <t>MPENAA@BANCOBASE.COM</t>
        </is>
      </c>
      <c r="AJ631" s="151" t="n">
        <v>45946</v>
      </c>
      <c r="AK631" s="151" t="n"/>
      <c r="AL631" s="151" t="n"/>
    </row>
    <row r="632" hidden="1" s="150">
      <c r="A632" t="inlineStr">
        <is>
          <t>OMARTINEZG</t>
        </is>
      </c>
      <c r="B632" t="n">
        <v>3874</v>
      </c>
      <c r="C632" t="inlineStr">
        <is>
          <t>OSCAR EDUARDO MARTINEZ GAONA</t>
        </is>
      </c>
      <c r="D632" t="n">
        <v>8597</v>
      </c>
      <c r="E632" t="inlineStr">
        <is>
          <t>ASESOR CAMBIARIO</t>
        </is>
      </c>
      <c r="F632" t="inlineStr">
        <is>
          <t>MONTERREY</t>
        </is>
      </c>
      <c r="G632" t="n">
        <v>3772</v>
      </c>
      <c r="H632" t="inlineStr">
        <is>
          <t>IVAN JASSO OVALLE</t>
        </is>
      </c>
      <c r="I632" t="n">
        <v>9268</v>
      </c>
      <c r="J632" t="inlineStr">
        <is>
          <t>SUBDIRECTOR COMERCIAL</t>
        </is>
      </c>
      <c r="K632" t="n">
        <v>1</v>
      </c>
      <c r="L632" t="inlineStr">
        <is>
          <t>PRESIDENCIA EJECUTIVA DEL CONSEJO</t>
        </is>
      </c>
      <c r="M632" t="n">
        <v>40</v>
      </c>
      <c r="N632" t="inlineStr">
        <is>
          <t>DIRECCION GENERAL BANCO BASE</t>
        </is>
      </c>
      <c r="O632" t="n">
        <v>410</v>
      </c>
      <c r="P632" t="inlineStr">
        <is>
          <t>DIRECCION COMERCIAL</t>
        </is>
      </c>
      <c r="Q632" t="n">
        <v>4150</v>
      </c>
      <c r="R632" t="inlineStr">
        <is>
          <t>DIRECCION COMERCIAL MONTERREY 1</t>
        </is>
      </c>
      <c r="S632" t="n">
        <v>41501</v>
      </c>
      <c r="T632" t="inlineStr">
        <is>
          <t>SUBDIRECCION COMERCIAL MONTERREY 6</t>
        </is>
      </c>
      <c r="U632" t="n">
        <v>415011</v>
      </c>
      <c r="V632" t="inlineStr">
        <is>
          <t>SUBDIRECCION COMERCIAL MONTERREY 6</t>
        </is>
      </c>
      <c r="W632" t="n">
        <v>126102</v>
      </c>
      <c r="X632" t="inlineStr">
        <is>
          <t>VALLE ORIENTE</t>
        </is>
      </c>
      <c r="Y632" t="n">
        <v>3</v>
      </c>
      <c r="Z632" t="inlineStr">
        <is>
          <t>CAMBIARIO</t>
        </is>
      </c>
      <c r="AA632" t="n">
        <v>1</v>
      </c>
      <c r="AB632" t="inlineStr">
        <is>
          <t>NEGOCIO EN MARCHA</t>
        </is>
      </c>
      <c r="AC632" t="n">
        <v>1</v>
      </c>
      <c r="AD632" t="inlineStr">
        <is>
          <t>BANCO</t>
        </is>
      </c>
      <c r="AE632" t="n">
        <v>3</v>
      </c>
      <c r="AF632" t="inlineStr">
        <is>
          <t>FRONT</t>
        </is>
      </c>
      <c r="AG632" t="n">
        <v>126102</v>
      </c>
      <c r="AH632" t="inlineStr">
        <is>
          <t>MONTERREY</t>
        </is>
      </c>
      <c r="AI632" t="inlineStr">
        <is>
          <t>OMARTINEZG@BANCOBASE.COM</t>
        </is>
      </c>
      <c r="AJ632" s="151" t="n">
        <v>46160</v>
      </c>
      <c r="AK632" s="151" t="n"/>
      <c r="AL632" s="151" t="n"/>
    </row>
    <row r="633" hidden="1" s="150">
      <c r="A633" t="inlineStr">
        <is>
          <t>NGARCIA</t>
        </is>
      </c>
      <c r="B633" t="n">
        <v>208</v>
      </c>
      <c r="C633" t="inlineStr">
        <is>
          <t>NANCY CATALINA GARCIA GARZA</t>
        </is>
      </c>
      <c r="D633" t="n">
        <v>9256</v>
      </c>
      <c r="E633" t="inlineStr">
        <is>
          <t>GERENTE DE PROMOCION</t>
        </is>
      </c>
      <c r="F633" t="inlineStr">
        <is>
          <t>MONTERREY</t>
        </is>
      </c>
      <c r="G633" t="n">
        <v>3772</v>
      </c>
      <c r="H633" t="inlineStr">
        <is>
          <t>IVAN JASSO OVALLE</t>
        </is>
      </c>
      <c r="I633" t="n">
        <v>9268</v>
      </c>
      <c r="J633" t="inlineStr">
        <is>
          <t>SUBDIRECTOR COMERCIAL</t>
        </is>
      </c>
      <c r="K633" t="n">
        <v>1</v>
      </c>
      <c r="L633" t="inlineStr">
        <is>
          <t>PRESIDENCIA EJECUTIVA DEL CONSEJO</t>
        </is>
      </c>
      <c r="M633" t="n">
        <v>40</v>
      </c>
      <c r="N633" t="inlineStr">
        <is>
          <t>DIRECCION GENERAL BANCO BASE</t>
        </is>
      </c>
      <c r="O633" t="n">
        <v>410</v>
      </c>
      <c r="P633" t="inlineStr">
        <is>
          <t>DIRECCION COMERCIAL</t>
        </is>
      </c>
      <c r="Q633" t="n">
        <v>4150</v>
      </c>
      <c r="R633" t="inlineStr">
        <is>
          <t>DIRECCION COMERCIAL MONTERREY 1</t>
        </is>
      </c>
      <c r="S633" t="n">
        <v>41501</v>
      </c>
      <c r="T633" t="inlineStr">
        <is>
          <t>SUBDIRECCION COMERCIAL MONTERREY 6</t>
        </is>
      </c>
      <c r="U633" t="n">
        <v>415011</v>
      </c>
      <c r="V633" t="inlineStr">
        <is>
          <t>SUBDIRECCION COMERCIAL MONTERREY 6</t>
        </is>
      </c>
      <c r="W633" t="n">
        <v>126102</v>
      </c>
      <c r="X633" t="inlineStr">
        <is>
          <t>VALLE ORIENTE</t>
        </is>
      </c>
      <c r="Y633" t="n">
        <v>3</v>
      </c>
      <c r="Z633" t="inlineStr">
        <is>
          <t>CAMBIARIO</t>
        </is>
      </c>
      <c r="AA633" t="n">
        <v>1</v>
      </c>
      <c r="AB633" t="inlineStr">
        <is>
          <t>NEGOCIO EN MARCHA</t>
        </is>
      </c>
      <c r="AC633" t="n">
        <v>1</v>
      </c>
      <c r="AD633" t="inlineStr">
        <is>
          <t>BANCO</t>
        </is>
      </c>
      <c r="AE633" t="n">
        <v>3</v>
      </c>
      <c r="AF633" t="inlineStr">
        <is>
          <t>FRONT</t>
        </is>
      </c>
      <c r="AG633" t="n">
        <v>126102</v>
      </c>
      <c r="AH633" t="inlineStr">
        <is>
          <t>MONTERREY</t>
        </is>
      </c>
      <c r="AI633" t="inlineStr">
        <is>
          <t>NGARCIA@BANCOBASE.COM</t>
        </is>
      </c>
      <c r="AJ633" s="151" t="n">
        <v>37377</v>
      </c>
      <c r="AK633" s="151" t="n"/>
      <c r="AL633" s="151" t="n"/>
    </row>
    <row r="634" hidden="1" s="150">
      <c r="A634" t="inlineStr">
        <is>
          <t>FALANIS</t>
        </is>
      </c>
      <c r="B634" t="n">
        <v>2379</v>
      </c>
      <c r="C634" t="inlineStr">
        <is>
          <t>FRANCIA LIZBETH ALANIS IRIGOYEN</t>
        </is>
      </c>
      <c r="D634" t="n">
        <v>3610</v>
      </c>
      <c r="E634" t="inlineStr">
        <is>
          <t>ASISTENTE CAMBIARIO</t>
        </is>
      </c>
      <c r="F634" t="inlineStr">
        <is>
          <t>MONTERREY</t>
        </is>
      </c>
      <c r="G634" t="n">
        <v>3772</v>
      </c>
      <c r="H634" t="inlineStr">
        <is>
          <t>IVAN JASSO OVALLE</t>
        </is>
      </c>
      <c r="I634" t="n">
        <v>9268</v>
      </c>
      <c r="J634" t="inlineStr">
        <is>
          <t>SUBDIRECTOR COMERCIAL</t>
        </is>
      </c>
      <c r="K634" t="n">
        <v>1</v>
      </c>
      <c r="L634" t="inlineStr">
        <is>
          <t>PRESIDENCIA EJECUTIVA DEL CONSEJO</t>
        </is>
      </c>
      <c r="M634" t="n">
        <v>40</v>
      </c>
      <c r="N634" t="inlineStr">
        <is>
          <t>DIRECCION GENERAL BANCO BASE</t>
        </is>
      </c>
      <c r="O634" t="n">
        <v>410</v>
      </c>
      <c r="P634" t="inlineStr">
        <is>
          <t>DIRECCION COMERCIAL</t>
        </is>
      </c>
      <c r="Q634" t="n">
        <v>4150</v>
      </c>
      <c r="R634" t="inlineStr">
        <is>
          <t>DIRECCION COMERCIAL MONTERREY 1</t>
        </is>
      </c>
      <c r="S634" t="n">
        <v>41501</v>
      </c>
      <c r="T634" t="inlineStr">
        <is>
          <t>SUBDIRECCION COMERCIAL MONTERREY 6</t>
        </is>
      </c>
      <c r="U634" t="n">
        <v>415011</v>
      </c>
      <c r="V634" t="inlineStr">
        <is>
          <t>SUBDIRECCION COMERCIAL MONTERREY 6</t>
        </is>
      </c>
      <c r="W634" t="n">
        <v>126102</v>
      </c>
      <c r="X634" t="inlineStr">
        <is>
          <t>VALLE ORIENTE</t>
        </is>
      </c>
      <c r="Y634" t="n">
        <v>3</v>
      </c>
      <c r="Z634" t="inlineStr">
        <is>
          <t>CAMBIARIO</t>
        </is>
      </c>
      <c r="AA634" t="n">
        <v>1</v>
      </c>
      <c r="AB634" t="inlineStr">
        <is>
          <t>NEGOCIO EN MARCHA</t>
        </is>
      </c>
      <c r="AC634" t="n">
        <v>1</v>
      </c>
      <c r="AD634" t="inlineStr">
        <is>
          <t>BANCO</t>
        </is>
      </c>
      <c r="AE634" t="n">
        <v>2</v>
      </c>
      <c r="AF634" t="inlineStr">
        <is>
          <t>MIDDLE</t>
        </is>
      </c>
      <c r="AG634" t="n">
        <v>126102</v>
      </c>
      <c r="AH634" t="inlineStr">
        <is>
          <t>MONTERREY</t>
        </is>
      </c>
      <c r="AI634" t="inlineStr">
        <is>
          <t>FALANIS@BANCOBASE.COM</t>
        </is>
      </c>
      <c r="AJ634" s="151" t="n">
        <v>44039</v>
      </c>
      <c r="AK634" s="151" t="n"/>
      <c r="AL634" s="151" t="n"/>
    </row>
    <row r="635" hidden="1" s="150">
      <c r="A635" t="inlineStr">
        <is>
          <t>PLAMBRETON</t>
        </is>
      </c>
      <c r="B635" t="n">
        <v>160</v>
      </c>
      <c r="C635" t="inlineStr">
        <is>
          <t>PAOLA LETICIA LAMBRETON CORTAZAR</t>
        </is>
      </c>
      <c r="D635" t="n">
        <v>8633</v>
      </c>
      <c r="E635" t="inlineStr">
        <is>
          <t>SUBDIRECTOR COMERCIAL</t>
        </is>
      </c>
      <c r="F635" t="inlineStr">
        <is>
          <t>MONTERREY</t>
        </is>
      </c>
      <c r="G635" t="n">
        <v>482</v>
      </c>
      <c r="H635" t="inlineStr">
        <is>
          <t>CARLOS FERNANDO TREVIÑO VILLARREAL</t>
        </is>
      </c>
      <c r="I635" t="n">
        <v>71</v>
      </c>
      <c r="J635" t="inlineStr">
        <is>
          <t>DIRECTOR COMERCIAL MONTERREY</t>
        </is>
      </c>
      <c r="K635" t="n">
        <v>1</v>
      </c>
      <c r="L635" t="inlineStr">
        <is>
          <t>PRESIDENCIA EJECUTIVA DEL CONSEJO</t>
        </is>
      </c>
      <c r="M635" t="n">
        <v>40</v>
      </c>
      <c r="N635" t="inlineStr">
        <is>
          <t>DIRECCION GENERAL BANCO BASE</t>
        </is>
      </c>
      <c r="O635" t="n">
        <v>410</v>
      </c>
      <c r="P635" t="inlineStr">
        <is>
          <t>DIRECCION COMERCIAL</t>
        </is>
      </c>
      <c r="Q635" t="n">
        <v>4150</v>
      </c>
      <c r="R635" t="inlineStr">
        <is>
          <t>DIRECCION COMERCIAL MONTERREY 1</t>
        </is>
      </c>
      <c r="S635" t="n">
        <v>41502</v>
      </c>
      <c r="T635" t="inlineStr">
        <is>
          <t>SUBDIRECCION COMERCIAL MONTERREY 7</t>
        </is>
      </c>
      <c r="U635" t="n">
        <v>415012</v>
      </c>
      <c r="V635" t="inlineStr">
        <is>
          <t>SUBDIRECCION COMERCIAL MONTERREY 7</t>
        </is>
      </c>
      <c r="W635" t="n">
        <v>126102</v>
      </c>
      <c r="X635" t="inlineStr">
        <is>
          <t>VALLE ORIENTE</t>
        </is>
      </c>
      <c r="Y635" t="n">
        <v>3</v>
      </c>
      <c r="Z635" t="inlineStr">
        <is>
          <t>CAMBIARIO</t>
        </is>
      </c>
      <c r="AA635" t="n">
        <v>1</v>
      </c>
      <c r="AB635" t="inlineStr">
        <is>
          <t>NEGOCIO EN MARCHA</t>
        </is>
      </c>
      <c r="AC635" t="n">
        <v>1</v>
      </c>
      <c r="AD635" t="inlineStr">
        <is>
          <t>BANCO</t>
        </is>
      </c>
      <c r="AE635" t="n">
        <v>3</v>
      </c>
      <c r="AF635" t="inlineStr">
        <is>
          <t>FRONT</t>
        </is>
      </c>
      <c r="AG635" t="n">
        <v>126102</v>
      </c>
      <c r="AH635" t="inlineStr">
        <is>
          <t>MONTERREY</t>
        </is>
      </c>
      <c r="AI635" t="inlineStr">
        <is>
          <t>PLAMBRETON@BANCOBASE.COM</t>
        </is>
      </c>
      <c r="AJ635" s="151" t="n">
        <v>36739</v>
      </c>
      <c r="AK635" s="151" t="n"/>
      <c r="AL635" s="151" t="n"/>
    </row>
    <row r="636" hidden="1" s="150">
      <c r="A636" t="inlineStr">
        <is>
          <t>ASALAZARC</t>
        </is>
      </c>
      <c r="B636" t="n">
        <v>3463</v>
      </c>
      <c r="C636" t="inlineStr">
        <is>
          <t>ANDRES SALAZAR CASTELO</t>
        </is>
      </c>
      <c r="D636" t="n">
        <v>8607</v>
      </c>
      <c r="E636" t="inlineStr">
        <is>
          <t>ASESOR CAMBIARIO</t>
        </is>
      </c>
      <c r="F636" t="inlineStr">
        <is>
          <t>MONTERREY</t>
        </is>
      </c>
      <c r="G636" t="n">
        <v>160</v>
      </c>
      <c r="H636" t="inlineStr">
        <is>
          <t>PAOLA LETICIA LAMBRETON CORTAZAR</t>
        </is>
      </c>
      <c r="I636" t="n">
        <v>8633</v>
      </c>
      <c r="J636" t="inlineStr">
        <is>
          <t>SUBDIRECTOR COMERCIAL</t>
        </is>
      </c>
      <c r="K636" t="n">
        <v>1</v>
      </c>
      <c r="L636" t="inlineStr">
        <is>
          <t>PRESIDENCIA EJECUTIVA DEL CONSEJO</t>
        </is>
      </c>
      <c r="M636" t="n">
        <v>40</v>
      </c>
      <c r="N636" t="inlineStr">
        <is>
          <t>DIRECCION GENERAL BANCO BASE</t>
        </is>
      </c>
      <c r="O636" t="n">
        <v>410</v>
      </c>
      <c r="P636" t="inlineStr">
        <is>
          <t>DIRECCION COMERCIAL</t>
        </is>
      </c>
      <c r="Q636" t="n">
        <v>4150</v>
      </c>
      <c r="R636" t="inlineStr">
        <is>
          <t>DIRECCION COMERCIAL MONTERREY 1</t>
        </is>
      </c>
      <c r="S636" t="n">
        <v>41502</v>
      </c>
      <c r="T636" t="inlineStr">
        <is>
          <t>SUBDIRECCION COMERCIAL MONTERREY 7</t>
        </is>
      </c>
      <c r="U636" t="n">
        <v>415012</v>
      </c>
      <c r="V636" t="inlineStr">
        <is>
          <t>SUBDIRECCION COMERCIAL MONTERREY 7</t>
        </is>
      </c>
      <c r="W636" t="n">
        <v>126102</v>
      </c>
      <c r="X636" t="inlineStr">
        <is>
          <t>VALLE ORIENTE</t>
        </is>
      </c>
      <c r="Y636" t="n">
        <v>3</v>
      </c>
      <c r="Z636" t="inlineStr">
        <is>
          <t>CAMBIARIO</t>
        </is>
      </c>
      <c r="AA636" t="n">
        <v>1</v>
      </c>
      <c r="AB636" t="inlineStr">
        <is>
          <t>NEGOCIO EN MARCHA</t>
        </is>
      </c>
      <c r="AC636" t="n">
        <v>1</v>
      </c>
      <c r="AD636" t="inlineStr">
        <is>
          <t>BANCO</t>
        </is>
      </c>
      <c r="AE636" t="n">
        <v>3</v>
      </c>
      <c r="AF636" t="inlineStr">
        <is>
          <t>FRONT</t>
        </is>
      </c>
      <c r="AG636" t="n">
        <v>126102</v>
      </c>
      <c r="AH636" t="inlineStr">
        <is>
          <t>MONTERREY</t>
        </is>
      </c>
      <c r="AI636" t="inlineStr">
        <is>
          <t>ASALAZARC@BANCOBASE.COM</t>
        </is>
      </c>
      <c r="AJ636" s="151" t="n">
        <v>45824</v>
      </c>
      <c r="AK636" s="151" t="n"/>
      <c r="AL636" s="151" t="n"/>
    </row>
    <row r="637" hidden="1" s="150">
      <c r="A637" t="inlineStr">
        <is>
          <t>GBUENOR</t>
        </is>
      </c>
      <c r="B637" t="n">
        <v>3449</v>
      </c>
      <c r="C637" t="inlineStr">
        <is>
          <t>GUILLERMO BUENO RUIZ VELASCO</t>
        </is>
      </c>
      <c r="D637" t="n">
        <v>8606</v>
      </c>
      <c r="E637" t="inlineStr">
        <is>
          <t>ASESOR CAMBIARIO</t>
        </is>
      </c>
      <c r="F637" t="inlineStr">
        <is>
          <t>MONTERREY</t>
        </is>
      </c>
      <c r="G637" t="n">
        <v>160</v>
      </c>
      <c r="H637" t="inlineStr">
        <is>
          <t>PAOLA LETICIA LAMBRETON CORTAZAR</t>
        </is>
      </c>
      <c r="I637" t="n">
        <v>8633</v>
      </c>
      <c r="J637" t="inlineStr">
        <is>
          <t>SUBDIRECTOR COMERCIAL</t>
        </is>
      </c>
      <c r="K637" t="n">
        <v>1</v>
      </c>
      <c r="L637" t="inlineStr">
        <is>
          <t>PRESIDENCIA EJECUTIVA DEL CONSEJO</t>
        </is>
      </c>
      <c r="M637" t="n">
        <v>40</v>
      </c>
      <c r="N637" t="inlineStr">
        <is>
          <t>DIRECCION GENERAL BANCO BASE</t>
        </is>
      </c>
      <c r="O637" t="n">
        <v>410</v>
      </c>
      <c r="P637" t="inlineStr">
        <is>
          <t>DIRECCION COMERCIAL</t>
        </is>
      </c>
      <c r="Q637" t="n">
        <v>4150</v>
      </c>
      <c r="R637" t="inlineStr">
        <is>
          <t>DIRECCION COMERCIAL MONTERREY 1</t>
        </is>
      </c>
      <c r="S637" t="n">
        <v>41502</v>
      </c>
      <c r="T637" t="inlineStr">
        <is>
          <t>SUBDIRECCION COMERCIAL MONTERREY 7</t>
        </is>
      </c>
      <c r="U637" t="n">
        <v>415012</v>
      </c>
      <c r="V637" t="inlineStr">
        <is>
          <t>SUBDIRECCION COMERCIAL MONTERREY 7</t>
        </is>
      </c>
      <c r="W637" t="n">
        <v>126102</v>
      </c>
      <c r="X637" t="inlineStr">
        <is>
          <t>VALLE ORIENTE</t>
        </is>
      </c>
      <c r="Y637" t="n">
        <v>3</v>
      </c>
      <c r="Z637" t="inlineStr">
        <is>
          <t>CAMBIARIO</t>
        </is>
      </c>
      <c r="AA637" t="n">
        <v>1</v>
      </c>
      <c r="AB637" t="inlineStr">
        <is>
          <t>NEGOCIO EN MARCHA</t>
        </is>
      </c>
      <c r="AC637" t="n">
        <v>1</v>
      </c>
      <c r="AD637" t="inlineStr">
        <is>
          <t>BANCO</t>
        </is>
      </c>
      <c r="AE637" t="n">
        <v>3</v>
      </c>
      <c r="AF637" t="inlineStr">
        <is>
          <t>FRONT</t>
        </is>
      </c>
      <c r="AG637" t="n">
        <v>126102</v>
      </c>
      <c r="AH637" t="inlineStr">
        <is>
          <t>MONTERREY</t>
        </is>
      </c>
      <c r="AI637" t="inlineStr">
        <is>
          <t>GBUENOR@BANCOBASE.COM</t>
        </is>
      </c>
      <c r="AJ637" s="151" t="n">
        <v>45810</v>
      </c>
      <c r="AK637" s="151" t="n"/>
      <c r="AL637" s="151" t="n"/>
    </row>
    <row r="638" hidden="1" s="150">
      <c r="A638" t="inlineStr">
        <is>
          <t>BPENAS</t>
        </is>
      </c>
      <c r="B638" t="n">
        <v>3660</v>
      </c>
      <c r="C638" t="inlineStr">
        <is>
          <t>BENJAMIN PEÑA SANCHEZ</t>
        </is>
      </c>
      <c r="D638" t="n">
        <v>8608</v>
      </c>
      <c r="E638" t="inlineStr">
        <is>
          <t>ASESOR CAMBIARIO</t>
        </is>
      </c>
      <c r="F638" t="inlineStr">
        <is>
          <t>MONTERREY</t>
        </is>
      </c>
      <c r="G638" t="n">
        <v>160</v>
      </c>
      <c r="H638" t="inlineStr">
        <is>
          <t>PAOLA LETICIA LAMBRETON CORTAZAR</t>
        </is>
      </c>
      <c r="I638" t="n">
        <v>8633</v>
      </c>
      <c r="J638" t="inlineStr">
        <is>
          <t>SUBDIRECTOR COMERCIAL</t>
        </is>
      </c>
      <c r="K638" t="n">
        <v>1</v>
      </c>
      <c r="L638" t="inlineStr">
        <is>
          <t>PRESIDENCIA EJECUTIVA DEL CONSEJO</t>
        </is>
      </c>
      <c r="M638" t="n">
        <v>40</v>
      </c>
      <c r="N638" t="inlineStr">
        <is>
          <t>DIRECCION GENERAL BANCO BASE</t>
        </is>
      </c>
      <c r="O638" t="n">
        <v>410</v>
      </c>
      <c r="P638" t="inlineStr">
        <is>
          <t>DIRECCION COMERCIAL</t>
        </is>
      </c>
      <c r="Q638" t="n">
        <v>4150</v>
      </c>
      <c r="R638" t="inlineStr">
        <is>
          <t>DIRECCION COMERCIAL MONTERREY 1</t>
        </is>
      </c>
      <c r="S638" t="n">
        <v>41502</v>
      </c>
      <c r="T638" t="inlineStr">
        <is>
          <t>SUBDIRECCION COMERCIAL MONTERREY 7</t>
        </is>
      </c>
      <c r="U638" t="n">
        <v>415012</v>
      </c>
      <c r="V638" t="inlineStr">
        <is>
          <t>SUBDIRECCION COMERCIAL MONTERREY 7</t>
        </is>
      </c>
      <c r="W638" t="n">
        <v>126102</v>
      </c>
      <c r="X638" t="inlineStr">
        <is>
          <t>VALLE ORIENTE</t>
        </is>
      </c>
      <c r="Y638" t="n">
        <v>3</v>
      </c>
      <c r="Z638" t="inlineStr">
        <is>
          <t>CAMBIARIO</t>
        </is>
      </c>
      <c r="AA638" t="n">
        <v>1</v>
      </c>
      <c r="AB638" t="inlineStr">
        <is>
          <t>NEGOCIO EN MARCHA</t>
        </is>
      </c>
      <c r="AC638" t="n">
        <v>1</v>
      </c>
      <c r="AD638" t="inlineStr">
        <is>
          <t>BANCO</t>
        </is>
      </c>
      <c r="AE638" t="n">
        <v>3</v>
      </c>
      <c r="AF638" t="inlineStr">
        <is>
          <t>FRONT</t>
        </is>
      </c>
      <c r="AG638" t="n">
        <v>126102</v>
      </c>
      <c r="AH638" t="inlineStr">
        <is>
          <t>MONTERREY</t>
        </is>
      </c>
      <c r="AI638" t="inlineStr">
        <is>
          <t>BPENAS@BANCOBASE.COM</t>
        </is>
      </c>
      <c r="AJ638" s="151" t="n">
        <v>45964</v>
      </c>
      <c r="AK638" s="151" t="n"/>
      <c r="AL638" s="151" t="n"/>
    </row>
    <row r="639" hidden="1" s="150">
      <c r="A639" t="inlineStr">
        <is>
          <t>PVILLARREV</t>
        </is>
      </c>
      <c r="B639" t="n">
        <v>2975</v>
      </c>
      <c r="C639" t="inlineStr">
        <is>
          <t>PATRICIO VILLARREAL VARGAS</t>
        </is>
      </c>
      <c r="D639" t="n">
        <v>8603</v>
      </c>
      <c r="E639" t="inlineStr">
        <is>
          <t>ASESOR CAMBIARIO</t>
        </is>
      </c>
      <c r="F639" t="inlineStr">
        <is>
          <t>MONTERREY</t>
        </is>
      </c>
      <c r="G639" t="n">
        <v>160</v>
      </c>
      <c r="H639" t="inlineStr">
        <is>
          <t>PAOLA LETICIA LAMBRETON CORTAZAR</t>
        </is>
      </c>
      <c r="I639" t="n">
        <v>8633</v>
      </c>
      <c r="J639" t="inlineStr">
        <is>
          <t>SUBDIRECTOR COMERCIAL</t>
        </is>
      </c>
      <c r="K639" t="n">
        <v>1</v>
      </c>
      <c r="L639" t="inlineStr">
        <is>
          <t>PRESIDENCIA EJECUTIVA DEL CONSEJO</t>
        </is>
      </c>
      <c r="M639" t="n">
        <v>40</v>
      </c>
      <c r="N639" t="inlineStr">
        <is>
          <t>DIRECCION GENERAL BANCO BASE</t>
        </is>
      </c>
      <c r="O639" t="n">
        <v>410</v>
      </c>
      <c r="P639" t="inlineStr">
        <is>
          <t>DIRECCION COMERCIAL</t>
        </is>
      </c>
      <c r="Q639" t="n">
        <v>4150</v>
      </c>
      <c r="R639" t="inlineStr">
        <is>
          <t>DIRECCION COMERCIAL MONTERREY 1</t>
        </is>
      </c>
      <c r="S639" t="n">
        <v>41502</v>
      </c>
      <c r="T639" t="inlineStr">
        <is>
          <t>SUBDIRECCION COMERCIAL MONTERREY 7</t>
        </is>
      </c>
      <c r="U639" t="n">
        <v>415012</v>
      </c>
      <c r="V639" t="inlineStr">
        <is>
          <t>SUBDIRECCION COMERCIAL MONTERREY 7</t>
        </is>
      </c>
      <c r="W639" t="n">
        <v>126102</v>
      </c>
      <c r="X639" t="inlineStr">
        <is>
          <t>VALLE ORIENTE</t>
        </is>
      </c>
      <c r="Y639" t="n">
        <v>3</v>
      </c>
      <c r="Z639" t="inlineStr">
        <is>
          <t>CAMBIARIO</t>
        </is>
      </c>
      <c r="AA639" t="n">
        <v>1</v>
      </c>
      <c r="AB639" t="inlineStr">
        <is>
          <t>NEGOCIO EN MARCHA</t>
        </is>
      </c>
      <c r="AC639" t="n">
        <v>1</v>
      </c>
      <c r="AD639" t="inlineStr">
        <is>
          <t>BANCO</t>
        </is>
      </c>
      <c r="AE639" t="n">
        <v>3</v>
      </c>
      <c r="AF639" t="inlineStr">
        <is>
          <t>FRONT</t>
        </is>
      </c>
      <c r="AG639" t="n">
        <v>126102</v>
      </c>
      <c r="AH639" t="inlineStr">
        <is>
          <t>MONTERREY</t>
        </is>
      </c>
      <c r="AI639" t="inlineStr">
        <is>
          <t>PVILLARREV@BANCOBASE.COM</t>
        </is>
      </c>
      <c r="AJ639" s="151" t="n">
        <v>45208</v>
      </c>
      <c r="AK639" s="151" t="n"/>
      <c r="AL639" s="151" t="n"/>
    </row>
    <row r="640" hidden="1" s="150">
      <c r="A640" t="inlineStr">
        <is>
          <t>YBERLANGA</t>
        </is>
      </c>
      <c r="B640" t="n">
        <v>3401</v>
      </c>
      <c r="C640" t="inlineStr">
        <is>
          <t>YEIMI GUADALUPE BERLANGA AGUIRRE</t>
        </is>
      </c>
      <c r="D640" t="n">
        <v>8604</v>
      </c>
      <c r="E640" t="inlineStr">
        <is>
          <t>ASESOR CAMBIARIO</t>
        </is>
      </c>
      <c r="F640" t="inlineStr">
        <is>
          <t>MONTERREY</t>
        </is>
      </c>
      <c r="G640" t="n">
        <v>160</v>
      </c>
      <c r="H640" t="inlineStr">
        <is>
          <t>PAOLA LETICIA LAMBRETON CORTAZAR</t>
        </is>
      </c>
      <c r="I640" t="n">
        <v>8633</v>
      </c>
      <c r="J640" t="inlineStr">
        <is>
          <t>SUBDIRECTOR COMERCIAL</t>
        </is>
      </c>
      <c r="K640" t="n">
        <v>1</v>
      </c>
      <c r="L640" t="inlineStr">
        <is>
          <t>PRESIDENCIA EJECUTIVA DEL CONSEJO</t>
        </is>
      </c>
      <c r="M640" t="n">
        <v>40</v>
      </c>
      <c r="N640" t="inlineStr">
        <is>
          <t>DIRECCION GENERAL BANCO BASE</t>
        </is>
      </c>
      <c r="O640" t="n">
        <v>410</v>
      </c>
      <c r="P640" t="inlineStr">
        <is>
          <t>DIRECCION COMERCIAL</t>
        </is>
      </c>
      <c r="Q640" t="n">
        <v>4150</v>
      </c>
      <c r="R640" t="inlineStr">
        <is>
          <t>DIRECCION COMERCIAL MONTERREY 1</t>
        </is>
      </c>
      <c r="S640" t="n">
        <v>41502</v>
      </c>
      <c r="T640" t="inlineStr">
        <is>
          <t>SUBDIRECCION COMERCIAL MONTERREY 7</t>
        </is>
      </c>
      <c r="U640" t="n">
        <v>415012</v>
      </c>
      <c r="V640" t="inlineStr">
        <is>
          <t>SUBDIRECCION COMERCIAL MONTERREY 7</t>
        </is>
      </c>
      <c r="W640" t="n">
        <v>126102</v>
      </c>
      <c r="X640" t="inlineStr">
        <is>
          <t>VALLE ORIENTE</t>
        </is>
      </c>
      <c r="Y640" t="n">
        <v>3</v>
      </c>
      <c r="Z640" t="inlineStr">
        <is>
          <t>CAMBIARIO</t>
        </is>
      </c>
      <c r="AA640" t="n">
        <v>1</v>
      </c>
      <c r="AB640" t="inlineStr">
        <is>
          <t>NEGOCIO EN MARCHA</t>
        </is>
      </c>
      <c r="AC640" t="n">
        <v>1</v>
      </c>
      <c r="AD640" t="inlineStr">
        <is>
          <t>BANCO</t>
        </is>
      </c>
      <c r="AE640" t="n">
        <v>3</v>
      </c>
      <c r="AF640" t="inlineStr">
        <is>
          <t>FRONT</t>
        </is>
      </c>
      <c r="AG640" t="n">
        <v>126102</v>
      </c>
      <c r="AH640" t="inlineStr">
        <is>
          <t>MONTERREY</t>
        </is>
      </c>
      <c r="AI640" t="inlineStr">
        <is>
          <t>YBERLANGA@BANCOBASE.COM</t>
        </is>
      </c>
      <c r="AJ640" s="151" t="n">
        <v>45768</v>
      </c>
      <c r="AK640" s="151" t="n"/>
      <c r="AL640" s="151" t="n"/>
    </row>
    <row r="641" hidden="1" s="150">
      <c r="A641" t="inlineStr">
        <is>
          <t>MFEBRES</t>
        </is>
      </c>
      <c r="B641" t="n">
        <v>3703</v>
      </c>
      <c r="C641" t="inlineStr">
        <is>
          <t>MARIANGEL JOSE FEBRES SALAZAR</t>
        </is>
      </c>
      <c r="D641" t="n">
        <v>8758</v>
      </c>
      <c r="E641" t="inlineStr">
        <is>
          <t>ESPECIALISTA DE BANCA TRANSACCIONAL</t>
        </is>
      </c>
      <c r="F641" t="inlineStr">
        <is>
          <t>MONTERREY</t>
        </is>
      </c>
      <c r="G641" t="n">
        <v>160</v>
      </c>
      <c r="H641" t="inlineStr">
        <is>
          <t>PAOLA LETICIA LAMBRETON CORTAZAR</t>
        </is>
      </c>
      <c r="I641" t="n">
        <v>8633</v>
      </c>
      <c r="J641" t="inlineStr">
        <is>
          <t>SUBDIRECTOR COMERCIAL</t>
        </is>
      </c>
      <c r="K641" t="n">
        <v>1</v>
      </c>
      <c r="L641" t="inlineStr">
        <is>
          <t>PRESIDENCIA EJECUTIVA DEL CONSEJO</t>
        </is>
      </c>
      <c r="M641" t="n">
        <v>40</v>
      </c>
      <c r="N641" t="inlineStr">
        <is>
          <t>DIRECCION GENERAL BANCO BASE</t>
        </is>
      </c>
      <c r="O641" t="n">
        <v>410</v>
      </c>
      <c r="P641" t="inlineStr">
        <is>
          <t>DIRECCION COMERCIAL</t>
        </is>
      </c>
      <c r="Q641" t="n">
        <v>4150</v>
      </c>
      <c r="R641" t="inlineStr">
        <is>
          <t>DIRECCION COMERCIAL MONTERREY 1</t>
        </is>
      </c>
      <c r="S641" t="n">
        <v>41502</v>
      </c>
      <c r="T641" t="inlineStr">
        <is>
          <t>SUBDIRECCION COMERCIAL MONTERREY 7</t>
        </is>
      </c>
      <c r="U641" t="n">
        <v>415012</v>
      </c>
      <c r="V641" t="inlineStr">
        <is>
          <t>SUBDIRECCION COMERCIAL MONTERREY 7</t>
        </is>
      </c>
      <c r="W641" t="n">
        <v>126102</v>
      </c>
      <c r="X641" t="inlineStr">
        <is>
          <t>VALLE ORIENTE</t>
        </is>
      </c>
      <c r="Y641" t="n">
        <v>14</v>
      </c>
      <c r="Z641" t="inlineStr">
        <is>
          <t>TRANSACCIONAL</t>
        </is>
      </c>
      <c r="AA641" t="n">
        <v>1</v>
      </c>
      <c r="AB641" t="inlineStr">
        <is>
          <t>NEGOCIO EN MARCHA</t>
        </is>
      </c>
      <c r="AC641" t="n">
        <v>1</v>
      </c>
      <c r="AD641" t="inlineStr">
        <is>
          <t>BANCO</t>
        </is>
      </c>
      <c r="AE641" t="n">
        <v>3</v>
      </c>
      <c r="AF641" t="inlineStr">
        <is>
          <t>FRONT</t>
        </is>
      </c>
      <c r="AG641" t="n">
        <v>126102</v>
      </c>
      <c r="AH641" t="inlineStr">
        <is>
          <t>MONTERREY</t>
        </is>
      </c>
      <c r="AI641" t="inlineStr">
        <is>
          <t>MFEBRES@BANCOBASE.COM</t>
        </is>
      </c>
      <c r="AJ641" s="151" t="n">
        <v>45992</v>
      </c>
      <c r="AK641" s="151" t="n"/>
      <c r="AL641" s="151" t="n"/>
    </row>
    <row r="642" hidden="1" s="150">
      <c r="A642" t="inlineStr">
        <is>
          <t>ARODRIGUEF</t>
        </is>
      </c>
      <c r="B642" t="n">
        <v>3777</v>
      </c>
      <c r="C642" t="inlineStr">
        <is>
          <t>ANGELICA JOVANA RODRIGUEZ FLORES</t>
        </is>
      </c>
      <c r="D642" t="n">
        <v>8605</v>
      </c>
      <c r="E642" t="inlineStr">
        <is>
          <t>ASESOR CAMBIARIO</t>
        </is>
      </c>
      <c r="F642" t="inlineStr">
        <is>
          <t>MONTERREY</t>
        </is>
      </c>
      <c r="G642" t="n">
        <v>160</v>
      </c>
      <c r="H642" t="inlineStr">
        <is>
          <t>PAOLA LETICIA LAMBRETON CORTAZAR</t>
        </is>
      </c>
      <c r="I642" t="n">
        <v>8633</v>
      </c>
      <c r="J642" t="inlineStr">
        <is>
          <t>SUBDIRECTOR COMERCIAL</t>
        </is>
      </c>
      <c r="K642" t="n">
        <v>1</v>
      </c>
      <c r="L642" t="inlineStr">
        <is>
          <t>PRESIDENCIA EJECUTIVA DEL CONSEJO</t>
        </is>
      </c>
      <c r="M642" t="n">
        <v>40</v>
      </c>
      <c r="N642" t="inlineStr">
        <is>
          <t>DIRECCION GENERAL BANCO BASE</t>
        </is>
      </c>
      <c r="O642" t="n">
        <v>410</v>
      </c>
      <c r="P642" t="inlineStr">
        <is>
          <t>DIRECCION COMERCIAL</t>
        </is>
      </c>
      <c r="Q642" t="n">
        <v>4150</v>
      </c>
      <c r="R642" t="inlineStr">
        <is>
          <t>DIRECCION COMERCIAL MONTERREY 1</t>
        </is>
      </c>
      <c r="S642" t="n">
        <v>41502</v>
      </c>
      <c r="T642" t="inlineStr">
        <is>
          <t>SUBDIRECCION COMERCIAL MONTERREY 7</t>
        </is>
      </c>
      <c r="U642" t="n">
        <v>415012</v>
      </c>
      <c r="V642" t="inlineStr">
        <is>
          <t>SUBDIRECCION COMERCIAL MONTERREY 7</t>
        </is>
      </c>
      <c r="W642" t="n">
        <v>126102</v>
      </c>
      <c r="X642" t="inlineStr">
        <is>
          <t>VALLE ORIENTE</t>
        </is>
      </c>
      <c r="Y642" t="n">
        <v>3</v>
      </c>
      <c r="Z642" t="inlineStr">
        <is>
          <t>CAMBIARIO</t>
        </is>
      </c>
      <c r="AA642" t="n">
        <v>1</v>
      </c>
      <c r="AB642" t="inlineStr">
        <is>
          <t>NEGOCIO EN MARCHA</t>
        </is>
      </c>
      <c r="AC642" t="n">
        <v>1</v>
      </c>
      <c r="AD642" t="inlineStr">
        <is>
          <t>BANCO</t>
        </is>
      </c>
      <c r="AE642" t="n">
        <v>3</v>
      </c>
      <c r="AF642" t="inlineStr">
        <is>
          <t>FRONT</t>
        </is>
      </c>
      <c r="AG642" t="n">
        <v>126102</v>
      </c>
      <c r="AH642" t="inlineStr">
        <is>
          <t>MONTERREY</t>
        </is>
      </c>
      <c r="AI642" t="inlineStr">
        <is>
          <t>ARODRIGUEF@BANCOBASE.COM</t>
        </is>
      </c>
      <c r="AJ642" s="151" t="n">
        <v>46090</v>
      </c>
      <c r="AK642" s="151" t="n"/>
      <c r="AL642" s="151" t="n"/>
    </row>
    <row r="643" hidden="1" s="150">
      <c r="A643" t="inlineStr">
        <is>
          <t>LVILLARREU</t>
        </is>
      </c>
      <c r="B643" t="n">
        <v>3524</v>
      </c>
      <c r="C643" t="inlineStr">
        <is>
          <t>LORENA DEL CARMEN VILLARREAL URRUTIA</t>
        </is>
      </c>
      <c r="D643" t="n">
        <v>8609</v>
      </c>
      <c r="E643" t="inlineStr">
        <is>
          <t>ASESOR CAMBIARIO</t>
        </is>
      </c>
      <c r="F643" t="inlineStr">
        <is>
          <t>MONTERREY</t>
        </is>
      </c>
      <c r="G643" t="n">
        <v>160</v>
      </c>
      <c r="H643" t="inlineStr">
        <is>
          <t>PAOLA LETICIA LAMBRETON CORTAZAR</t>
        </is>
      </c>
      <c r="I643" t="n">
        <v>8633</v>
      </c>
      <c r="J643" t="inlineStr">
        <is>
          <t>SUBDIRECTOR COMERCIAL</t>
        </is>
      </c>
      <c r="K643" t="n">
        <v>1</v>
      </c>
      <c r="L643" t="inlineStr">
        <is>
          <t>PRESIDENCIA EJECUTIVA DEL CONSEJO</t>
        </is>
      </c>
      <c r="M643" t="n">
        <v>40</v>
      </c>
      <c r="N643" t="inlineStr">
        <is>
          <t>DIRECCION GENERAL BANCO BASE</t>
        </is>
      </c>
      <c r="O643" t="n">
        <v>410</v>
      </c>
      <c r="P643" t="inlineStr">
        <is>
          <t>DIRECCION COMERCIAL</t>
        </is>
      </c>
      <c r="Q643" t="n">
        <v>4150</v>
      </c>
      <c r="R643" t="inlineStr">
        <is>
          <t>DIRECCION COMERCIAL MONTERREY 1</t>
        </is>
      </c>
      <c r="S643" t="n">
        <v>41502</v>
      </c>
      <c r="T643" t="inlineStr">
        <is>
          <t>SUBDIRECCION COMERCIAL MONTERREY 7</t>
        </is>
      </c>
      <c r="U643" t="n">
        <v>415012</v>
      </c>
      <c r="V643" t="inlineStr">
        <is>
          <t>SUBDIRECCION COMERCIAL MONTERREY 7</t>
        </is>
      </c>
      <c r="W643" t="n">
        <v>126102</v>
      </c>
      <c r="X643" t="inlineStr">
        <is>
          <t>VALLE ORIENTE</t>
        </is>
      </c>
      <c r="Y643" t="n">
        <v>3</v>
      </c>
      <c r="Z643" t="inlineStr">
        <is>
          <t>CAMBIARIO</t>
        </is>
      </c>
      <c r="AA643" t="n">
        <v>1</v>
      </c>
      <c r="AB643" t="inlineStr">
        <is>
          <t>NEGOCIO EN MARCHA</t>
        </is>
      </c>
      <c r="AC643" t="n">
        <v>1</v>
      </c>
      <c r="AD643" t="inlineStr">
        <is>
          <t>BANCO</t>
        </is>
      </c>
      <c r="AE643" t="n">
        <v>3</v>
      </c>
      <c r="AF643" t="inlineStr">
        <is>
          <t>FRONT</t>
        </is>
      </c>
      <c r="AG643" t="n">
        <v>126102</v>
      </c>
      <c r="AH643" t="inlineStr">
        <is>
          <t>MONTERREY</t>
        </is>
      </c>
      <c r="AI643" t="inlineStr">
        <is>
          <t>LVILLARREU@BANCOBASE.COM</t>
        </is>
      </c>
      <c r="AJ643" s="151" t="n">
        <v>45880</v>
      </c>
      <c r="AK643" s="151" t="n"/>
      <c r="AL643" s="151" t="n"/>
    </row>
    <row r="644" hidden="1" s="150">
      <c r="A644" t="inlineStr">
        <is>
          <t>ILOPEZD</t>
        </is>
      </c>
      <c r="B644" t="n">
        <v>3104</v>
      </c>
      <c r="C644" t="inlineStr">
        <is>
          <t>ITZEL LOPEZ DE LLERGO RODRIGUEZ</t>
        </is>
      </c>
      <c r="D644" t="n">
        <v>8786</v>
      </c>
      <c r="E644" t="inlineStr">
        <is>
          <t>ASISTENTE CAMBIARIO</t>
        </is>
      </c>
      <c r="F644" t="inlineStr">
        <is>
          <t>MONTERREY</t>
        </is>
      </c>
      <c r="G644" t="n">
        <v>160</v>
      </c>
      <c r="H644" t="inlineStr">
        <is>
          <t>PAOLA LETICIA LAMBRETON CORTAZAR</t>
        </is>
      </c>
      <c r="I644" t="n">
        <v>8633</v>
      </c>
      <c r="J644" t="inlineStr">
        <is>
          <t>SUBDIRECTOR COMERCIAL</t>
        </is>
      </c>
      <c r="K644" t="n">
        <v>1</v>
      </c>
      <c r="L644" t="inlineStr">
        <is>
          <t>PRESIDENCIA EJECUTIVA DEL CONSEJO</t>
        </is>
      </c>
      <c r="M644" t="n">
        <v>40</v>
      </c>
      <c r="N644" t="inlineStr">
        <is>
          <t>DIRECCION GENERAL BANCO BASE</t>
        </is>
      </c>
      <c r="O644" t="n">
        <v>410</v>
      </c>
      <c r="P644" t="inlineStr">
        <is>
          <t>DIRECCION COMERCIAL</t>
        </is>
      </c>
      <c r="Q644" t="n">
        <v>4150</v>
      </c>
      <c r="R644" t="inlineStr">
        <is>
          <t>DIRECCION COMERCIAL MONTERREY 1</t>
        </is>
      </c>
      <c r="S644" t="n">
        <v>41502</v>
      </c>
      <c r="T644" t="inlineStr">
        <is>
          <t>SUBDIRECCION COMERCIAL MONTERREY 7</t>
        </is>
      </c>
      <c r="U644" t="n">
        <v>415012</v>
      </c>
      <c r="V644" t="inlineStr">
        <is>
          <t>SUBDIRECCION COMERCIAL MONTERREY 7</t>
        </is>
      </c>
      <c r="W644" t="n">
        <v>126102</v>
      </c>
      <c r="X644" t="inlineStr">
        <is>
          <t>VALLE ORIENTE</t>
        </is>
      </c>
      <c r="Y644" t="n">
        <v>3</v>
      </c>
      <c r="Z644" t="inlineStr">
        <is>
          <t>CAMBIARIO</t>
        </is>
      </c>
      <c r="AA644" t="n">
        <v>1</v>
      </c>
      <c r="AB644" t="inlineStr">
        <is>
          <t>NEGOCIO EN MARCHA</t>
        </is>
      </c>
      <c r="AC644" t="n">
        <v>1</v>
      </c>
      <c r="AD644" t="inlineStr">
        <is>
          <t>BANCO</t>
        </is>
      </c>
      <c r="AE644" t="n">
        <v>2</v>
      </c>
      <c r="AF644" t="inlineStr">
        <is>
          <t>MIDDLE</t>
        </is>
      </c>
      <c r="AG644" t="n">
        <v>126102</v>
      </c>
      <c r="AH644" t="inlineStr">
        <is>
          <t>MONTERREY</t>
        </is>
      </c>
      <c r="AI644" t="inlineStr">
        <is>
          <t>ILOPEZD@BANCOBASE.COM</t>
        </is>
      </c>
      <c r="AJ644" s="151" t="n">
        <v>45414</v>
      </c>
      <c r="AK644" s="151" t="n"/>
      <c r="AL644" s="151" t="n"/>
    </row>
    <row r="645" hidden="1" s="150">
      <c r="A645" t="inlineStr">
        <is>
          <t>TMARTINEZ</t>
        </is>
      </c>
      <c r="B645" t="n">
        <v>2671</v>
      </c>
      <c r="C645" t="inlineStr">
        <is>
          <t>TAMARA MONTSERRAT MARTINEZ ORTEGA</t>
        </is>
      </c>
      <c r="D645" t="n">
        <v>8611</v>
      </c>
      <c r="E645" t="inlineStr">
        <is>
          <t>ASISTENTE CAMBIARIO</t>
        </is>
      </c>
      <c r="F645" t="inlineStr">
        <is>
          <t>MONTERREY</t>
        </is>
      </c>
      <c r="G645" t="n">
        <v>160</v>
      </c>
      <c r="H645" t="inlineStr">
        <is>
          <t>PAOLA LETICIA LAMBRETON CORTAZAR</t>
        </is>
      </c>
      <c r="I645" t="n">
        <v>8633</v>
      </c>
      <c r="J645" t="inlineStr">
        <is>
          <t>SUBDIRECTOR COMERCIAL</t>
        </is>
      </c>
      <c r="K645" t="n">
        <v>1</v>
      </c>
      <c r="L645" t="inlineStr">
        <is>
          <t>PRESIDENCIA EJECUTIVA DEL CONSEJO</t>
        </is>
      </c>
      <c r="M645" t="n">
        <v>40</v>
      </c>
      <c r="N645" t="inlineStr">
        <is>
          <t>DIRECCION GENERAL BANCO BASE</t>
        </is>
      </c>
      <c r="O645" t="n">
        <v>410</v>
      </c>
      <c r="P645" t="inlineStr">
        <is>
          <t>DIRECCION COMERCIAL</t>
        </is>
      </c>
      <c r="Q645" t="n">
        <v>4150</v>
      </c>
      <c r="R645" t="inlineStr">
        <is>
          <t>DIRECCION COMERCIAL MONTERREY 1</t>
        </is>
      </c>
      <c r="S645" t="n">
        <v>41502</v>
      </c>
      <c r="T645" t="inlineStr">
        <is>
          <t>SUBDIRECCION COMERCIAL MONTERREY 7</t>
        </is>
      </c>
      <c r="U645" t="n">
        <v>415012</v>
      </c>
      <c r="V645" t="inlineStr">
        <is>
          <t>SUBDIRECCION COMERCIAL MONTERREY 7</t>
        </is>
      </c>
      <c r="W645" t="n">
        <v>126102</v>
      </c>
      <c r="X645" t="inlineStr">
        <is>
          <t>VALLE ORIENTE</t>
        </is>
      </c>
      <c r="Y645" t="n">
        <v>3</v>
      </c>
      <c r="Z645" t="inlineStr">
        <is>
          <t>CAMBIARIO</t>
        </is>
      </c>
      <c r="AA645" t="n">
        <v>1</v>
      </c>
      <c r="AB645" t="inlineStr">
        <is>
          <t>NEGOCIO EN MARCHA</t>
        </is>
      </c>
      <c r="AC645" t="n">
        <v>1</v>
      </c>
      <c r="AD645" t="inlineStr">
        <is>
          <t>BANCO</t>
        </is>
      </c>
      <c r="AE645" t="n">
        <v>2</v>
      </c>
      <c r="AF645" t="inlineStr">
        <is>
          <t>MIDDLE</t>
        </is>
      </c>
      <c r="AG645" t="n">
        <v>126102</v>
      </c>
      <c r="AH645" t="inlineStr">
        <is>
          <t>MONTERREY</t>
        </is>
      </c>
      <c r="AI645" t="inlineStr">
        <is>
          <t>TMARTINEZ@BANCOBASE.COM</t>
        </is>
      </c>
      <c r="AJ645" s="151" t="n">
        <v>44728</v>
      </c>
      <c r="AK645" s="151" t="n"/>
      <c r="AL645" s="151" t="n"/>
    </row>
    <row r="646" hidden="1" s="150">
      <c r="A646" t="inlineStr">
        <is>
          <t>GBENAVIDES</t>
        </is>
      </c>
      <c r="B646" t="n">
        <v>1482</v>
      </c>
      <c r="C646" t="inlineStr">
        <is>
          <t>GERARDO BENAVIDES CHAVEZ</t>
        </is>
      </c>
      <c r="D646" t="n">
        <v>9358</v>
      </c>
      <c r="E646" t="inlineStr">
        <is>
          <t>SUBDIRECTOR COMERCIAL</t>
        </is>
      </c>
      <c r="F646" t="inlineStr">
        <is>
          <t>MONTERREY</t>
        </is>
      </c>
      <c r="G646" t="n">
        <v>482</v>
      </c>
      <c r="H646" t="inlineStr">
        <is>
          <t>CARLOS FERNANDO TREVIÑO VILLARREAL</t>
        </is>
      </c>
      <c r="I646" t="n">
        <v>71</v>
      </c>
      <c r="J646" t="inlineStr">
        <is>
          <t>DIRECTOR COMERCIAL MONTERREY</t>
        </is>
      </c>
      <c r="K646" t="n">
        <v>1</v>
      </c>
      <c r="L646" t="inlineStr">
        <is>
          <t>PRESIDENCIA EJECUTIVA DEL CONSEJO</t>
        </is>
      </c>
      <c r="M646" t="n">
        <v>40</v>
      </c>
      <c r="N646" t="inlineStr">
        <is>
          <t>DIRECCION GENERAL BANCO BASE</t>
        </is>
      </c>
      <c r="O646" t="n">
        <v>410</v>
      </c>
      <c r="P646" t="inlineStr">
        <is>
          <t>DIRECCION COMERCIAL</t>
        </is>
      </c>
      <c r="Q646" t="n">
        <v>4150</v>
      </c>
      <c r="R646" t="inlineStr">
        <is>
          <t>DIRECCION COMERCIAL MONTERREY 1</t>
        </is>
      </c>
      <c r="S646" t="n">
        <v>41520</v>
      </c>
      <c r="T646" t="inlineStr">
        <is>
          <t>SUBDIRECCION COMERCIAL MONTERREY 2</t>
        </is>
      </c>
      <c r="U646" t="n">
        <v>415200</v>
      </c>
      <c r="V646" t="inlineStr">
        <is>
          <t>SUBDIRECCION COMERCIAL MONTERREY 2</t>
        </is>
      </c>
      <c r="W646" t="n">
        <v>126102</v>
      </c>
      <c r="X646" t="inlineStr">
        <is>
          <t>VALLE ORIENTE</t>
        </is>
      </c>
      <c r="Y646" t="n">
        <v>3</v>
      </c>
      <c r="Z646" t="inlineStr">
        <is>
          <t>CAMBIARIO</t>
        </is>
      </c>
      <c r="AA646" t="n">
        <v>1</v>
      </c>
      <c r="AB646" t="inlineStr">
        <is>
          <t>NEGOCIO EN MARCHA</t>
        </is>
      </c>
      <c r="AC646" t="n">
        <v>1</v>
      </c>
      <c r="AD646" t="inlineStr">
        <is>
          <t>BANCO</t>
        </is>
      </c>
      <c r="AE646" t="n">
        <v>3</v>
      </c>
      <c r="AF646" t="inlineStr">
        <is>
          <t>FRONT</t>
        </is>
      </c>
      <c r="AG646" t="n">
        <v>126102</v>
      </c>
      <c r="AH646" t="inlineStr">
        <is>
          <t>MONTERREY</t>
        </is>
      </c>
      <c r="AI646" t="inlineStr">
        <is>
          <t>GBENAVIDES@BANCOBASE.COM</t>
        </is>
      </c>
      <c r="AJ646" s="151" t="n">
        <v>42416</v>
      </c>
      <c r="AK646" s="151" t="n"/>
      <c r="AL646" s="151" t="n"/>
    </row>
    <row r="647" hidden="1" s="150">
      <c r="A647" t="inlineStr">
        <is>
          <t>JRODRIGUET</t>
        </is>
      </c>
      <c r="B647" t="n">
        <v>1880</v>
      </c>
      <c r="C647" t="inlineStr">
        <is>
          <t>JUAN RAUL RODRIGUEZ TAMEZ</t>
        </is>
      </c>
      <c r="D647" t="n">
        <v>9467</v>
      </c>
      <c r="E647" t="inlineStr">
        <is>
          <t>ASESOR CAMBIARIO</t>
        </is>
      </c>
      <c r="F647" t="inlineStr">
        <is>
          <t>MONTERREY</t>
        </is>
      </c>
      <c r="G647" t="n">
        <v>1482</v>
      </c>
      <c r="H647" t="inlineStr">
        <is>
          <t>GERARDO BENAVIDES CHAVEZ</t>
        </is>
      </c>
      <c r="I647" t="n">
        <v>9358</v>
      </c>
      <c r="J647" t="inlineStr">
        <is>
          <t>SUBDIRECTOR COMERCIAL</t>
        </is>
      </c>
      <c r="K647" t="n">
        <v>1</v>
      </c>
      <c r="L647" t="inlineStr">
        <is>
          <t>PRESIDENCIA EJECUTIVA DEL CONSEJO</t>
        </is>
      </c>
      <c r="M647" t="n">
        <v>40</v>
      </c>
      <c r="N647" t="inlineStr">
        <is>
          <t>DIRECCION GENERAL BANCO BASE</t>
        </is>
      </c>
      <c r="O647" t="n">
        <v>410</v>
      </c>
      <c r="P647" t="inlineStr">
        <is>
          <t>DIRECCION COMERCIAL</t>
        </is>
      </c>
      <c r="Q647" t="n">
        <v>4150</v>
      </c>
      <c r="R647" t="inlineStr">
        <is>
          <t>DIRECCION COMERCIAL MONTERREY 1</t>
        </is>
      </c>
      <c r="S647" t="n">
        <v>41520</v>
      </c>
      <c r="T647" t="inlineStr">
        <is>
          <t>SUBDIRECCION COMERCIAL MONTERREY 2</t>
        </is>
      </c>
      <c r="U647" t="n">
        <v>415200</v>
      </c>
      <c r="V647" t="inlineStr">
        <is>
          <t>SUBDIRECCION COMERCIAL MONTERREY 2</t>
        </is>
      </c>
      <c r="W647" t="n">
        <v>126102</v>
      </c>
      <c r="X647" t="inlineStr">
        <is>
          <t>VALLE ORIENTE</t>
        </is>
      </c>
      <c r="Y647" t="n">
        <v>3</v>
      </c>
      <c r="Z647" t="inlineStr">
        <is>
          <t>CAMBIARIO</t>
        </is>
      </c>
      <c r="AA647" t="n">
        <v>1</v>
      </c>
      <c r="AB647" t="inlineStr">
        <is>
          <t>NEGOCIO EN MARCHA</t>
        </is>
      </c>
      <c r="AC647" t="n">
        <v>1</v>
      </c>
      <c r="AD647" t="inlineStr">
        <is>
          <t>BANCO</t>
        </is>
      </c>
      <c r="AE647" t="n">
        <v>3</v>
      </c>
      <c r="AF647" t="inlineStr">
        <is>
          <t>FRONT</t>
        </is>
      </c>
      <c r="AG647" t="n">
        <v>126102</v>
      </c>
      <c r="AH647" t="inlineStr">
        <is>
          <t>MONTERREY</t>
        </is>
      </c>
      <c r="AI647" t="inlineStr">
        <is>
          <t>JRODRIGUET@BANCOBASE.COM</t>
        </is>
      </c>
      <c r="AJ647" s="151" t="n">
        <v>43047</v>
      </c>
      <c r="AK647" s="151" t="n"/>
      <c r="AL647" s="151" t="n"/>
    </row>
    <row r="648" hidden="1" s="150">
      <c r="A648" t="inlineStr">
        <is>
          <t>MGARCIAB</t>
        </is>
      </c>
      <c r="B648" t="n">
        <v>1372</v>
      </c>
      <c r="C648" t="inlineStr">
        <is>
          <t>MAURICIO GARCIA BRIONES</t>
        </is>
      </c>
      <c r="D648" t="n">
        <v>9251</v>
      </c>
      <c r="E648" t="inlineStr">
        <is>
          <t>ASESOR CAMBIARIO</t>
        </is>
      </c>
      <c r="F648" t="inlineStr">
        <is>
          <t>MONTERREY</t>
        </is>
      </c>
      <c r="G648" t="n">
        <v>1482</v>
      </c>
      <c r="H648" t="inlineStr">
        <is>
          <t>GERARDO BENAVIDES CHAVEZ</t>
        </is>
      </c>
      <c r="I648" t="n">
        <v>9358</v>
      </c>
      <c r="J648" t="inlineStr">
        <is>
          <t>SUBDIRECTOR COMERCIAL</t>
        </is>
      </c>
      <c r="K648" t="n">
        <v>1</v>
      </c>
      <c r="L648" t="inlineStr">
        <is>
          <t>PRESIDENCIA EJECUTIVA DEL CONSEJO</t>
        </is>
      </c>
      <c r="M648" t="n">
        <v>40</v>
      </c>
      <c r="N648" t="inlineStr">
        <is>
          <t>DIRECCION GENERAL BANCO BASE</t>
        </is>
      </c>
      <c r="O648" t="n">
        <v>410</v>
      </c>
      <c r="P648" t="inlineStr">
        <is>
          <t>DIRECCION COMERCIAL</t>
        </is>
      </c>
      <c r="Q648" t="n">
        <v>4150</v>
      </c>
      <c r="R648" t="inlineStr">
        <is>
          <t>DIRECCION COMERCIAL MONTERREY 1</t>
        </is>
      </c>
      <c r="S648" t="n">
        <v>41520</v>
      </c>
      <c r="T648" t="inlineStr">
        <is>
          <t>SUBDIRECCION COMERCIAL MONTERREY 2</t>
        </is>
      </c>
      <c r="U648" t="n">
        <v>415200</v>
      </c>
      <c r="V648" t="inlineStr">
        <is>
          <t>SUBDIRECCION COMERCIAL MONTERREY 2</t>
        </is>
      </c>
      <c r="W648" t="n">
        <v>126102</v>
      </c>
      <c r="X648" t="inlineStr">
        <is>
          <t>VALLE ORIENTE</t>
        </is>
      </c>
      <c r="Y648" t="n">
        <v>3</v>
      </c>
      <c r="Z648" t="inlineStr">
        <is>
          <t>CAMBIARIO</t>
        </is>
      </c>
      <c r="AA648" t="n">
        <v>1</v>
      </c>
      <c r="AB648" t="inlineStr">
        <is>
          <t>NEGOCIO EN MARCHA</t>
        </is>
      </c>
      <c r="AC648" t="n">
        <v>1</v>
      </c>
      <c r="AD648" t="inlineStr">
        <is>
          <t>BANCO</t>
        </is>
      </c>
      <c r="AE648" t="n">
        <v>3</v>
      </c>
      <c r="AF648" t="inlineStr">
        <is>
          <t>FRONT</t>
        </is>
      </c>
      <c r="AG648" t="n">
        <v>126102</v>
      </c>
      <c r="AH648" t="inlineStr">
        <is>
          <t>MONTERREY</t>
        </is>
      </c>
      <c r="AI648" t="inlineStr">
        <is>
          <t>MGARCIAB@BANCOBASE.COM</t>
        </is>
      </c>
      <c r="AJ648" s="151" t="n">
        <v>42268</v>
      </c>
      <c r="AK648" s="151" t="n"/>
      <c r="AL648" s="151" t="n"/>
    </row>
    <row r="649" hidden="1" s="150">
      <c r="A649" t="inlineStr">
        <is>
          <t>JCORTEZ</t>
        </is>
      </c>
      <c r="B649" t="n">
        <v>2645</v>
      </c>
      <c r="C649" t="inlineStr">
        <is>
          <t>JOSE DE JESUS CORTEZ ALMAGUER</t>
        </is>
      </c>
      <c r="D649" t="n">
        <v>9143</v>
      </c>
      <c r="E649" t="inlineStr">
        <is>
          <t>ASESOR CAMBIARIO</t>
        </is>
      </c>
      <c r="F649" t="inlineStr">
        <is>
          <t>MONTERREY</t>
        </is>
      </c>
      <c r="G649" t="n">
        <v>1482</v>
      </c>
      <c r="H649" t="inlineStr">
        <is>
          <t>GERARDO BENAVIDES CHAVEZ</t>
        </is>
      </c>
      <c r="I649" t="n">
        <v>9358</v>
      </c>
      <c r="J649" t="inlineStr">
        <is>
          <t>SUBDIRECTOR COMERCIAL</t>
        </is>
      </c>
      <c r="K649" t="n">
        <v>1</v>
      </c>
      <c r="L649" t="inlineStr">
        <is>
          <t>PRESIDENCIA EJECUTIVA DEL CONSEJO</t>
        </is>
      </c>
      <c r="M649" t="n">
        <v>40</v>
      </c>
      <c r="N649" t="inlineStr">
        <is>
          <t>DIRECCION GENERAL BANCO BASE</t>
        </is>
      </c>
      <c r="O649" t="n">
        <v>410</v>
      </c>
      <c r="P649" t="inlineStr">
        <is>
          <t>DIRECCION COMERCIAL</t>
        </is>
      </c>
      <c r="Q649" t="n">
        <v>4150</v>
      </c>
      <c r="R649" t="inlineStr">
        <is>
          <t>DIRECCION COMERCIAL MONTERREY 1</t>
        </is>
      </c>
      <c r="S649" t="n">
        <v>41520</v>
      </c>
      <c r="T649" t="inlineStr">
        <is>
          <t>SUBDIRECCION COMERCIAL MONTERREY 2</t>
        </is>
      </c>
      <c r="U649" t="n">
        <v>415200</v>
      </c>
      <c r="V649" t="inlineStr">
        <is>
          <t>SUBDIRECCION COMERCIAL MONTERREY 2</t>
        </is>
      </c>
      <c r="W649" t="n">
        <v>126102</v>
      </c>
      <c r="X649" t="inlineStr">
        <is>
          <t>VALLE ORIENTE</t>
        </is>
      </c>
      <c r="Y649" t="n">
        <v>3</v>
      </c>
      <c r="Z649" t="inlineStr">
        <is>
          <t>CAMBIARIO</t>
        </is>
      </c>
      <c r="AA649" t="n">
        <v>1</v>
      </c>
      <c r="AB649" t="inlineStr">
        <is>
          <t>NEGOCIO EN MARCHA</t>
        </is>
      </c>
      <c r="AC649" t="n">
        <v>1</v>
      </c>
      <c r="AD649" t="inlineStr">
        <is>
          <t>BANCO</t>
        </is>
      </c>
      <c r="AE649" t="n">
        <v>3</v>
      </c>
      <c r="AF649" t="inlineStr">
        <is>
          <t>FRONT</t>
        </is>
      </c>
      <c r="AG649" t="n">
        <v>126102</v>
      </c>
      <c r="AH649" t="inlineStr">
        <is>
          <t>MONTERREY</t>
        </is>
      </c>
      <c r="AI649" t="inlineStr">
        <is>
          <t>JCORTEZ@BANCOBASE.COM</t>
        </is>
      </c>
      <c r="AJ649" s="151" t="n">
        <v>44683</v>
      </c>
      <c r="AK649" s="151" t="n"/>
      <c r="AL649" s="151" t="n"/>
    </row>
    <row r="650" hidden="1" s="150">
      <c r="A650" t="inlineStr">
        <is>
          <t>JLEALM</t>
        </is>
      </c>
      <c r="B650" t="n">
        <v>1201</v>
      </c>
      <c r="C650" t="inlineStr">
        <is>
          <t>JORGE EUGENIO LEAL MARTINEZ</t>
        </is>
      </c>
      <c r="D650" t="n">
        <v>9569</v>
      </c>
      <c r="E650" t="inlineStr">
        <is>
          <t>ASESOR CAMBIARIO</t>
        </is>
      </c>
      <c r="F650" t="inlineStr">
        <is>
          <t>MONTERREY</t>
        </is>
      </c>
      <c r="G650" t="n">
        <v>1482</v>
      </c>
      <c r="H650" t="inlineStr">
        <is>
          <t>GERARDO BENAVIDES CHAVEZ</t>
        </is>
      </c>
      <c r="I650" t="n">
        <v>9358</v>
      </c>
      <c r="J650" t="inlineStr">
        <is>
          <t>SUBDIRECTOR COMERCIAL</t>
        </is>
      </c>
      <c r="K650" t="n">
        <v>1</v>
      </c>
      <c r="L650" t="inlineStr">
        <is>
          <t>PRESIDENCIA EJECUTIVA DEL CONSEJO</t>
        </is>
      </c>
      <c r="M650" t="n">
        <v>40</v>
      </c>
      <c r="N650" t="inlineStr">
        <is>
          <t>DIRECCION GENERAL BANCO BASE</t>
        </is>
      </c>
      <c r="O650" t="n">
        <v>410</v>
      </c>
      <c r="P650" t="inlineStr">
        <is>
          <t>DIRECCION COMERCIAL</t>
        </is>
      </c>
      <c r="Q650" t="n">
        <v>4150</v>
      </c>
      <c r="R650" t="inlineStr">
        <is>
          <t>DIRECCION COMERCIAL MONTERREY 1</t>
        </is>
      </c>
      <c r="S650" t="n">
        <v>41520</v>
      </c>
      <c r="T650" t="inlineStr">
        <is>
          <t>SUBDIRECCION COMERCIAL MONTERREY 2</t>
        </is>
      </c>
      <c r="U650" t="n">
        <v>415200</v>
      </c>
      <c r="V650" t="inlineStr">
        <is>
          <t>SUBDIRECCION COMERCIAL MONTERREY 2</t>
        </is>
      </c>
      <c r="W650" t="n">
        <v>126102</v>
      </c>
      <c r="X650" t="inlineStr">
        <is>
          <t>VALLE ORIENTE</t>
        </is>
      </c>
      <c r="Y650" t="n">
        <v>3</v>
      </c>
      <c r="Z650" t="inlineStr">
        <is>
          <t>CAMBIARIO</t>
        </is>
      </c>
      <c r="AA650" t="n">
        <v>1</v>
      </c>
      <c r="AB650" t="inlineStr">
        <is>
          <t>NEGOCIO EN MARCHA</t>
        </is>
      </c>
      <c r="AC650" t="n">
        <v>1</v>
      </c>
      <c r="AD650" t="inlineStr">
        <is>
          <t>BANCO</t>
        </is>
      </c>
      <c r="AE650" t="n">
        <v>3</v>
      </c>
      <c r="AF650" t="inlineStr">
        <is>
          <t>FRONT</t>
        </is>
      </c>
      <c r="AG650" t="n">
        <v>126102</v>
      </c>
      <c r="AH650" t="inlineStr">
        <is>
          <t>MONTERREY</t>
        </is>
      </c>
      <c r="AI650" t="inlineStr">
        <is>
          <t>JLEALM@BANCOBASE.COM</t>
        </is>
      </c>
      <c r="AJ650" s="151" t="n">
        <v>41899</v>
      </c>
      <c r="AK650" s="151" t="n"/>
      <c r="AL650" s="151" t="n"/>
    </row>
    <row r="651" hidden="1" s="150">
      <c r="A651" t="inlineStr">
        <is>
          <t>VAMADOR</t>
        </is>
      </c>
      <c r="B651" t="n">
        <v>3856</v>
      </c>
      <c r="C651" t="inlineStr">
        <is>
          <t>VERONICA AMADOR HUERTA</t>
        </is>
      </c>
      <c r="D651" t="n">
        <v>9568</v>
      </c>
      <c r="E651" t="inlineStr">
        <is>
          <t>ASESOR CAMBIARIO</t>
        </is>
      </c>
      <c r="F651" t="inlineStr">
        <is>
          <t>MONTERREY</t>
        </is>
      </c>
      <c r="G651" t="n">
        <v>1482</v>
      </c>
      <c r="H651" t="inlineStr">
        <is>
          <t>GERARDO BENAVIDES CHAVEZ</t>
        </is>
      </c>
      <c r="I651" t="n">
        <v>9358</v>
      </c>
      <c r="J651" t="inlineStr">
        <is>
          <t>SUBDIRECTOR COMERCIAL</t>
        </is>
      </c>
      <c r="K651" t="n">
        <v>1</v>
      </c>
      <c r="L651" t="inlineStr">
        <is>
          <t>PRESIDENCIA EJECUTIVA DEL CONSEJO</t>
        </is>
      </c>
      <c r="M651" t="n">
        <v>40</v>
      </c>
      <c r="N651" t="inlineStr">
        <is>
          <t>DIRECCION GENERAL BANCO BASE</t>
        </is>
      </c>
      <c r="O651" t="n">
        <v>410</v>
      </c>
      <c r="P651" t="inlineStr">
        <is>
          <t>DIRECCION COMERCIAL</t>
        </is>
      </c>
      <c r="Q651" t="n">
        <v>4150</v>
      </c>
      <c r="R651" t="inlineStr">
        <is>
          <t>DIRECCION COMERCIAL MONTERREY 1</t>
        </is>
      </c>
      <c r="S651" t="n">
        <v>41520</v>
      </c>
      <c r="T651" t="inlineStr">
        <is>
          <t>SUBDIRECCION COMERCIAL MONTERREY 2</t>
        </is>
      </c>
      <c r="U651" t="n">
        <v>415200</v>
      </c>
      <c r="V651" t="inlineStr">
        <is>
          <t>SUBDIRECCION COMERCIAL MONTERREY 2</t>
        </is>
      </c>
      <c r="W651" t="n">
        <v>126102</v>
      </c>
      <c r="X651" t="inlineStr">
        <is>
          <t>VALLE ORIENTE</t>
        </is>
      </c>
      <c r="Y651" t="n">
        <v>3</v>
      </c>
      <c r="Z651" t="inlineStr">
        <is>
          <t>CAMBIARIO</t>
        </is>
      </c>
      <c r="AA651" t="n">
        <v>1</v>
      </c>
      <c r="AB651" t="inlineStr">
        <is>
          <t>NEGOCIO EN MARCHA</t>
        </is>
      </c>
      <c r="AC651" t="n">
        <v>1</v>
      </c>
      <c r="AD651" t="inlineStr">
        <is>
          <t>BANCO</t>
        </is>
      </c>
      <c r="AE651" t="n">
        <v>3</v>
      </c>
      <c r="AF651" t="inlineStr">
        <is>
          <t>FRONT</t>
        </is>
      </c>
      <c r="AG651" t="n">
        <v>126102</v>
      </c>
      <c r="AH651" t="inlineStr">
        <is>
          <t>MONTERREY</t>
        </is>
      </c>
      <c r="AI651" t="inlineStr">
        <is>
          <t>VAMADOR@BANCOBASE.COM</t>
        </is>
      </c>
      <c r="AJ651" s="151" t="n">
        <v>46146</v>
      </c>
      <c r="AK651" s="151" t="n"/>
      <c r="AL651" s="151" t="n"/>
    </row>
    <row r="652" hidden="1" s="150">
      <c r="A652" t="inlineStr">
        <is>
          <t>HRODRIGUEO</t>
        </is>
      </c>
      <c r="B652" t="n">
        <v>1036</v>
      </c>
      <c r="C652" t="inlineStr">
        <is>
          <t>HORTENSIA MARLEN RODRIGUEZ OVALLE</t>
        </is>
      </c>
      <c r="D652" t="n">
        <v>9242</v>
      </c>
      <c r="E652" t="inlineStr">
        <is>
          <t>ASESOR CAMBIARIO</t>
        </is>
      </c>
      <c r="F652" t="inlineStr">
        <is>
          <t>MONTERREY</t>
        </is>
      </c>
      <c r="G652" t="n">
        <v>1482</v>
      </c>
      <c r="H652" t="inlineStr">
        <is>
          <t>GERARDO BENAVIDES CHAVEZ</t>
        </is>
      </c>
      <c r="I652" t="n">
        <v>9358</v>
      </c>
      <c r="J652" t="inlineStr">
        <is>
          <t>SUBDIRECTOR COMERCIAL</t>
        </is>
      </c>
      <c r="K652" t="n">
        <v>1</v>
      </c>
      <c r="L652" t="inlineStr">
        <is>
          <t>PRESIDENCIA EJECUTIVA DEL CONSEJO</t>
        </is>
      </c>
      <c r="M652" t="n">
        <v>40</v>
      </c>
      <c r="N652" t="inlineStr">
        <is>
          <t>DIRECCION GENERAL BANCO BASE</t>
        </is>
      </c>
      <c r="O652" t="n">
        <v>410</v>
      </c>
      <c r="P652" t="inlineStr">
        <is>
          <t>DIRECCION COMERCIAL</t>
        </is>
      </c>
      <c r="Q652" t="n">
        <v>4150</v>
      </c>
      <c r="R652" t="inlineStr">
        <is>
          <t>DIRECCION COMERCIAL MONTERREY 1</t>
        </is>
      </c>
      <c r="S652" t="n">
        <v>41520</v>
      </c>
      <c r="T652" t="inlineStr">
        <is>
          <t>SUBDIRECCION COMERCIAL MONTERREY 2</t>
        </is>
      </c>
      <c r="U652" t="n">
        <v>415200</v>
      </c>
      <c r="V652" t="inlineStr">
        <is>
          <t>SUBDIRECCION COMERCIAL MONTERREY 2</t>
        </is>
      </c>
      <c r="W652" t="n">
        <v>126102</v>
      </c>
      <c r="X652" t="inlineStr">
        <is>
          <t>VALLE ORIENTE</t>
        </is>
      </c>
      <c r="Y652" t="n">
        <v>3</v>
      </c>
      <c r="Z652" t="inlineStr">
        <is>
          <t>CAMBIARIO</t>
        </is>
      </c>
      <c r="AA652" t="n">
        <v>1</v>
      </c>
      <c r="AB652" t="inlineStr">
        <is>
          <t>NEGOCIO EN MARCHA</t>
        </is>
      </c>
      <c r="AC652" t="n">
        <v>1</v>
      </c>
      <c r="AD652" t="inlineStr">
        <is>
          <t>BANCO</t>
        </is>
      </c>
      <c r="AE652" t="n">
        <v>3</v>
      </c>
      <c r="AF652" t="inlineStr">
        <is>
          <t>FRONT</t>
        </is>
      </c>
      <c r="AG652" t="n">
        <v>126102</v>
      </c>
      <c r="AH652" t="inlineStr">
        <is>
          <t>MONTERREY</t>
        </is>
      </c>
      <c r="AI652" t="inlineStr">
        <is>
          <t>HRODRIGUEO@BANCOBASE.COM</t>
        </is>
      </c>
      <c r="AJ652" s="151" t="n">
        <v>41443</v>
      </c>
      <c r="AK652" s="151" t="n"/>
      <c r="AL652" s="151" t="n"/>
    </row>
    <row r="653" hidden="1" s="150">
      <c r="A653" t="inlineStr">
        <is>
          <t>DZAMBRANO</t>
        </is>
      </c>
      <c r="B653" t="n">
        <v>3167</v>
      </c>
      <c r="C653" t="inlineStr">
        <is>
          <t>DAVID MARCELO ZAMBRANO YARTE</t>
        </is>
      </c>
      <c r="D653" t="n">
        <v>8391</v>
      </c>
      <c r="E653" t="inlineStr">
        <is>
          <t>ASESOR CAMBIARIO</t>
        </is>
      </c>
      <c r="F653" t="inlineStr">
        <is>
          <t>MONTERREY</t>
        </is>
      </c>
      <c r="G653" t="n">
        <v>1482</v>
      </c>
      <c r="H653" t="inlineStr">
        <is>
          <t>GERARDO BENAVIDES CHAVEZ</t>
        </is>
      </c>
      <c r="I653" t="n">
        <v>9358</v>
      </c>
      <c r="J653" t="inlineStr">
        <is>
          <t>SUBDIRECTOR COMERCIAL</t>
        </is>
      </c>
      <c r="K653" t="n">
        <v>1</v>
      </c>
      <c r="L653" t="inlineStr">
        <is>
          <t>PRESIDENCIA EJECUTIVA DEL CONSEJO</t>
        </is>
      </c>
      <c r="M653" t="n">
        <v>40</v>
      </c>
      <c r="N653" t="inlineStr">
        <is>
          <t>DIRECCION GENERAL BANCO BASE</t>
        </is>
      </c>
      <c r="O653" t="n">
        <v>410</v>
      </c>
      <c r="P653" t="inlineStr">
        <is>
          <t>DIRECCION COMERCIAL</t>
        </is>
      </c>
      <c r="Q653" t="n">
        <v>4150</v>
      </c>
      <c r="R653" t="inlineStr">
        <is>
          <t>DIRECCION COMERCIAL MONTERREY 1</t>
        </is>
      </c>
      <c r="S653" t="n">
        <v>41520</v>
      </c>
      <c r="T653" t="inlineStr">
        <is>
          <t>SUBDIRECCION COMERCIAL MONTERREY 2</t>
        </is>
      </c>
      <c r="U653" t="n">
        <v>415200</v>
      </c>
      <c r="V653" t="inlineStr">
        <is>
          <t>SUBDIRECCION COMERCIAL MONTERREY 2</t>
        </is>
      </c>
      <c r="W653" t="n">
        <v>126102</v>
      </c>
      <c r="X653" t="inlineStr">
        <is>
          <t>VALLE ORIENTE</t>
        </is>
      </c>
      <c r="Y653" t="n">
        <v>3</v>
      </c>
      <c r="Z653" t="inlineStr">
        <is>
          <t>CAMBIARIO</t>
        </is>
      </c>
      <c r="AA653" t="n">
        <v>1</v>
      </c>
      <c r="AB653" t="inlineStr">
        <is>
          <t>NEGOCIO EN MARCHA</t>
        </is>
      </c>
      <c r="AC653" t="n">
        <v>1</v>
      </c>
      <c r="AD653" t="inlineStr">
        <is>
          <t>BANCO</t>
        </is>
      </c>
      <c r="AE653" t="n">
        <v>3</v>
      </c>
      <c r="AF653" t="inlineStr">
        <is>
          <t>FRONT</t>
        </is>
      </c>
      <c r="AG653" t="n">
        <v>126102</v>
      </c>
      <c r="AH653" t="inlineStr">
        <is>
          <t>MONTERREY</t>
        </is>
      </c>
      <c r="AI653" t="inlineStr">
        <is>
          <t>DZAMBRANO@BANCOBASE.COM</t>
        </is>
      </c>
      <c r="AJ653" s="151" t="n">
        <v>45489</v>
      </c>
      <c r="AK653" s="151" t="n"/>
      <c r="AL653" s="151" t="n"/>
    </row>
    <row r="654" hidden="1" s="150">
      <c r="A654" t="inlineStr">
        <is>
          <t>AGONZALEP</t>
        </is>
      </c>
      <c r="B654" t="n">
        <v>2417</v>
      </c>
      <c r="C654" t="inlineStr">
        <is>
          <t>ARELY BERENICE GONZALEZ PARRA</t>
        </is>
      </c>
      <c r="D654" t="n">
        <v>10413</v>
      </c>
      <c r="E654" t="inlineStr">
        <is>
          <t>ASESOR CAMBIARIO</t>
        </is>
      </c>
      <c r="F654" t="inlineStr">
        <is>
          <t>MONTERREY</t>
        </is>
      </c>
      <c r="G654" t="n">
        <v>1482</v>
      </c>
      <c r="H654" t="inlineStr">
        <is>
          <t>GERARDO BENAVIDES CHAVEZ</t>
        </is>
      </c>
      <c r="I654" t="n">
        <v>9358</v>
      </c>
      <c r="J654" t="inlineStr">
        <is>
          <t>SUBDIRECTOR COMERCIAL</t>
        </is>
      </c>
      <c r="K654" t="n">
        <v>1</v>
      </c>
      <c r="L654" t="inlineStr">
        <is>
          <t>PRESIDENCIA EJECUTIVA DEL CONSEJO</t>
        </is>
      </c>
      <c r="M654" t="n">
        <v>40</v>
      </c>
      <c r="N654" t="inlineStr">
        <is>
          <t>DIRECCION GENERAL BANCO BASE</t>
        </is>
      </c>
      <c r="O654" t="n">
        <v>410</v>
      </c>
      <c r="P654" t="inlineStr">
        <is>
          <t>DIRECCION COMERCIAL</t>
        </is>
      </c>
      <c r="Q654" t="n">
        <v>4150</v>
      </c>
      <c r="R654" t="inlineStr">
        <is>
          <t>DIRECCION COMERCIAL MONTERREY 1</t>
        </is>
      </c>
      <c r="S654" t="n">
        <v>41520</v>
      </c>
      <c r="T654" t="inlineStr">
        <is>
          <t>SUBDIRECCION COMERCIAL MONTERREY 2</t>
        </is>
      </c>
      <c r="U654" t="n">
        <v>415200</v>
      </c>
      <c r="V654" t="inlineStr">
        <is>
          <t>SUBDIRECCION COMERCIAL MONTERREY 2</t>
        </is>
      </c>
      <c r="W654" t="n">
        <v>126102</v>
      </c>
      <c r="X654" t="inlineStr">
        <is>
          <t>VALLE ORIENTE</t>
        </is>
      </c>
      <c r="Y654" t="n">
        <v>3</v>
      </c>
      <c r="Z654" t="inlineStr">
        <is>
          <t>CAMBIARIO</t>
        </is>
      </c>
      <c r="AA654" t="n">
        <v>1</v>
      </c>
      <c r="AB654" t="inlineStr">
        <is>
          <t>NEGOCIO EN MARCHA</t>
        </is>
      </c>
      <c r="AC654" t="n">
        <v>1</v>
      </c>
      <c r="AD654" t="inlineStr">
        <is>
          <t>BANCO</t>
        </is>
      </c>
      <c r="AE654" t="n">
        <v>3</v>
      </c>
      <c r="AF654" t="inlineStr">
        <is>
          <t>FRONT</t>
        </is>
      </c>
      <c r="AG654" t="n">
        <v>126102</v>
      </c>
      <c r="AH654" t="inlineStr">
        <is>
          <t>MONTERREY</t>
        </is>
      </c>
      <c r="AI654" t="inlineStr">
        <is>
          <t>AGONZALEP@BANCOBASE.COM</t>
        </is>
      </c>
      <c r="AJ654" s="151" t="n">
        <v>44044</v>
      </c>
      <c r="AK654" s="151" t="n"/>
      <c r="AL654" s="151" t="n"/>
    </row>
    <row r="655" hidden="1" s="150">
      <c r="A655" t="inlineStr">
        <is>
          <t>BGARZA</t>
        </is>
      </c>
      <c r="B655" t="n">
        <v>2194</v>
      </c>
      <c r="C655" t="inlineStr">
        <is>
          <t>BRANDON HOMERO GARZA SIERRA</t>
        </is>
      </c>
      <c r="D655" t="n">
        <v>9241</v>
      </c>
      <c r="E655" t="inlineStr">
        <is>
          <t>ASESOR CAMBIARIO</t>
        </is>
      </c>
      <c r="F655" t="inlineStr">
        <is>
          <t>MONTERREY</t>
        </is>
      </c>
      <c r="G655" t="n">
        <v>1482</v>
      </c>
      <c r="H655" t="inlineStr">
        <is>
          <t>GERARDO BENAVIDES CHAVEZ</t>
        </is>
      </c>
      <c r="I655" t="n">
        <v>9358</v>
      </c>
      <c r="J655" t="inlineStr">
        <is>
          <t>SUBDIRECTOR COMERCIAL</t>
        </is>
      </c>
      <c r="K655" t="n">
        <v>1</v>
      </c>
      <c r="L655" t="inlineStr">
        <is>
          <t>PRESIDENCIA EJECUTIVA DEL CONSEJO</t>
        </is>
      </c>
      <c r="M655" t="n">
        <v>40</v>
      </c>
      <c r="N655" t="inlineStr">
        <is>
          <t>DIRECCION GENERAL BANCO BASE</t>
        </is>
      </c>
      <c r="O655" t="n">
        <v>410</v>
      </c>
      <c r="P655" t="inlineStr">
        <is>
          <t>DIRECCION COMERCIAL</t>
        </is>
      </c>
      <c r="Q655" t="n">
        <v>4150</v>
      </c>
      <c r="R655" t="inlineStr">
        <is>
          <t>DIRECCION COMERCIAL MONTERREY 1</t>
        </is>
      </c>
      <c r="S655" t="n">
        <v>41520</v>
      </c>
      <c r="T655" t="inlineStr">
        <is>
          <t>SUBDIRECCION COMERCIAL MONTERREY 2</t>
        </is>
      </c>
      <c r="U655" t="n">
        <v>415200</v>
      </c>
      <c r="V655" t="inlineStr">
        <is>
          <t>SUBDIRECCION COMERCIAL MONTERREY 2</t>
        </is>
      </c>
      <c r="W655" t="n">
        <v>126102</v>
      </c>
      <c r="X655" t="inlineStr">
        <is>
          <t>VALLE ORIENTE</t>
        </is>
      </c>
      <c r="Y655" t="n">
        <v>3</v>
      </c>
      <c r="Z655" t="inlineStr">
        <is>
          <t>CAMBIARIO</t>
        </is>
      </c>
      <c r="AA655" t="n">
        <v>1</v>
      </c>
      <c r="AB655" t="inlineStr">
        <is>
          <t>NEGOCIO EN MARCHA</t>
        </is>
      </c>
      <c r="AC655" t="n">
        <v>1</v>
      </c>
      <c r="AD655" t="inlineStr">
        <is>
          <t>BANCO</t>
        </is>
      </c>
      <c r="AE655" t="n">
        <v>3</v>
      </c>
      <c r="AF655" t="inlineStr">
        <is>
          <t>FRONT</t>
        </is>
      </c>
      <c r="AG655" t="n">
        <v>126102</v>
      </c>
      <c r="AH655" t="inlineStr">
        <is>
          <t>MONTERREY</t>
        </is>
      </c>
      <c r="AI655" t="inlineStr">
        <is>
          <t>BGARZA@BANCOBASE.COM</t>
        </is>
      </c>
      <c r="AJ655" s="151" t="n">
        <v>43525</v>
      </c>
      <c r="AK655" s="151" t="n"/>
      <c r="AL655" s="151" t="n"/>
    </row>
    <row r="656" hidden="1" s="150">
      <c r="A656" t="inlineStr">
        <is>
          <t>PCARMONA</t>
        </is>
      </c>
      <c r="B656" t="n">
        <v>1928</v>
      </c>
      <c r="C656" t="inlineStr">
        <is>
          <t>PERLA CECILIA CARMONA GUERRERO</t>
        </is>
      </c>
      <c r="D656" t="n">
        <v>9615</v>
      </c>
      <c r="E656" t="inlineStr">
        <is>
          <t>ESPECIALISTA DE BANCA TRANSACCIONAL</t>
        </is>
      </c>
      <c r="F656" t="inlineStr">
        <is>
          <t>MONTERREY</t>
        </is>
      </c>
      <c r="G656" t="n">
        <v>1482</v>
      </c>
      <c r="H656" t="inlineStr">
        <is>
          <t>GERARDO BENAVIDES CHAVEZ</t>
        </is>
      </c>
      <c r="I656" t="n">
        <v>9358</v>
      </c>
      <c r="J656" t="inlineStr">
        <is>
          <t>SUBDIRECTOR COMERCIAL</t>
        </is>
      </c>
      <c r="K656" t="n">
        <v>1</v>
      </c>
      <c r="L656" t="inlineStr">
        <is>
          <t>PRESIDENCIA EJECUTIVA DEL CONSEJO</t>
        </is>
      </c>
      <c r="M656" t="n">
        <v>40</v>
      </c>
      <c r="N656" t="inlineStr">
        <is>
          <t>DIRECCION GENERAL BANCO BASE</t>
        </is>
      </c>
      <c r="O656" t="n">
        <v>410</v>
      </c>
      <c r="P656" t="inlineStr">
        <is>
          <t>DIRECCION COMERCIAL</t>
        </is>
      </c>
      <c r="Q656" t="n">
        <v>4150</v>
      </c>
      <c r="R656" t="inlineStr">
        <is>
          <t>DIRECCION COMERCIAL MONTERREY 1</t>
        </is>
      </c>
      <c r="S656" t="n">
        <v>41520</v>
      </c>
      <c r="T656" t="inlineStr">
        <is>
          <t>SUBDIRECCION COMERCIAL MONTERREY 2</t>
        </is>
      </c>
      <c r="U656" t="n">
        <v>415200</v>
      </c>
      <c r="V656" t="inlineStr">
        <is>
          <t>SUBDIRECCION COMERCIAL MONTERREY 2</t>
        </is>
      </c>
      <c r="W656" t="n">
        <v>126102</v>
      </c>
      <c r="X656" t="inlineStr">
        <is>
          <t>VALLE ORIENTE</t>
        </is>
      </c>
      <c r="Y656" t="n">
        <v>14</v>
      </c>
      <c r="Z656" t="inlineStr">
        <is>
          <t>TRANSACCIONAL</t>
        </is>
      </c>
      <c r="AA656" t="n">
        <v>1</v>
      </c>
      <c r="AB656" t="inlineStr">
        <is>
          <t>NEGOCIO EN MARCHA</t>
        </is>
      </c>
      <c r="AC656" t="n">
        <v>1</v>
      </c>
      <c r="AD656" t="inlineStr">
        <is>
          <t>BANCO</t>
        </is>
      </c>
      <c r="AE656" t="n">
        <v>3</v>
      </c>
      <c r="AF656" t="inlineStr">
        <is>
          <t>FRONT</t>
        </is>
      </c>
      <c r="AG656" t="n">
        <v>126102</v>
      </c>
      <c r="AH656" t="inlineStr">
        <is>
          <t>MONTERREY</t>
        </is>
      </c>
      <c r="AI656" t="inlineStr">
        <is>
          <t>PCARMONA@BANCOBASE.COM</t>
        </is>
      </c>
      <c r="AJ656" s="151" t="n">
        <v>43137</v>
      </c>
      <c r="AK656" s="151" t="n"/>
      <c r="AL656" s="151" t="n"/>
    </row>
    <row r="657" hidden="1" s="150">
      <c r="A657" t="inlineStr">
        <is>
          <t>EXIMENEZ</t>
        </is>
      </c>
      <c r="B657" t="n">
        <v>3211</v>
      </c>
      <c r="C657" t="inlineStr">
        <is>
          <t>ELOI ANTONIO XIMENEZ HERNANDEZ</t>
        </is>
      </c>
      <c r="D657" t="n">
        <v>9381</v>
      </c>
      <c r="E657" t="inlineStr">
        <is>
          <t>ESPECIALISTA DE FINANCIAMIENTO</t>
        </is>
      </c>
      <c r="F657" t="inlineStr">
        <is>
          <t>MONTERREY</t>
        </is>
      </c>
      <c r="G657" t="n">
        <v>1482</v>
      </c>
      <c r="H657" t="inlineStr">
        <is>
          <t>GERARDO BENAVIDES CHAVEZ</t>
        </is>
      </c>
      <c r="I657" t="n">
        <v>9358</v>
      </c>
      <c r="J657" t="inlineStr">
        <is>
          <t>SUBDIRECTOR COMERCIAL</t>
        </is>
      </c>
      <c r="K657" t="n">
        <v>1</v>
      </c>
      <c r="L657" t="inlineStr">
        <is>
          <t>PRESIDENCIA EJECUTIVA DEL CONSEJO</t>
        </is>
      </c>
      <c r="M657" t="n">
        <v>40</v>
      </c>
      <c r="N657" t="inlineStr">
        <is>
          <t>DIRECCION GENERAL BANCO BASE</t>
        </is>
      </c>
      <c r="O657" t="n">
        <v>410</v>
      </c>
      <c r="P657" t="inlineStr">
        <is>
          <t>DIRECCION COMERCIAL</t>
        </is>
      </c>
      <c r="Q657" t="n">
        <v>4150</v>
      </c>
      <c r="R657" t="inlineStr">
        <is>
          <t>DIRECCION COMERCIAL MONTERREY 1</t>
        </is>
      </c>
      <c r="S657" t="n">
        <v>41520</v>
      </c>
      <c r="T657" t="inlineStr">
        <is>
          <t>SUBDIRECCION COMERCIAL MONTERREY 2</t>
        </is>
      </c>
      <c r="U657" t="n">
        <v>415200</v>
      </c>
      <c r="V657" t="inlineStr">
        <is>
          <t>SUBDIRECCION COMERCIAL MONTERREY 2</t>
        </is>
      </c>
      <c r="W657" t="n">
        <v>126102</v>
      </c>
      <c r="X657" t="inlineStr">
        <is>
          <t>VALLE ORIENTE</t>
        </is>
      </c>
      <c r="Y657" t="n">
        <v>13</v>
      </c>
      <c r="Z657" t="inlineStr">
        <is>
          <t>FINANCIAMIENTO</t>
        </is>
      </c>
      <c r="AA657" t="n">
        <v>1</v>
      </c>
      <c r="AB657" t="inlineStr">
        <is>
          <t>NEGOCIO EN MARCHA</t>
        </is>
      </c>
      <c r="AC657" t="n">
        <v>1</v>
      </c>
      <c r="AD657" t="inlineStr">
        <is>
          <t>BANCO</t>
        </is>
      </c>
      <c r="AE657" t="n">
        <v>3</v>
      </c>
      <c r="AF657" t="inlineStr">
        <is>
          <t>FRONT</t>
        </is>
      </c>
      <c r="AG657" t="n">
        <v>126102</v>
      </c>
      <c r="AH657" t="inlineStr">
        <is>
          <t>MONTERREY</t>
        </is>
      </c>
      <c r="AI657" t="inlineStr">
        <is>
          <t>EXIMENEZ@BANCOBASE.COM</t>
        </is>
      </c>
      <c r="AJ657" s="151" t="n">
        <v>45567</v>
      </c>
      <c r="AK657" s="151" t="n"/>
      <c r="AL657" s="151" t="n"/>
    </row>
    <row r="658" hidden="1" s="150">
      <c r="A658" t="inlineStr">
        <is>
          <t>ACORDOVA</t>
        </is>
      </c>
      <c r="B658" t="n">
        <v>428</v>
      </c>
      <c r="C658" t="inlineStr">
        <is>
          <t>ANA LILIA CORDOVA CORREA</t>
        </is>
      </c>
      <c r="D658" t="n">
        <v>9314</v>
      </c>
      <c r="E658" t="inlineStr">
        <is>
          <t>ASISTENTE CAMBIARIO</t>
        </is>
      </c>
      <c r="F658" t="inlineStr">
        <is>
          <t>MONTERREY</t>
        </is>
      </c>
      <c r="G658" t="n">
        <v>1482</v>
      </c>
      <c r="H658" t="inlineStr">
        <is>
          <t>GERARDO BENAVIDES CHAVEZ</t>
        </is>
      </c>
      <c r="I658" t="n">
        <v>9358</v>
      </c>
      <c r="J658" t="inlineStr">
        <is>
          <t>SUBDIRECTOR COMERCIAL</t>
        </is>
      </c>
      <c r="K658" t="n">
        <v>1</v>
      </c>
      <c r="L658" t="inlineStr">
        <is>
          <t>PRESIDENCIA EJECUTIVA DEL CONSEJO</t>
        </is>
      </c>
      <c r="M658" t="n">
        <v>40</v>
      </c>
      <c r="N658" t="inlineStr">
        <is>
          <t>DIRECCION GENERAL BANCO BASE</t>
        </is>
      </c>
      <c r="O658" t="n">
        <v>410</v>
      </c>
      <c r="P658" t="inlineStr">
        <is>
          <t>DIRECCION COMERCIAL</t>
        </is>
      </c>
      <c r="Q658" t="n">
        <v>4150</v>
      </c>
      <c r="R658" t="inlineStr">
        <is>
          <t>DIRECCION COMERCIAL MONTERREY 1</t>
        </is>
      </c>
      <c r="S658" t="n">
        <v>41520</v>
      </c>
      <c r="T658" t="inlineStr">
        <is>
          <t>SUBDIRECCION COMERCIAL MONTERREY 2</t>
        </is>
      </c>
      <c r="U658" t="n">
        <v>415200</v>
      </c>
      <c r="V658" t="inlineStr">
        <is>
          <t>SUBDIRECCION COMERCIAL MONTERREY 2</t>
        </is>
      </c>
      <c r="W658" t="n">
        <v>126102</v>
      </c>
      <c r="X658" t="inlineStr">
        <is>
          <t>VALLE ORIENTE</t>
        </is>
      </c>
      <c r="Y658" t="n">
        <v>3</v>
      </c>
      <c r="Z658" t="inlineStr">
        <is>
          <t>CAMBIARIO</t>
        </is>
      </c>
      <c r="AA658" t="n">
        <v>1</v>
      </c>
      <c r="AB658" t="inlineStr">
        <is>
          <t>NEGOCIO EN MARCHA</t>
        </is>
      </c>
      <c r="AC658" t="n">
        <v>1</v>
      </c>
      <c r="AD658" t="inlineStr">
        <is>
          <t>BANCO</t>
        </is>
      </c>
      <c r="AE658" t="n">
        <v>2</v>
      </c>
      <c r="AF658" t="inlineStr">
        <is>
          <t>MIDDLE</t>
        </is>
      </c>
      <c r="AG658" t="n">
        <v>126102</v>
      </c>
      <c r="AH658" t="inlineStr">
        <is>
          <t>MONTERREY</t>
        </is>
      </c>
      <c r="AI658" t="inlineStr">
        <is>
          <t>ACORDOVA@BANCOBASE.COM</t>
        </is>
      </c>
      <c r="AJ658" s="151" t="n">
        <v>39363</v>
      </c>
      <c r="AK658" s="151" t="n"/>
      <c r="AL658" s="151" t="n"/>
    </row>
    <row r="659" hidden="1" s="150">
      <c r="A659" t="inlineStr">
        <is>
          <t>MRETAF</t>
        </is>
      </c>
      <c r="B659" t="n">
        <v>2252</v>
      </c>
      <c r="C659" t="inlineStr">
        <is>
          <t>MIRIAM GISELA RETA FUENTES</t>
        </is>
      </c>
      <c r="D659" t="n">
        <v>9237</v>
      </c>
      <c r="E659" t="inlineStr">
        <is>
          <t>ASISTENTE CAMBIARIO</t>
        </is>
      </c>
      <c r="F659" t="inlineStr">
        <is>
          <t>MONTERREY</t>
        </is>
      </c>
      <c r="G659" t="n">
        <v>1482</v>
      </c>
      <c r="H659" t="inlineStr">
        <is>
          <t>GERARDO BENAVIDES CHAVEZ</t>
        </is>
      </c>
      <c r="I659" t="n">
        <v>9358</v>
      </c>
      <c r="J659" t="inlineStr">
        <is>
          <t>SUBDIRECTOR COMERCIAL</t>
        </is>
      </c>
      <c r="K659" t="n">
        <v>1</v>
      </c>
      <c r="L659" t="inlineStr">
        <is>
          <t>PRESIDENCIA EJECUTIVA DEL CONSEJO</t>
        </is>
      </c>
      <c r="M659" t="n">
        <v>40</v>
      </c>
      <c r="N659" t="inlineStr">
        <is>
          <t>DIRECCION GENERAL BANCO BASE</t>
        </is>
      </c>
      <c r="O659" t="n">
        <v>410</v>
      </c>
      <c r="P659" t="inlineStr">
        <is>
          <t>DIRECCION COMERCIAL</t>
        </is>
      </c>
      <c r="Q659" t="n">
        <v>4150</v>
      </c>
      <c r="R659" t="inlineStr">
        <is>
          <t>DIRECCION COMERCIAL MONTERREY 1</t>
        </is>
      </c>
      <c r="S659" t="n">
        <v>41520</v>
      </c>
      <c r="T659" t="inlineStr">
        <is>
          <t>SUBDIRECCION COMERCIAL MONTERREY 2</t>
        </is>
      </c>
      <c r="U659" t="n">
        <v>415200</v>
      </c>
      <c r="V659" t="inlineStr">
        <is>
          <t>SUBDIRECCION COMERCIAL MONTERREY 2</t>
        </is>
      </c>
      <c r="W659" t="n">
        <v>126102</v>
      </c>
      <c r="X659" t="inlineStr">
        <is>
          <t>VALLE ORIENTE</t>
        </is>
      </c>
      <c r="Y659" t="n">
        <v>3</v>
      </c>
      <c r="Z659" t="inlineStr">
        <is>
          <t>CAMBIARIO</t>
        </is>
      </c>
      <c r="AA659" t="n">
        <v>1</v>
      </c>
      <c r="AB659" t="inlineStr">
        <is>
          <t>NEGOCIO EN MARCHA</t>
        </is>
      </c>
      <c r="AC659" t="n">
        <v>1</v>
      </c>
      <c r="AD659" t="inlineStr">
        <is>
          <t>BANCO</t>
        </is>
      </c>
      <c r="AE659" t="n">
        <v>2</v>
      </c>
      <c r="AF659" t="inlineStr">
        <is>
          <t>MIDDLE</t>
        </is>
      </c>
      <c r="AG659" t="n">
        <v>126102</v>
      </c>
      <c r="AH659" t="inlineStr">
        <is>
          <t>MONTERREY</t>
        </is>
      </c>
      <c r="AI659" t="inlineStr">
        <is>
          <t>MRETAF@BANCOBASE.COM</t>
        </is>
      </c>
      <c r="AJ659" s="151" t="n">
        <v>43606</v>
      </c>
      <c r="AK659" s="151" t="n"/>
      <c r="AL659" s="151" t="n"/>
    </row>
    <row r="660" hidden="1" s="150">
      <c r="A660" t="inlineStr">
        <is>
          <t>EALVAREZ</t>
        </is>
      </c>
      <c r="B660" t="n">
        <v>3163</v>
      </c>
      <c r="C660" t="inlineStr">
        <is>
          <t>EDSON ALVAREZ CORONADO</t>
        </is>
      </c>
      <c r="D660" t="n">
        <v>10110</v>
      </c>
      <c r="E660" t="inlineStr">
        <is>
          <t>EJECUTIVO DE SOPORTE</t>
        </is>
      </c>
      <c r="F660" t="inlineStr">
        <is>
          <t>MONTERREY</t>
        </is>
      </c>
      <c r="G660" t="n">
        <v>1482</v>
      </c>
      <c r="H660" t="inlineStr">
        <is>
          <t>GERARDO BENAVIDES CHAVEZ</t>
        </is>
      </c>
      <c r="I660" t="n">
        <v>9358</v>
      </c>
      <c r="J660" t="inlineStr">
        <is>
          <t>SUBDIRECTOR COMERCIAL</t>
        </is>
      </c>
      <c r="K660" t="n">
        <v>1</v>
      </c>
      <c r="L660" t="inlineStr">
        <is>
          <t>PRESIDENCIA EJECUTIVA DEL CONSEJO</t>
        </is>
      </c>
      <c r="M660" t="n">
        <v>40</v>
      </c>
      <c r="N660" t="inlineStr">
        <is>
          <t>DIRECCION GENERAL BANCO BASE</t>
        </is>
      </c>
      <c r="O660" t="n">
        <v>410</v>
      </c>
      <c r="P660" t="inlineStr">
        <is>
          <t>DIRECCION COMERCIAL</t>
        </is>
      </c>
      <c r="Q660" t="n">
        <v>4150</v>
      </c>
      <c r="R660" t="inlineStr">
        <is>
          <t>DIRECCION COMERCIAL MONTERREY 1</t>
        </is>
      </c>
      <c r="S660" t="n">
        <v>41520</v>
      </c>
      <c r="T660" t="inlineStr">
        <is>
          <t>SUBDIRECCION COMERCIAL MONTERREY 2</t>
        </is>
      </c>
      <c r="U660" t="n">
        <v>415200</v>
      </c>
      <c r="V660" t="inlineStr">
        <is>
          <t>SUBDIRECCION COMERCIAL MONTERREY 2</t>
        </is>
      </c>
      <c r="W660" t="n">
        <v>126102</v>
      </c>
      <c r="X660" t="inlineStr">
        <is>
          <t>VALLE ORIENTE</t>
        </is>
      </c>
      <c r="Y660" t="n">
        <v>17</v>
      </c>
      <c r="Z660" t="inlineStr">
        <is>
          <t>SOPORTE</t>
        </is>
      </c>
      <c r="AA660" t="n">
        <v>1</v>
      </c>
      <c r="AB660" t="inlineStr">
        <is>
          <t>NEGOCIO EN MARCHA</t>
        </is>
      </c>
      <c r="AC660" t="n">
        <v>1</v>
      </c>
      <c r="AD660" t="inlineStr">
        <is>
          <t>BANCO</t>
        </is>
      </c>
      <c r="AE660" t="n">
        <v>2</v>
      </c>
      <c r="AF660" t="inlineStr">
        <is>
          <t>MIDDLE</t>
        </is>
      </c>
      <c r="AG660" t="n">
        <v>126102</v>
      </c>
      <c r="AH660" t="inlineStr">
        <is>
          <t>MONTERREY</t>
        </is>
      </c>
      <c r="AI660" t="inlineStr">
        <is>
          <t>EALVAREZ@BANCOBASE.COM</t>
        </is>
      </c>
      <c r="AJ660" s="151" t="n">
        <v>45489</v>
      </c>
      <c r="AK660" s="151" t="n"/>
      <c r="AL660" s="151" t="n"/>
    </row>
    <row r="661" hidden="1" s="150">
      <c r="A661" t="inlineStr">
        <is>
          <t>EPEREZ</t>
        </is>
      </c>
      <c r="B661" t="n">
        <v>56</v>
      </c>
      <c r="C661" t="inlineStr">
        <is>
          <t>CLAUDIA ERIKA PEREZ CAVAZOS</t>
        </is>
      </c>
      <c r="D661" t="n">
        <v>8733</v>
      </c>
      <c r="E661" t="inlineStr">
        <is>
          <t>ASISTENTE CAMBIARIO</t>
        </is>
      </c>
      <c r="F661" t="inlineStr">
        <is>
          <t>MONTERREY</t>
        </is>
      </c>
      <c r="G661" t="n">
        <v>1482</v>
      </c>
      <c r="H661" t="inlineStr">
        <is>
          <t>GERARDO BENAVIDES CHAVEZ</t>
        </is>
      </c>
      <c r="I661" t="n">
        <v>9358</v>
      </c>
      <c r="J661" t="inlineStr">
        <is>
          <t>SUBDIRECTOR COMERCIAL</t>
        </is>
      </c>
      <c r="K661" t="n">
        <v>1</v>
      </c>
      <c r="L661" t="inlineStr">
        <is>
          <t>PRESIDENCIA EJECUTIVA DEL CONSEJO</t>
        </is>
      </c>
      <c r="M661" t="n">
        <v>40</v>
      </c>
      <c r="N661" t="inlineStr">
        <is>
          <t>DIRECCION GENERAL BANCO BASE</t>
        </is>
      </c>
      <c r="O661" t="n">
        <v>410</v>
      </c>
      <c r="P661" t="inlineStr">
        <is>
          <t>DIRECCION COMERCIAL</t>
        </is>
      </c>
      <c r="Q661" t="n">
        <v>4150</v>
      </c>
      <c r="R661" t="inlineStr">
        <is>
          <t>DIRECCION COMERCIAL MONTERREY 1</t>
        </is>
      </c>
      <c r="S661" t="n">
        <v>41520</v>
      </c>
      <c r="T661" t="inlineStr">
        <is>
          <t>SUBDIRECCION COMERCIAL MONTERREY 2</t>
        </is>
      </c>
      <c r="U661" t="n">
        <v>415200</v>
      </c>
      <c r="V661" t="inlineStr">
        <is>
          <t>SUBDIRECCION COMERCIAL MONTERREY 2</t>
        </is>
      </c>
      <c r="W661" t="n">
        <v>126102</v>
      </c>
      <c r="X661" t="inlineStr">
        <is>
          <t>VALLE ORIENTE</t>
        </is>
      </c>
      <c r="Y661" t="n">
        <v>3</v>
      </c>
      <c r="Z661" t="inlineStr">
        <is>
          <t>CAMBIARIO</t>
        </is>
      </c>
      <c r="AA661" t="n">
        <v>1</v>
      </c>
      <c r="AB661" t="inlineStr">
        <is>
          <t>NEGOCIO EN MARCHA</t>
        </is>
      </c>
      <c r="AC661" t="n">
        <v>1</v>
      </c>
      <c r="AD661" t="inlineStr">
        <is>
          <t>BANCO</t>
        </is>
      </c>
      <c r="AE661" t="n">
        <v>2</v>
      </c>
      <c r="AF661" t="inlineStr">
        <is>
          <t>MIDDLE</t>
        </is>
      </c>
      <c r="AG661" t="n">
        <v>126102</v>
      </c>
      <c r="AH661" t="inlineStr">
        <is>
          <t>MONTERREY</t>
        </is>
      </c>
      <c r="AI661" t="inlineStr">
        <is>
          <t>EPEREZ@BANCOBASE.COM</t>
        </is>
      </c>
      <c r="AJ661" s="151" t="n">
        <v>34570</v>
      </c>
      <c r="AK661" s="151" t="n"/>
      <c r="AL661" s="151" t="n"/>
    </row>
    <row r="662" hidden="1" s="150">
      <c r="A662" t="inlineStr">
        <is>
          <t>JPENA</t>
        </is>
      </c>
      <c r="B662" t="n">
        <v>965</v>
      </c>
      <c r="C662" t="inlineStr">
        <is>
          <t>JOSADOC NEBAI PEÑA SERNA</t>
        </is>
      </c>
      <c r="D662" t="n">
        <v>10309</v>
      </c>
      <c r="E662" t="inlineStr">
        <is>
          <t>SUBDIRECTOR COMERCIAL</t>
        </is>
      </c>
      <c r="F662" t="inlineStr">
        <is>
          <t>MONTERREY</t>
        </is>
      </c>
      <c r="G662" t="n">
        <v>482</v>
      </c>
      <c r="H662" t="inlineStr">
        <is>
          <t>CARLOS FERNANDO TREVIÑO VILLARREAL</t>
        </is>
      </c>
      <c r="I662" t="n">
        <v>71</v>
      </c>
      <c r="J662" t="inlineStr">
        <is>
          <t>DIRECTOR COMERCIAL MONTERREY</t>
        </is>
      </c>
      <c r="K662" t="n">
        <v>1</v>
      </c>
      <c r="L662" t="inlineStr">
        <is>
          <t>PRESIDENCIA EJECUTIVA DEL CONSEJO</t>
        </is>
      </c>
      <c r="M662" t="n">
        <v>40</v>
      </c>
      <c r="N662" t="inlineStr">
        <is>
          <t>DIRECCION GENERAL BANCO BASE</t>
        </is>
      </c>
      <c r="O662" t="n">
        <v>410</v>
      </c>
      <c r="P662" t="inlineStr">
        <is>
          <t>DIRECCION COMERCIAL</t>
        </is>
      </c>
      <c r="Q662" t="n">
        <v>4150</v>
      </c>
      <c r="R662" t="inlineStr">
        <is>
          <t>DIRECCION COMERCIAL MONTERREY 1</t>
        </is>
      </c>
      <c r="S662" t="n">
        <v>41550</v>
      </c>
      <c r="T662" t="inlineStr">
        <is>
          <t>SUBDIRECCION COMERCIAL MONTERREY 5</t>
        </is>
      </c>
      <c r="U662" t="n">
        <v>415500</v>
      </c>
      <c r="V662" t="inlineStr">
        <is>
          <t>SUBDIRECCION COMERCIAL MONTERREY 5</t>
        </is>
      </c>
      <c r="W662" t="n">
        <v>126102</v>
      </c>
      <c r="X662" t="inlineStr">
        <is>
          <t>VALLE ORIENTE</t>
        </is>
      </c>
      <c r="Y662" t="n">
        <v>3</v>
      </c>
      <c r="Z662" t="inlineStr">
        <is>
          <t>CAMBIARIO</t>
        </is>
      </c>
      <c r="AA662" t="n">
        <v>1</v>
      </c>
      <c r="AB662" t="inlineStr">
        <is>
          <t>NEGOCIO EN MARCHA</t>
        </is>
      </c>
      <c r="AC662" t="n">
        <v>1</v>
      </c>
      <c r="AD662" t="inlineStr">
        <is>
          <t>BANCO</t>
        </is>
      </c>
      <c r="AE662" t="n">
        <v>3</v>
      </c>
      <c r="AF662" t="inlineStr">
        <is>
          <t>FRONT</t>
        </is>
      </c>
      <c r="AG662" t="n">
        <v>126102</v>
      </c>
      <c r="AH662" t="inlineStr">
        <is>
          <t>MONTERREY</t>
        </is>
      </c>
      <c r="AI662" t="inlineStr">
        <is>
          <t>JPENA@BANCOBASE.COM</t>
        </is>
      </c>
      <c r="AJ662" s="151" t="n">
        <v>41218</v>
      </c>
      <c r="AK662" s="151" t="n"/>
      <c r="AL662" s="151" t="n"/>
    </row>
    <row r="663" hidden="1" s="150">
      <c r="A663" t="inlineStr">
        <is>
          <t>BVALDES</t>
        </is>
      </c>
      <c r="B663" t="n">
        <v>1014</v>
      </c>
      <c r="C663" t="inlineStr">
        <is>
          <t>BERTHA RAQUEL VALDES TRUEBA</t>
        </is>
      </c>
      <c r="D663" t="n">
        <v>9239</v>
      </c>
      <c r="E663" t="inlineStr">
        <is>
          <t>ASESOR CAMBIARIO</t>
        </is>
      </c>
      <c r="F663" t="inlineStr">
        <is>
          <t>MONTERREY</t>
        </is>
      </c>
      <c r="G663" t="n">
        <v>965</v>
      </c>
      <c r="H663" t="inlineStr">
        <is>
          <t>JOSADOC NEBAI PEÑA SERNA</t>
        </is>
      </c>
      <c r="I663" t="n">
        <v>10309</v>
      </c>
      <c r="J663" t="inlineStr">
        <is>
          <t>SUBDIRECTOR COMERCIAL</t>
        </is>
      </c>
      <c r="K663" t="n">
        <v>1</v>
      </c>
      <c r="L663" t="inlineStr">
        <is>
          <t>PRESIDENCIA EJECUTIVA DEL CONSEJO</t>
        </is>
      </c>
      <c r="M663" t="n">
        <v>40</v>
      </c>
      <c r="N663" t="inlineStr">
        <is>
          <t>DIRECCION GENERAL BANCO BASE</t>
        </is>
      </c>
      <c r="O663" t="n">
        <v>410</v>
      </c>
      <c r="P663" t="inlineStr">
        <is>
          <t>DIRECCION COMERCIAL</t>
        </is>
      </c>
      <c r="Q663" t="n">
        <v>4150</v>
      </c>
      <c r="R663" t="inlineStr">
        <is>
          <t>DIRECCION COMERCIAL MONTERREY 1</t>
        </is>
      </c>
      <c r="S663" t="n">
        <v>41550</v>
      </c>
      <c r="T663" t="inlineStr">
        <is>
          <t>SUBDIRECCION COMERCIAL MONTERREY 5</t>
        </is>
      </c>
      <c r="U663" t="n">
        <v>415500</v>
      </c>
      <c r="V663" t="inlineStr">
        <is>
          <t>SUBDIRECCION COMERCIAL MONTERREY 5</t>
        </is>
      </c>
      <c r="W663" t="n">
        <v>126102</v>
      </c>
      <c r="X663" t="inlineStr">
        <is>
          <t>VALLE ORIENTE</t>
        </is>
      </c>
      <c r="Y663" t="n">
        <v>3</v>
      </c>
      <c r="Z663" t="inlineStr">
        <is>
          <t>CAMBIARIO</t>
        </is>
      </c>
      <c r="AA663" t="n">
        <v>1</v>
      </c>
      <c r="AB663" t="inlineStr">
        <is>
          <t>NEGOCIO EN MARCHA</t>
        </is>
      </c>
      <c r="AC663" t="n">
        <v>1</v>
      </c>
      <c r="AD663" t="inlineStr">
        <is>
          <t>BANCO</t>
        </is>
      </c>
      <c r="AE663" t="n">
        <v>3</v>
      </c>
      <c r="AF663" t="inlineStr">
        <is>
          <t>FRONT</t>
        </is>
      </c>
      <c r="AG663" t="n">
        <v>126102</v>
      </c>
      <c r="AH663" t="inlineStr">
        <is>
          <t>MONTERREY</t>
        </is>
      </c>
      <c r="AI663" t="inlineStr">
        <is>
          <t>BVALDES@BANCOBASE.COM</t>
        </is>
      </c>
      <c r="AJ663" s="151" t="n">
        <v>41372</v>
      </c>
      <c r="AK663" s="151" t="n"/>
      <c r="AL663" s="151" t="n"/>
    </row>
    <row r="664" hidden="1" s="150">
      <c r="A664" t="inlineStr">
        <is>
          <t>IRUIZGO</t>
        </is>
      </c>
      <c r="B664" t="n">
        <v>2206</v>
      </c>
      <c r="C664" t="inlineStr">
        <is>
          <t>ISRAEL EDUARDO RUIZ GONZALEZ</t>
        </is>
      </c>
      <c r="D664" t="n">
        <v>9545</v>
      </c>
      <c r="E664" t="inlineStr">
        <is>
          <t>ASESOR CAMBIARIO</t>
        </is>
      </c>
      <c r="F664" t="inlineStr">
        <is>
          <t>MONTERREY</t>
        </is>
      </c>
      <c r="G664" t="n">
        <v>965</v>
      </c>
      <c r="H664" t="inlineStr">
        <is>
          <t>JOSADOC NEBAI PEÑA SERNA</t>
        </is>
      </c>
      <c r="I664" t="n">
        <v>10309</v>
      </c>
      <c r="J664" t="inlineStr">
        <is>
          <t>SUBDIRECTOR COMERCIAL</t>
        </is>
      </c>
      <c r="K664" t="n">
        <v>1</v>
      </c>
      <c r="L664" t="inlineStr">
        <is>
          <t>PRESIDENCIA EJECUTIVA DEL CONSEJO</t>
        </is>
      </c>
      <c r="M664" t="n">
        <v>40</v>
      </c>
      <c r="N664" t="inlineStr">
        <is>
          <t>DIRECCION GENERAL BANCO BASE</t>
        </is>
      </c>
      <c r="O664" t="n">
        <v>410</v>
      </c>
      <c r="P664" t="inlineStr">
        <is>
          <t>DIRECCION COMERCIAL</t>
        </is>
      </c>
      <c r="Q664" t="n">
        <v>4150</v>
      </c>
      <c r="R664" t="inlineStr">
        <is>
          <t>DIRECCION COMERCIAL MONTERREY 1</t>
        </is>
      </c>
      <c r="S664" t="n">
        <v>41550</v>
      </c>
      <c r="T664" t="inlineStr">
        <is>
          <t>SUBDIRECCION COMERCIAL MONTERREY 5</t>
        </is>
      </c>
      <c r="U664" t="n">
        <v>415500</v>
      </c>
      <c r="V664" t="inlineStr">
        <is>
          <t>SUBDIRECCION COMERCIAL MONTERREY 5</t>
        </is>
      </c>
      <c r="W664" t="n">
        <v>126102</v>
      </c>
      <c r="X664" t="inlineStr">
        <is>
          <t>VALLE ORIENTE</t>
        </is>
      </c>
      <c r="Y664" t="n">
        <v>3</v>
      </c>
      <c r="Z664" t="inlineStr">
        <is>
          <t>CAMBIARIO</t>
        </is>
      </c>
      <c r="AA664" t="n">
        <v>1</v>
      </c>
      <c r="AB664" t="inlineStr">
        <is>
          <t>NEGOCIO EN MARCHA</t>
        </is>
      </c>
      <c r="AC664" t="n">
        <v>1</v>
      </c>
      <c r="AD664" t="inlineStr">
        <is>
          <t>BANCO</t>
        </is>
      </c>
      <c r="AE664" t="n">
        <v>3</v>
      </c>
      <c r="AF664" t="inlineStr">
        <is>
          <t>FRONT</t>
        </is>
      </c>
      <c r="AG664" t="n">
        <v>126102</v>
      </c>
      <c r="AH664" t="inlineStr">
        <is>
          <t>MONTERREY</t>
        </is>
      </c>
      <c r="AI664" t="inlineStr">
        <is>
          <t>IRUIZGO@BANCOBASE.COM</t>
        </is>
      </c>
      <c r="AJ664" s="151" t="n">
        <v>43556</v>
      </c>
      <c r="AK664" s="151" t="n"/>
      <c r="AL664" s="151" t="n"/>
    </row>
    <row r="665" hidden="1" s="150">
      <c r="A665" t="inlineStr">
        <is>
          <t>PRAMIREZA</t>
        </is>
      </c>
      <c r="B665" t="n">
        <v>1301</v>
      </c>
      <c r="C665" t="inlineStr">
        <is>
          <t>PATRICIA RAMIREZ ALONSO</t>
        </is>
      </c>
      <c r="D665" t="n">
        <v>9567</v>
      </c>
      <c r="E665" t="inlineStr">
        <is>
          <t>ASESOR CAMBIARIO</t>
        </is>
      </c>
      <c r="F665" t="inlineStr">
        <is>
          <t>MONTERREY</t>
        </is>
      </c>
      <c r="G665" t="n">
        <v>965</v>
      </c>
      <c r="H665" t="inlineStr">
        <is>
          <t>JOSADOC NEBAI PEÑA SERNA</t>
        </is>
      </c>
      <c r="I665" t="n">
        <v>10309</v>
      </c>
      <c r="J665" t="inlineStr">
        <is>
          <t>SUBDIRECTOR COMERCIAL</t>
        </is>
      </c>
      <c r="K665" t="n">
        <v>1</v>
      </c>
      <c r="L665" t="inlineStr">
        <is>
          <t>PRESIDENCIA EJECUTIVA DEL CONSEJO</t>
        </is>
      </c>
      <c r="M665" t="n">
        <v>40</v>
      </c>
      <c r="N665" t="inlineStr">
        <is>
          <t>DIRECCION GENERAL BANCO BASE</t>
        </is>
      </c>
      <c r="O665" t="n">
        <v>410</v>
      </c>
      <c r="P665" t="inlineStr">
        <is>
          <t>DIRECCION COMERCIAL</t>
        </is>
      </c>
      <c r="Q665" t="n">
        <v>4150</v>
      </c>
      <c r="R665" t="inlineStr">
        <is>
          <t>DIRECCION COMERCIAL MONTERREY 1</t>
        </is>
      </c>
      <c r="S665" t="n">
        <v>41550</v>
      </c>
      <c r="T665" t="inlineStr">
        <is>
          <t>SUBDIRECCION COMERCIAL MONTERREY 5</t>
        </is>
      </c>
      <c r="U665" t="n">
        <v>415500</v>
      </c>
      <c r="V665" t="inlineStr">
        <is>
          <t>SUBDIRECCION COMERCIAL MONTERREY 5</t>
        </is>
      </c>
      <c r="W665" t="n">
        <v>126102</v>
      </c>
      <c r="X665" t="inlineStr">
        <is>
          <t>VALLE ORIENTE</t>
        </is>
      </c>
      <c r="Y665" t="n">
        <v>3</v>
      </c>
      <c r="Z665" t="inlineStr">
        <is>
          <t>CAMBIARIO</t>
        </is>
      </c>
      <c r="AA665" t="n">
        <v>1</v>
      </c>
      <c r="AB665" t="inlineStr">
        <is>
          <t>NEGOCIO EN MARCHA</t>
        </is>
      </c>
      <c r="AC665" t="n">
        <v>1</v>
      </c>
      <c r="AD665" t="inlineStr">
        <is>
          <t>BANCO</t>
        </is>
      </c>
      <c r="AE665" t="n">
        <v>3</v>
      </c>
      <c r="AF665" t="inlineStr">
        <is>
          <t>FRONT</t>
        </is>
      </c>
      <c r="AG665" t="n">
        <v>126102</v>
      </c>
      <c r="AH665" t="inlineStr">
        <is>
          <t>MONTERREY</t>
        </is>
      </c>
      <c r="AI665" t="inlineStr">
        <is>
          <t>PRAMIREZA@BANCOBASE.COM</t>
        </is>
      </c>
      <c r="AJ665" s="151" t="n">
        <v>42135</v>
      </c>
      <c r="AK665" s="151" t="n"/>
      <c r="AL665" s="151" t="n"/>
    </row>
    <row r="666" hidden="1" s="150">
      <c r="A666" t="inlineStr">
        <is>
          <t>RELIZONDOG</t>
        </is>
      </c>
      <c r="B666" t="n">
        <v>2787</v>
      </c>
      <c r="C666" t="inlineStr">
        <is>
          <t>RICARDO ARTURO ELIZONDO GRANADOS</t>
        </is>
      </c>
      <c r="D666" t="n">
        <v>8071</v>
      </c>
      <c r="E666" t="inlineStr">
        <is>
          <t>ASESOR CAMBIARIO</t>
        </is>
      </c>
      <c r="F666" t="inlineStr">
        <is>
          <t>MONTERREY</t>
        </is>
      </c>
      <c r="G666" t="n">
        <v>965</v>
      </c>
      <c r="H666" t="inlineStr">
        <is>
          <t>JOSADOC NEBAI PEÑA SERNA</t>
        </is>
      </c>
      <c r="I666" t="n">
        <v>10309</v>
      </c>
      <c r="J666" t="inlineStr">
        <is>
          <t>SUBDIRECTOR COMERCIAL</t>
        </is>
      </c>
      <c r="K666" t="n">
        <v>1</v>
      </c>
      <c r="L666" t="inlineStr">
        <is>
          <t>PRESIDENCIA EJECUTIVA DEL CONSEJO</t>
        </is>
      </c>
      <c r="M666" t="n">
        <v>40</v>
      </c>
      <c r="N666" t="inlineStr">
        <is>
          <t>DIRECCION GENERAL BANCO BASE</t>
        </is>
      </c>
      <c r="O666" t="n">
        <v>410</v>
      </c>
      <c r="P666" t="inlineStr">
        <is>
          <t>DIRECCION COMERCIAL</t>
        </is>
      </c>
      <c r="Q666" t="n">
        <v>4150</v>
      </c>
      <c r="R666" t="inlineStr">
        <is>
          <t>DIRECCION COMERCIAL MONTERREY 1</t>
        </is>
      </c>
      <c r="S666" t="n">
        <v>41550</v>
      </c>
      <c r="T666" t="inlineStr">
        <is>
          <t>SUBDIRECCION COMERCIAL MONTERREY 5</t>
        </is>
      </c>
      <c r="U666" t="n">
        <v>415500</v>
      </c>
      <c r="V666" t="inlineStr">
        <is>
          <t>SUBDIRECCION COMERCIAL MONTERREY 5</t>
        </is>
      </c>
      <c r="W666" t="n">
        <v>126102</v>
      </c>
      <c r="X666" t="inlineStr">
        <is>
          <t>VALLE ORIENTE</t>
        </is>
      </c>
      <c r="Y666" t="n">
        <v>3</v>
      </c>
      <c r="Z666" t="inlineStr">
        <is>
          <t>CAMBIARIO</t>
        </is>
      </c>
      <c r="AA666" t="n">
        <v>1</v>
      </c>
      <c r="AB666" t="inlineStr">
        <is>
          <t>NEGOCIO EN MARCHA</t>
        </is>
      </c>
      <c r="AC666" t="n">
        <v>1</v>
      </c>
      <c r="AD666" t="inlineStr">
        <is>
          <t>BANCO</t>
        </is>
      </c>
      <c r="AE666" t="n">
        <v>3</v>
      </c>
      <c r="AF666" t="inlineStr">
        <is>
          <t>FRONT</t>
        </is>
      </c>
      <c r="AG666" t="n">
        <v>126102</v>
      </c>
      <c r="AH666" t="inlineStr">
        <is>
          <t>MONTERREY</t>
        </is>
      </c>
      <c r="AI666" t="inlineStr">
        <is>
          <t>RELIZONDOG@BANCOBASE.COM</t>
        </is>
      </c>
      <c r="AJ666" s="151" t="n">
        <v>44896</v>
      </c>
      <c r="AK666" s="151" t="n"/>
      <c r="AL666" s="151" t="n"/>
    </row>
    <row r="667" hidden="1" s="150">
      <c r="A667" t="inlineStr">
        <is>
          <t>SHAMELIUS</t>
        </is>
      </c>
      <c r="B667" t="n">
        <v>2635</v>
      </c>
      <c r="C667" t="inlineStr">
        <is>
          <t>SERGIO HAMELIUS ROMERO</t>
        </is>
      </c>
      <c r="D667" t="n">
        <v>9021</v>
      </c>
      <c r="E667" t="inlineStr">
        <is>
          <t>ASESOR CAMBIARIO</t>
        </is>
      </c>
      <c r="F667" t="inlineStr">
        <is>
          <t>TAMPICO</t>
        </is>
      </c>
      <c r="G667" t="n">
        <v>965</v>
      </c>
      <c r="H667" t="inlineStr">
        <is>
          <t>JOSADOC NEBAI PEÑA SERNA</t>
        </is>
      </c>
      <c r="I667" t="n">
        <v>10309</v>
      </c>
      <c r="J667" t="inlineStr">
        <is>
          <t>SUBDIRECTOR COMERCIAL</t>
        </is>
      </c>
      <c r="K667" t="n">
        <v>1</v>
      </c>
      <c r="L667" t="inlineStr">
        <is>
          <t>PRESIDENCIA EJECUTIVA DEL CONSEJO</t>
        </is>
      </c>
      <c r="M667" t="n">
        <v>40</v>
      </c>
      <c r="N667" t="inlineStr">
        <is>
          <t>DIRECCION GENERAL BANCO BASE</t>
        </is>
      </c>
      <c r="O667" t="n">
        <v>410</v>
      </c>
      <c r="P667" t="inlineStr">
        <is>
          <t>DIRECCION COMERCIAL</t>
        </is>
      </c>
      <c r="Q667" t="n">
        <v>4150</v>
      </c>
      <c r="R667" t="inlineStr">
        <is>
          <t>DIRECCION COMERCIAL MONTERREY 1</t>
        </is>
      </c>
      <c r="S667" t="n">
        <v>41550</v>
      </c>
      <c r="T667" t="inlineStr">
        <is>
          <t>SUBDIRECCION COMERCIAL MONTERREY 5</t>
        </is>
      </c>
      <c r="U667" t="n">
        <v>415500</v>
      </c>
      <c r="V667" t="inlineStr">
        <is>
          <t>SUBDIRECCION COMERCIAL MONTERREY 5</t>
        </is>
      </c>
      <c r="W667" t="n">
        <v>126117</v>
      </c>
      <c r="X667" t="inlineStr">
        <is>
          <t>TAMPICO</t>
        </is>
      </c>
      <c r="Y667" t="n">
        <v>3</v>
      </c>
      <c r="Z667" t="inlineStr">
        <is>
          <t>CAMBIARIO</t>
        </is>
      </c>
      <c r="AA667" t="n">
        <v>1</v>
      </c>
      <c r="AB667" t="inlineStr">
        <is>
          <t>NEGOCIO EN MARCHA</t>
        </is>
      </c>
      <c r="AC667" t="n">
        <v>1</v>
      </c>
      <c r="AD667" t="inlineStr">
        <is>
          <t>BANCO</t>
        </is>
      </c>
      <c r="AE667" t="n">
        <v>3</v>
      </c>
      <c r="AF667" t="inlineStr">
        <is>
          <t>FRONT</t>
        </is>
      </c>
      <c r="AG667" t="n">
        <v>126117</v>
      </c>
      <c r="AH667" t="inlineStr">
        <is>
          <t>TAMPICO</t>
        </is>
      </c>
      <c r="AI667" t="inlineStr">
        <is>
          <t>SHAMELIUS@BANCOBASE.COM</t>
        </is>
      </c>
      <c r="AJ667" s="151" t="n">
        <v>44669</v>
      </c>
      <c r="AK667" s="151" t="n"/>
      <c r="AL667" s="151" t="n"/>
    </row>
    <row r="668" hidden="1" s="150">
      <c r="A668" t="inlineStr">
        <is>
          <t>BGCASTILLO</t>
        </is>
      </c>
      <c r="B668" t="n">
        <v>3623</v>
      </c>
      <c r="C668" t="inlineStr">
        <is>
          <t>BLANCA GUADALUPE CASTILLO GONZALEZ</t>
        </is>
      </c>
      <c r="D668" t="n">
        <v>8390</v>
      </c>
      <c r="E668" t="inlineStr">
        <is>
          <t>ASESOR CAMBIARIO</t>
        </is>
      </c>
      <c r="F668" t="inlineStr">
        <is>
          <t>MONTERREY</t>
        </is>
      </c>
      <c r="G668" t="n">
        <v>965</v>
      </c>
      <c r="H668" t="inlineStr">
        <is>
          <t>JOSADOC NEBAI PEÑA SERNA</t>
        </is>
      </c>
      <c r="I668" t="n">
        <v>10309</v>
      </c>
      <c r="J668" t="inlineStr">
        <is>
          <t>SUBDIRECTOR COMERCIAL</t>
        </is>
      </c>
      <c r="K668" t="n">
        <v>1</v>
      </c>
      <c r="L668" t="inlineStr">
        <is>
          <t>PRESIDENCIA EJECUTIVA DEL CONSEJO</t>
        </is>
      </c>
      <c r="M668" t="n">
        <v>40</v>
      </c>
      <c r="N668" t="inlineStr">
        <is>
          <t>DIRECCION GENERAL BANCO BASE</t>
        </is>
      </c>
      <c r="O668" t="n">
        <v>410</v>
      </c>
      <c r="P668" t="inlineStr">
        <is>
          <t>DIRECCION COMERCIAL</t>
        </is>
      </c>
      <c r="Q668" t="n">
        <v>4150</v>
      </c>
      <c r="R668" t="inlineStr">
        <is>
          <t>DIRECCION COMERCIAL MONTERREY 1</t>
        </is>
      </c>
      <c r="S668" t="n">
        <v>41550</v>
      </c>
      <c r="T668" t="inlineStr">
        <is>
          <t>SUBDIRECCION COMERCIAL MONTERREY 5</t>
        </is>
      </c>
      <c r="U668" t="n">
        <v>415500</v>
      </c>
      <c r="V668" t="inlineStr">
        <is>
          <t>SUBDIRECCION COMERCIAL MONTERREY 5</t>
        </is>
      </c>
      <c r="W668" t="n">
        <v>126102</v>
      </c>
      <c r="X668" t="inlineStr">
        <is>
          <t>VALLE ORIENTE</t>
        </is>
      </c>
      <c r="Y668" t="n">
        <v>3</v>
      </c>
      <c r="Z668" t="inlineStr">
        <is>
          <t>CAMBIARIO</t>
        </is>
      </c>
      <c r="AA668" t="n">
        <v>1</v>
      </c>
      <c r="AB668" t="inlineStr">
        <is>
          <t>NEGOCIO EN MARCHA</t>
        </is>
      </c>
      <c r="AC668" t="n">
        <v>1</v>
      </c>
      <c r="AD668" t="inlineStr">
        <is>
          <t>BANCO</t>
        </is>
      </c>
      <c r="AE668" t="n">
        <v>3</v>
      </c>
      <c r="AF668" t="inlineStr">
        <is>
          <t>FRONT</t>
        </is>
      </c>
      <c r="AG668" t="n">
        <v>126102</v>
      </c>
      <c r="AH668" t="inlineStr">
        <is>
          <t>MONTERREY</t>
        </is>
      </c>
      <c r="AI668" t="inlineStr">
        <is>
          <t>BGCASTILLO@BANCOBASE.COM</t>
        </is>
      </c>
      <c r="AJ668" s="151" t="n">
        <v>45946</v>
      </c>
      <c r="AK668" s="151" t="n"/>
      <c r="AL668" s="151" t="n"/>
    </row>
    <row r="669" hidden="1" s="150">
      <c r="A669" t="inlineStr">
        <is>
          <t>GNAVARRETE</t>
        </is>
      </c>
      <c r="B669" t="n">
        <v>566</v>
      </c>
      <c r="C669" t="inlineStr">
        <is>
          <t>GUADALUPE NAVARRETE REYES</t>
        </is>
      </c>
      <c r="D669" t="n">
        <v>9280</v>
      </c>
      <c r="E669" t="inlineStr">
        <is>
          <t>ASESOR CAMBIARIO</t>
        </is>
      </c>
      <c r="F669" t="inlineStr">
        <is>
          <t>TAMPICO</t>
        </is>
      </c>
      <c r="G669" t="n">
        <v>965</v>
      </c>
      <c r="H669" t="inlineStr">
        <is>
          <t>JOSADOC NEBAI PEÑA SERNA</t>
        </is>
      </c>
      <c r="I669" t="n">
        <v>10309</v>
      </c>
      <c r="J669" t="inlineStr">
        <is>
          <t>SUBDIRECTOR COMERCIAL</t>
        </is>
      </c>
      <c r="K669" t="n">
        <v>1</v>
      </c>
      <c r="L669" t="inlineStr">
        <is>
          <t>PRESIDENCIA EJECUTIVA DEL CONSEJO</t>
        </is>
      </c>
      <c r="M669" t="n">
        <v>40</v>
      </c>
      <c r="N669" t="inlineStr">
        <is>
          <t>DIRECCION GENERAL BANCO BASE</t>
        </is>
      </c>
      <c r="O669" t="n">
        <v>410</v>
      </c>
      <c r="P669" t="inlineStr">
        <is>
          <t>DIRECCION COMERCIAL</t>
        </is>
      </c>
      <c r="Q669" t="n">
        <v>4150</v>
      </c>
      <c r="R669" t="inlineStr">
        <is>
          <t>DIRECCION COMERCIAL MONTERREY 1</t>
        </is>
      </c>
      <c r="S669" t="n">
        <v>41550</v>
      </c>
      <c r="T669" t="inlineStr">
        <is>
          <t>SUBDIRECCION COMERCIAL MONTERREY 5</t>
        </is>
      </c>
      <c r="U669" t="n">
        <v>415500</v>
      </c>
      <c r="V669" t="inlineStr">
        <is>
          <t>SUBDIRECCION COMERCIAL MONTERREY 5</t>
        </is>
      </c>
      <c r="W669" t="n">
        <v>126117</v>
      </c>
      <c r="X669" t="inlineStr">
        <is>
          <t>TAMPICO</t>
        </is>
      </c>
      <c r="Y669" t="n">
        <v>3</v>
      </c>
      <c r="Z669" t="inlineStr">
        <is>
          <t>CAMBIARIO</t>
        </is>
      </c>
      <c r="AA669" t="n">
        <v>1</v>
      </c>
      <c r="AB669" t="inlineStr">
        <is>
          <t>NEGOCIO EN MARCHA</t>
        </is>
      </c>
      <c r="AC669" t="n">
        <v>1</v>
      </c>
      <c r="AD669" t="inlineStr">
        <is>
          <t>BANCO</t>
        </is>
      </c>
      <c r="AE669" t="n">
        <v>3</v>
      </c>
      <c r="AF669" t="inlineStr">
        <is>
          <t>FRONT</t>
        </is>
      </c>
      <c r="AG669" t="n">
        <v>126117</v>
      </c>
      <c r="AH669" t="inlineStr">
        <is>
          <t>TAMPICO</t>
        </is>
      </c>
      <c r="AI669" t="inlineStr">
        <is>
          <t>GNAVARRETE@BANCOBASE.COM</t>
        </is>
      </c>
      <c r="AJ669" s="151" t="n">
        <v>40028</v>
      </c>
      <c r="AK669" s="151" t="n"/>
      <c r="AL669" s="151" t="n"/>
    </row>
    <row r="670" hidden="1" s="150">
      <c r="A670" t="inlineStr">
        <is>
          <t>JGARZAM</t>
        </is>
      </c>
      <c r="B670" t="n">
        <v>3086</v>
      </c>
      <c r="C670" t="inlineStr">
        <is>
          <t>JOSE ADRIAN GARZA MEDRANO</t>
        </is>
      </c>
      <c r="D670" t="n">
        <v>9722</v>
      </c>
      <c r="E670" t="inlineStr">
        <is>
          <t>ASESOR CAMBIARIO</t>
        </is>
      </c>
      <c r="F670" t="inlineStr">
        <is>
          <t>MONTERREY</t>
        </is>
      </c>
      <c r="G670" t="n">
        <v>965</v>
      </c>
      <c r="H670" t="inlineStr">
        <is>
          <t>JOSADOC NEBAI PEÑA SERNA</t>
        </is>
      </c>
      <c r="I670" t="n">
        <v>10309</v>
      </c>
      <c r="J670" t="inlineStr">
        <is>
          <t>SUBDIRECTOR COMERCIAL</t>
        </is>
      </c>
      <c r="K670" t="n">
        <v>1</v>
      </c>
      <c r="L670" t="inlineStr">
        <is>
          <t>PRESIDENCIA EJECUTIVA DEL CONSEJO</t>
        </is>
      </c>
      <c r="M670" t="n">
        <v>40</v>
      </c>
      <c r="N670" t="inlineStr">
        <is>
          <t>DIRECCION GENERAL BANCO BASE</t>
        </is>
      </c>
      <c r="O670" t="n">
        <v>410</v>
      </c>
      <c r="P670" t="inlineStr">
        <is>
          <t>DIRECCION COMERCIAL</t>
        </is>
      </c>
      <c r="Q670" t="n">
        <v>4150</v>
      </c>
      <c r="R670" t="inlineStr">
        <is>
          <t>DIRECCION COMERCIAL MONTERREY 1</t>
        </is>
      </c>
      <c r="S670" t="n">
        <v>41550</v>
      </c>
      <c r="T670" t="inlineStr">
        <is>
          <t>SUBDIRECCION COMERCIAL MONTERREY 5</t>
        </is>
      </c>
      <c r="U670" t="n">
        <v>415500</v>
      </c>
      <c r="V670" t="inlineStr">
        <is>
          <t>SUBDIRECCION COMERCIAL MONTERREY 5</t>
        </is>
      </c>
      <c r="W670" t="n">
        <v>126102</v>
      </c>
      <c r="X670" t="inlineStr">
        <is>
          <t>VALLE ORIENTE</t>
        </is>
      </c>
      <c r="Y670" t="n">
        <v>3</v>
      </c>
      <c r="Z670" t="inlineStr">
        <is>
          <t>CAMBIARIO</t>
        </is>
      </c>
      <c r="AA670" t="n">
        <v>1</v>
      </c>
      <c r="AB670" t="inlineStr">
        <is>
          <t>NEGOCIO EN MARCHA</t>
        </is>
      </c>
      <c r="AC670" t="n">
        <v>1</v>
      </c>
      <c r="AD670" t="inlineStr">
        <is>
          <t>BANCO</t>
        </is>
      </c>
      <c r="AE670" t="n">
        <v>3</v>
      </c>
      <c r="AF670" t="inlineStr">
        <is>
          <t>FRONT</t>
        </is>
      </c>
      <c r="AG670" t="n">
        <v>126102</v>
      </c>
      <c r="AH670" t="inlineStr">
        <is>
          <t>MONTERREY</t>
        </is>
      </c>
      <c r="AI670" t="inlineStr">
        <is>
          <t>JGARZAM@BANCOBASE.COM</t>
        </is>
      </c>
      <c r="AJ670" s="151" t="n">
        <v>45398</v>
      </c>
      <c r="AK670" s="151" t="n"/>
      <c r="AL670" s="151" t="n"/>
    </row>
    <row r="671" hidden="1" s="150">
      <c r="A671" t="inlineStr">
        <is>
          <t>JVILLEGAS</t>
        </is>
      </c>
      <c r="B671" t="n">
        <v>2222</v>
      </c>
      <c r="C671" t="inlineStr">
        <is>
          <t>JONATAN VILLEGAS RIOS</t>
        </is>
      </c>
      <c r="D671" t="n">
        <v>10240</v>
      </c>
      <c r="E671" t="inlineStr">
        <is>
          <t>ESPECIALISTA DE FINANCIAMIENTO</t>
        </is>
      </c>
      <c r="F671" t="inlineStr">
        <is>
          <t>MONTERREY</t>
        </is>
      </c>
      <c r="G671" t="n">
        <v>965</v>
      </c>
      <c r="H671" t="inlineStr">
        <is>
          <t>JOSADOC NEBAI PEÑA SERNA</t>
        </is>
      </c>
      <c r="I671" t="n">
        <v>10309</v>
      </c>
      <c r="J671" t="inlineStr">
        <is>
          <t>SUBDIRECTOR COMERCIAL</t>
        </is>
      </c>
      <c r="K671" t="n">
        <v>1</v>
      </c>
      <c r="L671" t="inlineStr">
        <is>
          <t>PRESIDENCIA EJECUTIVA DEL CONSEJO</t>
        </is>
      </c>
      <c r="M671" t="n">
        <v>40</v>
      </c>
      <c r="N671" t="inlineStr">
        <is>
          <t>DIRECCION GENERAL BANCO BASE</t>
        </is>
      </c>
      <c r="O671" t="n">
        <v>410</v>
      </c>
      <c r="P671" t="inlineStr">
        <is>
          <t>DIRECCION COMERCIAL</t>
        </is>
      </c>
      <c r="Q671" t="n">
        <v>4150</v>
      </c>
      <c r="R671" t="inlineStr">
        <is>
          <t>DIRECCION COMERCIAL MONTERREY 1</t>
        </is>
      </c>
      <c r="S671" t="n">
        <v>41550</v>
      </c>
      <c r="T671" t="inlineStr">
        <is>
          <t>SUBDIRECCION COMERCIAL MONTERREY 5</t>
        </is>
      </c>
      <c r="U671" t="n">
        <v>415500</v>
      </c>
      <c r="V671" t="inlineStr">
        <is>
          <t>SUBDIRECCION COMERCIAL MONTERREY 5</t>
        </is>
      </c>
      <c r="W671" t="n">
        <v>126102</v>
      </c>
      <c r="X671" t="inlineStr">
        <is>
          <t>VALLE ORIENTE</t>
        </is>
      </c>
      <c r="Y671" t="n">
        <v>13</v>
      </c>
      <c r="Z671" t="inlineStr">
        <is>
          <t>FINANCIAMIENTO</t>
        </is>
      </c>
      <c r="AA671" t="n">
        <v>1</v>
      </c>
      <c r="AB671" t="inlineStr">
        <is>
          <t>NEGOCIO EN MARCHA</t>
        </is>
      </c>
      <c r="AC671" t="n">
        <v>1</v>
      </c>
      <c r="AD671" t="inlineStr">
        <is>
          <t>BANCO</t>
        </is>
      </c>
      <c r="AE671" t="n">
        <v>3</v>
      </c>
      <c r="AF671" t="inlineStr">
        <is>
          <t>FRONT</t>
        </is>
      </c>
      <c r="AG671" t="n">
        <v>126102</v>
      </c>
      <c r="AH671" t="inlineStr">
        <is>
          <t>MONTERREY</t>
        </is>
      </c>
      <c r="AI671" t="inlineStr">
        <is>
          <t>JVILLEGAS@BANCOBASE.COM</t>
        </is>
      </c>
      <c r="AJ671" s="151" t="n">
        <v>43563</v>
      </c>
      <c r="AK671" s="151" t="n"/>
      <c r="AL671" s="151" t="n"/>
    </row>
    <row r="672" hidden="1" s="150">
      <c r="A672" t="inlineStr">
        <is>
          <t>RPAZM</t>
        </is>
      </c>
      <c r="B672" t="n">
        <v>2606</v>
      </c>
      <c r="C672" t="inlineStr">
        <is>
          <t>RENE LUIS PAZ MARTINEZ</t>
        </is>
      </c>
      <c r="D672" t="n">
        <v>9994</v>
      </c>
      <c r="E672" t="inlineStr">
        <is>
          <t>ESPECIALISTA DE BANCA TRANSACCIONAL</t>
        </is>
      </c>
      <c r="F672" t="inlineStr">
        <is>
          <t>MONTERREY</t>
        </is>
      </c>
      <c r="G672" t="n">
        <v>965</v>
      </c>
      <c r="H672" t="inlineStr">
        <is>
          <t>JOSADOC NEBAI PEÑA SERNA</t>
        </is>
      </c>
      <c r="I672" t="n">
        <v>10309</v>
      </c>
      <c r="J672" t="inlineStr">
        <is>
          <t>SUBDIRECTOR COMERCIAL</t>
        </is>
      </c>
      <c r="K672" t="n">
        <v>1</v>
      </c>
      <c r="L672" t="inlineStr">
        <is>
          <t>PRESIDENCIA EJECUTIVA DEL CONSEJO</t>
        </is>
      </c>
      <c r="M672" t="n">
        <v>40</v>
      </c>
      <c r="N672" t="inlineStr">
        <is>
          <t>DIRECCION GENERAL BANCO BASE</t>
        </is>
      </c>
      <c r="O672" t="n">
        <v>410</v>
      </c>
      <c r="P672" t="inlineStr">
        <is>
          <t>DIRECCION COMERCIAL</t>
        </is>
      </c>
      <c r="Q672" t="n">
        <v>4150</v>
      </c>
      <c r="R672" t="inlineStr">
        <is>
          <t>DIRECCION COMERCIAL MONTERREY 1</t>
        </is>
      </c>
      <c r="S672" t="n">
        <v>41550</v>
      </c>
      <c r="T672" t="inlineStr">
        <is>
          <t>SUBDIRECCION COMERCIAL MONTERREY 5</t>
        </is>
      </c>
      <c r="U672" t="n">
        <v>415500</v>
      </c>
      <c r="V672" t="inlineStr">
        <is>
          <t>SUBDIRECCION COMERCIAL MONTERREY 5</t>
        </is>
      </c>
      <c r="W672" t="n">
        <v>126102</v>
      </c>
      <c r="X672" t="inlineStr">
        <is>
          <t>VALLE ORIENTE</t>
        </is>
      </c>
      <c r="Y672" t="n">
        <v>14</v>
      </c>
      <c r="Z672" t="inlineStr">
        <is>
          <t>TRANSACCIONAL</t>
        </is>
      </c>
      <c r="AA672" t="n">
        <v>1</v>
      </c>
      <c r="AB672" t="inlineStr">
        <is>
          <t>NEGOCIO EN MARCHA</t>
        </is>
      </c>
      <c r="AC672" t="n">
        <v>1</v>
      </c>
      <c r="AD672" t="inlineStr">
        <is>
          <t>BANCO</t>
        </is>
      </c>
      <c r="AE672" t="n">
        <v>3</v>
      </c>
      <c r="AF672" t="inlineStr">
        <is>
          <t>FRONT</t>
        </is>
      </c>
      <c r="AG672" t="n">
        <v>126102</v>
      </c>
      <c r="AH672" t="inlineStr">
        <is>
          <t>MONTERREY</t>
        </is>
      </c>
      <c r="AI672" t="inlineStr">
        <is>
          <t>RPAZM@BANCOBASE.COM</t>
        </is>
      </c>
      <c r="AJ672" s="151" t="n">
        <v>44578</v>
      </c>
      <c r="AK672" s="151" t="n"/>
      <c r="AL672" s="151" t="n"/>
    </row>
    <row r="673" hidden="1" s="150">
      <c r="A673" t="inlineStr">
        <is>
          <t>FGALLARDO</t>
        </is>
      </c>
      <c r="B673" t="n">
        <v>2624</v>
      </c>
      <c r="C673" t="inlineStr">
        <is>
          <t>FRANCISCO JAVIER GALLARDO GARCIA</t>
        </is>
      </c>
      <c r="D673" t="n">
        <v>8726</v>
      </c>
      <c r="E673" t="inlineStr">
        <is>
          <t>ESPECIALISTA DE FINANCIAMIENTO</t>
        </is>
      </c>
      <c r="F673" t="inlineStr">
        <is>
          <t>MONTERREY</t>
        </is>
      </c>
      <c r="G673" t="n">
        <v>965</v>
      </c>
      <c r="H673" t="inlineStr">
        <is>
          <t>JOSADOC NEBAI PEÑA SERNA</t>
        </is>
      </c>
      <c r="I673" t="n">
        <v>10309</v>
      </c>
      <c r="J673" t="inlineStr">
        <is>
          <t>SUBDIRECTOR COMERCIAL</t>
        </is>
      </c>
      <c r="K673" t="n">
        <v>1</v>
      </c>
      <c r="L673" t="inlineStr">
        <is>
          <t>PRESIDENCIA EJECUTIVA DEL CONSEJO</t>
        </is>
      </c>
      <c r="M673" t="n">
        <v>40</v>
      </c>
      <c r="N673" t="inlineStr">
        <is>
          <t>DIRECCION GENERAL BANCO BASE</t>
        </is>
      </c>
      <c r="O673" t="n">
        <v>410</v>
      </c>
      <c r="P673" t="inlineStr">
        <is>
          <t>DIRECCION COMERCIAL</t>
        </is>
      </c>
      <c r="Q673" t="n">
        <v>4150</v>
      </c>
      <c r="R673" t="inlineStr">
        <is>
          <t>DIRECCION COMERCIAL MONTERREY 1</t>
        </is>
      </c>
      <c r="S673" t="n">
        <v>41550</v>
      </c>
      <c r="T673" t="inlineStr">
        <is>
          <t>SUBDIRECCION COMERCIAL MONTERREY 5</t>
        </is>
      </c>
      <c r="U673" t="n">
        <v>415500</v>
      </c>
      <c r="V673" t="inlineStr">
        <is>
          <t>SUBDIRECCION COMERCIAL MONTERREY 5</t>
        </is>
      </c>
      <c r="W673" t="n">
        <v>126102</v>
      </c>
      <c r="X673" t="inlineStr">
        <is>
          <t>VALLE ORIENTE</t>
        </is>
      </c>
      <c r="Y673" t="n">
        <v>13</v>
      </c>
      <c r="Z673" t="inlineStr">
        <is>
          <t>FINANCIAMIENTO</t>
        </is>
      </c>
      <c r="AA673" t="n">
        <v>1</v>
      </c>
      <c r="AB673" t="inlineStr">
        <is>
          <t>NEGOCIO EN MARCHA</t>
        </is>
      </c>
      <c r="AC673" t="n">
        <v>1</v>
      </c>
      <c r="AD673" t="inlineStr">
        <is>
          <t>BANCO</t>
        </is>
      </c>
      <c r="AE673" t="n">
        <v>3</v>
      </c>
      <c r="AF673" t="inlineStr">
        <is>
          <t>FRONT</t>
        </is>
      </c>
      <c r="AG673" t="n">
        <v>126102</v>
      </c>
      <c r="AH673" t="inlineStr">
        <is>
          <t>MONTERREY</t>
        </is>
      </c>
      <c r="AI673" t="inlineStr">
        <is>
          <t>FGALLARDO@BANCOBASE.COM</t>
        </is>
      </c>
      <c r="AJ673" s="151" t="n">
        <v>44621</v>
      </c>
      <c r="AK673" s="151" t="n"/>
      <c r="AL673" s="151" t="n"/>
    </row>
    <row r="674" hidden="1" s="150">
      <c r="A674" t="inlineStr">
        <is>
          <t>DCHAVEZ</t>
        </is>
      </c>
      <c r="B674" t="n">
        <v>585</v>
      </c>
      <c r="C674" t="inlineStr">
        <is>
          <t>DORA ELENA CHAVEZ HERNANDEZ</t>
        </is>
      </c>
      <c r="D674" t="n">
        <v>9279</v>
      </c>
      <c r="E674" t="inlineStr">
        <is>
          <t>ASISTENTE CAMBIARIO</t>
        </is>
      </c>
      <c r="F674" t="inlineStr">
        <is>
          <t>TAMPICO</t>
        </is>
      </c>
      <c r="G674" t="n">
        <v>965</v>
      </c>
      <c r="H674" t="inlineStr">
        <is>
          <t>JOSADOC NEBAI PEÑA SERNA</t>
        </is>
      </c>
      <c r="I674" t="n">
        <v>10309</v>
      </c>
      <c r="J674" t="inlineStr">
        <is>
          <t>SUBDIRECTOR COMERCIAL</t>
        </is>
      </c>
      <c r="K674" t="n">
        <v>1</v>
      </c>
      <c r="L674" t="inlineStr">
        <is>
          <t>PRESIDENCIA EJECUTIVA DEL CONSEJO</t>
        </is>
      </c>
      <c r="M674" t="n">
        <v>40</v>
      </c>
      <c r="N674" t="inlineStr">
        <is>
          <t>DIRECCION GENERAL BANCO BASE</t>
        </is>
      </c>
      <c r="O674" t="n">
        <v>410</v>
      </c>
      <c r="P674" t="inlineStr">
        <is>
          <t>DIRECCION COMERCIAL</t>
        </is>
      </c>
      <c r="Q674" t="n">
        <v>4150</v>
      </c>
      <c r="R674" t="inlineStr">
        <is>
          <t>DIRECCION COMERCIAL MONTERREY 1</t>
        </is>
      </c>
      <c r="S674" t="n">
        <v>41550</v>
      </c>
      <c r="T674" t="inlineStr">
        <is>
          <t>SUBDIRECCION COMERCIAL MONTERREY 5</t>
        </is>
      </c>
      <c r="U674" t="n">
        <v>415500</v>
      </c>
      <c r="V674" t="inlineStr">
        <is>
          <t>SUBDIRECCION COMERCIAL MONTERREY 5</t>
        </is>
      </c>
      <c r="W674" t="n">
        <v>126117</v>
      </c>
      <c r="X674" t="inlineStr">
        <is>
          <t>TAMPICO</t>
        </is>
      </c>
      <c r="Y674" t="n">
        <v>3</v>
      </c>
      <c r="Z674" t="inlineStr">
        <is>
          <t>CAMBIARIO</t>
        </is>
      </c>
      <c r="AA674" t="n">
        <v>1</v>
      </c>
      <c r="AB674" t="inlineStr">
        <is>
          <t>NEGOCIO EN MARCHA</t>
        </is>
      </c>
      <c r="AC674" t="n">
        <v>1</v>
      </c>
      <c r="AD674" t="inlineStr">
        <is>
          <t>BANCO</t>
        </is>
      </c>
      <c r="AE674" t="n">
        <v>2</v>
      </c>
      <c r="AF674" t="inlineStr">
        <is>
          <t>MIDDLE</t>
        </is>
      </c>
      <c r="AG674" t="n">
        <v>126117</v>
      </c>
      <c r="AH674" t="inlineStr">
        <is>
          <t>TAMPICO</t>
        </is>
      </c>
      <c r="AI674" t="inlineStr">
        <is>
          <t>DCHAVEZ@BANCOBASE.COM</t>
        </is>
      </c>
      <c r="AJ674" s="151" t="n">
        <v>40148</v>
      </c>
      <c r="AK674" s="151" t="n"/>
      <c r="AL674" s="151" t="n"/>
    </row>
    <row r="675" hidden="1" s="150">
      <c r="A675" t="inlineStr">
        <is>
          <t>ICARREON</t>
        </is>
      </c>
      <c r="B675" t="n">
        <v>2436</v>
      </c>
      <c r="C675" t="inlineStr">
        <is>
          <t>ITZEL ESMERALDA CARREON LOZANO</t>
        </is>
      </c>
      <c r="D675" t="n">
        <v>9852</v>
      </c>
      <c r="E675" t="inlineStr">
        <is>
          <t>ASISTENTE CAMBIARIO</t>
        </is>
      </c>
      <c r="F675" t="inlineStr">
        <is>
          <t>MONTERREY</t>
        </is>
      </c>
      <c r="G675" t="n">
        <v>965</v>
      </c>
      <c r="H675" t="inlineStr">
        <is>
          <t>JOSADOC NEBAI PEÑA SERNA</t>
        </is>
      </c>
      <c r="I675" t="n">
        <v>10309</v>
      </c>
      <c r="J675" t="inlineStr">
        <is>
          <t>SUBDIRECTOR COMERCIAL</t>
        </is>
      </c>
      <c r="K675" t="n">
        <v>1</v>
      </c>
      <c r="L675" t="inlineStr">
        <is>
          <t>PRESIDENCIA EJECUTIVA DEL CONSEJO</t>
        </is>
      </c>
      <c r="M675" t="n">
        <v>40</v>
      </c>
      <c r="N675" t="inlineStr">
        <is>
          <t>DIRECCION GENERAL BANCO BASE</t>
        </is>
      </c>
      <c r="O675" t="n">
        <v>410</v>
      </c>
      <c r="P675" t="inlineStr">
        <is>
          <t>DIRECCION COMERCIAL</t>
        </is>
      </c>
      <c r="Q675" t="n">
        <v>4150</v>
      </c>
      <c r="R675" t="inlineStr">
        <is>
          <t>DIRECCION COMERCIAL MONTERREY 1</t>
        </is>
      </c>
      <c r="S675" t="n">
        <v>41550</v>
      </c>
      <c r="T675" t="inlineStr">
        <is>
          <t>SUBDIRECCION COMERCIAL MONTERREY 5</t>
        </is>
      </c>
      <c r="U675" t="n">
        <v>415500</v>
      </c>
      <c r="V675" t="inlineStr">
        <is>
          <t>SUBDIRECCION COMERCIAL MONTERREY 5</t>
        </is>
      </c>
      <c r="W675" t="n">
        <v>126102</v>
      </c>
      <c r="X675" t="inlineStr">
        <is>
          <t>VALLE ORIENTE</t>
        </is>
      </c>
      <c r="Y675" t="n">
        <v>3</v>
      </c>
      <c r="Z675" t="inlineStr">
        <is>
          <t>CAMBIARIO</t>
        </is>
      </c>
      <c r="AA675" t="n">
        <v>1</v>
      </c>
      <c r="AB675" t="inlineStr">
        <is>
          <t>NEGOCIO EN MARCHA</t>
        </is>
      </c>
      <c r="AC675" t="n">
        <v>1</v>
      </c>
      <c r="AD675" t="inlineStr">
        <is>
          <t>BANCO</t>
        </is>
      </c>
      <c r="AE675" t="n">
        <v>2</v>
      </c>
      <c r="AF675" t="inlineStr">
        <is>
          <t>MIDDLE</t>
        </is>
      </c>
      <c r="AG675" t="n">
        <v>126102</v>
      </c>
      <c r="AH675" t="inlineStr">
        <is>
          <t>MONTERREY</t>
        </is>
      </c>
      <c r="AI675" t="inlineStr">
        <is>
          <t>ICARREON@BANCOBASE.COM</t>
        </is>
      </c>
      <c r="AJ675" s="151" t="n">
        <v>44116</v>
      </c>
      <c r="AK675" s="151" t="n"/>
      <c r="AL675" s="151" t="n"/>
    </row>
    <row r="676" hidden="1" s="150">
      <c r="A676" t="inlineStr">
        <is>
          <t>GALONSO</t>
        </is>
      </c>
      <c r="B676" t="n">
        <v>3347</v>
      </c>
      <c r="C676" t="inlineStr">
        <is>
          <t>GERARDO DANIEL ALONSO RODRIGUEZ</t>
        </is>
      </c>
      <c r="D676" t="n">
        <v>8685</v>
      </c>
      <c r="E676" t="inlineStr">
        <is>
          <t>EJECUTIVO DE SOPORTE</t>
        </is>
      </c>
      <c r="F676" t="inlineStr">
        <is>
          <t>MONTERREY</t>
        </is>
      </c>
      <c r="G676" t="n">
        <v>965</v>
      </c>
      <c r="H676" t="inlineStr">
        <is>
          <t>JOSADOC NEBAI PEÑA SERNA</t>
        </is>
      </c>
      <c r="I676" t="n">
        <v>10309</v>
      </c>
      <c r="J676" t="inlineStr">
        <is>
          <t>SUBDIRECTOR COMERCIAL</t>
        </is>
      </c>
      <c r="K676" t="n">
        <v>1</v>
      </c>
      <c r="L676" t="inlineStr">
        <is>
          <t>PRESIDENCIA EJECUTIVA DEL CONSEJO</t>
        </is>
      </c>
      <c r="M676" t="n">
        <v>40</v>
      </c>
      <c r="N676" t="inlineStr">
        <is>
          <t>DIRECCION GENERAL BANCO BASE</t>
        </is>
      </c>
      <c r="O676" t="n">
        <v>410</v>
      </c>
      <c r="P676" t="inlineStr">
        <is>
          <t>DIRECCION COMERCIAL</t>
        </is>
      </c>
      <c r="Q676" t="n">
        <v>4150</v>
      </c>
      <c r="R676" t="inlineStr">
        <is>
          <t>DIRECCION COMERCIAL MONTERREY 1</t>
        </is>
      </c>
      <c r="S676" t="n">
        <v>41550</v>
      </c>
      <c r="T676" t="inlineStr">
        <is>
          <t>SUBDIRECCION COMERCIAL MONTERREY 5</t>
        </is>
      </c>
      <c r="U676" t="n">
        <v>415500</v>
      </c>
      <c r="V676" t="inlineStr">
        <is>
          <t>SUBDIRECCION COMERCIAL MONTERREY 5</t>
        </is>
      </c>
      <c r="W676" t="n">
        <v>126102</v>
      </c>
      <c r="X676" t="inlineStr">
        <is>
          <t>VALLE ORIENTE</t>
        </is>
      </c>
      <c r="Y676" t="n">
        <v>17</v>
      </c>
      <c r="Z676" t="inlineStr">
        <is>
          <t>SOPORTE</t>
        </is>
      </c>
      <c r="AA676" t="n">
        <v>1</v>
      </c>
      <c r="AB676" t="inlineStr">
        <is>
          <t>NEGOCIO EN MARCHA</t>
        </is>
      </c>
      <c r="AC676" t="n">
        <v>1</v>
      </c>
      <c r="AD676" t="inlineStr">
        <is>
          <t>BANCO</t>
        </is>
      </c>
      <c r="AE676" t="n">
        <v>2</v>
      </c>
      <c r="AF676" t="inlineStr">
        <is>
          <t>MIDDLE</t>
        </is>
      </c>
      <c r="AG676" t="n">
        <v>126102</v>
      </c>
      <c r="AH676" t="inlineStr">
        <is>
          <t>MONTERREY</t>
        </is>
      </c>
      <c r="AI676" t="inlineStr">
        <is>
          <t>GALONSO@BANCOBASE.COM</t>
        </is>
      </c>
      <c r="AJ676" s="151" t="n">
        <v>45719</v>
      </c>
      <c r="AK676" s="151" t="n"/>
      <c r="AL676" s="151" t="n"/>
    </row>
    <row r="677" hidden="1" s="150">
      <c r="A677" t="inlineStr">
        <is>
          <t>MLOREDO</t>
        </is>
      </c>
      <c r="B677" t="n">
        <v>259</v>
      </c>
      <c r="C677" t="inlineStr">
        <is>
          <t>MARIBEL LOREDO MIRELES</t>
        </is>
      </c>
      <c r="D677" t="n">
        <v>10211</v>
      </c>
      <c r="E677" t="inlineStr">
        <is>
          <t>EJECUTIVO DE PROMOCION CAMBIARIO</t>
        </is>
      </c>
      <c r="F677" t="inlineStr">
        <is>
          <t>MONTERREY</t>
        </is>
      </c>
      <c r="G677" t="n">
        <v>965</v>
      </c>
      <c r="H677" t="inlineStr">
        <is>
          <t>JOSADOC NEBAI PEÑA SERNA</t>
        </is>
      </c>
      <c r="I677" t="n">
        <v>10309</v>
      </c>
      <c r="J677" t="inlineStr">
        <is>
          <t>SUBDIRECTOR COMERCIAL</t>
        </is>
      </c>
      <c r="K677" t="n">
        <v>1</v>
      </c>
      <c r="L677" t="inlineStr">
        <is>
          <t>PRESIDENCIA EJECUTIVA DEL CONSEJO</t>
        </is>
      </c>
      <c r="M677" t="n">
        <v>40</v>
      </c>
      <c r="N677" t="inlineStr">
        <is>
          <t>DIRECCION GENERAL BANCO BASE</t>
        </is>
      </c>
      <c r="O677" t="n">
        <v>410</v>
      </c>
      <c r="P677" t="inlineStr">
        <is>
          <t>DIRECCION COMERCIAL</t>
        </is>
      </c>
      <c r="Q677" t="n">
        <v>4150</v>
      </c>
      <c r="R677" t="inlineStr">
        <is>
          <t>DIRECCION COMERCIAL MONTERREY 1</t>
        </is>
      </c>
      <c r="S677" t="n">
        <v>41550</v>
      </c>
      <c r="T677" t="inlineStr">
        <is>
          <t>SUBDIRECCION COMERCIAL MONTERREY 5</t>
        </is>
      </c>
      <c r="U677" t="n">
        <v>415500</v>
      </c>
      <c r="V677" t="inlineStr">
        <is>
          <t>SUBDIRECCION COMERCIAL MONTERREY 5</t>
        </is>
      </c>
      <c r="W677" t="n">
        <v>126102</v>
      </c>
      <c r="X677" t="inlineStr">
        <is>
          <t>VALLE ORIENTE</t>
        </is>
      </c>
      <c r="Y677" t="n">
        <v>3</v>
      </c>
      <c r="Z677" t="inlineStr">
        <is>
          <t>CAMBIARIO</t>
        </is>
      </c>
      <c r="AA677" t="n">
        <v>1</v>
      </c>
      <c r="AB677" t="inlineStr">
        <is>
          <t>NEGOCIO EN MARCHA</t>
        </is>
      </c>
      <c r="AC677" t="n">
        <v>1</v>
      </c>
      <c r="AD677" t="inlineStr">
        <is>
          <t>BANCO</t>
        </is>
      </c>
      <c r="AE677" t="n">
        <v>2</v>
      </c>
      <c r="AF677" t="inlineStr">
        <is>
          <t>MIDDLE</t>
        </is>
      </c>
      <c r="AG677" t="n">
        <v>126102</v>
      </c>
      <c r="AH677" t="inlineStr">
        <is>
          <t>MONTERREY</t>
        </is>
      </c>
      <c r="AI677" t="inlineStr">
        <is>
          <t>MLOREDO@BANCOBASE.COM</t>
        </is>
      </c>
      <c r="AJ677" s="151" t="n">
        <v>38184</v>
      </c>
      <c r="AK677" s="151" t="n"/>
      <c r="AL677" s="151" t="n"/>
    </row>
    <row r="678" hidden="1" s="150">
      <c r="A678" t="inlineStr">
        <is>
          <t>SJIMENEZ</t>
        </is>
      </c>
      <c r="B678" t="n">
        <v>3800</v>
      </c>
      <c r="C678" t="inlineStr">
        <is>
          <t>SIMON JORGE JIMENEZ REYES</t>
        </is>
      </c>
      <c r="D678" t="n">
        <v>10053</v>
      </c>
      <c r="E678" t="inlineStr">
        <is>
          <t>ASESOR CAMBIARIO</t>
        </is>
      </c>
      <c r="F678" t="inlineStr">
        <is>
          <t>TAMPICO</t>
        </is>
      </c>
      <c r="G678" t="n">
        <v>965</v>
      </c>
      <c r="H678" t="inlineStr">
        <is>
          <t>JOSADOC NEBAI PEÑA SERNA</t>
        </is>
      </c>
      <c r="I678" t="n">
        <v>10309</v>
      </c>
      <c r="J678" t="inlineStr">
        <is>
          <t>SUBDIRECTOR COMERCIAL</t>
        </is>
      </c>
      <c r="K678" t="n">
        <v>1</v>
      </c>
      <c r="L678" t="inlineStr">
        <is>
          <t>PRESIDENCIA EJECUTIVA DEL CONSEJO</t>
        </is>
      </c>
      <c r="M678" t="n">
        <v>40</v>
      </c>
      <c r="N678" t="inlineStr">
        <is>
          <t>DIRECCION GENERAL BANCO BASE</t>
        </is>
      </c>
      <c r="O678" t="n">
        <v>410</v>
      </c>
      <c r="P678" t="inlineStr">
        <is>
          <t>DIRECCION COMERCIAL</t>
        </is>
      </c>
      <c r="Q678" t="n">
        <v>4150</v>
      </c>
      <c r="R678" t="inlineStr">
        <is>
          <t>DIRECCION COMERCIAL MONTERREY 1</t>
        </is>
      </c>
      <c r="S678" t="n">
        <v>41550</v>
      </c>
      <c r="T678" t="inlineStr">
        <is>
          <t>SUBDIRECCION COMERCIAL MONTERREY 5</t>
        </is>
      </c>
      <c r="U678" t="n">
        <v>415500</v>
      </c>
      <c r="V678" t="inlineStr">
        <is>
          <t>SUBDIRECCION COMERCIAL MONTERREY 5</t>
        </is>
      </c>
      <c r="W678" t="n">
        <v>126117</v>
      </c>
      <c r="X678" t="inlineStr">
        <is>
          <t>TAMPICO</t>
        </is>
      </c>
      <c r="Y678" t="n">
        <v>3</v>
      </c>
      <c r="Z678" t="inlineStr">
        <is>
          <t>CAMBIARIO</t>
        </is>
      </c>
      <c r="AA678" t="n">
        <v>1</v>
      </c>
      <c r="AB678" t="inlineStr">
        <is>
          <t>NEGOCIO EN MARCHA</t>
        </is>
      </c>
      <c r="AC678" t="n">
        <v>1</v>
      </c>
      <c r="AD678" t="inlineStr">
        <is>
          <t>BANCO</t>
        </is>
      </c>
      <c r="AE678" t="n">
        <v>3</v>
      </c>
      <c r="AF678" t="inlineStr">
        <is>
          <t>FRONT</t>
        </is>
      </c>
      <c r="AG678" t="n">
        <v>126117</v>
      </c>
      <c r="AH678" t="inlineStr">
        <is>
          <t>TAMPICO</t>
        </is>
      </c>
      <c r="AI678" t="inlineStr">
        <is>
          <t>SJIMENEZ@BANCOBASE.COM</t>
        </is>
      </c>
      <c r="AJ678" s="151" t="n">
        <v>46118</v>
      </c>
      <c r="AK678" s="151" t="n"/>
      <c r="AL678" s="151" t="n"/>
    </row>
    <row r="679" hidden="1" s="150">
      <c r="A679" t="inlineStr">
        <is>
          <t>JSANCHEZN</t>
        </is>
      </c>
      <c r="B679" t="n">
        <v>1216</v>
      </c>
      <c r="C679" t="inlineStr">
        <is>
          <t>JOSE ANTONIO SANCHEZ NARRO</t>
        </is>
      </c>
      <c r="D679" t="n">
        <v>8297</v>
      </c>
      <c r="E679" t="inlineStr">
        <is>
          <t>DIRECTOR COMERCIAL MONTERREY</t>
        </is>
      </c>
      <c r="F679" t="inlineStr">
        <is>
          <t>MONTERREY</t>
        </is>
      </c>
      <c r="G679" t="n">
        <v>538</v>
      </c>
      <c r="H679" t="inlineStr">
        <is>
          <t>LUIS NICOLAS EGUIARTE CORONA</t>
        </is>
      </c>
      <c r="I679" t="n">
        <v>8232</v>
      </c>
      <c r="J679" t="inlineStr">
        <is>
          <t>DIRECTOR DE ATRACCION Y VENTAS</t>
        </is>
      </c>
      <c r="K679" t="n">
        <v>1</v>
      </c>
      <c r="L679" t="inlineStr">
        <is>
          <t>PRESIDENCIA EJECUTIVA DEL CONSEJO</t>
        </is>
      </c>
      <c r="M679" t="n">
        <v>40</v>
      </c>
      <c r="N679" t="inlineStr">
        <is>
          <t>DIRECCION GENERAL BANCO BASE</t>
        </is>
      </c>
      <c r="O679" t="n">
        <v>410</v>
      </c>
      <c r="P679" t="inlineStr">
        <is>
          <t>DIRECCION COMERCIAL</t>
        </is>
      </c>
      <c r="Q679" t="n">
        <v>4580</v>
      </c>
      <c r="R679" t="inlineStr">
        <is>
          <t>DIRECCION COMERCIAL MONTERREY 2</t>
        </is>
      </c>
      <c r="S679" t="n">
        <v>41503</v>
      </c>
      <c r="T679" t="inlineStr">
        <is>
          <t>DIRECCION COMERCIAL MONTERREY 2</t>
        </is>
      </c>
      <c r="U679" t="n">
        <v>415030</v>
      </c>
      <c r="V679" t="inlineStr">
        <is>
          <t>DIRECCION COMERCIAL MONTERREY 2</t>
        </is>
      </c>
      <c r="W679" t="n">
        <v>126102</v>
      </c>
      <c r="X679" t="inlineStr">
        <is>
          <t>VALLE ORIENTE</t>
        </is>
      </c>
      <c r="Y679" t="n">
        <v>3</v>
      </c>
      <c r="Z679" t="inlineStr">
        <is>
          <t>CAMBIARIO</t>
        </is>
      </c>
      <c r="AA679" t="n">
        <v>1</v>
      </c>
      <c r="AB679" t="inlineStr">
        <is>
          <t>NEGOCIO EN MARCHA</t>
        </is>
      </c>
      <c r="AC679" t="n">
        <v>1</v>
      </c>
      <c r="AD679" t="inlineStr">
        <is>
          <t>BANCO</t>
        </is>
      </c>
      <c r="AE679" t="n">
        <v>3</v>
      </c>
      <c r="AF679" t="inlineStr">
        <is>
          <t>FRONT</t>
        </is>
      </c>
      <c r="AG679" t="n">
        <v>126102</v>
      </c>
      <c r="AH679" t="inlineStr">
        <is>
          <t>MONTERREY</t>
        </is>
      </c>
      <c r="AI679" t="inlineStr">
        <is>
          <t>JSANCHEZN@BANCOBASE.COM</t>
        </is>
      </c>
      <c r="AJ679" s="151" t="n">
        <v>41928</v>
      </c>
      <c r="AK679" s="151" t="n"/>
      <c r="AL679" s="151" t="n"/>
    </row>
    <row r="680" hidden="1" s="150">
      <c r="A680" t="inlineStr">
        <is>
          <t>JLARAE</t>
        </is>
      </c>
      <c r="B680" t="n">
        <v>2667</v>
      </c>
      <c r="C680" t="inlineStr">
        <is>
          <t>JORGE ALBERTO LARA ESPARZA</t>
        </is>
      </c>
      <c r="D680" t="n">
        <v>8954</v>
      </c>
      <c r="E680" t="inlineStr">
        <is>
          <t>ANALISTA DE GESTION</t>
        </is>
      </c>
      <c r="F680" t="inlineStr">
        <is>
          <t>MONTERREY</t>
        </is>
      </c>
      <c r="G680" t="n">
        <v>1216</v>
      </c>
      <c r="H680" t="inlineStr">
        <is>
          <t>JOSE ANTONIO SANCHEZ NARRO</t>
        </is>
      </c>
      <c r="I680" t="n">
        <v>8297</v>
      </c>
      <c r="J680" t="inlineStr">
        <is>
          <t>DIRECTOR COMERCIAL MONTERREY</t>
        </is>
      </c>
      <c r="K680" t="n">
        <v>1</v>
      </c>
      <c r="L680" t="inlineStr">
        <is>
          <t>PRESIDENCIA EJECUTIVA DEL CONSEJO</t>
        </is>
      </c>
      <c r="M680" t="n">
        <v>40</v>
      </c>
      <c r="N680" t="inlineStr">
        <is>
          <t>DIRECCION GENERAL BANCO BASE</t>
        </is>
      </c>
      <c r="O680" t="n">
        <v>410</v>
      </c>
      <c r="P680" t="inlineStr">
        <is>
          <t>DIRECCION COMERCIAL</t>
        </is>
      </c>
      <c r="Q680" t="n">
        <v>4580</v>
      </c>
      <c r="R680" t="inlineStr">
        <is>
          <t>DIRECCION COMERCIAL MONTERREY 2</t>
        </is>
      </c>
      <c r="S680" t="n">
        <v>41503</v>
      </c>
      <c r="T680" t="inlineStr">
        <is>
          <t>DIRECCION COMERCIAL MONTERREY 2</t>
        </is>
      </c>
      <c r="U680" t="n">
        <v>415030</v>
      </c>
      <c r="V680" t="inlineStr">
        <is>
          <t>DIRECCION COMERCIAL MONTERREY 2</t>
        </is>
      </c>
      <c r="W680" t="n">
        <v>126102</v>
      </c>
      <c r="X680" t="inlineStr">
        <is>
          <t>VALLE ORIENTE</t>
        </is>
      </c>
      <c r="Y680" t="n">
        <v>3</v>
      </c>
      <c r="Z680" t="inlineStr">
        <is>
          <t>CAMBIARIO</t>
        </is>
      </c>
      <c r="AA680" t="n">
        <v>1</v>
      </c>
      <c r="AB680" t="inlineStr">
        <is>
          <t>NEGOCIO EN MARCHA</t>
        </is>
      </c>
      <c r="AC680" t="n">
        <v>1</v>
      </c>
      <c r="AD680" t="inlineStr">
        <is>
          <t>BANCO</t>
        </is>
      </c>
      <c r="AE680" t="n">
        <v>1</v>
      </c>
      <c r="AF680" t="inlineStr">
        <is>
          <t>BACK</t>
        </is>
      </c>
      <c r="AG680" t="n">
        <v>126102</v>
      </c>
      <c r="AH680" t="inlineStr">
        <is>
          <t>MONTERREY</t>
        </is>
      </c>
      <c r="AI680" t="inlineStr">
        <is>
          <t>JLARAE@BANCOBASE.COM</t>
        </is>
      </c>
      <c r="AJ680" s="151" t="n">
        <v>44713</v>
      </c>
      <c r="AK680" s="151" t="n"/>
      <c r="AL680" s="151" t="n"/>
    </row>
    <row r="681" hidden="1" s="150">
      <c r="A681" t="inlineStr">
        <is>
          <t>MTORRESC</t>
        </is>
      </c>
      <c r="B681" t="n">
        <v>3422</v>
      </c>
      <c r="C681" t="inlineStr">
        <is>
          <t>MARIA DEL CARMEN TORRES CARRILLO</t>
        </is>
      </c>
      <c r="D681" t="n">
        <v>8179</v>
      </c>
      <c r="E681" t="inlineStr">
        <is>
          <t>SUBDIRECTOR COMERCIAL</t>
        </is>
      </c>
      <c r="F681" t="inlineStr">
        <is>
          <t>MONTERREY</t>
        </is>
      </c>
      <c r="G681" t="n">
        <v>1216</v>
      </c>
      <c r="H681" t="inlineStr">
        <is>
          <t>JOSE ANTONIO SANCHEZ NARRO</t>
        </is>
      </c>
      <c r="I681" t="n">
        <v>8297</v>
      </c>
      <c r="J681" t="inlineStr">
        <is>
          <t>DIRECTOR COMERCIAL MONTERREY</t>
        </is>
      </c>
      <c r="K681" t="n">
        <v>1</v>
      </c>
      <c r="L681" t="inlineStr">
        <is>
          <t>PRESIDENCIA EJECUTIVA DEL CONSEJO</t>
        </is>
      </c>
      <c r="M681" t="n">
        <v>40</v>
      </c>
      <c r="N681" t="inlineStr">
        <is>
          <t>DIRECCION GENERAL BANCO BASE</t>
        </is>
      </c>
      <c r="O681" t="n">
        <v>410</v>
      </c>
      <c r="P681" t="inlineStr">
        <is>
          <t>DIRECCION COMERCIAL</t>
        </is>
      </c>
      <c r="Q681" t="n">
        <v>4580</v>
      </c>
      <c r="R681" t="inlineStr">
        <is>
          <t>DIRECCION COMERCIAL MONTERREY 2</t>
        </is>
      </c>
      <c r="S681" t="n">
        <v>41530</v>
      </c>
      <c r="T681" t="inlineStr">
        <is>
          <t>SUBDIRECCION COMERCIAL MONTERREY 3</t>
        </is>
      </c>
      <c r="U681" t="n">
        <v>415300</v>
      </c>
      <c r="V681" t="inlineStr">
        <is>
          <t>SUBDIRECCION COMERCIAL MONTERREY 3</t>
        </is>
      </c>
      <c r="W681" t="n">
        <v>126102</v>
      </c>
      <c r="X681" t="inlineStr">
        <is>
          <t>VALLE ORIENTE</t>
        </is>
      </c>
      <c r="Y681" t="n">
        <v>3</v>
      </c>
      <c r="Z681" t="inlineStr">
        <is>
          <t>CAMBIARIO</t>
        </is>
      </c>
      <c r="AA681" t="n">
        <v>1</v>
      </c>
      <c r="AB681" t="inlineStr">
        <is>
          <t>NEGOCIO EN MARCHA</t>
        </is>
      </c>
      <c r="AC681" t="n">
        <v>1</v>
      </c>
      <c r="AD681" t="inlineStr">
        <is>
          <t>BANCO</t>
        </is>
      </c>
      <c r="AE681" t="n">
        <v>3</v>
      </c>
      <c r="AF681" t="inlineStr">
        <is>
          <t>FRONT</t>
        </is>
      </c>
      <c r="AG681" t="n">
        <v>126102</v>
      </c>
      <c r="AH681" t="inlineStr">
        <is>
          <t>MONTERREY</t>
        </is>
      </c>
      <c r="AI681" t="inlineStr">
        <is>
          <t>MTORRESC@BANCOBASE.COM</t>
        </is>
      </c>
      <c r="AJ681" s="151" t="n">
        <v>45782</v>
      </c>
      <c r="AK681" s="151" t="n"/>
      <c r="AL681" s="151" t="n"/>
    </row>
    <row r="682" hidden="1" s="150">
      <c r="A682" t="inlineStr">
        <is>
          <t>FGALVANZ</t>
        </is>
      </c>
      <c r="B682" t="n">
        <v>3675</v>
      </c>
      <c r="C682" t="inlineStr">
        <is>
          <t>FERNANDO DAVID GALVAN ZUBIETA</t>
        </is>
      </c>
      <c r="D682" t="n">
        <v>10041</v>
      </c>
      <c r="E682" t="inlineStr">
        <is>
          <t>ASESOR CAMBIARIO</t>
        </is>
      </c>
      <c r="F682" t="inlineStr">
        <is>
          <t>MONTERREY</t>
        </is>
      </c>
      <c r="G682" t="n">
        <v>3422</v>
      </c>
      <c r="H682" t="inlineStr">
        <is>
          <t>MARIA DEL CARMEN TORRES CARRILLO</t>
        </is>
      </c>
      <c r="I682" t="n">
        <v>8179</v>
      </c>
      <c r="J682" t="inlineStr">
        <is>
          <t>SUBDIRECTOR COMERCIAL</t>
        </is>
      </c>
      <c r="K682" t="n">
        <v>1</v>
      </c>
      <c r="L682" t="inlineStr">
        <is>
          <t>PRESIDENCIA EJECUTIVA DEL CONSEJO</t>
        </is>
      </c>
      <c r="M682" t="n">
        <v>40</v>
      </c>
      <c r="N682" t="inlineStr">
        <is>
          <t>DIRECCION GENERAL BANCO BASE</t>
        </is>
      </c>
      <c r="O682" t="n">
        <v>410</v>
      </c>
      <c r="P682" t="inlineStr">
        <is>
          <t>DIRECCION COMERCIAL</t>
        </is>
      </c>
      <c r="Q682" t="n">
        <v>4580</v>
      </c>
      <c r="R682" t="inlineStr">
        <is>
          <t>DIRECCION COMERCIAL MONTERREY 2</t>
        </is>
      </c>
      <c r="S682" t="n">
        <v>41530</v>
      </c>
      <c r="T682" t="inlineStr">
        <is>
          <t>SUBDIRECCION COMERCIAL MONTERREY 3</t>
        </is>
      </c>
      <c r="U682" t="n">
        <v>415300</v>
      </c>
      <c r="V682" t="inlineStr">
        <is>
          <t>SUBDIRECCION COMERCIAL MONTERREY 3</t>
        </is>
      </c>
      <c r="W682" t="n">
        <v>126102</v>
      </c>
      <c r="X682" t="inlineStr">
        <is>
          <t>VALLE ORIENTE</t>
        </is>
      </c>
      <c r="Y682" t="n">
        <v>3</v>
      </c>
      <c r="Z682" t="inlineStr">
        <is>
          <t>CAMBIARIO</t>
        </is>
      </c>
      <c r="AA682" t="n">
        <v>1</v>
      </c>
      <c r="AB682" t="inlineStr">
        <is>
          <t>NEGOCIO EN MARCHA</t>
        </is>
      </c>
      <c r="AC682" t="n">
        <v>1</v>
      </c>
      <c r="AD682" t="inlineStr">
        <is>
          <t>BANCO</t>
        </is>
      </c>
      <c r="AE682" t="n">
        <v>3</v>
      </c>
      <c r="AF682" t="inlineStr">
        <is>
          <t>FRONT</t>
        </is>
      </c>
      <c r="AG682" t="n">
        <v>126102</v>
      </c>
      <c r="AH682" t="inlineStr">
        <is>
          <t>MONTERREY</t>
        </is>
      </c>
      <c r="AI682" t="inlineStr">
        <is>
          <t>FGALVANZ@BANCOBASE.COM</t>
        </is>
      </c>
      <c r="AJ682" s="151" t="n">
        <v>45971</v>
      </c>
      <c r="AK682" s="151" t="n"/>
      <c r="AL682" s="151" t="n"/>
    </row>
    <row r="683" hidden="1" s="150">
      <c r="A683" t="inlineStr">
        <is>
          <t>GCORONADO</t>
        </is>
      </c>
      <c r="B683" t="n">
        <v>1233</v>
      </c>
      <c r="C683" t="inlineStr">
        <is>
          <t>GABRIEL CORONADO HINOJOSA</t>
        </is>
      </c>
      <c r="D683" t="n">
        <v>8175</v>
      </c>
      <c r="E683" t="inlineStr">
        <is>
          <t>ASESOR CAMBIARIO</t>
        </is>
      </c>
      <c r="F683" t="inlineStr">
        <is>
          <t>MONTERREY</t>
        </is>
      </c>
      <c r="G683" t="n">
        <v>3422</v>
      </c>
      <c r="H683" t="inlineStr">
        <is>
          <t>MARIA DEL CARMEN TORRES CARRILLO</t>
        </is>
      </c>
      <c r="I683" t="n">
        <v>8179</v>
      </c>
      <c r="J683" t="inlineStr">
        <is>
          <t>SUBDIRECTOR COMERCIAL</t>
        </is>
      </c>
      <c r="K683" t="n">
        <v>1</v>
      </c>
      <c r="L683" t="inlineStr">
        <is>
          <t>PRESIDENCIA EJECUTIVA DEL CONSEJO</t>
        </is>
      </c>
      <c r="M683" t="n">
        <v>40</v>
      </c>
      <c r="N683" t="inlineStr">
        <is>
          <t>DIRECCION GENERAL BANCO BASE</t>
        </is>
      </c>
      <c r="O683" t="n">
        <v>410</v>
      </c>
      <c r="P683" t="inlineStr">
        <is>
          <t>DIRECCION COMERCIAL</t>
        </is>
      </c>
      <c r="Q683" t="n">
        <v>4580</v>
      </c>
      <c r="R683" t="inlineStr">
        <is>
          <t>DIRECCION COMERCIAL MONTERREY 2</t>
        </is>
      </c>
      <c r="S683" t="n">
        <v>41530</v>
      </c>
      <c r="T683" t="inlineStr">
        <is>
          <t>SUBDIRECCION COMERCIAL MONTERREY 3</t>
        </is>
      </c>
      <c r="U683" t="n">
        <v>415300</v>
      </c>
      <c r="V683" t="inlineStr">
        <is>
          <t>SUBDIRECCION COMERCIAL MONTERREY 3</t>
        </is>
      </c>
      <c r="W683" t="n">
        <v>126102</v>
      </c>
      <c r="X683" t="inlineStr">
        <is>
          <t>VALLE ORIENTE</t>
        </is>
      </c>
      <c r="Y683" t="n">
        <v>3</v>
      </c>
      <c r="Z683" t="inlineStr">
        <is>
          <t>CAMBIARIO</t>
        </is>
      </c>
      <c r="AA683" t="n">
        <v>1</v>
      </c>
      <c r="AB683" t="inlineStr">
        <is>
          <t>NEGOCIO EN MARCHA</t>
        </is>
      </c>
      <c r="AC683" t="n">
        <v>1</v>
      </c>
      <c r="AD683" t="inlineStr">
        <is>
          <t>BANCO</t>
        </is>
      </c>
      <c r="AE683" t="n">
        <v>3</v>
      </c>
      <c r="AF683" t="inlineStr">
        <is>
          <t>FRONT</t>
        </is>
      </c>
      <c r="AG683" t="n">
        <v>126102</v>
      </c>
      <c r="AH683" t="inlineStr">
        <is>
          <t>MONTERREY</t>
        </is>
      </c>
      <c r="AI683" t="inlineStr">
        <is>
          <t>GCORONADO@BANCOBASE.COM</t>
        </is>
      </c>
      <c r="AJ683" s="151" t="n">
        <v>41968</v>
      </c>
      <c r="AK683" s="151" t="n"/>
      <c r="AL683" s="151" t="n"/>
    </row>
    <row r="684" hidden="1" s="150">
      <c r="A684" t="inlineStr">
        <is>
          <t>JESPINOSA</t>
        </is>
      </c>
      <c r="B684" t="n">
        <v>1942</v>
      </c>
      <c r="C684" t="inlineStr">
        <is>
          <t>JUAN CARLOS ESPINOSA AVILES</t>
        </is>
      </c>
      <c r="D684" t="n">
        <v>8177</v>
      </c>
      <c r="E684" t="inlineStr">
        <is>
          <t>ASESOR CAMBIARIO</t>
        </is>
      </c>
      <c r="F684" t="inlineStr">
        <is>
          <t>MONTERREY</t>
        </is>
      </c>
      <c r="G684" t="n">
        <v>3422</v>
      </c>
      <c r="H684" t="inlineStr">
        <is>
          <t>MARIA DEL CARMEN TORRES CARRILLO</t>
        </is>
      </c>
      <c r="I684" t="n">
        <v>8179</v>
      </c>
      <c r="J684" t="inlineStr">
        <is>
          <t>SUBDIRECTOR COMERCIAL</t>
        </is>
      </c>
      <c r="K684" t="n">
        <v>1</v>
      </c>
      <c r="L684" t="inlineStr">
        <is>
          <t>PRESIDENCIA EJECUTIVA DEL CONSEJO</t>
        </is>
      </c>
      <c r="M684" t="n">
        <v>40</v>
      </c>
      <c r="N684" t="inlineStr">
        <is>
          <t>DIRECCION GENERAL BANCO BASE</t>
        </is>
      </c>
      <c r="O684" t="n">
        <v>410</v>
      </c>
      <c r="P684" t="inlineStr">
        <is>
          <t>DIRECCION COMERCIAL</t>
        </is>
      </c>
      <c r="Q684" t="n">
        <v>4580</v>
      </c>
      <c r="R684" t="inlineStr">
        <is>
          <t>DIRECCION COMERCIAL MONTERREY 2</t>
        </is>
      </c>
      <c r="S684" t="n">
        <v>41530</v>
      </c>
      <c r="T684" t="inlineStr">
        <is>
          <t>SUBDIRECCION COMERCIAL MONTERREY 3</t>
        </is>
      </c>
      <c r="U684" t="n">
        <v>415300</v>
      </c>
      <c r="V684" t="inlineStr">
        <is>
          <t>SUBDIRECCION COMERCIAL MONTERREY 3</t>
        </is>
      </c>
      <c r="W684" t="n">
        <v>126102</v>
      </c>
      <c r="X684" t="inlineStr">
        <is>
          <t>VALLE ORIENTE</t>
        </is>
      </c>
      <c r="Y684" t="n">
        <v>3</v>
      </c>
      <c r="Z684" t="inlineStr">
        <is>
          <t>CAMBIARIO</t>
        </is>
      </c>
      <c r="AA684" t="n">
        <v>1</v>
      </c>
      <c r="AB684" t="inlineStr">
        <is>
          <t>NEGOCIO EN MARCHA</t>
        </is>
      </c>
      <c r="AC684" t="n">
        <v>1</v>
      </c>
      <c r="AD684" t="inlineStr">
        <is>
          <t>BANCO</t>
        </is>
      </c>
      <c r="AE684" t="n">
        <v>3</v>
      </c>
      <c r="AF684" t="inlineStr">
        <is>
          <t>FRONT</t>
        </is>
      </c>
      <c r="AG684" t="n">
        <v>126102</v>
      </c>
      <c r="AH684" t="inlineStr">
        <is>
          <t>MONTERREY</t>
        </is>
      </c>
      <c r="AI684" t="inlineStr">
        <is>
          <t>JESPINOSA@BANCOBASE.COM</t>
        </is>
      </c>
      <c r="AJ684" s="151" t="n">
        <v>43147</v>
      </c>
      <c r="AK684" s="151" t="n"/>
      <c r="AL684" s="151" t="n"/>
    </row>
    <row r="685" hidden="1" s="150">
      <c r="A685" t="inlineStr">
        <is>
          <t>JHERNANDEZ</t>
        </is>
      </c>
      <c r="B685" t="inlineStr">
        <is>
          <t>EXT-99316</t>
        </is>
      </c>
      <c r="C685" t="inlineStr">
        <is>
          <t>JAIME ALBERTO HERNANDEZ CEDILLO</t>
        </is>
      </c>
      <c r="D685" t="n">
        <v>9260</v>
      </c>
      <c r="E685" t="inlineStr">
        <is>
          <t>ASESOR CAMBIARIO</t>
        </is>
      </c>
      <c r="F685" t="inlineStr">
        <is>
          <t>MONTERREY</t>
        </is>
      </c>
      <c r="G685" t="n">
        <v>3422</v>
      </c>
      <c r="H685" t="inlineStr">
        <is>
          <t>MARIA DEL CARMEN TORRES CARRILLO</t>
        </is>
      </c>
      <c r="I685" t="n">
        <v>8179</v>
      </c>
      <c r="J685" t="inlineStr">
        <is>
          <t>SUBDIRECTOR COMERCIAL</t>
        </is>
      </c>
      <c r="K685" t="n">
        <v>1</v>
      </c>
      <c r="L685" t="inlineStr">
        <is>
          <t>PRESIDENCIA EJECUTIVA DEL CONSEJO</t>
        </is>
      </c>
      <c r="M685" t="n">
        <v>40</v>
      </c>
      <c r="N685" t="inlineStr">
        <is>
          <t>DIRECCION GENERAL BANCO BASE</t>
        </is>
      </c>
      <c r="O685" t="n">
        <v>410</v>
      </c>
      <c r="P685" t="inlineStr">
        <is>
          <t>DIRECCION COMERCIAL</t>
        </is>
      </c>
      <c r="Q685" t="n">
        <v>4580</v>
      </c>
      <c r="R685" t="inlineStr">
        <is>
          <t>DIRECCION COMERCIAL MONTERREY 2</t>
        </is>
      </c>
      <c r="S685" t="n">
        <v>41530</v>
      </c>
      <c r="T685" t="inlineStr">
        <is>
          <t>SUBDIRECCION COMERCIAL MONTERREY 3</t>
        </is>
      </c>
      <c r="U685" t="n">
        <v>415300</v>
      </c>
      <c r="V685" t="inlineStr">
        <is>
          <t>SUBDIRECCION COMERCIAL MONTERREY 3</t>
        </is>
      </c>
      <c r="W685" t="n">
        <v>126102</v>
      </c>
      <c r="X685" t="inlineStr">
        <is>
          <t>VALLE ORIENTE</t>
        </is>
      </c>
      <c r="Y685" t="n">
        <v>3</v>
      </c>
      <c r="Z685" t="inlineStr">
        <is>
          <t>CAMBIARIO</t>
        </is>
      </c>
      <c r="AA685" t="n">
        <v>1</v>
      </c>
      <c r="AB685" t="inlineStr">
        <is>
          <t>NEGOCIO EN MARCHA</t>
        </is>
      </c>
      <c r="AC685" t="n">
        <v>1</v>
      </c>
      <c r="AD685" t="inlineStr">
        <is>
          <t>BANCO</t>
        </is>
      </c>
      <c r="AE685" t="n">
        <v>3</v>
      </c>
      <c r="AF685" t="inlineStr">
        <is>
          <t>FRONT</t>
        </is>
      </c>
      <c r="AG685" t="n">
        <v>126102</v>
      </c>
      <c r="AH685" t="inlineStr">
        <is>
          <t>MONTERREY</t>
        </is>
      </c>
      <c r="AI685" t="inlineStr">
        <is>
          <t>JHERNANDEZ@BANCOBASE.COM</t>
        </is>
      </c>
      <c r="AJ685" s="151" t="n">
        <v>43646</v>
      </c>
      <c r="AK685" s="151" t="n"/>
      <c r="AL685" s="151" t="n"/>
    </row>
    <row r="686" hidden="1" s="150">
      <c r="A686" t="inlineStr">
        <is>
          <t>LESCAMILLA</t>
        </is>
      </c>
      <c r="B686" t="n">
        <v>3765</v>
      </c>
      <c r="C686" t="inlineStr">
        <is>
          <t>LUZ YUDITH ESMERALDA ESCAMILLA HERNANDEZ</t>
        </is>
      </c>
      <c r="D686" t="n">
        <v>8265</v>
      </c>
      <c r="E686" t="inlineStr">
        <is>
          <t>ASESOR CAMBIARIO</t>
        </is>
      </c>
      <c r="F686" t="inlineStr">
        <is>
          <t>MONTERREY</t>
        </is>
      </c>
      <c r="G686" t="n">
        <v>3422</v>
      </c>
      <c r="H686" t="inlineStr">
        <is>
          <t>MARIA DEL CARMEN TORRES CARRILLO</t>
        </is>
      </c>
      <c r="I686" t="n">
        <v>8179</v>
      </c>
      <c r="J686" t="inlineStr">
        <is>
          <t>SUBDIRECTOR COMERCIAL</t>
        </is>
      </c>
      <c r="K686" t="n">
        <v>1</v>
      </c>
      <c r="L686" t="inlineStr">
        <is>
          <t>PRESIDENCIA EJECUTIVA DEL CONSEJO</t>
        </is>
      </c>
      <c r="M686" t="n">
        <v>40</v>
      </c>
      <c r="N686" t="inlineStr">
        <is>
          <t>DIRECCION GENERAL BANCO BASE</t>
        </is>
      </c>
      <c r="O686" t="n">
        <v>410</v>
      </c>
      <c r="P686" t="inlineStr">
        <is>
          <t>DIRECCION COMERCIAL</t>
        </is>
      </c>
      <c r="Q686" t="n">
        <v>4580</v>
      </c>
      <c r="R686" t="inlineStr">
        <is>
          <t>DIRECCION COMERCIAL MONTERREY 2</t>
        </is>
      </c>
      <c r="S686" t="n">
        <v>41530</v>
      </c>
      <c r="T686" t="inlineStr">
        <is>
          <t>SUBDIRECCION COMERCIAL MONTERREY 3</t>
        </is>
      </c>
      <c r="U686" t="n">
        <v>415300</v>
      </c>
      <c r="V686" t="inlineStr">
        <is>
          <t>SUBDIRECCION COMERCIAL MONTERREY 3</t>
        </is>
      </c>
      <c r="W686" t="n">
        <v>126102</v>
      </c>
      <c r="X686" t="inlineStr">
        <is>
          <t>VALLE ORIENTE</t>
        </is>
      </c>
      <c r="Y686" t="n">
        <v>3</v>
      </c>
      <c r="Z686" t="inlineStr">
        <is>
          <t>CAMBIARIO</t>
        </is>
      </c>
      <c r="AA686" t="n">
        <v>1</v>
      </c>
      <c r="AB686" t="inlineStr">
        <is>
          <t>NEGOCIO EN MARCHA</t>
        </is>
      </c>
      <c r="AC686" t="n">
        <v>1</v>
      </c>
      <c r="AD686" t="inlineStr">
        <is>
          <t>BANCO</t>
        </is>
      </c>
      <c r="AE686" t="n">
        <v>3</v>
      </c>
      <c r="AF686" t="inlineStr">
        <is>
          <t>FRONT</t>
        </is>
      </c>
      <c r="AG686" t="n">
        <v>126102</v>
      </c>
      <c r="AH686" t="inlineStr">
        <is>
          <t>MONTERREY</t>
        </is>
      </c>
      <c r="AI686" t="inlineStr">
        <is>
          <t>LESCAMILLA@BANCOBASE.COM</t>
        </is>
      </c>
      <c r="AJ686" s="151" t="n">
        <v>46069</v>
      </c>
      <c r="AK686" s="151" t="n"/>
      <c r="AL686" s="151" t="n"/>
    </row>
    <row r="687" hidden="1" s="150">
      <c r="A687" t="inlineStr">
        <is>
          <t>OJUAREZC</t>
        </is>
      </c>
      <c r="B687" t="n">
        <v>3070</v>
      </c>
      <c r="C687" t="inlineStr">
        <is>
          <t>OSCAR OSWALDO JUAREZ CARREON</t>
        </is>
      </c>
      <c r="D687" t="n">
        <v>10182</v>
      </c>
      <c r="E687" t="inlineStr">
        <is>
          <t>ASESOR CAMBIARIO</t>
        </is>
      </c>
      <c r="F687" t="inlineStr">
        <is>
          <t>MONTERREY</t>
        </is>
      </c>
      <c r="G687" t="n">
        <v>3422</v>
      </c>
      <c r="H687" t="inlineStr">
        <is>
          <t>MARIA DEL CARMEN TORRES CARRILLO</t>
        </is>
      </c>
      <c r="I687" t="n">
        <v>8179</v>
      </c>
      <c r="J687" t="inlineStr">
        <is>
          <t>SUBDIRECTOR COMERCIAL</t>
        </is>
      </c>
      <c r="K687" t="n">
        <v>1</v>
      </c>
      <c r="L687" t="inlineStr">
        <is>
          <t>PRESIDENCIA EJECUTIVA DEL CONSEJO</t>
        </is>
      </c>
      <c r="M687" t="n">
        <v>40</v>
      </c>
      <c r="N687" t="inlineStr">
        <is>
          <t>DIRECCION GENERAL BANCO BASE</t>
        </is>
      </c>
      <c r="O687" t="n">
        <v>410</v>
      </c>
      <c r="P687" t="inlineStr">
        <is>
          <t>DIRECCION COMERCIAL</t>
        </is>
      </c>
      <c r="Q687" t="n">
        <v>4580</v>
      </c>
      <c r="R687" t="inlineStr">
        <is>
          <t>DIRECCION COMERCIAL MONTERREY 2</t>
        </is>
      </c>
      <c r="S687" t="n">
        <v>41530</v>
      </c>
      <c r="T687" t="inlineStr">
        <is>
          <t>SUBDIRECCION COMERCIAL MONTERREY 3</t>
        </is>
      </c>
      <c r="U687" t="n">
        <v>415300</v>
      </c>
      <c r="V687" t="inlineStr">
        <is>
          <t>SUBDIRECCION COMERCIAL MONTERREY 3</t>
        </is>
      </c>
      <c r="W687" t="n">
        <v>126102</v>
      </c>
      <c r="X687" t="inlineStr">
        <is>
          <t>VALLE ORIENTE</t>
        </is>
      </c>
      <c r="Y687" t="n">
        <v>3</v>
      </c>
      <c r="Z687" t="inlineStr">
        <is>
          <t>CAMBIARIO</t>
        </is>
      </c>
      <c r="AA687" t="n">
        <v>1</v>
      </c>
      <c r="AB687" t="inlineStr">
        <is>
          <t>NEGOCIO EN MARCHA</t>
        </is>
      </c>
      <c r="AC687" t="n">
        <v>1</v>
      </c>
      <c r="AD687" t="inlineStr">
        <is>
          <t>BANCO</t>
        </is>
      </c>
      <c r="AE687" t="n">
        <v>3</v>
      </c>
      <c r="AF687" t="inlineStr">
        <is>
          <t>FRONT</t>
        </is>
      </c>
      <c r="AG687" t="n">
        <v>126102</v>
      </c>
      <c r="AH687" t="inlineStr">
        <is>
          <t>MONTERREY</t>
        </is>
      </c>
      <c r="AI687" t="inlineStr">
        <is>
          <t>OJUAREZC@BANCOBASE.COM</t>
        </is>
      </c>
      <c r="AJ687" s="151" t="n">
        <v>45383</v>
      </c>
      <c r="AK687" s="151" t="n"/>
      <c r="AL687" s="151" t="n"/>
    </row>
    <row r="688" hidden="1" s="150">
      <c r="A688" t="inlineStr">
        <is>
          <t>TNAVARRO</t>
        </is>
      </c>
      <c r="B688" t="n">
        <v>2834</v>
      </c>
      <c r="C688" t="inlineStr">
        <is>
          <t>TOMAS NAVARRO HERNANDEZ</t>
        </is>
      </c>
      <c r="D688" t="n">
        <v>8263</v>
      </c>
      <c r="E688" t="inlineStr">
        <is>
          <t>ASESOR CAMBIARIO</t>
        </is>
      </c>
      <c r="F688" t="inlineStr">
        <is>
          <t>MONTERREY</t>
        </is>
      </c>
      <c r="G688" t="n">
        <v>3422</v>
      </c>
      <c r="H688" t="inlineStr">
        <is>
          <t>MARIA DEL CARMEN TORRES CARRILLO</t>
        </is>
      </c>
      <c r="I688" t="n">
        <v>8179</v>
      </c>
      <c r="J688" t="inlineStr">
        <is>
          <t>SUBDIRECTOR COMERCIAL</t>
        </is>
      </c>
      <c r="K688" t="n">
        <v>1</v>
      </c>
      <c r="L688" t="inlineStr">
        <is>
          <t>PRESIDENCIA EJECUTIVA DEL CONSEJO</t>
        </is>
      </c>
      <c r="M688" t="n">
        <v>40</v>
      </c>
      <c r="N688" t="inlineStr">
        <is>
          <t>DIRECCION GENERAL BANCO BASE</t>
        </is>
      </c>
      <c r="O688" t="n">
        <v>410</v>
      </c>
      <c r="P688" t="inlineStr">
        <is>
          <t>DIRECCION COMERCIAL</t>
        </is>
      </c>
      <c r="Q688" t="n">
        <v>4580</v>
      </c>
      <c r="R688" t="inlineStr">
        <is>
          <t>DIRECCION COMERCIAL MONTERREY 2</t>
        </is>
      </c>
      <c r="S688" t="n">
        <v>41530</v>
      </c>
      <c r="T688" t="inlineStr">
        <is>
          <t>SUBDIRECCION COMERCIAL MONTERREY 3</t>
        </is>
      </c>
      <c r="U688" t="n">
        <v>415300</v>
      </c>
      <c r="V688" t="inlineStr">
        <is>
          <t>SUBDIRECCION COMERCIAL MONTERREY 3</t>
        </is>
      </c>
      <c r="W688" t="n">
        <v>126102</v>
      </c>
      <c r="X688" t="inlineStr">
        <is>
          <t>VALLE ORIENTE</t>
        </is>
      </c>
      <c r="Y688" t="n">
        <v>3</v>
      </c>
      <c r="Z688" t="inlineStr">
        <is>
          <t>CAMBIARIO</t>
        </is>
      </c>
      <c r="AA688" t="n">
        <v>1</v>
      </c>
      <c r="AB688" t="inlineStr">
        <is>
          <t>NEGOCIO EN MARCHA</t>
        </is>
      </c>
      <c r="AC688" t="n">
        <v>1</v>
      </c>
      <c r="AD688" t="inlineStr">
        <is>
          <t>BANCO</t>
        </is>
      </c>
      <c r="AE688" t="n">
        <v>3</v>
      </c>
      <c r="AF688" t="inlineStr">
        <is>
          <t>FRONT</t>
        </is>
      </c>
      <c r="AG688" t="n">
        <v>126102</v>
      </c>
      <c r="AH688" t="inlineStr">
        <is>
          <t>MONTERREY</t>
        </is>
      </c>
      <c r="AI688" t="inlineStr">
        <is>
          <t>TNAVARRO@BANCOBASE.COM</t>
        </is>
      </c>
      <c r="AJ688" s="151" t="n">
        <v>44986</v>
      </c>
      <c r="AK688" s="151" t="n"/>
      <c r="AL688" s="151" t="n"/>
    </row>
    <row r="689" hidden="1" s="150">
      <c r="A689" t="inlineStr">
        <is>
          <t>RJUAREZ</t>
        </is>
      </c>
      <c r="B689" t="n">
        <v>2105</v>
      </c>
      <c r="C689" t="inlineStr">
        <is>
          <t>JOSE RODRIGO JUAREZ ESPINOSA</t>
        </is>
      </c>
      <c r="D689" t="n">
        <v>8178</v>
      </c>
      <c r="E689" t="inlineStr">
        <is>
          <t>ASESOR CAMBIARIO</t>
        </is>
      </c>
      <c r="F689" t="inlineStr">
        <is>
          <t>MONTERREY</t>
        </is>
      </c>
      <c r="G689" t="n">
        <v>3422</v>
      </c>
      <c r="H689" t="inlineStr">
        <is>
          <t>MARIA DEL CARMEN TORRES CARRILLO</t>
        </is>
      </c>
      <c r="I689" t="n">
        <v>8179</v>
      </c>
      <c r="J689" t="inlineStr">
        <is>
          <t>SUBDIRECTOR COMERCIAL</t>
        </is>
      </c>
      <c r="K689" t="n">
        <v>1</v>
      </c>
      <c r="L689" t="inlineStr">
        <is>
          <t>PRESIDENCIA EJECUTIVA DEL CONSEJO</t>
        </is>
      </c>
      <c r="M689" t="n">
        <v>40</v>
      </c>
      <c r="N689" t="inlineStr">
        <is>
          <t>DIRECCION GENERAL BANCO BASE</t>
        </is>
      </c>
      <c r="O689" t="n">
        <v>410</v>
      </c>
      <c r="P689" t="inlineStr">
        <is>
          <t>DIRECCION COMERCIAL</t>
        </is>
      </c>
      <c r="Q689" t="n">
        <v>4580</v>
      </c>
      <c r="R689" t="inlineStr">
        <is>
          <t>DIRECCION COMERCIAL MONTERREY 2</t>
        </is>
      </c>
      <c r="S689" t="n">
        <v>41530</v>
      </c>
      <c r="T689" t="inlineStr">
        <is>
          <t>SUBDIRECCION COMERCIAL MONTERREY 3</t>
        </is>
      </c>
      <c r="U689" t="n">
        <v>415300</v>
      </c>
      <c r="V689" t="inlineStr">
        <is>
          <t>SUBDIRECCION COMERCIAL MONTERREY 3</t>
        </is>
      </c>
      <c r="W689" t="n">
        <v>126102</v>
      </c>
      <c r="X689" t="inlineStr">
        <is>
          <t>VALLE ORIENTE</t>
        </is>
      </c>
      <c r="Y689" t="n">
        <v>3</v>
      </c>
      <c r="Z689" t="inlineStr">
        <is>
          <t>CAMBIARIO</t>
        </is>
      </c>
      <c r="AA689" t="n">
        <v>1</v>
      </c>
      <c r="AB689" t="inlineStr">
        <is>
          <t>NEGOCIO EN MARCHA</t>
        </is>
      </c>
      <c r="AC689" t="n">
        <v>1</v>
      </c>
      <c r="AD689" t="inlineStr">
        <is>
          <t>BANCO</t>
        </is>
      </c>
      <c r="AE689" t="n">
        <v>3</v>
      </c>
      <c r="AF689" t="inlineStr">
        <is>
          <t>FRONT</t>
        </is>
      </c>
      <c r="AG689" t="n">
        <v>126102</v>
      </c>
      <c r="AH689" t="inlineStr">
        <is>
          <t>MONTERREY</t>
        </is>
      </c>
      <c r="AI689" t="inlineStr">
        <is>
          <t>RJUAREZ@BANCOBASE.COM</t>
        </is>
      </c>
      <c r="AJ689" s="151" t="n">
        <v>43361</v>
      </c>
      <c r="AK689" s="151" t="n"/>
      <c r="AL689" s="151" t="n"/>
    </row>
    <row r="690" hidden="1" s="150">
      <c r="A690" t="inlineStr">
        <is>
          <t>MDIAZ</t>
        </is>
      </c>
      <c r="B690" t="n">
        <v>1536</v>
      </c>
      <c r="C690" t="inlineStr">
        <is>
          <t>MAURICIO DANIEL DIAZ RAMIREZ</t>
        </is>
      </c>
      <c r="D690" t="n">
        <v>8176</v>
      </c>
      <c r="E690" t="inlineStr">
        <is>
          <t>ASESOR CAMBIARIO</t>
        </is>
      </c>
      <c r="F690" t="inlineStr">
        <is>
          <t>MONTERREY</t>
        </is>
      </c>
      <c r="G690" t="n">
        <v>3422</v>
      </c>
      <c r="H690" t="inlineStr">
        <is>
          <t>MARIA DEL CARMEN TORRES CARRILLO</t>
        </is>
      </c>
      <c r="I690" t="n">
        <v>8179</v>
      </c>
      <c r="J690" t="inlineStr">
        <is>
          <t>SUBDIRECTOR COMERCIAL</t>
        </is>
      </c>
      <c r="K690" t="n">
        <v>1</v>
      </c>
      <c r="L690" t="inlineStr">
        <is>
          <t>PRESIDENCIA EJECUTIVA DEL CONSEJO</t>
        </is>
      </c>
      <c r="M690" t="n">
        <v>40</v>
      </c>
      <c r="N690" t="inlineStr">
        <is>
          <t>DIRECCION GENERAL BANCO BASE</t>
        </is>
      </c>
      <c r="O690" t="n">
        <v>410</v>
      </c>
      <c r="P690" t="inlineStr">
        <is>
          <t>DIRECCION COMERCIAL</t>
        </is>
      </c>
      <c r="Q690" t="n">
        <v>4580</v>
      </c>
      <c r="R690" t="inlineStr">
        <is>
          <t>DIRECCION COMERCIAL MONTERREY 2</t>
        </is>
      </c>
      <c r="S690" t="n">
        <v>41530</v>
      </c>
      <c r="T690" t="inlineStr">
        <is>
          <t>SUBDIRECCION COMERCIAL MONTERREY 3</t>
        </is>
      </c>
      <c r="U690" t="n">
        <v>415300</v>
      </c>
      <c r="V690" t="inlineStr">
        <is>
          <t>SUBDIRECCION COMERCIAL MONTERREY 3</t>
        </is>
      </c>
      <c r="W690" t="n">
        <v>126102</v>
      </c>
      <c r="X690" t="inlineStr">
        <is>
          <t>VALLE ORIENTE</t>
        </is>
      </c>
      <c r="Y690" t="n">
        <v>3</v>
      </c>
      <c r="Z690" t="inlineStr">
        <is>
          <t>CAMBIARIO</t>
        </is>
      </c>
      <c r="AA690" t="n">
        <v>1</v>
      </c>
      <c r="AB690" t="inlineStr">
        <is>
          <t>NEGOCIO EN MARCHA</t>
        </is>
      </c>
      <c r="AC690" t="n">
        <v>1</v>
      </c>
      <c r="AD690" t="inlineStr">
        <is>
          <t>BANCO</t>
        </is>
      </c>
      <c r="AE690" t="n">
        <v>3</v>
      </c>
      <c r="AF690" t="inlineStr">
        <is>
          <t>FRONT</t>
        </is>
      </c>
      <c r="AG690" t="n">
        <v>126102</v>
      </c>
      <c r="AH690" t="inlineStr">
        <is>
          <t>MONTERREY</t>
        </is>
      </c>
      <c r="AI690" t="inlineStr">
        <is>
          <t>MDIAZ@BANCOBASE.COM</t>
        </is>
      </c>
      <c r="AJ690" s="151" t="n">
        <v>42478</v>
      </c>
      <c r="AK690" s="151" t="n"/>
      <c r="AL690" s="151" t="n"/>
    </row>
    <row r="691" hidden="1" s="150">
      <c r="A691" t="inlineStr">
        <is>
          <t>LMOSQUEDA</t>
        </is>
      </c>
      <c r="B691" t="n">
        <v>2109</v>
      </c>
      <c r="C691" t="inlineStr">
        <is>
          <t>LUIS FERNANDO MOSQUEDA DOMINGUEZ</t>
        </is>
      </c>
      <c r="D691" t="n">
        <v>9379</v>
      </c>
      <c r="E691" t="inlineStr">
        <is>
          <t>ESPECIALISTA DE FINANCIAMIENTO</t>
        </is>
      </c>
      <c r="F691" t="inlineStr">
        <is>
          <t>MONTERREY</t>
        </is>
      </c>
      <c r="G691" t="n">
        <v>3422</v>
      </c>
      <c r="H691" t="inlineStr">
        <is>
          <t>MARIA DEL CARMEN TORRES CARRILLO</t>
        </is>
      </c>
      <c r="I691" t="n">
        <v>8179</v>
      </c>
      <c r="J691" t="inlineStr">
        <is>
          <t>SUBDIRECTOR COMERCIAL</t>
        </is>
      </c>
      <c r="K691" t="n">
        <v>1</v>
      </c>
      <c r="L691" t="inlineStr">
        <is>
          <t>PRESIDENCIA EJECUTIVA DEL CONSEJO</t>
        </is>
      </c>
      <c r="M691" t="n">
        <v>40</v>
      </c>
      <c r="N691" t="inlineStr">
        <is>
          <t>DIRECCION GENERAL BANCO BASE</t>
        </is>
      </c>
      <c r="O691" t="n">
        <v>410</v>
      </c>
      <c r="P691" t="inlineStr">
        <is>
          <t>DIRECCION COMERCIAL</t>
        </is>
      </c>
      <c r="Q691" t="n">
        <v>4580</v>
      </c>
      <c r="R691" t="inlineStr">
        <is>
          <t>DIRECCION COMERCIAL MONTERREY 2</t>
        </is>
      </c>
      <c r="S691" t="n">
        <v>41530</v>
      </c>
      <c r="T691" t="inlineStr">
        <is>
          <t>SUBDIRECCION COMERCIAL MONTERREY 3</t>
        </is>
      </c>
      <c r="U691" t="n">
        <v>415300</v>
      </c>
      <c r="V691" t="inlineStr">
        <is>
          <t>SUBDIRECCION COMERCIAL MONTERREY 3</t>
        </is>
      </c>
      <c r="W691" t="n">
        <v>126102</v>
      </c>
      <c r="X691" t="inlineStr">
        <is>
          <t>VALLE ORIENTE</t>
        </is>
      </c>
      <c r="Y691" t="n">
        <v>13</v>
      </c>
      <c r="Z691" t="inlineStr">
        <is>
          <t>FINANCIAMIENTO</t>
        </is>
      </c>
      <c r="AA691" t="n">
        <v>1</v>
      </c>
      <c r="AB691" t="inlineStr">
        <is>
          <t>NEGOCIO EN MARCHA</t>
        </is>
      </c>
      <c r="AC691" t="n">
        <v>1</v>
      </c>
      <c r="AD691" t="inlineStr">
        <is>
          <t>BANCO</t>
        </is>
      </c>
      <c r="AE691" t="n">
        <v>3</v>
      </c>
      <c r="AF691" t="inlineStr">
        <is>
          <t>FRONT</t>
        </is>
      </c>
      <c r="AG691" t="n">
        <v>126102</v>
      </c>
      <c r="AH691" t="inlineStr">
        <is>
          <t>MONTERREY</t>
        </is>
      </c>
      <c r="AI691" t="inlineStr">
        <is>
          <t>LMOSQUEDA@BANCOBASE.COM</t>
        </is>
      </c>
      <c r="AJ691" s="151" t="n">
        <v>43367</v>
      </c>
      <c r="AK691" s="151" t="n"/>
      <c r="AL691" s="151" t="n"/>
    </row>
    <row r="692" hidden="1" s="150">
      <c r="A692" t="inlineStr">
        <is>
          <t>MSOLISM</t>
        </is>
      </c>
      <c r="B692" t="n">
        <v>2923</v>
      </c>
      <c r="C692" t="inlineStr">
        <is>
          <t>METZLI HAYDE SOLIS MENA</t>
        </is>
      </c>
      <c r="D692" t="n">
        <v>9619</v>
      </c>
      <c r="E692" t="inlineStr">
        <is>
          <t>ESPECIALISTA DE BANCA TRANSACCIONAL</t>
        </is>
      </c>
      <c r="F692" t="inlineStr">
        <is>
          <t>MONTERREY</t>
        </is>
      </c>
      <c r="G692" t="n">
        <v>3422</v>
      </c>
      <c r="H692" t="inlineStr">
        <is>
          <t>MARIA DEL CARMEN TORRES CARRILLO</t>
        </is>
      </c>
      <c r="I692" t="n">
        <v>8179</v>
      </c>
      <c r="J692" t="inlineStr">
        <is>
          <t>SUBDIRECTOR COMERCIAL</t>
        </is>
      </c>
      <c r="K692" t="n">
        <v>1</v>
      </c>
      <c r="L692" t="inlineStr">
        <is>
          <t>PRESIDENCIA EJECUTIVA DEL CONSEJO</t>
        </is>
      </c>
      <c r="M692" t="n">
        <v>40</v>
      </c>
      <c r="N692" t="inlineStr">
        <is>
          <t>DIRECCION GENERAL BANCO BASE</t>
        </is>
      </c>
      <c r="O692" t="n">
        <v>410</v>
      </c>
      <c r="P692" t="inlineStr">
        <is>
          <t>DIRECCION COMERCIAL</t>
        </is>
      </c>
      <c r="Q692" t="n">
        <v>4580</v>
      </c>
      <c r="R692" t="inlineStr">
        <is>
          <t>DIRECCION COMERCIAL MONTERREY 2</t>
        </is>
      </c>
      <c r="S692" t="n">
        <v>41530</v>
      </c>
      <c r="T692" t="inlineStr">
        <is>
          <t>SUBDIRECCION COMERCIAL MONTERREY 3</t>
        </is>
      </c>
      <c r="U692" t="n">
        <v>415300</v>
      </c>
      <c r="V692" t="inlineStr">
        <is>
          <t>SUBDIRECCION COMERCIAL MONTERREY 3</t>
        </is>
      </c>
      <c r="W692" t="n">
        <v>126102</v>
      </c>
      <c r="X692" t="inlineStr">
        <is>
          <t>VALLE ORIENTE</t>
        </is>
      </c>
      <c r="Y692" t="n">
        <v>14</v>
      </c>
      <c r="Z692" t="inlineStr">
        <is>
          <t>TRANSACCIONAL</t>
        </is>
      </c>
      <c r="AA692" t="n">
        <v>1</v>
      </c>
      <c r="AB692" t="inlineStr">
        <is>
          <t>NEGOCIO EN MARCHA</t>
        </is>
      </c>
      <c r="AC692" t="n">
        <v>1</v>
      </c>
      <c r="AD692" t="inlineStr">
        <is>
          <t>BANCO</t>
        </is>
      </c>
      <c r="AE692" t="n">
        <v>3</v>
      </c>
      <c r="AF692" t="inlineStr">
        <is>
          <t>FRONT</t>
        </is>
      </c>
      <c r="AG692" t="n">
        <v>126102</v>
      </c>
      <c r="AH692" t="inlineStr">
        <is>
          <t>MONTERREY</t>
        </is>
      </c>
      <c r="AI692" t="inlineStr">
        <is>
          <t>MSOLISM@BANCOBASE.COM</t>
        </is>
      </c>
      <c r="AJ692" s="151" t="n">
        <v>45124</v>
      </c>
      <c r="AK692" s="151" t="n"/>
      <c r="AL692" s="151" t="n"/>
    </row>
    <row r="693" hidden="1" s="150">
      <c r="A693" t="inlineStr">
        <is>
          <t>PCANEDO</t>
        </is>
      </c>
      <c r="B693" t="n">
        <v>2202</v>
      </c>
      <c r="C693" t="inlineStr">
        <is>
          <t>PAOLA CANEDO GONZALEZ</t>
        </is>
      </c>
      <c r="D693" t="n">
        <v>98182</v>
      </c>
      <c r="E693" t="inlineStr">
        <is>
          <t>ASISTENTE CAMBIARIO</t>
        </is>
      </c>
      <c r="F693" t="inlineStr">
        <is>
          <t>MONTERREY</t>
        </is>
      </c>
      <c r="G693" t="n">
        <v>3422</v>
      </c>
      <c r="H693" t="inlineStr">
        <is>
          <t>MARIA DEL CARMEN TORRES CARRILLO</t>
        </is>
      </c>
      <c r="I693" t="n">
        <v>8179</v>
      </c>
      <c r="J693" t="inlineStr">
        <is>
          <t>SUBDIRECTOR COMERCIAL</t>
        </is>
      </c>
      <c r="K693" t="n">
        <v>1</v>
      </c>
      <c r="L693" t="inlineStr">
        <is>
          <t>PRESIDENCIA EJECUTIVA DEL CONSEJO</t>
        </is>
      </c>
      <c r="M693" t="n">
        <v>40</v>
      </c>
      <c r="N693" t="inlineStr">
        <is>
          <t>DIRECCION GENERAL BANCO BASE</t>
        </is>
      </c>
      <c r="O693" t="n">
        <v>410</v>
      </c>
      <c r="P693" t="inlineStr">
        <is>
          <t>DIRECCION COMERCIAL</t>
        </is>
      </c>
      <c r="Q693" t="n">
        <v>4580</v>
      </c>
      <c r="R693" t="inlineStr">
        <is>
          <t>DIRECCION COMERCIAL MONTERREY 2</t>
        </is>
      </c>
      <c r="S693" t="n">
        <v>41530</v>
      </c>
      <c r="T693" t="inlineStr">
        <is>
          <t>SUBDIRECCION COMERCIAL MONTERREY 3</t>
        </is>
      </c>
      <c r="U693" t="n">
        <v>415300</v>
      </c>
      <c r="V693" t="inlineStr">
        <is>
          <t>SUBDIRECCION COMERCIAL MONTERREY 3</t>
        </is>
      </c>
      <c r="W693" t="n">
        <v>126102</v>
      </c>
      <c r="X693" t="inlineStr">
        <is>
          <t>VALLE ORIENTE</t>
        </is>
      </c>
      <c r="Y693" t="n">
        <v>3</v>
      </c>
      <c r="Z693" t="inlineStr">
        <is>
          <t>CAMBIARIO</t>
        </is>
      </c>
      <c r="AA693" t="n">
        <v>1</v>
      </c>
      <c r="AB693" t="inlineStr">
        <is>
          <t>NEGOCIO EN MARCHA</t>
        </is>
      </c>
      <c r="AC693" t="n">
        <v>1</v>
      </c>
      <c r="AD693" t="inlineStr">
        <is>
          <t>BANCO</t>
        </is>
      </c>
      <c r="AE693" t="n">
        <v>2</v>
      </c>
      <c r="AF693" t="inlineStr">
        <is>
          <t>MIDDLE</t>
        </is>
      </c>
      <c r="AG693" t="n">
        <v>126102</v>
      </c>
      <c r="AH693" t="inlineStr">
        <is>
          <t>MONTERREY</t>
        </is>
      </c>
      <c r="AI693" t="inlineStr">
        <is>
          <t>PCANEDO@BANCOBASE.COM</t>
        </is>
      </c>
      <c r="AJ693" s="151" t="n">
        <v>43540</v>
      </c>
      <c r="AK693" s="151" t="n"/>
      <c r="AL693" s="151" t="n"/>
    </row>
    <row r="694" hidden="1" s="150">
      <c r="A694" t="inlineStr">
        <is>
          <t>JLOPEZM</t>
        </is>
      </c>
      <c r="B694" t="n">
        <v>1865</v>
      </c>
      <c r="C694" t="inlineStr">
        <is>
          <t>JOSE ASENCION LOPEZ MUÑOZ</t>
        </is>
      </c>
      <c r="D694" t="n">
        <v>8233</v>
      </c>
      <c r="E694" t="inlineStr">
        <is>
          <t>ASISTENTE CAMBIARIO</t>
        </is>
      </c>
      <c r="F694" t="inlineStr">
        <is>
          <t>MONTERREY</t>
        </is>
      </c>
      <c r="G694" t="n">
        <v>3422</v>
      </c>
      <c r="H694" t="inlineStr">
        <is>
          <t>MARIA DEL CARMEN TORRES CARRILLO</t>
        </is>
      </c>
      <c r="I694" t="n">
        <v>8179</v>
      </c>
      <c r="J694" t="inlineStr">
        <is>
          <t>SUBDIRECTOR COMERCIAL</t>
        </is>
      </c>
      <c r="K694" t="n">
        <v>1</v>
      </c>
      <c r="L694" t="inlineStr">
        <is>
          <t>PRESIDENCIA EJECUTIVA DEL CONSEJO</t>
        </is>
      </c>
      <c r="M694" t="n">
        <v>40</v>
      </c>
      <c r="N694" t="inlineStr">
        <is>
          <t>DIRECCION GENERAL BANCO BASE</t>
        </is>
      </c>
      <c r="O694" t="n">
        <v>410</v>
      </c>
      <c r="P694" t="inlineStr">
        <is>
          <t>DIRECCION COMERCIAL</t>
        </is>
      </c>
      <c r="Q694" t="n">
        <v>4580</v>
      </c>
      <c r="R694" t="inlineStr">
        <is>
          <t>DIRECCION COMERCIAL MONTERREY 2</t>
        </is>
      </c>
      <c r="S694" t="n">
        <v>41530</v>
      </c>
      <c r="T694" t="inlineStr">
        <is>
          <t>SUBDIRECCION COMERCIAL MONTERREY 3</t>
        </is>
      </c>
      <c r="U694" t="n">
        <v>415300</v>
      </c>
      <c r="V694" t="inlineStr">
        <is>
          <t>SUBDIRECCION COMERCIAL MONTERREY 3</t>
        </is>
      </c>
      <c r="W694" t="n">
        <v>126102</v>
      </c>
      <c r="X694" t="inlineStr">
        <is>
          <t>VALLE ORIENTE</t>
        </is>
      </c>
      <c r="Y694" t="n">
        <v>3</v>
      </c>
      <c r="Z694" t="inlineStr">
        <is>
          <t>CAMBIARIO</t>
        </is>
      </c>
      <c r="AA694" t="n">
        <v>1</v>
      </c>
      <c r="AB694" t="inlineStr">
        <is>
          <t>NEGOCIO EN MARCHA</t>
        </is>
      </c>
      <c r="AC694" t="n">
        <v>1</v>
      </c>
      <c r="AD694" t="inlineStr">
        <is>
          <t>BANCO</t>
        </is>
      </c>
      <c r="AE694" t="n">
        <v>2</v>
      </c>
      <c r="AF694" t="inlineStr">
        <is>
          <t>MIDDLE</t>
        </is>
      </c>
      <c r="AG694" t="n">
        <v>126102</v>
      </c>
      <c r="AH694" t="inlineStr">
        <is>
          <t>MONTERREY</t>
        </is>
      </c>
      <c r="AI694" t="inlineStr">
        <is>
          <t>JLOPEZM@BANCOBASE.COM</t>
        </is>
      </c>
      <c r="AJ694" s="151" t="n">
        <v>43024</v>
      </c>
      <c r="AK694" s="151" t="n"/>
      <c r="AL694" s="151" t="n"/>
    </row>
    <row r="695" hidden="1" s="150">
      <c r="A695" t="inlineStr">
        <is>
          <t>EOROZCO</t>
        </is>
      </c>
      <c r="B695" t="n">
        <v>3779</v>
      </c>
      <c r="C695" t="inlineStr">
        <is>
          <t>ENRIQUE OROZCO GARZA</t>
        </is>
      </c>
      <c r="D695" t="n">
        <v>9461</v>
      </c>
      <c r="E695" t="inlineStr">
        <is>
          <t>SUBDIRECTOR COMERCIAL</t>
        </is>
      </c>
      <c r="F695" t="inlineStr">
        <is>
          <t>MONTERREY</t>
        </is>
      </c>
      <c r="G695" t="n">
        <v>1216</v>
      </c>
      <c r="H695" t="inlineStr">
        <is>
          <t>JOSE ANTONIO SANCHEZ NARRO</t>
        </is>
      </c>
      <c r="I695" t="n">
        <v>8297</v>
      </c>
      <c r="J695" t="inlineStr">
        <is>
          <t>DIRECTOR COMERCIAL MONTERREY</t>
        </is>
      </c>
      <c r="K695" t="n">
        <v>1</v>
      </c>
      <c r="L695" t="inlineStr">
        <is>
          <t>PRESIDENCIA EJECUTIVA DEL CONSEJO</t>
        </is>
      </c>
      <c r="M695" t="n">
        <v>40</v>
      </c>
      <c r="N695" t="inlineStr">
        <is>
          <t>DIRECCION GENERAL BANCO BASE</t>
        </is>
      </c>
      <c r="O695" t="n">
        <v>410</v>
      </c>
      <c r="P695" t="inlineStr">
        <is>
          <t>DIRECCION COMERCIAL</t>
        </is>
      </c>
      <c r="Q695" t="n">
        <v>4580</v>
      </c>
      <c r="R695" t="inlineStr">
        <is>
          <t>DIRECCION COMERCIAL MONTERREY 2</t>
        </is>
      </c>
      <c r="S695" t="n">
        <v>41510</v>
      </c>
      <c r="T695" t="inlineStr">
        <is>
          <t>SUBDIRECCION COMERCIAL MONTERREY 1</t>
        </is>
      </c>
      <c r="U695" t="n">
        <v>415100</v>
      </c>
      <c r="V695" t="inlineStr">
        <is>
          <t>SUBDIRECCION COMERCIAL MONTERREY 1</t>
        </is>
      </c>
      <c r="W695" t="n">
        <v>126102</v>
      </c>
      <c r="X695" t="inlineStr">
        <is>
          <t>VALLE ORIENTE</t>
        </is>
      </c>
      <c r="Y695" t="n">
        <v>3</v>
      </c>
      <c r="Z695" t="inlineStr">
        <is>
          <t>CAMBIARIO</t>
        </is>
      </c>
      <c r="AA695" t="n">
        <v>1</v>
      </c>
      <c r="AB695" t="inlineStr">
        <is>
          <t>NEGOCIO EN MARCHA</t>
        </is>
      </c>
      <c r="AC695" t="n">
        <v>1</v>
      </c>
      <c r="AD695" t="inlineStr">
        <is>
          <t>BANCO</t>
        </is>
      </c>
      <c r="AE695" t="n">
        <v>3</v>
      </c>
      <c r="AF695" t="inlineStr">
        <is>
          <t>FRONT</t>
        </is>
      </c>
      <c r="AG695" t="n">
        <v>126102</v>
      </c>
      <c r="AH695" t="inlineStr">
        <is>
          <t>MONTERREY</t>
        </is>
      </c>
      <c r="AI695" t="inlineStr">
        <is>
          <t>EOROZCO@BANCOBASE.COM</t>
        </is>
      </c>
      <c r="AJ695" s="151" t="n">
        <v>46098</v>
      </c>
      <c r="AK695" s="151" t="n"/>
      <c r="AL695" s="151" t="n"/>
    </row>
    <row r="696" hidden="1" s="150">
      <c r="A696" t="inlineStr">
        <is>
          <t>ASAUCEDO</t>
        </is>
      </c>
      <c r="B696" t="n">
        <v>83</v>
      </c>
      <c r="C696" t="inlineStr">
        <is>
          <t>ADRIANA SAUCEDO VALADEZ</t>
        </is>
      </c>
      <c r="D696" t="n">
        <v>9249</v>
      </c>
      <c r="E696" t="inlineStr">
        <is>
          <t>ASESOR CAMBIARIO</t>
        </is>
      </c>
      <c r="F696" t="inlineStr">
        <is>
          <t>MONTERREY</t>
        </is>
      </c>
      <c r="G696" t="n">
        <v>3779</v>
      </c>
      <c r="H696" t="inlineStr">
        <is>
          <t>ENRIQUE OROZCO GARZA</t>
        </is>
      </c>
      <c r="I696" t="n">
        <v>9461</v>
      </c>
      <c r="J696" t="inlineStr">
        <is>
          <t>SUBDIRECTOR COMERCIAL</t>
        </is>
      </c>
      <c r="K696" t="n">
        <v>1</v>
      </c>
      <c r="L696" t="inlineStr">
        <is>
          <t>PRESIDENCIA EJECUTIVA DEL CONSEJO</t>
        </is>
      </c>
      <c r="M696" t="n">
        <v>40</v>
      </c>
      <c r="N696" t="inlineStr">
        <is>
          <t>DIRECCION GENERAL BANCO BASE</t>
        </is>
      </c>
      <c r="O696" t="n">
        <v>410</v>
      </c>
      <c r="P696" t="inlineStr">
        <is>
          <t>DIRECCION COMERCIAL</t>
        </is>
      </c>
      <c r="Q696" t="n">
        <v>4580</v>
      </c>
      <c r="R696" t="inlineStr">
        <is>
          <t>DIRECCION COMERCIAL MONTERREY 2</t>
        </is>
      </c>
      <c r="S696" t="n">
        <v>41510</v>
      </c>
      <c r="T696" t="inlineStr">
        <is>
          <t>SUBDIRECCION COMERCIAL MONTERREY 1</t>
        </is>
      </c>
      <c r="U696" t="n">
        <v>415100</v>
      </c>
      <c r="V696" t="inlineStr">
        <is>
          <t>SUBDIRECCION COMERCIAL MONTERREY 1</t>
        </is>
      </c>
      <c r="W696" t="n">
        <v>126102</v>
      </c>
      <c r="X696" t="inlineStr">
        <is>
          <t>VALLE ORIENTE</t>
        </is>
      </c>
      <c r="Y696" t="n">
        <v>3</v>
      </c>
      <c r="Z696" t="inlineStr">
        <is>
          <t>CAMBIARIO</t>
        </is>
      </c>
      <c r="AA696" t="n">
        <v>1</v>
      </c>
      <c r="AB696" t="inlineStr">
        <is>
          <t>NEGOCIO EN MARCHA</t>
        </is>
      </c>
      <c r="AC696" t="n">
        <v>1</v>
      </c>
      <c r="AD696" t="inlineStr">
        <is>
          <t>BANCO</t>
        </is>
      </c>
      <c r="AE696" t="n">
        <v>3</v>
      </c>
      <c r="AF696" t="inlineStr">
        <is>
          <t>FRONT</t>
        </is>
      </c>
      <c r="AG696" t="n">
        <v>126102</v>
      </c>
      <c r="AH696" t="inlineStr">
        <is>
          <t>MONTERREY</t>
        </is>
      </c>
      <c r="AI696" t="inlineStr">
        <is>
          <t>ASAUCEDO@BANCOBASE.COM</t>
        </is>
      </c>
      <c r="AJ696" s="151" t="n">
        <v>35278</v>
      </c>
      <c r="AK696" s="151" t="n"/>
      <c r="AL696" s="151" t="n"/>
    </row>
    <row r="697" hidden="1" s="150">
      <c r="A697" t="inlineStr">
        <is>
          <t>AVILLALOBO</t>
        </is>
      </c>
      <c r="B697" t="n">
        <v>2204</v>
      </c>
      <c r="C697" t="inlineStr">
        <is>
          <t>ALEJANDRA VILLALOBOS VILLANUEVA</t>
        </is>
      </c>
      <c r="D697" t="n">
        <v>9947</v>
      </c>
      <c r="E697" t="inlineStr">
        <is>
          <t>ASESOR CAMBIARIO</t>
        </is>
      </c>
      <c r="F697" t="inlineStr">
        <is>
          <t>MONTERREY</t>
        </is>
      </c>
      <c r="G697" t="n">
        <v>3779</v>
      </c>
      <c r="H697" t="inlineStr">
        <is>
          <t>ENRIQUE OROZCO GARZA</t>
        </is>
      </c>
      <c r="I697" t="n">
        <v>9461</v>
      </c>
      <c r="J697" t="inlineStr">
        <is>
          <t>SUBDIRECTOR COMERCIAL</t>
        </is>
      </c>
      <c r="K697" t="n">
        <v>1</v>
      </c>
      <c r="L697" t="inlineStr">
        <is>
          <t>PRESIDENCIA EJECUTIVA DEL CONSEJO</t>
        </is>
      </c>
      <c r="M697" t="n">
        <v>40</v>
      </c>
      <c r="N697" t="inlineStr">
        <is>
          <t>DIRECCION GENERAL BANCO BASE</t>
        </is>
      </c>
      <c r="O697" t="n">
        <v>410</v>
      </c>
      <c r="P697" t="inlineStr">
        <is>
          <t>DIRECCION COMERCIAL</t>
        </is>
      </c>
      <c r="Q697" t="n">
        <v>4580</v>
      </c>
      <c r="R697" t="inlineStr">
        <is>
          <t>DIRECCION COMERCIAL MONTERREY 2</t>
        </is>
      </c>
      <c r="S697" t="n">
        <v>41510</v>
      </c>
      <c r="T697" t="inlineStr">
        <is>
          <t>SUBDIRECCION COMERCIAL MONTERREY 1</t>
        </is>
      </c>
      <c r="U697" t="n">
        <v>415100</v>
      </c>
      <c r="V697" t="inlineStr">
        <is>
          <t>SUBDIRECCION COMERCIAL MONTERREY 1</t>
        </is>
      </c>
      <c r="W697" t="n">
        <v>126102</v>
      </c>
      <c r="X697" t="inlineStr">
        <is>
          <t>VALLE ORIENTE</t>
        </is>
      </c>
      <c r="Y697" t="n">
        <v>3</v>
      </c>
      <c r="Z697" t="inlineStr">
        <is>
          <t>CAMBIARIO</t>
        </is>
      </c>
      <c r="AA697" t="n">
        <v>1</v>
      </c>
      <c r="AB697" t="inlineStr">
        <is>
          <t>NEGOCIO EN MARCHA</t>
        </is>
      </c>
      <c r="AC697" t="n">
        <v>1</v>
      </c>
      <c r="AD697" t="inlineStr">
        <is>
          <t>BANCO</t>
        </is>
      </c>
      <c r="AE697" t="n">
        <v>3</v>
      </c>
      <c r="AF697" t="inlineStr">
        <is>
          <t>FRONT</t>
        </is>
      </c>
      <c r="AG697" t="n">
        <v>126102</v>
      </c>
      <c r="AH697" t="inlineStr">
        <is>
          <t>MONTERREY</t>
        </is>
      </c>
      <c r="AI697" t="inlineStr">
        <is>
          <t>AVILLALOBO@BANCOBASE.COM</t>
        </is>
      </c>
      <c r="AJ697" s="151" t="n">
        <v>43549</v>
      </c>
      <c r="AK697" s="151" t="n"/>
      <c r="AL697" s="151" t="n"/>
    </row>
    <row r="698" hidden="1" s="150">
      <c r="A698" t="inlineStr">
        <is>
          <t>EBARBOSA</t>
        </is>
      </c>
      <c r="B698" t="n">
        <v>3191</v>
      </c>
      <c r="C698" t="inlineStr">
        <is>
          <t>AIME EMILIA BARBOSA CALZONCIN</t>
        </is>
      </c>
      <c r="D698" t="n">
        <v>8410</v>
      </c>
      <c r="E698" t="inlineStr">
        <is>
          <t>ASISTENTE CAMBIARIO</t>
        </is>
      </c>
      <c r="F698" t="inlineStr">
        <is>
          <t>MONTERREY</t>
        </is>
      </c>
      <c r="G698" t="n">
        <v>3779</v>
      </c>
      <c r="H698" t="inlineStr">
        <is>
          <t>ENRIQUE OROZCO GARZA</t>
        </is>
      </c>
      <c r="I698" t="n">
        <v>9461</v>
      </c>
      <c r="J698" t="inlineStr">
        <is>
          <t>SUBDIRECTOR COMERCIAL</t>
        </is>
      </c>
      <c r="K698" t="n">
        <v>1</v>
      </c>
      <c r="L698" t="inlineStr">
        <is>
          <t>PRESIDENCIA EJECUTIVA DEL CONSEJO</t>
        </is>
      </c>
      <c r="M698" t="n">
        <v>40</v>
      </c>
      <c r="N698" t="inlineStr">
        <is>
          <t>DIRECCION GENERAL BANCO BASE</t>
        </is>
      </c>
      <c r="O698" t="n">
        <v>410</v>
      </c>
      <c r="P698" t="inlineStr">
        <is>
          <t>DIRECCION COMERCIAL</t>
        </is>
      </c>
      <c r="Q698" t="n">
        <v>4580</v>
      </c>
      <c r="R698" t="inlineStr">
        <is>
          <t>DIRECCION COMERCIAL MONTERREY 2</t>
        </is>
      </c>
      <c r="S698" t="n">
        <v>41510</v>
      </c>
      <c r="T698" t="inlineStr">
        <is>
          <t>SUBDIRECCION COMERCIAL MONTERREY 1</t>
        </is>
      </c>
      <c r="U698" t="n">
        <v>415100</v>
      </c>
      <c r="V698" t="inlineStr">
        <is>
          <t>SUBDIRECCION COMERCIAL MONTERREY 1</t>
        </is>
      </c>
      <c r="W698" t="n">
        <v>126102</v>
      </c>
      <c r="X698" t="inlineStr">
        <is>
          <t>VALLE ORIENTE</t>
        </is>
      </c>
      <c r="Y698" t="n">
        <v>3</v>
      </c>
      <c r="Z698" t="inlineStr">
        <is>
          <t>CAMBIARIO</t>
        </is>
      </c>
      <c r="AA698" t="n">
        <v>1</v>
      </c>
      <c r="AB698" t="inlineStr">
        <is>
          <t>NEGOCIO EN MARCHA</t>
        </is>
      </c>
      <c r="AC698" t="n">
        <v>1</v>
      </c>
      <c r="AD698" t="inlineStr">
        <is>
          <t>BANCO</t>
        </is>
      </c>
      <c r="AE698" t="n">
        <v>2</v>
      </c>
      <c r="AF698" t="inlineStr">
        <is>
          <t>MIDDLE</t>
        </is>
      </c>
      <c r="AG698" t="n">
        <v>126102</v>
      </c>
      <c r="AH698" t="inlineStr">
        <is>
          <t>MONTERREY</t>
        </is>
      </c>
      <c r="AI698" t="inlineStr">
        <is>
          <t>EBARBOSA@BANCOBASE.COM</t>
        </is>
      </c>
      <c r="AJ698" s="151" t="n">
        <v>45523</v>
      </c>
      <c r="AK698" s="151" t="n"/>
      <c r="AL698" s="151" t="n"/>
    </row>
    <row r="699" hidden="1" s="150">
      <c r="A699" t="inlineStr">
        <is>
          <t>ERICHO</t>
        </is>
      </c>
      <c r="B699" t="n">
        <v>3228</v>
      </c>
      <c r="C699" t="inlineStr">
        <is>
          <t>EMILIANO RICHO HERNANDEZ</t>
        </is>
      </c>
      <c r="D699" t="n">
        <v>9945</v>
      </c>
      <c r="E699" t="inlineStr">
        <is>
          <t>ASESOR CAMBIARIO</t>
        </is>
      </c>
      <c r="F699" t="inlineStr">
        <is>
          <t>MONTERREY</t>
        </is>
      </c>
      <c r="G699" t="n">
        <v>3779</v>
      </c>
      <c r="H699" t="inlineStr">
        <is>
          <t>ENRIQUE OROZCO GARZA</t>
        </is>
      </c>
      <c r="I699" t="n">
        <v>9461</v>
      </c>
      <c r="J699" t="inlineStr">
        <is>
          <t>SUBDIRECTOR COMERCIAL</t>
        </is>
      </c>
      <c r="K699" t="n">
        <v>1</v>
      </c>
      <c r="L699" t="inlineStr">
        <is>
          <t>PRESIDENCIA EJECUTIVA DEL CONSEJO</t>
        </is>
      </c>
      <c r="M699" t="n">
        <v>40</v>
      </c>
      <c r="N699" t="inlineStr">
        <is>
          <t>DIRECCION GENERAL BANCO BASE</t>
        </is>
      </c>
      <c r="O699" t="n">
        <v>410</v>
      </c>
      <c r="P699" t="inlineStr">
        <is>
          <t>DIRECCION COMERCIAL</t>
        </is>
      </c>
      <c r="Q699" t="n">
        <v>4580</v>
      </c>
      <c r="R699" t="inlineStr">
        <is>
          <t>DIRECCION COMERCIAL MONTERREY 2</t>
        </is>
      </c>
      <c r="S699" t="n">
        <v>41510</v>
      </c>
      <c r="T699" t="inlineStr">
        <is>
          <t>SUBDIRECCION COMERCIAL MONTERREY 1</t>
        </is>
      </c>
      <c r="U699" t="n">
        <v>415100</v>
      </c>
      <c r="V699" t="inlineStr">
        <is>
          <t>SUBDIRECCION COMERCIAL MONTERREY 1</t>
        </is>
      </c>
      <c r="W699" t="n">
        <v>126102</v>
      </c>
      <c r="X699" t="inlineStr">
        <is>
          <t>VALLE ORIENTE</t>
        </is>
      </c>
      <c r="Y699" t="n">
        <v>3</v>
      </c>
      <c r="Z699" t="inlineStr">
        <is>
          <t>CAMBIARIO</t>
        </is>
      </c>
      <c r="AA699" t="n">
        <v>1</v>
      </c>
      <c r="AB699" t="inlineStr">
        <is>
          <t>NEGOCIO EN MARCHA</t>
        </is>
      </c>
      <c r="AC699" t="n">
        <v>1</v>
      </c>
      <c r="AD699" t="inlineStr">
        <is>
          <t>BANCO</t>
        </is>
      </c>
      <c r="AE699" t="n">
        <v>3</v>
      </c>
      <c r="AF699" t="inlineStr">
        <is>
          <t>FRONT</t>
        </is>
      </c>
      <c r="AG699" t="n">
        <v>126102</v>
      </c>
      <c r="AH699" t="inlineStr">
        <is>
          <t>MONTERREY</t>
        </is>
      </c>
      <c r="AI699" t="inlineStr">
        <is>
          <t>ERICHO@BANCOBASE.COM</t>
        </is>
      </c>
      <c r="AJ699" s="151" t="n">
        <v>45572</v>
      </c>
      <c r="AK699" s="151" t="n"/>
      <c r="AL699" s="151" t="n"/>
    </row>
    <row r="700" hidden="1" s="150">
      <c r="A700" t="inlineStr">
        <is>
          <t>MELIZONDO</t>
        </is>
      </c>
      <c r="B700" t="n">
        <v>463</v>
      </c>
      <c r="C700" t="inlineStr">
        <is>
          <t>MARIA ANGELA ELIZONDO GARCIA</t>
        </is>
      </c>
      <c r="D700" t="n">
        <v>9246</v>
      </c>
      <c r="E700" t="inlineStr">
        <is>
          <t>ASESOR CAMBIARIO</t>
        </is>
      </c>
      <c r="F700" t="inlineStr">
        <is>
          <t>MONTERREY</t>
        </is>
      </c>
      <c r="G700" t="n">
        <v>3779</v>
      </c>
      <c r="H700" t="inlineStr">
        <is>
          <t>ENRIQUE OROZCO GARZA</t>
        </is>
      </c>
      <c r="I700" t="n">
        <v>9461</v>
      </c>
      <c r="J700" t="inlineStr">
        <is>
          <t>SUBDIRECTOR COMERCIAL</t>
        </is>
      </c>
      <c r="K700" t="n">
        <v>1</v>
      </c>
      <c r="L700" t="inlineStr">
        <is>
          <t>PRESIDENCIA EJECUTIVA DEL CONSEJO</t>
        </is>
      </c>
      <c r="M700" t="n">
        <v>40</v>
      </c>
      <c r="N700" t="inlineStr">
        <is>
          <t>DIRECCION GENERAL BANCO BASE</t>
        </is>
      </c>
      <c r="O700" t="n">
        <v>410</v>
      </c>
      <c r="P700" t="inlineStr">
        <is>
          <t>DIRECCION COMERCIAL</t>
        </is>
      </c>
      <c r="Q700" t="n">
        <v>4580</v>
      </c>
      <c r="R700" t="inlineStr">
        <is>
          <t>DIRECCION COMERCIAL MONTERREY 2</t>
        </is>
      </c>
      <c r="S700" t="n">
        <v>41510</v>
      </c>
      <c r="T700" t="inlineStr">
        <is>
          <t>SUBDIRECCION COMERCIAL MONTERREY 1</t>
        </is>
      </c>
      <c r="U700" t="n">
        <v>415100</v>
      </c>
      <c r="V700" t="inlineStr">
        <is>
          <t>SUBDIRECCION COMERCIAL MONTERREY 1</t>
        </is>
      </c>
      <c r="W700" t="n">
        <v>126102</v>
      </c>
      <c r="X700" t="inlineStr">
        <is>
          <t>VALLE ORIENTE</t>
        </is>
      </c>
      <c r="Y700" t="n">
        <v>3</v>
      </c>
      <c r="Z700" t="inlineStr">
        <is>
          <t>CAMBIARIO</t>
        </is>
      </c>
      <c r="AA700" t="n">
        <v>1</v>
      </c>
      <c r="AB700" t="inlineStr">
        <is>
          <t>NEGOCIO EN MARCHA</t>
        </is>
      </c>
      <c r="AC700" t="n">
        <v>1</v>
      </c>
      <c r="AD700" t="inlineStr">
        <is>
          <t>BANCO</t>
        </is>
      </c>
      <c r="AE700" t="n">
        <v>3</v>
      </c>
      <c r="AF700" t="inlineStr">
        <is>
          <t>FRONT</t>
        </is>
      </c>
      <c r="AG700" t="n">
        <v>126102</v>
      </c>
      <c r="AH700" t="inlineStr">
        <is>
          <t>MONTERREY</t>
        </is>
      </c>
      <c r="AI700" t="inlineStr">
        <is>
          <t>MELIZONDO@BANCOBASE.COM</t>
        </is>
      </c>
      <c r="AJ700" s="151" t="n">
        <v>39545</v>
      </c>
      <c r="AK700" s="151" t="n"/>
      <c r="AL700" s="151" t="n"/>
    </row>
    <row r="701" hidden="1" s="150">
      <c r="A701" t="inlineStr">
        <is>
          <t>LVIL</t>
        </is>
      </c>
      <c r="B701" t="n">
        <v>19</v>
      </c>
      <c r="C701" t="inlineStr">
        <is>
          <t>LAURA ESTHER VILLARREAL GUERRA</t>
        </is>
      </c>
      <c r="D701" t="n">
        <v>9263</v>
      </c>
      <c r="E701" t="inlineStr">
        <is>
          <t>ASESOR CAMBIARIO</t>
        </is>
      </c>
      <c r="F701" t="inlineStr">
        <is>
          <t>MONTERREY</t>
        </is>
      </c>
      <c r="G701" t="n">
        <v>3779</v>
      </c>
      <c r="H701" t="inlineStr">
        <is>
          <t>ENRIQUE OROZCO GARZA</t>
        </is>
      </c>
      <c r="I701" t="n">
        <v>9461</v>
      </c>
      <c r="J701" t="inlineStr">
        <is>
          <t>SUBDIRECTOR COMERCIAL</t>
        </is>
      </c>
      <c r="K701" t="n">
        <v>1</v>
      </c>
      <c r="L701" t="inlineStr">
        <is>
          <t>PRESIDENCIA EJECUTIVA DEL CONSEJO</t>
        </is>
      </c>
      <c r="M701" t="n">
        <v>40</v>
      </c>
      <c r="N701" t="inlineStr">
        <is>
          <t>DIRECCION GENERAL BANCO BASE</t>
        </is>
      </c>
      <c r="O701" t="n">
        <v>410</v>
      </c>
      <c r="P701" t="inlineStr">
        <is>
          <t>DIRECCION COMERCIAL</t>
        </is>
      </c>
      <c r="Q701" t="n">
        <v>4580</v>
      </c>
      <c r="R701" t="inlineStr">
        <is>
          <t>DIRECCION COMERCIAL MONTERREY 2</t>
        </is>
      </c>
      <c r="S701" t="n">
        <v>41510</v>
      </c>
      <c r="T701" t="inlineStr">
        <is>
          <t>SUBDIRECCION COMERCIAL MONTERREY 1</t>
        </is>
      </c>
      <c r="U701" t="n">
        <v>415100</v>
      </c>
      <c r="V701" t="inlineStr">
        <is>
          <t>SUBDIRECCION COMERCIAL MONTERREY 1</t>
        </is>
      </c>
      <c r="W701" t="n">
        <v>126102</v>
      </c>
      <c r="X701" t="inlineStr">
        <is>
          <t>VALLE ORIENTE</t>
        </is>
      </c>
      <c r="Y701" t="n">
        <v>3</v>
      </c>
      <c r="Z701" t="inlineStr">
        <is>
          <t>CAMBIARIO</t>
        </is>
      </c>
      <c r="AA701" t="n">
        <v>1</v>
      </c>
      <c r="AB701" t="inlineStr">
        <is>
          <t>NEGOCIO EN MARCHA</t>
        </is>
      </c>
      <c r="AC701" t="n">
        <v>1</v>
      </c>
      <c r="AD701" t="inlineStr">
        <is>
          <t>BANCO</t>
        </is>
      </c>
      <c r="AE701" t="n">
        <v>3</v>
      </c>
      <c r="AF701" t="inlineStr">
        <is>
          <t>FRONT</t>
        </is>
      </c>
      <c r="AG701" t="n">
        <v>126102</v>
      </c>
      <c r="AH701" t="inlineStr">
        <is>
          <t>MONTERREY</t>
        </is>
      </c>
      <c r="AI701" t="inlineStr">
        <is>
          <t>LVIL@BANCOBASE.COM</t>
        </is>
      </c>
      <c r="AJ701" s="151" t="n">
        <v>34834</v>
      </c>
      <c r="AK701" s="151" t="n"/>
      <c r="AL701" s="151" t="n"/>
    </row>
    <row r="702" hidden="1" s="150">
      <c r="A702" t="inlineStr">
        <is>
          <t>ROTREVINO</t>
        </is>
      </c>
      <c r="B702" t="n">
        <v>2007</v>
      </c>
      <c r="C702" t="inlineStr">
        <is>
          <t>ROBERTO ALEJANDRO TREVIÑO GARCIA</t>
        </is>
      </c>
      <c r="D702" t="n">
        <v>9255</v>
      </c>
      <c r="E702" t="inlineStr">
        <is>
          <t>ASESOR CAMBIARIO</t>
        </is>
      </c>
      <c r="F702" t="inlineStr">
        <is>
          <t>MONTERREY</t>
        </is>
      </c>
      <c r="G702" t="n">
        <v>3779</v>
      </c>
      <c r="H702" t="inlineStr">
        <is>
          <t>ENRIQUE OROZCO GARZA</t>
        </is>
      </c>
      <c r="I702" t="n">
        <v>9461</v>
      </c>
      <c r="J702" t="inlineStr">
        <is>
          <t>SUBDIRECTOR COMERCIAL</t>
        </is>
      </c>
      <c r="K702" t="n">
        <v>1</v>
      </c>
      <c r="L702" t="inlineStr">
        <is>
          <t>PRESIDENCIA EJECUTIVA DEL CONSEJO</t>
        </is>
      </c>
      <c r="M702" t="n">
        <v>40</v>
      </c>
      <c r="N702" t="inlineStr">
        <is>
          <t>DIRECCION GENERAL BANCO BASE</t>
        </is>
      </c>
      <c r="O702" t="n">
        <v>410</v>
      </c>
      <c r="P702" t="inlineStr">
        <is>
          <t>DIRECCION COMERCIAL</t>
        </is>
      </c>
      <c r="Q702" t="n">
        <v>4580</v>
      </c>
      <c r="R702" t="inlineStr">
        <is>
          <t>DIRECCION COMERCIAL MONTERREY 2</t>
        </is>
      </c>
      <c r="S702" t="n">
        <v>41510</v>
      </c>
      <c r="T702" t="inlineStr">
        <is>
          <t>SUBDIRECCION COMERCIAL MONTERREY 1</t>
        </is>
      </c>
      <c r="U702" t="n">
        <v>415100</v>
      </c>
      <c r="V702" t="inlineStr">
        <is>
          <t>SUBDIRECCION COMERCIAL MONTERREY 1</t>
        </is>
      </c>
      <c r="W702" t="n">
        <v>126102</v>
      </c>
      <c r="X702" t="inlineStr">
        <is>
          <t>VALLE ORIENTE</t>
        </is>
      </c>
      <c r="Y702" t="n">
        <v>3</v>
      </c>
      <c r="Z702" t="inlineStr">
        <is>
          <t>CAMBIARIO</t>
        </is>
      </c>
      <c r="AA702" t="n">
        <v>1</v>
      </c>
      <c r="AB702" t="inlineStr">
        <is>
          <t>NEGOCIO EN MARCHA</t>
        </is>
      </c>
      <c r="AC702" t="n">
        <v>1</v>
      </c>
      <c r="AD702" t="inlineStr">
        <is>
          <t>BANCO</t>
        </is>
      </c>
      <c r="AE702" t="n">
        <v>3</v>
      </c>
      <c r="AF702" t="inlineStr">
        <is>
          <t>FRONT</t>
        </is>
      </c>
      <c r="AG702" t="n">
        <v>126102</v>
      </c>
      <c r="AH702" t="inlineStr">
        <is>
          <t>MONTERREY</t>
        </is>
      </c>
      <c r="AI702" t="inlineStr">
        <is>
          <t>ROTREVINO@BANCOBASE.COM</t>
        </is>
      </c>
      <c r="AJ702" s="151" t="n">
        <v>43236</v>
      </c>
      <c r="AK702" s="151" t="n"/>
      <c r="AL702" s="151" t="n"/>
    </row>
    <row r="703" hidden="1" s="150">
      <c r="A703" t="inlineStr">
        <is>
          <t>YCARRILES</t>
        </is>
      </c>
      <c r="B703" t="n">
        <v>1037</v>
      </c>
      <c r="C703" t="inlineStr">
        <is>
          <t>YESSICA SOFIA CARRILES TRUJILLO</t>
        </is>
      </c>
      <c r="D703" t="n">
        <v>9240</v>
      </c>
      <c r="E703" t="inlineStr">
        <is>
          <t>ASESOR CAMBIARIO</t>
        </is>
      </c>
      <c r="F703" t="inlineStr">
        <is>
          <t>MONTERREY</t>
        </is>
      </c>
      <c r="G703" t="n">
        <v>3779</v>
      </c>
      <c r="H703" t="inlineStr">
        <is>
          <t>ENRIQUE OROZCO GARZA</t>
        </is>
      </c>
      <c r="I703" t="n">
        <v>9461</v>
      </c>
      <c r="J703" t="inlineStr">
        <is>
          <t>SUBDIRECTOR COMERCIAL</t>
        </is>
      </c>
      <c r="K703" t="n">
        <v>1</v>
      </c>
      <c r="L703" t="inlineStr">
        <is>
          <t>PRESIDENCIA EJECUTIVA DEL CONSEJO</t>
        </is>
      </c>
      <c r="M703" t="n">
        <v>40</v>
      </c>
      <c r="N703" t="inlineStr">
        <is>
          <t>DIRECCION GENERAL BANCO BASE</t>
        </is>
      </c>
      <c r="O703" t="n">
        <v>410</v>
      </c>
      <c r="P703" t="inlineStr">
        <is>
          <t>DIRECCION COMERCIAL</t>
        </is>
      </c>
      <c r="Q703" t="n">
        <v>4580</v>
      </c>
      <c r="R703" t="inlineStr">
        <is>
          <t>DIRECCION COMERCIAL MONTERREY 2</t>
        </is>
      </c>
      <c r="S703" t="n">
        <v>41510</v>
      </c>
      <c r="T703" t="inlineStr">
        <is>
          <t>SUBDIRECCION COMERCIAL MONTERREY 1</t>
        </is>
      </c>
      <c r="U703" t="n">
        <v>415100</v>
      </c>
      <c r="V703" t="inlineStr">
        <is>
          <t>SUBDIRECCION COMERCIAL MONTERREY 1</t>
        </is>
      </c>
      <c r="W703" t="n">
        <v>126102</v>
      </c>
      <c r="X703" t="inlineStr">
        <is>
          <t>VALLE ORIENTE</t>
        </is>
      </c>
      <c r="Y703" t="n">
        <v>3</v>
      </c>
      <c r="Z703" t="inlineStr">
        <is>
          <t>CAMBIARIO</t>
        </is>
      </c>
      <c r="AA703" t="n">
        <v>1</v>
      </c>
      <c r="AB703" t="inlineStr">
        <is>
          <t>NEGOCIO EN MARCHA</t>
        </is>
      </c>
      <c r="AC703" t="n">
        <v>1</v>
      </c>
      <c r="AD703" t="inlineStr">
        <is>
          <t>BANCO</t>
        </is>
      </c>
      <c r="AE703" t="n">
        <v>3</v>
      </c>
      <c r="AF703" t="inlineStr">
        <is>
          <t>FRONT</t>
        </is>
      </c>
      <c r="AG703" t="n">
        <v>126102</v>
      </c>
      <c r="AH703" t="inlineStr">
        <is>
          <t>MONTERREY</t>
        </is>
      </c>
      <c r="AI703" t="inlineStr">
        <is>
          <t>YCARRILES@BANCOBASE.COM</t>
        </is>
      </c>
      <c r="AJ703" s="151" t="n">
        <v>41443</v>
      </c>
      <c r="AK703" s="151" t="n"/>
      <c r="AL703" s="151" t="n"/>
    </row>
    <row r="704" hidden="1" s="150">
      <c r="A704" t="inlineStr">
        <is>
          <t>OGONZALEZB</t>
        </is>
      </c>
      <c r="B704" t="n">
        <v>2633</v>
      </c>
      <c r="C704" t="inlineStr">
        <is>
          <t>OSCAR GILBERTO GONZALEZ BANDALA</t>
        </is>
      </c>
      <c r="D704" t="n">
        <v>9778</v>
      </c>
      <c r="E704" t="inlineStr">
        <is>
          <t>ESPECIALISTA DE FINANCIAMIENTO</t>
        </is>
      </c>
      <c r="F704" t="inlineStr">
        <is>
          <t>MONTERREY</t>
        </is>
      </c>
      <c r="G704" t="n">
        <v>3779</v>
      </c>
      <c r="H704" t="inlineStr">
        <is>
          <t>ENRIQUE OROZCO GARZA</t>
        </is>
      </c>
      <c r="I704" t="n">
        <v>9461</v>
      </c>
      <c r="J704" t="inlineStr">
        <is>
          <t>SUBDIRECTOR COMERCIAL</t>
        </is>
      </c>
      <c r="K704" t="n">
        <v>1</v>
      </c>
      <c r="L704" t="inlineStr">
        <is>
          <t>PRESIDENCIA EJECUTIVA DEL CONSEJO</t>
        </is>
      </c>
      <c r="M704" t="n">
        <v>40</v>
      </c>
      <c r="N704" t="inlineStr">
        <is>
          <t>DIRECCION GENERAL BANCO BASE</t>
        </is>
      </c>
      <c r="O704" t="n">
        <v>410</v>
      </c>
      <c r="P704" t="inlineStr">
        <is>
          <t>DIRECCION COMERCIAL</t>
        </is>
      </c>
      <c r="Q704" t="n">
        <v>4580</v>
      </c>
      <c r="R704" t="inlineStr">
        <is>
          <t>DIRECCION COMERCIAL MONTERREY 2</t>
        </is>
      </c>
      <c r="S704" t="n">
        <v>41510</v>
      </c>
      <c r="T704" t="inlineStr">
        <is>
          <t>SUBDIRECCION COMERCIAL MONTERREY 1</t>
        </is>
      </c>
      <c r="U704" t="n">
        <v>415100</v>
      </c>
      <c r="V704" t="inlineStr">
        <is>
          <t>SUBDIRECCION COMERCIAL MONTERREY 1</t>
        </is>
      </c>
      <c r="W704" t="n">
        <v>126102</v>
      </c>
      <c r="X704" t="inlineStr">
        <is>
          <t>VALLE ORIENTE</t>
        </is>
      </c>
      <c r="Y704" t="n">
        <v>13</v>
      </c>
      <c r="Z704" t="inlineStr">
        <is>
          <t>FINANCIAMIENTO</t>
        </is>
      </c>
      <c r="AA704" t="n">
        <v>1</v>
      </c>
      <c r="AB704" t="inlineStr">
        <is>
          <t>NEGOCIO EN MARCHA</t>
        </is>
      </c>
      <c r="AC704" t="n">
        <v>1</v>
      </c>
      <c r="AD704" t="inlineStr">
        <is>
          <t>BANCO</t>
        </is>
      </c>
      <c r="AE704" t="n">
        <v>3</v>
      </c>
      <c r="AF704" t="inlineStr">
        <is>
          <t>FRONT</t>
        </is>
      </c>
      <c r="AG704" t="n">
        <v>126102</v>
      </c>
      <c r="AH704" t="inlineStr">
        <is>
          <t>MONTERREY</t>
        </is>
      </c>
      <c r="AI704" t="inlineStr">
        <is>
          <t>OGONZALEZB@BANCOBASE.COM</t>
        </is>
      </c>
      <c r="AJ704" s="151" t="n">
        <v>44657</v>
      </c>
      <c r="AK704" s="151" t="n"/>
      <c r="AL704" s="151" t="n"/>
    </row>
    <row r="705" hidden="1" s="150">
      <c r="A705" t="inlineStr">
        <is>
          <t>RPEREZ</t>
        </is>
      </c>
      <c r="B705" t="n">
        <v>3204</v>
      </c>
      <c r="C705" t="inlineStr">
        <is>
          <t>RAFAEL HERLINDO PEREZ VITE</t>
        </is>
      </c>
      <c r="D705" t="n">
        <v>8431</v>
      </c>
      <c r="E705" t="inlineStr">
        <is>
          <t>ESPECIALISTA DE FINANCIAMIENTO</t>
        </is>
      </c>
      <c r="F705" t="inlineStr">
        <is>
          <t>MONTERREY</t>
        </is>
      </c>
      <c r="G705" t="n">
        <v>3779</v>
      </c>
      <c r="H705" t="inlineStr">
        <is>
          <t>ENRIQUE OROZCO GARZA</t>
        </is>
      </c>
      <c r="I705" t="n">
        <v>9461</v>
      </c>
      <c r="J705" t="inlineStr">
        <is>
          <t>SUBDIRECTOR COMERCIAL</t>
        </is>
      </c>
      <c r="K705" t="n">
        <v>1</v>
      </c>
      <c r="L705" t="inlineStr">
        <is>
          <t>PRESIDENCIA EJECUTIVA DEL CONSEJO</t>
        </is>
      </c>
      <c r="M705" t="n">
        <v>40</v>
      </c>
      <c r="N705" t="inlineStr">
        <is>
          <t>DIRECCION GENERAL BANCO BASE</t>
        </is>
      </c>
      <c r="O705" t="n">
        <v>410</v>
      </c>
      <c r="P705" t="inlineStr">
        <is>
          <t>DIRECCION COMERCIAL</t>
        </is>
      </c>
      <c r="Q705" t="n">
        <v>4580</v>
      </c>
      <c r="R705" t="inlineStr">
        <is>
          <t>DIRECCION COMERCIAL MONTERREY 2</t>
        </is>
      </c>
      <c r="S705" t="n">
        <v>41510</v>
      </c>
      <c r="T705" t="inlineStr">
        <is>
          <t>SUBDIRECCION COMERCIAL MONTERREY 1</t>
        </is>
      </c>
      <c r="U705" t="n">
        <v>415100</v>
      </c>
      <c r="V705" t="inlineStr">
        <is>
          <t>SUBDIRECCION COMERCIAL MONTERREY 1</t>
        </is>
      </c>
      <c r="W705" t="n">
        <v>126102</v>
      </c>
      <c r="X705" t="inlineStr">
        <is>
          <t>VALLE ORIENTE</t>
        </is>
      </c>
      <c r="Y705" t="n">
        <v>13</v>
      </c>
      <c r="Z705" t="inlineStr">
        <is>
          <t>FINANCIAMIENTO</t>
        </is>
      </c>
      <c r="AA705" t="n">
        <v>1</v>
      </c>
      <c r="AB705" t="inlineStr">
        <is>
          <t>NEGOCIO EN MARCHA</t>
        </is>
      </c>
      <c r="AC705" t="n">
        <v>1</v>
      </c>
      <c r="AD705" t="inlineStr">
        <is>
          <t>BANCO</t>
        </is>
      </c>
      <c r="AE705" t="n">
        <v>3</v>
      </c>
      <c r="AF705" t="inlineStr">
        <is>
          <t>FRONT</t>
        </is>
      </c>
      <c r="AG705" t="n">
        <v>126102</v>
      </c>
      <c r="AH705" t="inlineStr">
        <is>
          <t>MONTERREY</t>
        </is>
      </c>
      <c r="AI705" t="inlineStr">
        <is>
          <t>RPEREZ@BANCOBASE.COM</t>
        </is>
      </c>
      <c r="AJ705" s="151" t="n">
        <v>45552</v>
      </c>
      <c r="AK705" s="151" t="n"/>
      <c r="AL705" s="151" t="n"/>
    </row>
    <row r="706" hidden="1" s="150">
      <c r="A706" t="inlineStr">
        <is>
          <t>EPALACIOS</t>
        </is>
      </c>
      <c r="B706" t="n">
        <v>2536</v>
      </c>
      <c r="C706" t="inlineStr">
        <is>
          <t>ESTEFANY GUADALUPE PALACIOS LOPEZ</t>
        </is>
      </c>
      <c r="D706" t="n">
        <v>9675</v>
      </c>
      <c r="E706" t="inlineStr">
        <is>
          <t>EJECUTIVO DE SOPORTE</t>
        </is>
      </c>
      <c r="F706" t="inlineStr">
        <is>
          <t>MONTERREY</t>
        </is>
      </c>
      <c r="G706" t="n">
        <v>3779</v>
      </c>
      <c r="H706" t="inlineStr">
        <is>
          <t>ENRIQUE OROZCO GARZA</t>
        </is>
      </c>
      <c r="I706" t="n">
        <v>9461</v>
      </c>
      <c r="J706" t="inlineStr">
        <is>
          <t>SUBDIRECTOR COMERCIAL</t>
        </is>
      </c>
      <c r="K706" t="n">
        <v>1</v>
      </c>
      <c r="L706" t="inlineStr">
        <is>
          <t>PRESIDENCIA EJECUTIVA DEL CONSEJO</t>
        </is>
      </c>
      <c r="M706" t="n">
        <v>40</v>
      </c>
      <c r="N706" t="inlineStr">
        <is>
          <t>DIRECCION GENERAL BANCO BASE</t>
        </is>
      </c>
      <c r="O706" t="n">
        <v>410</v>
      </c>
      <c r="P706" t="inlineStr">
        <is>
          <t>DIRECCION COMERCIAL</t>
        </is>
      </c>
      <c r="Q706" t="n">
        <v>4580</v>
      </c>
      <c r="R706" t="inlineStr">
        <is>
          <t>DIRECCION COMERCIAL MONTERREY 2</t>
        </is>
      </c>
      <c r="S706" t="n">
        <v>41510</v>
      </c>
      <c r="T706" t="inlineStr">
        <is>
          <t>SUBDIRECCION COMERCIAL MONTERREY 1</t>
        </is>
      </c>
      <c r="U706" t="n">
        <v>415100</v>
      </c>
      <c r="V706" t="inlineStr">
        <is>
          <t>SUBDIRECCION COMERCIAL MONTERREY 1</t>
        </is>
      </c>
      <c r="W706" t="n">
        <v>126102</v>
      </c>
      <c r="X706" t="inlineStr">
        <is>
          <t>VALLE ORIENTE</t>
        </is>
      </c>
      <c r="Y706" t="n">
        <v>17</v>
      </c>
      <c r="Z706" t="inlineStr">
        <is>
          <t>SOPORTE</t>
        </is>
      </c>
      <c r="AA706" t="n">
        <v>1</v>
      </c>
      <c r="AB706" t="inlineStr">
        <is>
          <t>NEGOCIO EN MARCHA</t>
        </is>
      </c>
      <c r="AC706" t="n">
        <v>1</v>
      </c>
      <c r="AD706" t="inlineStr">
        <is>
          <t>BANCO</t>
        </is>
      </c>
      <c r="AE706" t="n">
        <v>2</v>
      </c>
      <c r="AF706" t="inlineStr">
        <is>
          <t>MIDDLE</t>
        </is>
      </c>
      <c r="AG706" t="n">
        <v>126102</v>
      </c>
      <c r="AH706" t="inlineStr">
        <is>
          <t>MONTERREY</t>
        </is>
      </c>
      <c r="AI706" t="inlineStr">
        <is>
          <t>EPALACIOS@BANCOBASE.COM</t>
        </is>
      </c>
      <c r="AJ706" s="151" t="n">
        <v>44409</v>
      </c>
      <c r="AK706" s="151" t="n"/>
      <c r="AL706" s="151" t="n"/>
    </row>
    <row r="707" hidden="1" s="150">
      <c r="A707" t="inlineStr">
        <is>
          <t>NCASTILLO</t>
        </is>
      </c>
      <c r="B707" t="n">
        <v>2316</v>
      </c>
      <c r="C707" t="inlineStr">
        <is>
          <t>NORMA LILIA CASTILLO ALVAREZ</t>
        </is>
      </c>
      <c r="D707" t="n">
        <v>10114</v>
      </c>
      <c r="E707" t="inlineStr">
        <is>
          <t>ESPECIALISTA DE BANCA TRANSACCIONAL</t>
        </is>
      </c>
      <c r="F707" t="inlineStr">
        <is>
          <t>MONTERREY</t>
        </is>
      </c>
      <c r="G707" t="n">
        <v>3779</v>
      </c>
      <c r="H707" t="inlineStr">
        <is>
          <t>ENRIQUE OROZCO GARZA</t>
        </is>
      </c>
      <c r="I707" t="n">
        <v>9461</v>
      </c>
      <c r="J707" t="inlineStr">
        <is>
          <t>SUBDIRECTOR COMERCIAL</t>
        </is>
      </c>
      <c r="K707" t="n">
        <v>1</v>
      </c>
      <c r="L707" t="inlineStr">
        <is>
          <t>PRESIDENCIA EJECUTIVA DEL CONSEJO</t>
        </is>
      </c>
      <c r="M707" t="n">
        <v>40</v>
      </c>
      <c r="N707" t="inlineStr">
        <is>
          <t>DIRECCION GENERAL BANCO BASE</t>
        </is>
      </c>
      <c r="O707" t="n">
        <v>410</v>
      </c>
      <c r="P707" t="inlineStr">
        <is>
          <t>DIRECCION COMERCIAL</t>
        </is>
      </c>
      <c r="Q707" t="n">
        <v>4580</v>
      </c>
      <c r="R707" t="inlineStr">
        <is>
          <t>DIRECCION COMERCIAL MONTERREY 2</t>
        </is>
      </c>
      <c r="S707" t="n">
        <v>41510</v>
      </c>
      <c r="T707" t="inlineStr">
        <is>
          <t>SUBDIRECCION COMERCIAL MONTERREY 1</t>
        </is>
      </c>
      <c r="U707" t="n">
        <v>415100</v>
      </c>
      <c r="V707" t="inlineStr">
        <is>
          <t>SUBDIRECCION COMERCIAL MONTERREY 1</t>
        </is>
      </c>
      <c r="W707" t="n">
        <v>126102</v>
      </c>
      <c r="X707" t="inlineStr">
        <is>
          <t>VALLE ORIENTE</t>
        </is>
      </c>
      <c r="Y707" t="n">
        <v>14</v>
      </c>
      <c r="Z707" t="inlineStr">
        <is>
          <t>TRANSACCIONAL</t>
        </is>
      </c>
      <c r="AA707" t="n">
        <v>1</v>
      </c>
      <c r="AB707" t="inlineStr">
        <is>
          <t>NEGOCIO EN MARCHA</t>
        </is>
      </c>
      <c r="AC707" t="n">
        <v>1</v>
      </c>
      <c r="AD707" t="inlineStr">
        <is>
          <t>BANCO</t>
        </is>
      </c>
      <c r="AE707" t="n">
        <v>3</v>
      </c>
      <c r="AF707" t="inlineStr">
        <is>
          <t>FRONT</t>
        </is>
      </c>
      <c r="AG707" t="n">
        <v>126102</v>
      </c>
      <c r="AH707" t="inlineStr">
        <is>
          <t>MONTERREY</t>
        </is>
      </c>
      <c r="AI707" t="inlineStr">
        <is>
          <t>NCASTILLO@BANCOBASE.COM</t>
        </is>
      </c>
      <c r="AJ707" s="151" t="n">
        <v>43710</v>
      </c>
      <c r="AK707" s="151" t="n"/>
      <c r="AL707" s="151" t="n"/>
    </row>
    <row r="708" hidden="1" s="150">
      <c r="A708" t="inlineStr">
        <is>
          <t>THERNANDEZ</t>
        </is>
      </c>
      <c r="B708" t="n">
        <v>1731</v>
      </c>
      <c r="C708" t="inlineStr">
        <is>
          <t>TANIA JACKELINE HERNANDEZ MIRANDA</t>
        </is>
      </c>
      <c r="D708" t="n">
        <v>9312</v>
      </c>
      <c r="E708" t="inlineStr">
        <is>
          <t>ASISTENTE CAMBIARIO</t>
        </is>
      </c>
      <c r="F708" t="inlineStr">
        <is>
          <t>MONTERREY</t>
        </is>
      </c>
      <c r="G708" t="n">
        <v>3779</v>
      </c>
      <c r="H708" t="inlineStr">
        <is>
          <t>ENRIQUE OROZCO GARZA</t>
        </is>
      </c>
      <c r="I708" t="n">
        <v>9461</v>
      </c>
      <c r="J708" t="inlineStr">
        <is>
          <t>SUBDIRECTOR COMERCIAL</t>
        </is>
      </c>
      <c r="K708" t="n">
        <v>1</v>
      </c>
      <c r="L708" t="inlineStr">
        <is>
          <t>PRESIDENCIA EJECUTIVA DEL CONSEJO</t>
        </is>
      </c>
      <c r="M708" t="n">
        <v>40</v>
      </c>
      <c r="N708" t="inlineStr">
        <is>
          <t>DIRECCION GENERAL BANCO BASE</t>
        </is>
      </c>
      <c r="O708" t="n">
        <v>410</v>
      </c>
      <c r="P708" t="inlineStr">
        <is>
          <t>DIRECCION COMERCIAL</t>
        </is>
      </c>
      <c r="Q708" t="n">
        <v>4580</v>
      </c>
      <c r="R708" t="inlineStr">
        <is>
          <t>DIRECCION COMERCIAL MONTERREY 2</t>
        </is>
      </c>
      <c r="S708" t="n">
        <v>41510</v>
      </c>
      <c r="T708" t="inlineStr">
        <is>
          <t>SUBDIRECCION COMERCIAL MONTERREY 1</t>
        </is>
      </c>
      <c r="U708" t="n">
        <v>415100</v>
      </c>
      <c r="V708" t="inlineStr">
        <is>
          <t>SUBDIRECCION COMERCIAL MONTERREY 1</t>
        </is>
      </c>
      <c r="W708" t="n">
        <v>126102</v>
      </c>
      <c r="X708" t="inlineStr">
        <is>
          <t>VALLE ORIENTE</t>
        </is>
      </c>
      <c r="Y708" t="n">
        <v>3</v>
      </c>
      <c r="Z708" t="inlineStr">
        <is>
          <t>CAMBIARIO</t>
        </is>
      </c>
      <c r="AA708" t="n">
        <v>1</v>
      </c>
      <c r="AB708" t="inlineStr">
        <is>
          <t>NEGOCIO EN MARCHA</t>
        </is>
      </c>
      <c r="AC708" t="n">
        <v>1</v>
      </c>
      <c r="AD708" t="inlineStr">
        <is>
          <t>BANCO</t>
        </is>
      </c>
      <c r="AE708" t="n">
        <v>2</v>
      </c>
      <c r="AF708" t="inlineStr">
        <is>
          <t>MIDDLE</t>
        </is>
      </c>
      <c r="AG708" t="n">
        <v>126102</v>
      </c>
      <c r="AH708" t="inlineStr">
        <is>
          <t>MONTERREY</t>
        </is>
      </c>
      <c r="AI708" t="inlineStr">
        <is>
          <t>THERNANDEZ@BANCOBASE.COM</t>
        </is>
      </c>
      <c r="AJ708" s="151" t="n">
        <v>42801</v>
      </c>
      <c r="AK708" s="151" t="n"/>
      <c r="AL708" s="151" t="n"/>
    </row>
    <row r="709" hidden="1" s="150">
      <c r="A709" t="inlineStr">
        <is>
          <t>MBAUTISTA</t>
        </is>
      </c>
      <c r="B709" t="n">
        <v>405</v>
      </c>
      <c r="C709" t="inlineStr">
        <is>
          <t>MARIA MARICELA BAUTISTA VALENCIANO</t>
        </is>
      </c>
      <c r="D709" t="n">
        <v>9570</v>
      </c>
      <c r="E709" t="inlineStr">
        <is>
          <t>ASISTENTE CAMBIARIO</t>
        </is>
      </c>
      <c r="F709" t="inlineStr">
        <is>
          <t>MONTERREY</t>
        </is>
      </c>
      <c r="G709" t="n">
        <v>3779</v>
      </c>
      <c r="H709" t="inlineStr">
        <is>
          <t>ENRIQUE OROZCO GARZA</t>
        </is>
      </c>
      <c r="I709" t="n">
        <v>9461</v>
      </c>
      <c r="J709" t="inlineStr">
        <is>
          <t>SUBDIRECTOR COMERCIAL</t>
        </is>
      </c>
      <c r="K709" t="n">
        <v>1</v>
      </c>
      <c r="L709" t="inlineStr">
        <is>
          <t>PRESIDENCIA EJECUTIVA DEL CONSEJO</t>
        </is>
      </c>
      <c r="M709" t="n">
        <v>40</v>
      </c>
      <c r="N709" t="inlineStr">
        <is>
          <t>DIRECCION GENERAL BANCO BASE</t>
        </is>
      </c>
      <c r="O709" t="n">
        <v>410</v>
      </c>
      <c r="P709" t="inlineStr">
        <is>
          <t>DIRECCION COMERCIAL</t>
        </is>
      </c>
      <c r="Q709" t="n">
        <v>4580</v>
      </c>
      <c r="R709" t="inlineStr">
        <is>
          <t>DIRECCION COMERCIAL MONTERREY 2</t>
        </is>
      </c>
      <c r="S709" t="n">
        <v>41510</v>
      </c>
      <c r="T709" t="inlineStr">
        <is>
          <t>SUBDIRECCION COMERCIAL MONTERREY 1</t>
        </is>
      </c>
      <c r="U709" t="n">
        <v>415100</v>
      </c>
      <c r="V709" t="inlineStr">
        <is>
          <t>SUBDIRECCION COMERCIAL MONTERREY 1</t>
        </is>
      </c>
      <c r="W709" t="n">
        <v>126102</v>
      </c>
      <c r="X709" t="inlineStr">
        <is>
          <t>VALLE ORIENTE</t>
        </is>
      </c>
      <c r="Y709" t="n">
        <v>3</v>
      </c>
      <c r="Z709" t="inlineStr">
        <is>
          <t>CAMBIARIO</t>
        </is>
      </c>
      <c r="AA709" t="n">
        <v>1</v>
      </c>
      <c r="AB709" t="inlineStr">
        <is>
          <t>NEGOCIO EN MARCHA</t>
        </is>
      </c>
      <c r="AC709" t="n">
        <v>1</v>
      </c>
      <c r="AD709" t="inlineStr">
        <is>
          <t>BANCO</t>
        </is>
      </c>
      <c r="AE709" t="n">
        <v>2</v>
      </c>
      <c r="AF709" t="inlineStr">
        <is>
          <t>MIDDLE</t>
        </is>
      </c>
      <c r="AG709" t="n">
        <v>126102</v>
      </c>
      <c r="AH709" t="inlineStr">
        <is>
          <t>MONTERREY</t>
        </is>
      </c>
      <c r="AI709" t="inlineStr">
        <is>
          <t>MBAUTISTA@BANCOBASE.COM</t>
        </is>
      </c>
      <c r="AJ709" s="151" t="n">
        <v>39249</v>
      </c>
      <c r="AK709" s="151" t="n"/>
      <c r="AL709" s="151" t="n"/>
    </row>
    <row r="710" hidden="1" s="150">
      <c r="A710" t="inlineStr">
        <is>
          <t>FMONTOYA</t>
        </is>
      </c>
      <c r="B710" t="n">
        <v>3780</v>
      </c>
      <c r="C710" t="inlineStr">
        <is>
          <t>FLOR ELISA MONTOYA RODRIGUEZ</t>
        </is>
      </c>
      <c r="D710" t="n">
        <v>1072</v>
      </c>
      <c r="E710" t="inlineStr">
        <is>
          <t>ASESOR CAMBIARIO</t>
        </is>
      </c>
      <c r="F710" t="inlineStr">
        <is>
          <t>MONTERREY</t>
        </is>
      </c>
      <c r="G710" t="n">
        <v>3779</v>
      </c>
      <c r="H710" t="inlineStr">
        <is>
          <t>ENRIQUE OROZCO GARZA</t>
        </is>
      </c>
      <c r="I710" t="n">
        <v>9461</v>
      </c>
      <c r="J710" t="inlineStr">
        <is>
          <t>SUBDIRECTOR COMERCIAL</t>
        </is>
      </c>
      <c r="K710" t="n">
        <v>1</v>
      </c>
      <c r="L710" t="inlineStr">
        <is>
          <t>PRESIDENCIA EJECUTIVA DEL CONSEJO</t>
        </is>
      </c>
      <c r="M710" t="n">
        <v>40</v>
      </c>
      <c r="N710" t="inlineStr">
        <is>
          <t>DIRECCION GENERAL BANCO BASE</t>
        </is>
      </c>
      <c r="O710" t="n">
        <v>410</v>
      </c>
      <c r="P710" t="inlineStr">
        <is>
          <t>DIRECCION COMERCIAL</t>
        </is>
      </c>
      <c r="Q710" t="n">
        <v>4580</v>
      </c>
      <c r="R710" t="inlineStr">
        <is>
          <t>DIRECCION COMERCIAL MONTERREY 2</t>
        </is>
      </c>
      <c r="S710" t="n">
        <v>41510</v>
      </c>
      <c r="T710" t="inlineStr">
        <is>
          <t>SUBDIRECCION COMERCIAL MONTERREY 1</t>
        </is>
      </c>
      <c r="U710" t="n">
        <v>415100</v>
      </c>
      <c r="V710" t="inlineStr">
        <is>
          <t>SUBDIRECCION COMERCIAL MONTERREY 1</t>
        </is>
      </c>
      <c r="W710" t="n">
        <v>126102</v>
      </c>
      <c r="X710" t="inlineStr">
        <is>
          <t>VALLE ORIENTE</t>
        </is>
      </c>
      <c r="Y710" t="n">
        <v>3</v>
      </c>
      <c r="Z710" t="inlineStr">
        <is>
          <t>CAMBIARIO</t>
        </is>
      </c>
      <c r="AA710" t="n">
        <v>1</v>
      </c>
      <c r="AB710" t="inlineStr">
        <is>
          <t>NEGOCIO EN MARCHA</t>
        </is>
      </c>
      <c r="AC710" t="n">
        <v>1</v>
      </c>
      <c r="AD710" t="inlineStr">
        <is>
          <t>BANCO</t>
        </is>
      </c>
      <c r="AE710" t="n">
        <v>3</v>
      </c>
      <c r="AF710" t="inlineStr">
        <is>
          <t>FRONT</t>
        </is>
      </c>
      <c r="AG710" t="n">
        <v>126102</v>
      </c>
      <c r="AH710" t="inlineStr">
        <is>
          <t>MONTERREY</t>
        </is>
      </c>
      <c r="AI710" t="inlineStr">
        <is>
          <t>FMONTOYA@BANCOBASE.COM</t>
        </is>
      </c>
      <c r="AJ710" s="151" t="n">
        <v>46098</v>
      </c>
      <c r="AK710" s="151" t="n"/>
      <c r="AL710" s="151" t="n"/>
    </row>
    <row r="711" hidden="1" s="150">
      <c r="A711" t="inlineStr">
        <is>
          <t>DRODRIGUET</t>
        </is>
      </c>
      <c r="B711" t="n">
        <v>3617</v>
      </c>
      <c r="C711" t="inlineStr">
        <is>
          <t>DANIEL ALEJANDRO RODRIGUEZ TAMEZ</t>
        </is>
      </c>
      <c r="D711" t="n">
        <v>9987</v>
      </c>
      <c r="E711" t="inlineStr">
        <is>
          <t>ASESOR CAMBIARIO</t>
        </is>
      </c>
      <c r="F711" t="inlineStr">
        <is>
          <t>MONTERREY</t>
        </is>
      </c>
      <c r="G711" t="n">
        <v>3779</v>
      </c>
      <c r="H711" t="inlineStr">
        <is>
          <t>ENRIQUE OROZCO GARZA</t>
        </is>
      </c>
      <c r="I711" t="n">
        <v>9461</v>
      </c>
      <c r="J711" t="inlineStr">
        <is>
          <t>SUBDIRECTOR COMERCIAL</t>
        </is>
      </c>
      <c r="K711" t="n">
        <v>1</v>
      </c>
      <c r="L711" t="inlineStr">
        <is>
          <t>PRESIDENCIA EJECUTIVA DEL CONSEJO</t>
        </is>
      </c>
      <c r="M711" t="n">
        <v>40</v>
      </c>
      <c r="N711" t="inlineStr">
        <is>
          <t>DIRECCION GENERAL BANCO BASE</t>
        </is>
      </c>
      <c r="O711" t="n">
        <v>410</v>
      </c>
      <c r="P711" t="inlineStr">
        <is>
          <t>DIRECCION COMERCIAL</t>
        </is>
      </c>
      <c r="Q711" t="n">
        <v>4580</v>
      </c>
      <c r="R711" t="inlineStr">
        <is>
          <t>DIRECCION COMERCIAL MONTERREY 2</t>
        </is>
      </c>
      <c r="S711" t="n">
        <v>41510</v>
      </c>
      <c r="T711" t="inlineStr">
        <is>
          <t>SUBDIRECCION COMERCIAL MONTERREY 1</t>
        </is>
      </c>
      <c r="U711" t="n">
        <v>415100</v>
      </c>
      <c r="V711" t="inlineStr">
        <is>
          <t>SUBDIRECCION COMERCIAL MONTERREY 1</t>
        </is>
      </c>
      <c r="W711" t="n">
        <v>126102</v>
      </c>
      <c r="X711" t="inlineStr">
        <is>
          <t>VALLE ORIENTE</t>
        </is>
      </c>
      <c r="Y711" t="n">
        <v>3</v>
      </c>
      <c r="Z711" t="inlineStr">
        <is>
          <t>CAMBIARIO</t>
        </is>
      </c>
      <c r="AA711" t="n">
        <v>1</v>
      </c>
      <c r="AB711" t="inlineStr">
        <is>
          <t>NEGOCIO EN MARCHA</t>
        </is>
      </c>
      <c r="AC711" t="n">
        <v>1</v>
      </c>
      <c r="AD711" t="inlineStr">
        <is>
          <t>BANCO</t>
        </is>
      </c>
      <c r="AE711" t="n">
        <v>3</v>
      </c>
      <c r="AF711" t="inlineStr">
        <is>
          <t>FRONT</t>
        </is>
      </c>
      <c r="AG711" t="n">
        <v>126102</v>
      </c>
      <c r="AH711" t="inlineStr">
        <is>
          <t>MONTERREY</t>
        </is>
      </c>
      <c r="AI711" t="inlineStr">
        <is>
          <t>DRODRIGUET@BANCOBASE.COM</t>
        </is>
      </c>
      <c r="AJ711" s="151" t="n">
        <v>45946</v>
      </c>
      <c r="AK711" s="151" t="n"/>
      <c r="AL711" s="151" t="n"/>
    </row>
    <row r="712" hidden="1" s="150">
      <c r="A712" t="inlineStr">
        <is>
          <t>RMARROQUIN</t>
        </is>
      </c>
      <c r="B712" t="n">
        <v>182</v>
      </c>
      <c r="C712" t="inlineStr">
        <is>
          <t>ROSA MARIA MARROQUIN GUTIERREZ</t>
        </is>
      </c>
      <c r="D712" t="n">
        <v>10419</v>
      </c>
      <c r="E712" t="inlineStr">
        <is>
          <t>SUBDIRECTOR COMERCIAL</t>
        </is>
      </c>
      <c r="F712" t="inlineStr">
        <is>
          <t>MONTERREY</t>
        </is>
      </c>
      <c r="G712" t="n">
        <v>1216</v>
      </c>
      <c r="H712" t="inlineStr">
        <is>
          <t>JOSE ANTONIO SANCHEZ NARRO</t>
        </is>
      </c>
      <c r="I712" t="n">
        <v>8297</v>
      </c>
      <c r="J712" t="inlineStr">
        <is>
          <t>DIRECTOR COMERCIAL MONTERREY</t>
        </is>
      </c>
      <c r="K712" t="n">
        <v>1</v>
      </c>
      <c r="L712" t="inlineStr">
        <is>
          <t>PRESIDENCIA EJECUTIVA DEL CONSEJO</t>
        </is>
      </c>
      <c r="M712" t="n">
        <v>40</v>
      </c>
      <c r="N712" t="inlineStr">
        <is>
          <t>DIRECCION GENERAL BANCO BASE</t>
        </is>
      </c>
      <c r="O712" t="n">
        <v>410</v>
      </c>
      <c r="P712" t="inlineStr">
        <is>
          <t>DIRECCION COMERCIAL</t>
        </is>
      </c>
      <c r="Q712" t="n">
        <v>4580</v>
      </c>
      <c r="R712" t="inlineStr">
        <is>
          <t>DIRECCION COMERCIAL MONTERREY 2</t>
        </is>
      </c>
      <c r="S712" t="n">
        <v>41540</v>
      </c>
      <c r="T712" t="inlineStr">
        <is>
          <t>SUBDIRECCION COMERCIAL MONTERREY 4</t>
        </is>
      </c>
      <c r="U712" t="n">
        <v>415400</v>
      </c>
      <c r="V712" t="inlineStr">
        <is>
          <t>SUBDIRECCION COMERCIAL MONTERREY 4</t>
        </is>
      </c>
      <c r="W712" t="n">
        <v>126102</v>
      </c>
      <c r="X712" t="inlineStr">
        <is>
          <t>VALLE ORIENTE</t>
        </is>
      </c>
      <c r="Y712" t="n">
        <v>3</v>
      </c>
      <c r="Z712" t="inlineStr">
        <is>
          <t>CAMBIARIO</t>
        </is>
      </c>
      <c r="AA712" t="n">
        <v>1</v>
      </c>
      <c r="AB712" t="inlineStr">
        <is>
          <t>NEGOCIO EN MARCHA</t>
        </is>
      </c>
      <c r="AC712" t="n">
        <v>1</v>
      </c>
      <c r="AD712" t="inlineStr">
        <is>
          <t>BANCO</t>
        </is>
      </c>
      <c r="AE712" t="n">
        <v>3</v>
      </c>
      <c r="AF712" t="inlineStr">
        <is>
          <t>FRONT</t>
        </is>
      </c>
      <c r="AG712" t="n">
        <v>126102</v>
      </c>
      <c r="AH712" t="inlineStr">
        <is>
          <t>MONTERREY</t>
        </is>
      </c>
      <c r="AI712" t="inlineStr">
        <is>
          <t>RMARROQUIN@BANCOBASE.COM</t>
        </is>
      </c>
      <c r="AJ712" s="151" t="n">
        <v>36966</v>
      </c>
      <c r="AK712" s="151" t="n"/>
      <c r="AL712" s="151" t="n"/>
    </row>
    <row r="713" hidden="1" s="150">
      <c r="A713" t="inlineStr">
        <is>
          <t>EROMERO</t>
        </is>
      </c>
      <c r="B713" t="n">
        <v>1875</v>
      </c>
      <c r="C713" t="inlineStr">
        <is>
          <t>EDUARDO ALEJANDRO ROMERO MACIAS</t>
        </is>
      </c>
      <c r="D713" t="n">
        <v>9946</v>
      </c>
      <c r="E713" t="inlineStr">
        <is>
          <t>ASESOR CAMBIARIO</t>
        </is>
      </c>
      <c r="F713" t="inlineStr">
        <is>
          <t>MONTERREY</t>
        </is>
      </c>
      <c r="G713" t="n">
        <v>182</v>
      </c>
      <c r="H713" t="inlineStr">
        <is>
          <t>ROSA MARIA MARROQUIN GUTIERREZ</t>
        </is>
      </c>
      <c r="I713" t="n">
        <v>10419</v>
      </c>
      <c r="J713" t="inlineStr">
        <is>
          <t>SUBDIRECTOR COMERCIAL</t>
        </is>
      </c>
      <c r="K713" t="n">
        <v>1</v>
      </c>
      <c r="L713" t="inlineStr">
        <is>
          <t>PRESIDENCIA EJECUTIVA DEL CONSEJO</t>
        </is>
      </c>
      <c r="M713" t="n">
        <v>40</v>
      </c>
      <c r="N713" t="inlineStr">
        <is>
          <t>DIRECCION GENERAL BANCO BASE</t>
        </is>
      </c>
      <c r="O713" t="n">
        <v>410</v>
      </c>
      <c r="P713" t="inlineStr">
        <is>
          <t>DIRECCION COMERCIAL</t>
        </is>
      </c>
      <c r="Q713" t="n">
        <v>4580</v>
      </c>
      <c r="R713" t="inlineStr">
        <is>
          <t>DIRECCION COMERCIAL MONTERREY 2</t>
        </is>
      </c>
      <c r="S713" t="n">
        <v>41540</v>
      </c>
      <c r="T713" t="inlineStr">
        <is>
          <t>SUBDIRECCION COMERCIAL MONTERREY 4</t>
        </is>
      </c>
      <c r="U713" t="n">
        <v>415400</v>
      </c>
      <c r="V713" t="inlineStr">
        <is>
          <t>SUBDIRECCION COMERCIAL MONTERREY 4</t>
        </is>
      </c>
      <c r="W713" t="n">
        <v>126102</v>
      </c>
      <c r="X713" t="inlineStr">
        <is>
          <t>VALLE ORIENTE</t>
        </is>
      </c>
      <c r="Y713" t="n">
        <v>3</v>
      </c>
      <c r="Z713" t="inlineStr">
        <is>
          <t>CAMBIARIO</t>
        </is>
      </c>
      <c r="AA713" t="n">
        <v>1</v>
      </c>
      <c r="AB713" t="inlineStr">
        <is>
          <t>NEGOCIO EN MARCHA</t>
        </is>
      </c>
      <c r="AC713" t="n">
        <v>1</v>
      </c>
      <c r="AD713" t="inlineStr">
        <is>
          <t>BANCO</t>
        </is>
      </c>
      <c r="AE713" t="n">
        <v>3</v>
      </c>
      <c r="AF713" t="inlineStr">
        <is>
          <t>FRONT</t>
        </is>
      </c>
      <c r="AG713" t="n">
        <v>126102</v>
      </c>
      <c r="AH713" t="inlineStr">
        <is>
          <t>MONTERREY</t>
        </is>
      </c>
      <c r="AI713" t="inlineStr">
        <is>
          <t>EROMERO@BANCOBASE.COM</t>
        </is>
      </c>
      <c r="AJ713" s="151" t="n">
        <v>43040</v>
      </c>
      <c r="AK713" s="151" t="n"/>
      <c r="AL713" s="151" t="n"/>
    </row>
    <row r="714" hidden="1" s="150">
      <c r="A714" t="inlineStr">
        <is>
          <t>GMURGA</t>
        </is>
      </c>
      <c r="B714" t="n">
        <v>2839</v>
      </c>
      <c r="C714" t="inlineStr">
        <is>
          <t>GUILLERMO MURGA GUERRERO</t>
        </is>
      </c>
      <c r="D714" t="n">
        <v>8264</v>
      </c>
      <c r="E714" t="inlineStr">
        <is>
          <t>ASESOR CAMBIARIO</t>
        </is>
      </c>
      <c r="F714" t="inlineStr">
        <is>
          <t>MONTERREY</t>
        </is>
      </c>
      <c r="G714" t="n">
        <v>182</v>
      </c>
      <c r="H714" t="inlineStr">
        <is>
          <t>ROSA MARIA MARROQUIN GUTIERREZ</t>
        </is>
      </c>
      <c r="I714" t="n">
        <v>10419</v>
      </c>
      <c r="J714" t="inlineStr">
        <is>
          <t>SUBDIRECTOR COMERCIAL</t>
        </is>
      </c>
      <c r="K714" t="n">
        <v>1</v>
      </c>
      <c r="L714" t="inlineStr">
        <is>
          <t>PRESIDENCIA EJECUTIVA DEL CONSEJO</t>
        </is>
      </c>
      <c r="M714" t="n">
        <v>40</v>
      </c>
      <c r="N714" t="inlineStr">
        <is>
          <t>DIRECCION GENERAL BANCO BASE</t>
        </is>
      </c>
      <c r="O714" t="n">
        <v>410</v>
      </c>
      <c r="P714" t="inlineStr">
        <is>
          <t>DIRECCION COMERCIAL</t>
        </is>
      </c>
      <c r="Q714" t="n">
        <v>4580</v>
      </c>
      <c r="R714" t="inlineStr">
        <is>
          <t>DIRECCION COMERCIAL MONTERREY 2</t>
        </is>
      </c>
      <c r="S714" t="n">
        <v>41540</v>
      </c>
      <c r="T714" t="inlineStr">
        <is>
          <t>SUBDIRECCION COMERCIAL MONTERREY 4</t>
        </is>
      </c>
      <c r="U714" t="n">
        <v>415400</v>
      </c>
      <c r="V714" t="inlineStr">
        <is>
          <t>SUBDIRECCION COMERCIAL MONTERREY 4</t>
        </is>
      </c>
      <c r="W714" t="n">
        <v>126102</v>
      </c>
      <c r="X714" t="inlineStr">
        <is>
          <t>VALLE ORIENTE</t>
        </is>
      </c>
      <c r="Y714" t="n">
        <v>3</v>
      </c>
      <c r="Z714" t="inlineStr">
        <is>
          <t>CAMBIARIO</t>
        </is>
      </c>
      <c r="AA714" t="n">
        <v>1</v>
      </c>
      <c r="AB714" t="inlineStr">
        <is>
          <t>NEGOCIO EN MARCHA</t>
        </is>
      </c>
      <c r="AC714" t="n">
        <v>1</v>
      </c>
      <c r="AD714" t="inlineStr">
        <is>
          <t>BANCO</t>
        </is>
      </c>
      <c r="AE714" t="n">
        <v>3</v>
      </c>
      <c r="AF714" t="inlineStr">
        <is>
          <t>FRONT</t>
        </is>
      </c>
      <c r="AG714" t="n">
        <v>126102</v>
      </c>
      <c r="AH714" t="inlineStr">
        <is>
          <t>MONTERREY</t>
        </is>
      </c>
      <c r="AI714" t="inlineStr">
        <is>
          <t>GMURGA@BANCOBASE.COM</t>
        </is>
      </c>
      <c r="AJ714" s="151" t="n">
        <v>44986</v>
      </c>
      <c r="AK714" s="151" t="n"/>
      <c r="AL714" s="151" t="n"/>
    </row>
    <row r="715" hidden="1" s="150">
      <c r="A715" t="inlineStr">
        <is>
          <t>LTOVAR</t>
        </is>
      </c>
      <c r="B715" t="n">
        <v>89</v>
      </c>
      <c r="C715" t="inlineStr">
        <is>
          <t>LAURA ERNESTINA TOVAR CASTILLO</t>
        </is>
      </c>
      <c r="D715" t="n">
        <v>9261</v>
      </c>
      <c r="E715" t="inlineStr">
        <is>
          <t>ASESOR CAMBIARIO</t>
        </is>
      </c>
      <c r="F715" t="inlineStr">
        <is>
          <t>MONTERREY</t>
        </is>
      </c>
      <c r="G715" t="n">
        <v>182</v>
      </c>
      <c r="H715" t="inlineStr">
        <is>
          <t>ROSA MARIA MARROQUIN GUTIERREZ</t>
        </is>
      </c>
      <c r="I715" t="n">
        <v>10419</v>
      </c>
      <c r="J715" t="inlineStr">
        <is>
          <t>SUBDIRECTOR COMERCIAL</t>
        </is>
      </c>
      <c r="K715" t="n">
        <v>1</v>
      </c>
      <c r="L715" t="inlineStr">
        <is>
          <t>PRESIDENCIA EJECUTIVA DEL CONSEJO</t>
        </is>
      </c>
      <c r="M715" t="n">
        <v>40</v>
      </c>
      <c r="N715" t="inlineStr">
        <is>
          <t>DIRECCION GENERAL BANCO BASE</t>
        </is>
      </c>
      <c r="O715" t="n">
        <v>410</v>
      </c>
      <c r="P715" t="inlineStr">
        <is>
          <t>DIRECCION COMERCIAL</t>
        </is>
      </c>
      <c r="Q715" t="n">
        <v>4580</v>
      </c>
      <c r="R715" t="inlineStr">
        <is>
          <t>DIRECCION COMERCIAL MONTERREY 2</t>
        </is>
      </c>
      <c r="S715" t="n">
        <v>41540</v>
      </c>
      <c r="T715" t="inlineStr">
        <is>
          <t>SUBDIRECCION COMERCIAL MONTERREY 4</t>
        </is>
      </c>
      <c r="U715" t="n">
        <v>415400</v>
      </c>
      <c r="V715" t="inlineStr">
        <is>
          <t>SUBDIRECCION COMERCIAL MONTERREY 4</t>
        </is>
      </c>
      <c r="W715" t="n">
        <v>126102</v>
      </c>
      <c r="X715" t="inlineStr">
        <is>
          <t>VALLE ORIENTE</t>
        </is>
      </c>
      <c r="Y715" t="n">
        <v>3</v>
      </c>
      <c r="Z715" t="inlineStr">
        <is>
          <t>CAMBIARIO</t>
        </is>
      </c>
      <c r="AA715" t="n">
        <v>1</v>
      </c>
      <c r="AB715" t="inlineStr">
        <is>
          <t>NEGOCIO EN MARCHA</t>
        </is>
      </c>
      <c r="AC715" t="n">
        <v>1</v>
      </c>
      <c r="AD715" t="inlineStr">
        <is>
          <t>BANCO</t>
        </is>
      </c>
      <c r="AE715" t="n">
        <v>3</v>
      </c>
      <c r="AF715" t="inlineStr">
        <is>
          <t>FRONT</t>
        </is>
      </c>
      <c r="AG715" t="n">
        <v>126102</v>
      </c>
      <c r="AH715" t="inlineStr">
        <is>
          <t>MONTERREY</t>
        </is>
      </c>
      <c r="AI715" t="inlineStr">
        <is>
          <t>LTOVAR@BANCOBASE.COM</t>
        </is>
      </c>
      <c r="AJ715" s="151" t="n">
        <v>35446</v>
      </c>
      <c r="AK715" s="151" t="n"/>
      <c r="AL715" s="151" t="n"/>
    </row>
    <row r="716" hidden="1" s="150">
      <c r="A716" t="inlineStr">
        <is>
          <t>LVILLARREA</t>
        </is>
      </c>
      <c r="B716" t="n">
        <v>30</v>
      </c>
      <c r="C716" t="inlineStr">
        <is>
          <t>LORENA VILLARREAL CHAPA</t>
        </is>
      </c>
      <c r="D716" t="n">
        <v>9262</v>
      </c>
      <c r="E716" t="inlineStr">
        <is>
          <t>ASESOR CAMBIARIO</t>
        </is>
      </c>
      <c r="F716" t="inlineStr">
        <is>
          <t>MONTERREY</t>
        </is>
      </c>
      <c r="G716" t="n">
        <v>182</v>
      </c>
      <c r="H716" t="inlineStr">
        <is>
          <t>ROSA MARIA MARROQUIN GUTIERREZ</t>
        </is>
      </c>
      <c r="I716" t="n">
        <v>10419</v>
      </c>
      <c r="J716" t="inlineStr">
        <is>
          <t>SUBDIRECTOR COMERCIAL</t>
        </is>
      </c>
      <c r="K716" t="n">
        <v>1</v>
      </c>
      <c r="L716" t="inlineStr">
        <is>
          <t>PRESIDENCIA EJECUTIVA DEL CONSEJO</t>
        </is>
      </c>
      <c r="M716" t="n">
        <v>40</v>
      </c>
      <c r="N716" t="inlineStr">
        <is>
          <t>DIRECCION GENERAL BANCO BASE</t>
        </is>
      </c>
      <c r="O716" t="n">
        <v>410</v>
      </c>
      <c r="P716" t="inlineStr">
        <is>
          <t>DIRECCION COMERCIAL</t>
        </is>
      </c>
      <c r="Q716" t="n">
        <v>4580</v>
      </c>
      <c r="R716" t="inlineStr">
        <is>
          <t>DIRECCION COMERCIAL MONTERREY 2</t>
        </is>
      </c>
      <c r="S716" t="n">
        <v>41540</v>
      </c>
      <c r="T716" t="inlineStr">
        <is>
          <t>SUBDIRECCION COMERCIAL MONTERREY 4</t>
        </is>
      </c>
      <c r="U716" t="n">
        <v>415400</v>
      </c>
      <c r="V716" t="inlineStr">
        <is>
          <t>SUBDIRECCION COMERCIAL MONTERREY 4</t>
        </is>
      </c>
      <c r="W716" t="n">
        <v>126102</v>
      </c>
      <c r="X716" t="inlineStr">
        <is>
          <t>VALLE ORIENTE</t>
        </is>
      </c>
      <c r="Y716" t="n">
        <v>3</v>
      </c>
      <c r="Z716" t="inlineStr">
        <is>
          <t>CAMBIARIO</t>
        </is>
      </c>
      <c r="AA716" t="n">
        <v>1</v>
      </c>
      <c r="AB716" t="inlineStr">
        <is>
          <t>NEGOCIO EN MARCHA</t>
        </is>
      </c>
      <c r="AC716" t="n">
        <v>1</v>
      </c>
      <c r="AD716" t="inlineStr">
        <is>
          <t>BANCO</t>
        </is>
      </c>
      <c r="AE716" t="n">
        <v>3</v>
      </c>
      <c r="AF716" t="inlineStr">
        <is>
          <t>FRONT</t>
        </is>
      </c>
      <c r="AG716" t="n">
        <v>126102</v>
      </c>
      <c r="AH716" t="inlineStr">
        <is>
          <t>MONTERREY</t>
        </is>
      </c>
      <c r="AI716" t="inlineStr">
        <is>
          <t>LVILLARREA@BANCOBASE.COM</t>
        </is>
      </c>
      <c r="AJ716" s="151" t="n">
        <v>33801</v>
      </c>
      <c r="AK716" s="151" t="n"/>
      <c r="AL716" s="151" t="n"/>
    </row>
    <row r="717" hidden="1" s="150">
      <c r="A717" t="inlineStr">
        <is>
          <t>OACOSTA</t>
        </is>
      </c>
      <c r="B717" t="n">
        <v>3080</v>
      </c>
      <c r="C717" t="inlineStr">
        <is>
          <t>OSCAR ENRIQUE ACOSTA MENA</t>
        </is>
      </c>
      <c r="D717" t="n">
        <v>8106</v>
      </c>
      <c r="E717" t="inlineStr">
        <is>
          <t>ASESOR CAMBIARIO</t>
        </is>
      </c>
      <c r="F717" t="inlineStr">
        <is>
          <t>MONTERREY</t>
        </is>
      </c>
      <c r="G717" t="n">
        <v>182</v>
      </c>
      <c r="H717" t="inlineStr">
        <is>
          <t>ROSA MARIA MARROQUIN GUTIERREZ</t>
        </is>
      </c>
      <c r="I717" t="n">
        <v>10419</v>
      </c>
      <c r="J717" t="inlineStr">
        <is>
          <t>SUBDIRECTOR COMERCIAL</t>
        </is>
      </c>
      <c r="K717" t="n">
        <v>1</v>
      </c>
      <c r="L717" t="inlineStr">
        <is>
          <t>PRESIDENCIA EJECUTIVA DEL CONSEJO</t>
        </is>
      </c>
      <c r="M717" t="n">
        <v>40</v>
      </c>
      <c r="N717" t="inlineStr">
        <is>
          <t>DIRECCION GENERAL BANCO BASE</t>
        </is>
      </c>
      <c r="O717" t="n">
        <v>410</v>
      </c>
      <c r="P717" t="inlineStr">
        <is>
          <t>DIRECCION COMERCIAL</t>
        </is>
      </c>
      <c r="Q717" t="n">
        <v>4580</v>
      </c>
      <c r="R717" t="inlineStr">
        <is>
          <t>DIRECCION COMERCIAL MONTERREY 2</t>
        </is>
      </c>
      <c r="S717" t="n">
        <v>41540</v>
      </c>
      <c r="T717" t="inlineStr">
        <is>
          <t>SUBDIRECCION COMERCIAL MONTERREY 4</t>
        </is>
      </c>
      <c r="U717" t="n">
        <v>415400</v>
      </c>
      <c r="V717" t="inlineStr">
        <is>
          <t>SUBDIRECCION COMERCIAL MONTERREY 4</t>
        </is>
      </c>
      <c r="W717" t="n">
        <v>126102</v>
      </c>
      <c r="X717" t="inlineStr">
        <is>
          <t>VALLE ORIENTE</t>
        </is>
      </c>
      <c r="Y717" t="n">
        <v>3</v>
      </c>
      <c r="Z717" t="inlineStr">
        <is>
          <t>CAMBIARIO</t>
        </is>
      </c>
      <c r="AA717" t="n">
        <v>1</v>
      </c>
      <c r="AB717" t="inlineStr">
        <is>
          <t>NEGOCIO EN MARCHA</t>
        </is>
      </c>
      <c r="AC717" t="n">
        <v>1</v>
      </c>
      <c r="AD717" t="inlineStr">
        <is>
          <t>BANCO</t>
        </is>
      </c>
      <c r="AE717" t="n">
        <v>3</v>
      </c>
      <c r="AF717" t="inlineStr">
        <is>
          <t>FRONT</t>
        </is>
      </c>
      <c r="AG717" t="n">
        <v>126102</v>
      </c>
      <c r="AH717" t="inlineStr">
        <is>
          <t>MONTERREY</t>
        </is>
      </c>
      <c r="AI717" t="inlineStr">
        <is>
          <t>OACOSTA@BANCOBASE.COM</t>
        </is>
      </c>
      <c r="AJ717" s="151" t="n">
        <v>45398</v>
      </c>
      <c r="AK717" s="151" t="n"/>
      <c r="AL717" s="151" t="n"/>
    </row>
    <row r="718" hidden="1" s="150">
      <c r="A718" t="inlineStr">
        <is>
          <t>MSUAREZA</t>
        </is>
      </c>
      <c r="B718" t="n">
        <v>2832</v>
      </c>
      <c r="C718" t="inlineStr">
        <is>
          <t>MARCO ANTONIO SUAREZ AGUILLON</t>
        </is>
      </c>
      <c r="D718" t="n">
        <v>8262</v>
      </c>
      <c r="E718" t="inlineStr">
        <is>
          <t>ASESOR CAMBIARIO</t>
        </is>
      </c>
      <c r="F718" t="inlineStr">
        <is>
          <t>MONTERREY</t>
        </is>
      </c>
      <c r="G718" t="n">
        <v>182</v>
      </c>
      <c r="H718" t="inlineStr">
        <is>
          <t>ROSA MARIA MARROQUIN GUTIERREZ</t>
        </is>
      </c>
      <c r="I718" t="n">
        <v>10419</v>
      </c>
      <c r="J718" t="inlineStr">
        <is>
          <t>SUBDIRECTOR COMERCIAL</t>
        </is>
      </c>
      <c r="K718" t="n">
        <v>1</v>
      </c>
      <c r="L718" t="inlineStr">
        <is>
          <t>PRESIDENCIA EJECUTIVA DEL CONSEJO</t>
        </is>
      </c>
      <c r="M718" t="n">
        <v>40</v>
      </c>
      <c r="N718" t="inlineStr">
        <is>
          <t>DIRECCION GENERAL BANCO BASE</t>
        </is>
      </c>
      <c r="O718" t="n">
        <v>410</v>
      </c>
      <c r="P718" t="inlineStr">
        <is>
          <t>DIRECCION COMERCIAL</t>
        </is>
      </c>
      <c r="Q718" t="n">
        <v>4580</v>
      </c>
      <c r="R718" t="inlineStr">
        <is>
          <t>DIRECCION COMERCIAL MONTERREY 2</t>
        </is>
      </c>
      <c r="S718" t="n">
        <v>41540</v>
      </c>
      <c r="T718" t="inlineStr">
        <is>
          <t>SUBDIRECCION COMERCIAL MONTERREY 4</t>
        </is>
      </c>
      <c r="U718" t="n">
        <v>415400</v>
      </c>
      <c r="V718" t="inlineStr">
        <is>
          <t>SUBDIRECCION COMERCIAL MONTERREY 4</t>
        </is>
      </c>
      <c r="W718" t="n">
        <v>126102</v>
      </c>
      <c r="X718" t="inlineStr">
        <is>
          <t>VALLE ORIENTE</t>
        </is>
      </c>
      <c r="Y718" t="n">
        <v>3</v>
      </c>
      <c r="Z718" t="inlineStr">
        <is>
          <t>CAMBIARIO</t>
        </is>
      </c>
      <c r="AA718" t="n">
        <v>1</v>
      </c>
      <c r="AB718" t="inlineStr">
        <is>
          <t>NEGOCIO EN MARCHA</t>
        </is>
      </c>
      <c r="AC718" t="n">
        <v>1</v>
      </c>
      <c r="AD718" t="inlineStr">
        <is>
          <t>BANCO</t>
        </is>
      </c>
      <c r="AE718" t="n">
        <v>3</v>
      </c>
      <c r="AF718" t="inlineStr">
        <is>
          <t>FRONT</t>
        </is>
      </c>
      <c r="AG718" t="n">
        <v>126102</v>
      </c>
      <c r="AH718" t="inlineStr">
        <is>
          <t>MONTERREY</t>
        </is>
      </c>
      <c r="AI718" t="inlineStr">
        <is>
          <t>MSUAREZA@BANCOBASE.COM</t>
        </is>
      </c>
      <c r="AJ718" s="151" t="n">
        <v>44986</v>
      </c>
      <c r="AK718" s="151" t="n"/>
      <c r="AL718" s="151" t="n"/>
    </row>
    <row r="719" hidden="1" s="150">
      <c r="A719" t="inlineStr">
        <is>
          <t>UGUERRERO</t>
        </is>
      </c>
      <c r="B719" t="n">
        <v>2608</v>
      </c>
      <c r="C719" t="inlineStr">
        <is>
          <t>URIEL ENRIQUE GUERRERO FERRAL</t>
        </is>
      </c>
      <c r="D719" t="n">
        <v>9558</v>
      </c>
      <c r="E719" t="inlineStr">
        <is>
          <t>ASESOR CAMBIARIO</t>
        </is>
      </c>
      <c r="F719" t="inlineStr">
        <is>
          <t>MONTERREY</t>
        </is>
      </c>
      <c r="G719" t="n">
        <v>182</v>
      </c>
      <c r="H719" t="inlineStr">
        <is>
          <t>ROSA MARIA MARROQUIN GUTIERREZ</t>
        </is>
      </c>
      <c r="I719" t="n">
        <v>10419</v>
      </c>
      <c r="J719" t="inlineStr">
        <is>
          <t>SUBDIRECTOR COMERCIAL</t>
        </is>
      </c>
      <c r="K719" t="n">
        <v>1</v>
      </c>
      <c r="L719" t="inlineStr">
        <is>
          <t>PRESIDENCIA EJECUTIVA DEL CONSEJO</t>
        </is>
      </c>
      <c r="M719" t="n">
        <v>40</v>
      </c>
      <c r="N719" t="inlineStr">
        <is>
          <t>DIRECCION GENERAL BANCO BASE</t>
        </is>
      </c>
      <c r="O719" t="n">
        <v>410</v>
      </c>
      <c r="P719" t="inlineStr">
        <is>
          <t>DIRECCION COMERCIAL</t>
        </is>
      </c>
      <c r="Q719" t="n">
        <v>4580</v>
      </c>
      <c r="R719" t="inlineStr">
        <is>
          <t>DIRECCION COMERCIAL MONTERREY 2</t>
        </is>
      </c>
      <c r="S719" t="n">
        <v>41540</v>
      </c>
      <c r="T719" t="inlineStr">
        <is>
          <t>SUBDIRECCION COMERCIAL MONTERREY 4</t>
        </is>
      </c>
      <c r="U719" t="n">
        <v>415400</v>
      </c>
      <c r="V719" t="inlineStr">
        <is>
          <t>SUBDIRECCION COMERCIAL MONTERREY 4</t>
        </is>
      </c>
      <c r="W719" t="n">
        <v>126102</v>
      </c>
      <c r="X719" t="inlineStr">
        <is>
          <t>VALLE ORIENTE</t>
        </is>
      </c>
      <c r="Y719" t="n">
        <v>3</v>
      </c>
      <c r="Z719" t="inlineStr">
        <is>
          <t>CAMBIARIO</t>
        </is>
      </c>
      <c r="AA719" t="n">
        <v>1</v>
      </c>
      <c r="AB719" t="inlineStr">
        <is>
          <t>NEGOCIO EN MARCHA</t>
        </is>
      </c>
      <c r="AC719" t="n">
        <v>1</v>
      </c>
      <c r="AD719" t="inlineStr">
        <is>
          <t>BANCO</t>
        </is>
      </c>
      <c r="AE719" t="n">
        <v>3</v>
      </c>
      <c r="AF719" t="inlineStr">
        <is>
          <t>FRONT</t>
        </is>
      </c>
      <c r="AG719" t="n">
        <v>126102</v>
      </c>
      <c r="AH719" t="inlineStr">
        <is>
          <t>MONTERREY</t>
        </is>
      </c>
      <c r="AI719" t="inlineStr">
        <is>
          <t>UGUERRERO@BANCOBASE.COM</t>
        </is>
      </c>
      <c r="AJ719" s="151" t="n">
        <v>44580</v>
      </c>
      <c r="AK719" s="151" t="n"/>
      <c r="AL719" s="151" t="n"/>
    </row>
    <row r="720" hidden="1" s="150">
      <c r="A720" t="inlineStr">
        <is>
          <t>JSALINAS</t>
        </is>
      </c>
      <c r="B720" t="n">
        <v>3413</v>
      </c>
      <c r="C720" t="inlineStr">
        <is>
          <t>JORGE ENRIQUE SALINAS MALDONADO</t>
        </is>
      </c>
      <c r="D720" t="n">
        <v>9026</v>
      </c>
      <c r="E720" t="inlineStr">
        <is>
          <t>ASESOR CAMBIARIO</t>
        </is>
      </c>
      <c r="F720" t="inlineStr">
        <is>
          <t>MONTERREY</t>
        </is>
      </c>
      <c r="G720" t="n">
        <v>182</v>
      </c>
      <c r="H720" t="inlineStr">
        <is>
          <t>ROSA MARIA MARROQUIN GUTIERREZ</t>
        </is>
      </c>
      <c r="I720" t="n">
        <v>10419</v>
      </c>
      <c r="J720" t="inlineStr">
        <is>
          <t>SUBDIRECTOR COMERCIAL</t>
        </is>
      </c>
      <c r="K720" t="n">
        <v>1</v>
      </c>
      <c r="L720" t="inlineStr">
        <is>
          <t>PRESIDENCIA EJECUTIVA DEL CONSEJO</t>
        </is>
      </c>
      <c r="M720" t="n">
        <v>40</v>
      </c>
      <c r="N720" t="inlineStr">
        <is>
          <t>DIRECCION GENERAL BANCO BASE</t>
        </is>
      </c>
      <c r="O720" t="n">
        <v>410</v>
      </c>
      <c r="P720" t="inlineStr">
        <is>
          <t>DIRECCION COMERCIAL</t>
        </is>
      </c>
      <c r="Q720" t="n">
        <v>4580</v>
      </c>
      <c r="R720" t="inlineStr">
        <is>
          <t>DIRECCION COMERCIAL MONTERREY 2</t>
        </is>
      </c>
      <c r="S720" t="n">
        <v>41540</v>
      </c>
      <c r="T720" t="inlineStr">
        <is>
          <t>SUBDIRECCION COMERCIAL MONTERREY 4</t>
        </is>
      </c>
      <c r="U720" t="n">
        <v>415400</v>
      </c>
      <c r="V720" t="inlineStr">
        <is>
          <t>SUBDIRECCION COMERCIAL MONTERREY 4</t>
        </is>
      </c>
      <c r="W720" t="n">
        <v>126102</v>
      </c>
      <c r="X720" t="inlineStr">
        <is>
          <t>VALLE ORIENTE</t>
        </is>
      </c>
      <c r="Y720" t="n">
        <v>3</v>
      </c>
      <c r="Z720" t="inlineStr">
        <is>
          <t>CAMBIARIO</t>
        </is>
      </c>
      <c r="AA720" t="n">
        <v>1</v>
      </c>
      <c r="AB720" t="inlineStr">
        <is>
          <t>NEGOCIO EN MARCHA</t>
        </is>
      </c>
      <c r="AC720" t="n">
        <v>1</v>
      </c>
      <c r="AD720" t="inlineStr">
        <is>
          <t>BANCO</t>
        </is>
      </c>
      <c r="AE720" t="n">
        <v>3</v>
      </c>
      <c r="AF720" t="inlineStr">
        <is>
          <t>FRONT</t>
        </is>
      </c>
      <c r="AG720" t="n">
        <v>126102</v>
      </c>
      <c r="AH720" t="inlineStr">
        <is>
          <t>MONTERREY</t>
        </is>
      </c>
      <c r="AI720" t="inlineStr">
        <is>
          <t>JSALINAS@BANCOBASE.COM</t>
        </is>
      </c>
      <c r="AJ720" s="151" t="n">
        <v>45768</v>
      </c>
      <c r="AK720" s="151" t="n"/>
      <c r="AL720" s="151" t="n"/>
    </row>
    <row r="721" hidden="1" s="150">
      <c r="A721" t="inlineStr">
        <is>
          <t>STORRE</t>
        </is>
      </c>
      <c r="B721" t="n">
        <v>260</v>
      </c>
      <c r="C721" t="inlineStr">
        <is>
          <t>SILVIA SELENE DE LA TORRE GONZALEZ</t>
        </is>
      </c>
      <c r="D721" t="n">
        <v>9646</v>
      </c>
      <c r="E721" t="inlineStr">
        <is>
          <t>ASESOR CAMBIARIO</t>
        </is>
      </c>
      <c r="F721" t="inlineStr">
        <is>
          <t>MONTERREY</t>
        </is>
      </c>
      <c r="G721" t="n">
        <v>182</v>
      </c>
      <c r="H721" t="inlineStr">
        <is>
          <t>ROSA MARIA MARROQUIN GUTIERREZ</t>
        </is>
      </c>
      <c r="I721" t="n">
        <v>10419</v>
      </c>
      <c r="J721" t="inlineStr">
        <is>
          <t>SUBDIRECTOR COMERCIAL</t>
        </is>
      </c>
      <c r="K721" t="n">
        <v>1</v>
      </c>
      <c r="L721" t="inlineStr">
        <is>
          <t>PRESIDENCIA EJECUTIVA DEL CONSEJO</t>
        </is>
      </c>
      <c r="M721" t="n">
        <v>40</v>
      </c>
      <c r="N721" t="inlineStr">
        <is>
          <t>DIRECCION GENERAL BANCO BASE</t>
        </is>
      </c>
      <c r="O721" t="n">
        <v>410</v>
      </c>
      <c r="P721" t="inlineStr">
        <is>
          <t>DIRECCION COMERCIAL</t>
        </is>
      </c>
      <c r="Q721" t="n">
        <v>4580</v>
      </c>
      <c r="R721" t="inlineStr">
        <is>
          <t>DIRECCION COMERCIAL MONTERREY 2</t>
        </is>
      </c>
      <c r="S721" t="n">
        <v>41540</v>
      </c>
      <c r="T721" t="inlineStr">
        <is>
          <t>SUBDIRECCION COMERCIAL MONTERREY 4</t>
        </is>
      </c>
      <c r="U721" t="n">
        <v>415400</v>
      </c>
      <c r="V721" t="inlineStr">
        <is>
          <t>SUBDIRECCION COMERCIAL MONTERREY 4</t>
        </is>
      </c>
      <c r="W721" t="n">
        <v>126102</v>
      </c>
      <c r="X721" t="inlineStr">
        <is>
          <t>VALLE ORIENTE</t>
        </is>
      </c>
      <c r="Y721" t="n">
        <v>3</v>
      </c>
      <c r="Z721" t="inlineStr">
        <is>
          <t>CAMBIARIO</t>
        </is>
      </c>
      <c r="AA721" t="n">
        <v>1</v>
      </c>
      <c r="AB721" t="inlineStr">
        <is>
          <t>NEGOCIO EN MARCHA</t>
        </is>
      </c>
      <c r="AC721" t="n">
        <v>1</v>
      </c>
      <c r="AD721" t="inlineStr">
        <is>
          <t>BANCO</t>
        </is>
      </c>
      <c r="AE721" t="n">
        <v>3</v>
      </c>
      <c r="AF721" t="inlineStr">
        <is>
          <t>FRONT</t>
        </is>
      </c>
      <c r="AG721" t="n">
        <v>126102</v>
      </c>
      <c r="AH721" t="inlineStr">
        <is>
          <t>MONTERREY</t>
        </is>
      </c>
      <c r="AI721" t="inlineStr">
        <is>
          <t>STORRE@BANCOBASE.COM</t>
        </is>
      </c>
      <c r="AJ721" s="151" t="n">
        <v>38184</v>
      </c>
      <c r="AK721" s="151" t="n"/>
      <c r="AL721" s="151" t="n"/>
    </row>
    <row r="722" hidden="1" s="150">
      <c r="A722" t="inlineStr">
        <is>
          <t>MHERRERA</t>
        </is>
      </c>
      <c r="B722" t="n">
        <v>2357</v>
      </c>
      <c r="C722" t="inlineStr">
        <is>
          <t>MARIO HERRERA PEREZ</t>
        </is>
      </c>
      <c r="D722" t="n">
        <v>10241</v>
      </c>
      <c r="E722" t="inlineStr">
        <is>
          <t>ESPECIALISTA DE FINANCIAMIENTO</t>
        </is>
      </c>
      <c r="F722" t="inlineStr">
        <is>
          <t>MONTERREY</t>
        </is>
      </c>
      <c r="G722" t="n">
        <v>182</v>
      </c>
      <c r="H722" t="inlineStr">
        <is>
          <t>ROSA MARIA MARROQUIN GUTIERREZ</t>
        </is>
      </c>
      <c r="I722" t="n">
        <v>10419</v>
      </c>
      <c r="J722" t="inlineStr">
        <is>
          <t>SUBDIRECTOR COMERCIAL</t>
        </is>
      </c>
      <c r="K722" t="n">
        <v>1</v>
      </c>
      <c r="L722" t="inlineStr">
        <is>
          <t>PRESIDENCIA EJECUTIVA DEL CONSEJO</t>
        </is>
      </c>
      <c r="M722" t="n">
        <v>40</v>
      </c>
      <c r="N722" t="inlineStr">
        <is>
          <t>DIRECCION GENERAL BANCO BASE</t>
        </is>
      </c>
      <c r="O722" t="n">
        <v>410</v>
      </c>
      <c r="P722" t="inlineStr">
        <is>
          <t>DIRECCION COMERCIAL</t>
        </is>
      </c>
      <c r="Q722" t="n">
        <v>4580</v>
      </c>
      <c r="R722" t="inlineStr">
        <is>
          <t>DIRECCION COMERCIAL MONTERREY 2</t>
        </is>
      </c>
      <c r="S722" t="n">
        <v>41540</v>
      </c>
      <c r="T722" t="inlineStr">
        <is>
          <t>SUBDIRECCION COMERCIAL MONTERREY 4</t>
        </is>
      </c>
      <c r="U722" t="n">
        <v>415400</v>
      </c>
      <c r="V722" t="inlineStr">
        <is>
          <t>SUBDIRECCION COMERCIAL MONTERREY 4</t>
        </is>
      </c>
      <c r="W722" t="n">
        <v>126102</v>
      </c>
      <c r="X722" t="inlineStr">
        <is>
          <t>VALLE ORIENTE</t>
        </is>
      </c>
      <c r="Y722" t="n">
        <v>13</v>
      </c>
      <c r="Z722" t="inlineStr">
        <is>
          <t>FINANCIAMIENTO</t>
        </is>
      </c>
      <c r="AA722" t="n">
        <v>1</v>
      </c>
      <c r="AB722" t="inlineStr">
        <is>
          <t>NEGOCIO EN MARCHA</t>
        </is>
      </c>
      <c r="AC722" t="n">
        <v>1</v>
      </c>
      <c r="AD722" t="inlineStr">
        <is>
          <t>BANCO</t>
        </is>
      </c>
      <c r="AE722" t="n">
        <v>3</v>
      </c>
      <c r="AF722" t="inlineStr">
        <is>
          <t>FRONT</t>
        </is>
      </c>
      <c r="AG722" t="n">
        <v>126102</v>
      </c>
      <c r="AH722" t="inlineStr">
        <is>
          <t>MONTERREY</t>
        </is>
      </c>
      <c r="AI722" t="inlineStr">
        <is>
          <t>MHERRERA@BANCOBASE.COM</t>
        </is>
      </c>
      <c r="AJ722" s="151" t="n">
        <v>43801</v>
      </c>
      <c r="AK722" s="151" t="n"/>
      <c r="AL722" s="151" t="n"/>
    </row>
    <row r="723" hidden="1" s="150">
      <c r="A723" t="inlineStr">
        <is>
          <t>MGARZAHE</t>
        </is>
      </c>
      <c r="B723" t="n">
        <v>2641</v>
      </c>
      <c r="C723" t="inlineStr">
        <is>
          <t>MONICA ANAHI GARZA HERRERA</t>
        </is>
      </c>
      <c r="D723" t="n">
        <v>9862</v>
      </c>
      <c r="E723" t="inlineStr">
        <is>
          <t>ESPECIALISTA DE BANCA TRANSACCIONAL</t>
        </is>
      </c>
      <c r="F723" t="inlineStr">
        <is>
          <t>MONTERREY</t>
        </is>
      </c>
      <c r="G723" t="n">
        <v>182</v>
      </c>
      <c r="H723" t="inlineStr">
        <is>
          <t>ROSA MARIA MARROQUIN GUTIERREZ</t>
        </is>
      </c>
      <c r="I723" t="n">
        <v>10419</v>
      </c>
      <c r="J723" t="inlineStr">
        <is>
          <t>SUBDIRECTOR COMERCIAL</t>
        </is>
      </c>
      <c r="K723" t="n">
        <v>1</v>
      </c>
      <c r="L723" t="inlineStr">
        <is>
          <t>PRESIDENCIA EJECUTIVA DEL CONSEJO</t>
        </is>
      </c>
      <c r="M723" t="n">
        <v>40</v>
      </c>
      <c r="N723" t="inlineStr">
        <is>
          <t>DIRECCION GENERAL BANCO BASE</t>
        </is>
      </c>
      <c r="O723" t="n">
        <v>410</v>
      </c>
      <c r="P723" t="inlineStr">
        <is>
          <t>DIRECCION COMERCIAL</t>
        </is>
      </c>
      <c r="Q723" t="n">
        <v>4580</v>
      </c>
      <c r="R723" t="inlineStr">
        <is>
          <t>DIRECCION COMERCIAL MONTERREY 2</t>
        </is>
      </c>
      <c r="S723" t="n">
        <v>41540</v>
      </c>
      <c r="T723" t="inlineStr">
        <is>
          <t>SUBDIRECCION COMERCIAL MONTERREY 4</t>
        </is>
      </c>
      <c r="U723" t="n">
        <v>415400</v>
      </c>
      <c r="V723" t="inlineStr">
        <is>
          <t>SUBDIRECCION COMERCIAL MONTERREY 4</t>
        </is>
      </c>
      <c r="W723" t="n">
        <v>126102</v>
      </c>
      <c r="X723" t="inlineStr">
        <is>
          <t>VALLE ORIENTE</t>
        </is>
      </c>
      <c r="Y723" t="n">
        <v>14</v>
      </c>
      <c r="Z723" t="inlineStr">
        <is>
          <t>TRANSACCIONAL</t>
        </is>
      </c>
      <c r="AA723" t="n">
        <v>1</v>
      </c>
      <c r="AB723" t="inlineStr">
        <is>
          <t>NEGOCIO EN MARCHA</t>
        </is>
      </c>
      <c r="AC723" t="n">
        <v>1</v>
      </c>
      <c r="AD723" t="inlineStr">
        <is>
          <t>BANCO</t>
        </is>
      </c>
      <c r="AE723" t="n">
        <v>3</v>
      </c>
      <c r="AF723" t="inlineStr">
        <is>
          <t>FRONT</t>
        </is>
      </c>
      <c r="AG723" t="n">
        <v>126102</v>
      </c>
      <c r="AH723" t="inlineStr">
        <is>
          <t>MONTERREY</t>
        </is>
      </c>
      <c r="AI723" t="inlineStr">
        <is>
          <t>MGARZAHE@BANCOBASE.COM</t>
        </is>
      </c>
      <c r="AJ723" s="151" t="n">
        <v>44669</v>
      </c>
      <c r="AK723" s="151" t="n"/>
      <c r="AL723" s="151" t="n"/>
    </row>
    <row r="724" hidden="1" s="150">
      <c r="A724" t="inlineStr">
        <is>
          <t>AREYNOSOR</t>
        </is>
      </c>
      <c r="B724" t="n">
        <v>3004</v>
      </c>
      <c r="C724" t="inlineStr">
        <is>
          <t>RAUL ALBERTO REYNOSO RAMIREZ</t>
        </is>
      </c>
      <c r="D724" t="n">
        <v>9466</v>
      </c>
      <c r="E724" t="inlineStr">
        <is>
          <t>EJECUTIVO DE SOPORTE</t>
        </is>
      </c>
      <c r="F724" t="inlineStr">
        <is>
          <t>MONTERREY</t>
        </is>
      </c>
      <c r="G724" t="n">
        <v>182</v>
      </c>
      <c r="H724" t="inlineStr">
        <is>
          <t>ROSA MARIA MARROQUIN GUTIERREZ</t>
        </is>
      </c>
      <c r="I724" t="n">
        <v>10419</v>
      </c>
      <c r="J724" t="inlineStr">
        <is>
          <t>SUBDIRECTOR COMERCIAL</t>
        </is>
      </c>
      <c r="K724" t="n">
        <v>1</v>
      </c>
      <c r="L724" t="inlineStr">
        <is>
          <t>PRESIDENCIA EJECUTIVA DEL CONSEJO</t>
        </is>
      </c>
      <c r="M724" t="n">
        <v>40</v>
      </c>
      <c r="N724" t="inlineStr">
        <is>
          <t>DIRECCION GENERAL BANCO BASE</t>
        </is>
      </c>
      <c r="O724" t="n">
        <v>410</v>
      </c>
      <c r="P724" t="inlineStr">
        <is>
          <t>DIRECCION COMERCIAL</t>
        </is>
      </c>
      <c r="Q724" t="n">
        <v>4580</v>
      </c>
      <c r="R724" t="inlineStr">
        <is>
          <t>DIRECCION COMERCIAL MONTERREY 2</t>
        </is>
      </c>
      <c r="S724" t="n">
        <v>41540</v>
      </c>
      <c r="T724" t="inlineStr">
        <is>
          <t>SUBDIRECCION COMERCIAL MONTERREY 4</t>
        </is>
      </c>
      <c r="U724" t="n">
        <v>415400</v>
      </c>
      <c r="V724" t="inlineStr">
        <is>
          <t>SUBDIRECCION COMERCIAL MONTERREY 4</t>
        </is>
      </c>
      <c r="W724" t="n">
        <v>126102</v>
      </c>
      <c r="X724" t="inlineStr">
        <is>
          <t>VALLE ORIENTE</t>
        </is>
      </c>
      <c r="Y724" t="n">
        <v>17</v>
      </c>
      <c r="Z724" t="inlineStr">
        <is>
          <t>SOPORTE</t>
        </is>
      </c>
      <c r="AA724" t="n">
        <v>1</v>
      </c>
      <c r="AB724" t="inlineStr">
        <is>
          <t>NEGOCIO EN MARCHA</t>
        </is>
      </c>
      <c r="AC724" t="n">
        <v>1</v>
      </c>
      <c r="AD724" t="inlineStr">
        <is>
          <t>BANCO</t>
        </is>
      </c>
      <c r="AE724" t="n">
        <v>2</v>
      </c>
      <c r="AF724" t="inlineStr">
        <is>
          <t>MIDDLE</t>
        </is>
      </c>
      <c r="AG724" t="n">
        <v>126102</v>
      </c>
      <c r="AH724" t="inlineStr">
        <is>
          <t>MONTERREY</t>
        </is>
      </c>
      <c r="AI724" t="inlineStr">
        <is>
          <t>AREYNOSOR@BANCOBASE.COM</t>
        </is>
      </c>
      <c r="AJ724" s="151" t="n">
        <v>45293</v>
      </c>
      <c r="AK724" s="151" t="n"/>
      <c r="AL724" s="151" t="n"/>
    </row>
    <row r="725" hidden="1" s="150">
      <c r="A725" t="inlineStr">
        <is>
          <t>PTANGUMA</t>
        </is>
      </c>
      <c r="B725" t="n">
        <v>218</v>
      </c>
      <c r="C725" t="inlineStr">
        <is>
          <t>PERLA JUDITH TANGUMA VILLALOBOS</t>
        </is>
      </c>
      <c r="D725" t="n">
        <v>9311</v>
      </c>
      <c r="E725" t="inlineStr">
        <is>
          <t>EJECUTIVO DE PROMOCION CAMBIARIO</t>
        </is>
      </c>
      <c r="F725" t="inlineStr">
        <is>
          <t>MONTERREY</t>
        </is>
      </c>
      <c r="G725" t="n">
        <v>182</v>
      </c>
      <c r="H725" t="inlineStr">
        <is>
          <t>ROSA MARIA MARROQUIN GUTIERREZ</t>
        </is>
      </c>
      <c r="I725" t="n">
        <v>10419</v>
      </c>
      <c r="J725" t="inlineStr">
        <is>
          <t>SUBDIRECTOR COMERCIAL</t>
        </is>
      </c>
      <c r="K725" t="n">
        <v>1</v>
      </c>
      <c r="L725" t="inlineStr">
        <is>
          <t>PRESIDENCIA EJECUTIVA DEL CONSEJO</t>
        </is>
      </c>
      <c r="M725" t="n">
        <v>40</v>
      </c>
      <c r="N725" t="inlineStr">
        <is>
          <t>DIRECCION GENERAL BANCO BASE</t>
        </is>
      </c>
      <c r="O725" t="n">
        <v>410</v>
      </c>
      <c r="P725" t="inlineStr">
        <is>
          <t>DIRECCION COMERCIAL</t>
        </is>
      </c>
      <c r="Q725" t="n">
        <v>4580</v>
      </c>
      <c r="R725" t="inlineStr">
        <is>
          <t>DIRECCION COMERCIAL MONTERREY 2</t>
        </is>
      </c>
      <c r="S725" t="n">
        <v>41540</v>
      </c>
      <c r="T725" t="inlineStr">
        <is>
          <t>SUBDIRECCION COMERCIAL MONTERREY 4</t>
        </is>
      </c>
      <c r="U725" t="n">
        <v>415400</v>
      </c>
      <c r="V725" t="inlineStr">
        <is>
          <t>SUBDIRECCION COMERCIAL MONTERREY 4</t>
        </is>
      </c>
      <c r="W725" t="n">
        <v>126102</v>
      </c>
      <c r="X725" t="inlineStr">
        <is>
          <t>VALLE ORIENTE</t>
        </is>
      </c>
      <c r="Y725" t="n">
        <v>3</v>
      </c>
      <c r="Z725" t="inlineStr">
        <is>
          <t>CAMBIARIO</t>
        </is>
      </c>
      <c r="AA725" t="n">
        <v>1</v>
      </c>
      <c r="AB725" t="inlineStr">
        <is>
          <t>NEGOCIO EN MARCHA</t>
        </is>
      </c>
      <c r="AC725" t="n">
        <v>1</v>
      </c>
      <c r="AD725" t="inlineStr">
        <is>
          <t>BANCO</t>
        </is>
      </c>
      <c r="AE725" t="n">
        <v>2</v>
      </c>
      <c r="AF725" t="inlineStr">
        <is>
          <t>MIDDLE</t>
        </is>
      </c>
      <c r="AG725" t="n">
        <v>126102</v>
      </c>
      <c r="AH725" t="inlineStr">
        <is>
          <t>MONTERREY</t>
        </is>
      </c>
      <c r="AI725" t="inlineStr">
        <is>
          <t>PTANGUMA@BANCOBASE.COM</t>
        </is>
      </c>
      <c r="AJ725" s="151" t="n">
        <v>37561</v>
      </c>
      <c r="AK725" s="151" t="n"/>
      <c r="AL725" s="151" t="n"/>
    </row>
    <row r="726" hidden="1" s="150">
      <c r="A726" t="inlineStr">
        <is>
          <t>MPENA</t>
        </is>
      </c>
      <c r="B726" t="n">
        <v>1729</v>
      </c>
      <c r="C726" t="inlineStr">
        <is>
          <t>MARIA DEL ROSARIO PEÑA BONILLA</t>
        </is>
      </c>
      <c r="D726" t="n">
        <v>6058</v>
      </c>
      <c r="E726" t="inlineStr">
        <is>
          <t>ASISTENTE CAMBIARIO</t>
        </is>
      </c>
      <c r="F726" t="inlineStr">
        <is>
          <t>MONTERREY</t>
        </is>
      </c>
      <c r="G726" t="n">
        <v>182</v>
      </c>
      <c r="H726" t="inlineStr">
        <is>
          <t>ROSA MARIA MARROQUIN GUTIERREZ</t>
        </is>
      </c>
      <c r="I726" t="n">
        <v>10419</v>
      </c>
      <c r="J726" t="inlineStr">
        <is>
          <t>SUBDIRECTOR COMERCIAL</t>
        </is>
      </c>
      <c r="K726" t="n">
        <v>1</v>
      </c>
      <c r="L726" t="inlineStr">
        <is>
          <t>PRESIDENCIA EJECUTIVA DEL CONSEJO</t>
        </is>
      </c>
      <c r="M726" t="n">
        <v>40</v>
      </c>
      <c r="N726" t="inlineStr">
        <is>
          <t>DIRECCION GENERAL BANCO BASE</t>
        </is>
      </c>
      <c r="O726" t="n">
        <v>410</v>
      </c>
      <c r="P726" t="inlineStr">
        <is>
          <t>DIRECCION COMERCIAL</t>
        </is>
      </c>
      <c r="Q726" t="n">
        <v>4580</v>
      </c>
      <c r="R726" t="inlineStr">
        <is>
          <t>DIRECCION COMERCIAL MONTERREY 2</t>
        </is>
      </c>
      <c r="S726" t="n">
        <v>41540</v>
      </c>
      <c r="T726" t="inlineStr">
        <is>
          <t>SUBDIRECCION COMERCIAL MONTERREY 4</t>
        </is>
      </c>
      <c r="U726" t="n">
        <v>415400</v>
      </c>
      <c r="V726" t="inlineStr">
        <is>
          <t>SUBDIRECCION COMERCIAL MONTERREY 4</t>
        </is>
      </c>
      <c r="W726" t="n">
        <v>126102</v>
      </c>
      <c r="X726" t="inlineStr">
        <is>
          <t>VALLE ORIENTE</t>
        </is>
      </c>
      <c r="Y726" t="n">
        <v>3</v>
      </c>
      <c r="Z726" t="inlineStr">
        <is>
          <t>CAMBIARIO</t>
        </is>
      </c>
      <c r="AA726" t="n">
        <v>1</v>
      </c>
      <c r="AB726" t="inlineStr">
        <is>
          <t>NEGOCIO EN MARCHA</t>
        </is>
      </c>
      <c r="AC726" t="n">
        <v>1</v>
      </c>
      <c r="AD726" t="inlineStr">
        <is>
          <t>BANCO</t>
        </is>
      </c>
      <c r="AE726" t="n">
        <v>2</v>
      </c>
      <c r="AF726" t="inlineStr">
        <is>
          <t>MIDDLE</t>
        </is>
      </c>
      <c r="AG726" t="n">
        <v>126102</v>
      </c>
      <c r="AH726" t="inlineStr">
        <is>
          <t>MONTERREY</t>
        </is>
      </c>
      <c r="AI726" t="inlineStr">
        <is>
          <t>MPENA@BANCOBASE.COM</t>
        </is>
      </c>
      <c r="AJ726" s="151" t="n">
        <v>42795</v>
      </c>
      <c r="AK726" s="151" t="n"/>
      <c r="AL726" s="151" t="n"/>
    </row>
    <row r="727" hidden="1" s="150">
      <c r="A727" t="inlineStr">
        <is>
          <t>AMALDONADO</t>
        </is>
      </c>
      <c r="B727" t="n">
        <v>719</v>
      </c>
      <c r="C727" t="inlineStr">
        <is>
          <t>JUAN ALFONSO MALDONADO SALINAS</t>
        </is>
      </c>
      <c r="D727" t="n">
        <v>9308</v>
      </c>
      <c r="E727" t="inlineStr">
        <is>
          <t>ASESOR CAMBIARIO</t>
        </is>
      </c>
      <c r="F727" t="inlineStr">
        <is>
          <t>TELETRABAJO</t>
        </is>
      </c>
      <c r="G727" t="n">
        <v>182</v>
      </c>
      <c r="H727" t="inlineStr">
        <is>
          <t>ROSA MARIA MARROQUIN GUTIERREZ</t>
        </is>
      </c>
      <c r="I727" t="n">
        <v>10419</v>
      </c>
      <c r="J727" t="inlineStr">
        <is>
          <t>SUBDIRECTOR COMERCIAL</t>
        </is>
      </c>
      <c r="K727" t="n">
        <v>1</v>
      </c>
      <c r="L727" t="inlineStr">
        <is>
          <t>PRESIDENCIA EJECUTIVA DEL CONSEJO</t>
        </is>
      </c>
      <c r="M727" t="n">
        <v>40</v>
      </c>
      <c r="N727" t="inlineStr">
        <is>
          <t>DIRECCION GENERAL BANCO BASE</t>
        </is>
      </c>
      <c r="O727" t="n">
        <v>410</v>
      </c>
      <c r="P727" t="inlineStr">
        <is>
          <t>DIRECCION COMERCIAL</t>
        </is>
      </c>
      <c r="Q727" t="n">
        <v>4580</v>
      </c>
      <c r="R727" t="inlineStr">
        <is>
          <t>DIRECCION COMERCIAL MONTERREY 2</t>
        </is>
      </c>
      <c r="S727" t="n">
        <v>41540</v>
      </c>
      <c r="T727" t="inlineStr">
        <is>
          <t>SUBDIRECCION COMERCIAL MONTERREY 4</t>
        </is>
      </c>
      <c r="U727" t="n">
        <v>415400</v>
      </c>
      <c r="V727" t="inlineStr">
        <is>
          <t>SUBDIRECCION COMERCIAL MONTERREY 4</t>
        </is>
      </c>
      <c r="W727" t="n">
        <v>126113</v>
      </c>
      <c r="X727" t="inlineStr">
        <is>
          <t>REYNOSA</t>
        </is>
      </c>
      <c r="Y727" t="n">
        <v>3</v>
      </c>
      <c r="Z727" t="inlineStr">
        <is>
          <t>CAMBIARIO</t>
        </is>
      </c>
      <c r="AA727" t="n">
        <v>1</v>
      </c>
      <c r="AB727" t="inlineStr">
        <is>
          <t>NEGOCIO EN MARCHA</t>
        </is>
      </c>
      <c r="AC727" t="n">
        <v>1</v>
      </c>
      <c r="AD727" t="inlineStr">
        <is>
          <t>BANCO</t>
        </is>
      </c>
      <c r="AE727" t="n">
        <v>3</v>
      </c>
      <c r="AF727" t="inlineStr">
        <is>
          <t>FRONT</t>
        </is>
      </c>
      <c r="AG727" t="n">
        <v>126113</v>
      </c>
      <c r="AH727" t="inlineStr">
        <is>
          <t>REYNOSA</t>
        </is>
      </c>
      <c r="AI727" t="inlineStr">
        <is>
          <t>AMALDONADO@BANCOBASE.COM</t>
        </is>
      </c>
      <c r="AJ727" s="151" t="n">
        <v>40609</v>
      </c>
      <c r="AK727" s="151" t="n"/>
      <c r="AL727" s="151" t="n"/>
    </row>
    <row r="728" hidden="1" s="150">
      <c r="A728" t="inlineStr">
        <is>
          <t>ESERNAD</t>
        </is>
      </c>
      <c r="B728" t="n">
        <v>1107</v>
      </c>
      <c r="C728" t="inlineStr">
        <is>
          <t>EDGAR ADAN SERNA DIAZ</t>
        </is>
      </c>
      <c r="D728" t="n">
        <v>5095</v>
      </c>
      <c r="E728" t="inlineStr">
        <is>
          <t>ASESOR CAMBIARIO</t>
        </is>
      </c>
      <c r="F728" t="inlineStr">
        <is>
          <t>TELETRABAJO</t>
        </is>
      </c>
      <c r="G728" t="n">
        <v>182</v>
      </c>
      <c r="H728" t="inlineStr">
        <is>
          <t>ROSA MARIA MARROQUIN GUTIERREZ</t>
        </is>
      </c>
      <c r="I728" t="n">
        <v>10419</v>
      </c>
      <c r="J728" t="inlineStr">
        <is>
          <t>SUBDIRECTOR COMERCIAL</t>
        </is>
      </c>
      <c r="K728" t="n">
        <v>1</v>
      </c>
      <c r="L728" t="inlineStr">
        <is>
          <t>PRESIDENCIA EJECUTIVA DEL CONSEJO</t>
        </is>
      </c>
      <c r="M728" t="n">
        <v>40</v>
      </c>
      <c r="N728" t="inlineStr">
        <is>
          <t>DIRECCION GENERAL BANCO BASE</t>
        </is>
      </c>
      <c r="O728" t="n">
        <v>410</v>
      </c>
      <c r="P728" t="inlineStr">
        <is>
          <t>DIRECCION COMERCIAL</t>
        </is>
      </c>
      <c r="Q728" t="n">
        <v>4580</v>
      </c>
      <c r="R728" t="inlineStr">
        <is>
          <t>DIRECCION COMERCIAL MONTERREY 2</t>
        </is>
      </c>
      <c r="S728" t="n">
        <v>41540</v>
      </c>
      <c r="T728" t="inlineStr">
        <is>
          <t>SUBDIRECCION COMERCIAL MONTERREY 4</t>
        </is>
      </c>
      <c r="U728" t="n">
        <v>415400</v>
      </c>
      <c r="V728" t="inlineStr">
        <is>
          <t>SUBDIRECCION COMERCIAL MONTERREY 4</t>
        </is>
      </c>
      <c r="W728" t="n">
        <v>126113</v>
      </c>
      <c r="X728" t="inlineStr">
        <is>
          <t>REYNOSA</t>
        </is>
      </c>
      <c r="Y728" t="n">
        <v>3</v>
      </c>
      <c r="Z728" t="inlineStr">
        <is>
          <t>CAMBIARIO</t>
        </is>
      </c>
      <c r="AA728" t="n">
        <v>1</v>
      </c>
      <c r="AB728" t="inlineStr">
        <is>
          <t>NEGOCIO EN MARCHA</t>
        </is>
      </c>
      <c r="AC728" t="n">
        <v>1</v>
      </c>
      <c r="AD728" t="inlineStr">
        <is>
          <t>BANCO</t>
        </is>
      </c>
      <c r="AE728" t="n">
        <v>3</v>
      </c>
      <c r="AF728" t="inlineStr">
        <is>
          <t>FRONT</t>
        </is>
      </c>
      <c r="AG728" t="n">
        <v>126113</v>
      </c>
      <c r="AH728" t="inlineStr">
        <is>
          <t>REYNOSA</t>
        </is>
      </c>
      <c r="AI728" t="inlineStr">
        <is>
          <t>ESERNAD@BANCOBASE.COM</t>
        </is>
      </c>
      <c r="AJ728" s="151" t="n">
        <v>41655</v>
      </c>
      <c r="AK728" s="151" t="n"/>
      <c r="AL728" s="151" t="n"/>
    </row>
    <row r="729" hidden="1" s="150">
      <c r="A729" t="inlineStr">
        <is>
          <t>ADURAN</t>
        </is>
      </c>
      <c r="B729" t="n">
        <v>720</v>
      </c>
      <c r="C729" t="inlineStr">
        <is>
          <t>ALMA NYDIA DURAN SALGADO</t>
        </is>
      </c>
      <c r="D729" t="n">
        <v>10158</v>
      </c>
      <c r="E729" t="inlineStr">
        <is>
          <t>ASISTENTE CAMBIARIO</t>
        </is>
      </c>
      <c r="F729" t="inlineStr">
        <is>
          <t>TELETRABAJO</t>
        </is>
      </c>
      <c r="G729" t="n">
        <v>182</v>
      </c>
      <c r="H729" t="inlineStr">
        <is>
          <t>ROSA MARIA MARROQUIN GUTIERREZ</t>
        </is>
      </c>
      <c r="I729" t="n">
        <v>10419</v>
      </c>
      <c r="J729" t="inlineStr">
        <is>
          <t>SUBDIRECTOR COMERCIAL</t>
        </is>
      </c>
      <c r="K729" t="n">
        <v>1</v>
      </c>
      <c r="L729" t="inlineStr">
        <is>
          <t>PRESIDENCIA EJECUTIVA DEL CONSEJO</t>
        </is>
      </c>
      <c r="M729" t="n">
        <v>40</v>
      </c>
      <c r="N729" t="inlineStr">
        <is>
          <t>DIRECCION GENERAL BANCO BASE</t>
        </is>
      </c>
      <c r="O729" t="n">
        <v>410</v>
      </c>
      <c r="P729" t="inlineStr">
        <is>
          <t>DIRECCION COMERCIAL</t>
        </is>
      </c>
      <c r="Q729" t="n">
        <v>4580</v>
      </c>
      <c r="R729" t="inlineStr">
        <is>
          <t>DIRECCION COMERCIAL MONTERREY 2</t>
        </is>
      </c>
      <c r="S729" t="n">
        <v>41540</v>
      </c>
      <c r="T729" t="inlineStr">
        <is>
          <t>SUBDIRECCION COMERCIAL MONTERREY 4</t>
        </is>
      </c>
      <c r="U729" t="n">
        <v>415400</v>
      </c>
      <c r="V729" t="inlineStr">
        <is>
          <t>SUBDIRECCION COMERCIAL MONTERREY 4</t>
        </is>
      </c>
      <c r="W729" t="n">
        <v>126113</v>
      </c>
      <c r="X729" t="inlineStr">
        <is>
          <t>REYNOSA</t>
        </is>
      </c>
      <c r="Y729" t="n">
        <v>3</v>
      </c>
      <c r="Z729" t="inlineStr">
        <is>
          <t>CAMBIARIO</t>
        </is>
      </c>
      <c r="AA729" t="n">
        <v>1</v>
      </c>
      <c r="AB729" t="inlineStr">
        <is>
          <t>NEGOCIO EN MARCHA</t>
        </is>
      </c>
      <c r="AC729" t="n">
        <v>1</v>
      </c>
      <c r="AD729" t="inlineStr">
        <is>
          <t>BANCO</t>
        </is>
      </c>
      <c r="AE729" t="n">
        <v>2</v>
      </c>
      <c r="AF729" t="inlineStr">
        <is>
          <t>MIDDLE</t>
        </is>
      </c>
      <c r="AG729" t="n">
        <v>126113</v>
      </c>
      <c r="AH729" t="inlineStr">
        <is>
          <t>REYNOSA</t>
        </is>
      </c>
      <c r="AI729" t="inlineStr">
        <is>
          <t>ADURAN@BANCOBASE.COM</t>
        </is>
      </c>
      <c r="AJ729" s="151" t="n">
        <v>40612</v>
      </c>
      <c r="AK729" s="151" t="n"/>
      <c r="AL729" s="151" t="n"/>
    </row>
    <row r="730" hidden="1" s="150">
      <c r="A730" t="inlineStr">
        <is>
          <t>EENRIQUEZ</t>
        </is>
      </c>
      <c r="B730" t="n">
        <v>3674</v>
      </c>
      <c r="C730" t="inlineStr">
        <is>
          <t>EDGAR ENRIQUEZ TENORIO</t>
        </is>
      </c>
      <c r="D730" t="n">
        <v>8308</v>
      </c>
      <c r="E730" t="inlineStr">
        <is>
          <t>SUBDIRECTOR COMERCIAL</t>
        </is>
      </c>
      <c r="F730" t="inlineStr">
        <is>
          <t>MONTERREY</t>
        </is>
      </c>
      <c r="G730" t="n">
        <v>1216</v>
      </c>
      <c r="H730" t="inlineStr">
        <is>
          <t>JOSE ANTONIO SANCHEZ NARRO</t>
        </is>
      </c>
      <c r="I730" t="n">
        <v>8297</v>
      </c>
      <c r="J730" t="inlineStr">
        <is>
          <t>DIRECTOR COMERCIAL MONTERREY</t>
        </is>
      </c>
      <c r="K730" t="n">
        <v>1</v>
      </c>
      <c r="L730" t="inlineStr">
        <is>
          <t>PRESIDENCIA EJECUTIVA DEL CONSEJO</t>
        </is>
      </c>
      <c r="M730" t="n">
        <v>40</v>
      </c>
      <c r="N730" t="inlineStr">
        <is>
          <t>DIRECCION GENERAL BANCO BASE</t>
        </is>
      </c>
      <c r="O730" t="n">
        <v>410</v>
      </c>
      <c r="P730" t="inlineStr">
        <is>
          <t>DIRECCION COMERCIAL</t>
        </is>
      </c>
      <c r="Q730" t="n">
        <v>4580</v>
      </c>
      <c r="R730" t="inlineStr">
        <is>
          <t>DIRECCION COMERCIAL MONTERREY 2</t>
        </is>
      </c>
      <c r="S730" t="n">
        <v>41504</v>
      </c>
      <c r="T730" t="inlineStr">
        <is>
          <t>SUBDIRECCION COMERCIAL MONTERREY 8</t>
        </is>
      </c>
      <c r="U730" t="n">
        <v>415040</v>
      </c>
      <c r="V730" t="inlineStr">
        <is>
          <t>SUBDIRECCION COMERCIAL MONTERREY 8</t>
        </is>
      </c>
      <c r="W730" t="n">
        <v>126102</v>
      </c>
      <c r="X730" t="inlineStr">
        <is>
          <t>VALLE ORIENTE</t>
        </is>
      </c>
      <c r="Y730" t="n">
        <v>3</v>
      </c>
      <c r="Z730" t="inlineStr">
        <is>
          <t>CAMBIARIO</t>
        </is>
      </c>
      <c r="AA730" t="n">
        <v>1</v>
      </c>
      <c r="AB730" t="inlineStr">
        <is>
          <t>NEGOCIO EN MARCHA</t>
        </is>
      </c>
      <c r="AC730" t="n">
        <v>1</v>
      </c>
      <c r="AD730" t="inlineStr">
        <is>
          <t>BANCO</t>
        </is>
      </c>
      <c r="AE730" t="n">
        <v>3</v>
      </c>
      <c r="AF730" t="inlineStr">
        <is>
          <t>FRONT</t>
        </is>
      </c>
      <c r="AG730" t="n">
        <v>126102</v>
      </c>
      <c r="AH730" t="inlineStr">
        <is>
          <t>MONTERREY</t>
        </is>
      </c>
      <c r="AI730" t="inlineStr">
        <is>
          <t>EENRIQUEZ@BANCOBASE.COM</t>
        </is>
      </c>
      <c r="AJ730" s="151" t="n">
        <v>45971</v>
      </c>
      <c r="AK730" s="151" t="n"/>
      <c r="AL730" s="151" t="n"/>
    </row>
    <row r="731" hidden="1" s="150">
      <c r="A731" t="inlineStr">
        <is>
          <t>CLLOVERAZ</t>
        </is>
      </c>
      <c r="B731" t="n">
        <v>3603</v>
      </c>
      <c r="C731" t="inlineStr">
        <is>
          <t>CECILIA LLOVERA ZAMBRANO</t>
        </is>
      </c>
      <c r="D731" t="n">
        <v>8310</v>
      </c>
      <c r="E731" t="inlineStr">
        <is>
          <t>ASESOR CAMBIARIO</t>
        </is>
      </c>
      <c r="F731" t="inlineStr">
        <is>
          <t>MONTERREY</t>
        </is>
      </c>
      <c r="G731" t="n">
        <v>3674</v>
      </c>
      <c r="H731" t="inlineStr">
        <is>
          <t>EDGAR ENRIQUEZ TENORIO</t>
        </is>
      </c>
      <c r="I731" t="n">
        <v>8308</v>
      </c>
      <c r="J731" t="inlineStr">
        <is>
          <t>SUBDIRECTOR COMERCIAL</t>
        </is>
      </c>
      <c r="K731" t="n">
        <v>1</v>
      </c>
      <c r="L731" t="inlineStr">
        <is>
          <t>PRESIDENCIA EJECUTIVA DEL CONSEJO</t>
        </is>
      </c>
      <c r="M731" t="n">
        <v>40</v>
      </c>
      <c r="N731" t="inlineStr">
        <is>
          <t>DIRECCION GENERAL BANCO BASE</t>
        </is>
      </c>
      <c r="O731" t="n">
        <v>410</v>
      </c>
      <c r="P731" t="inlineStr">
        <is>
          <t>DIRECCION COMERCIAL</t>
        </is>
      </c>
      <c r="Q731" t="n">
        <v>4580</v>
      </c>
      <c r="R731" t="inlineStr">
        <is>
          <t>DIRECCION COMERCIAL MONTERREY 2</t>
        </is>
      </c>
      <c r="S731" t="n">
        <v>41504</v>
      </c>
      <c r="T731" t="inlineStr">
        <is>
          <t>SUBDIRECCION COMERCIAL MONTERREY 8</t>
        </is>
      </c>
      <c r="U731" t="n">
        <v>415040</v>
      </c>
      <c r="V731" t="inlineStr">
        <is>
          <t>SUBDIRECCION COMERCIAL MONTERREY 8</t>
        </is>
      </c>
      <c r="W731" t="n">
        <v>126102</v>
      </c>
      <c r="X731" t="inlineStr">
        <is>
          <t>VALLE ORIENTE</t>
        </is>
      </c>
      <c r="Y731" t="n">
        <v>3</v>
      </c>
      <c r="Z731" t="inlineStr">
        <is>
          <t>CAMBIARIO</t>
        </is>
      </c>
      <c r="AA731" t="n">
        <v>1</v>
      </c>
      <c r="AB731" t="inlineStr">
        <is>
          <t>NEGOCIO EN MARCHA</t>
        </is>
      </c>
      <c r="AC731" t="n">
        <v>1</v>
      </c>
      <c r="AD731" t="inlineStr">
        <is>
          <t>BANCO</t>
        </is>
      </c>
      <c r="AE731" t="n">
        <v>3</v>
      </c>
      <c r="AF731" t="inlineStr">
        <is>
          <t>FRONT</t>
        </is>
      </c>
      <c r="AG731" t="n">
        <v>126102</v>
      </c>
      <c r="AH731" t="inlineStr">
        <is>
          <t>MONTERREY</t>
        </is>
      </c>
      <c r="AI731" t="inlineStr">
        <is>
          <t>CLLOVERAZ@BANCOBASE.COM</t>
        </is>
      </c>
      <c r="AJ731" s="151" t="n">
        <v>45931</v>
      </c>
      <c r="AK731" s="151" t="n"/>
      <c r="AL731" s="151" t="n"/>
    </row>
    <row r="732" hidden="1" s="150">
      <c r="A732" t="inlineStr">
        <is>
          <t>IDELAROSA</t>
        </is>
      </c>
      <c r="B732" t="n">
        <v>3601</v>
      </c>
      <c r="C732" t="inlineStr">
        <is>
          <t>ISELA DE LA ROSA LUMBRERAS</t>
        </is>
      </c>
      <c r="D732" t="n">
        <v>8313</v>
      </c>
      <c r="E732" t="inlineStr">
        <is>
          <t>ASESOR CAMBIARIO</t>
        </is>
      </c>
      <c r="F732" t="inlineStr">
        <is>
          <t>MONTERREY</t>
        </is>
      </c>
      <c r="G732" t="n">
        <v>3674</v>
      </c>
      <c r="H732" t="inlineStr">
        <is>
          <t>EDGAR ENRIQUEZ TENORIO</t>
        </is>
      </c>
      <c r="I732" t="n">
        <v>8308</v>
      </c>
      <c r="J732" t="inlineStr">
        <is>
          <t>SUBDIRECTOR COMERCIAL</t>
        </is>
      </c>
      <c r="K732" t="n">
        <v>1</v>
      </c>
      <c r="L732" t="inlineStr">
        <is>
          <t>PRESIDENCIA EJECUTIVA DEL CONSEJO</t>
        </is>
      </c>
      <c r="M732" t="n">
        <v>40</v>
      </c>
      <c r="N732" t="inlineStr">
        <is>
          <t>DIRECCION GENERAL BANCO BASE</t>
        </is>
      </c>
      <c r="O732" t="n">
        <v>410</v>
      </c>
      <c r="P732" t="inlineStr">
        <is>
          <t>DIRECCION COMERCIAL</t>
        </is>
      </c>
      <c r="Q732" t="n">
        <v>4580</v>
      </c>
      <c r="R732" t="inlineStr">
        <is>
          <t>DIRECCION COMERCIAL MONTERREY 2</t>
        </is>
      </c>
      <c r="S732" t="n">
        <v>41504</v>
      </c>
      <c r="T732" t="inlineStr">
        <is>
          <t>SUBDIRECCION COMERCIAL MONTERREY 8</t>
        </is>
      </c>
      <c r="U732" t="n">
        <v>415040</v>
      </c>
      <c r="V732" t="inlineStr">
        <is>
          <t>SUBDIRECCION COMERCIAL MONTERREY 8</t>
        </is>
      </c>
      <c r="W732" t="n">
        <v>126102</v>
      </c>
      <c r="X732" t="inlineStr">
        <is>
          <t>VALLE ORIENTE</t>
        </is>
      </c>
      <c r="Y732" t="n">
        <v>3</v>
      </c>
      <c r="Z732" t="inlineStr">
        <is>
          <t>CAMBIARIO</t>
        </is>
      </c>
      <c r="AA732" t="n">
        <v>1</v>
      </c>
      <c r="AB732" t="inlineStr">
        <is>
          <t>NEGOCIO EN MARCHA</t>
        </is>
      </c>
      <c r="AC732" t="n">
        <v>1</v>
      </c>
      <c r="AD732" t="inlineStr">
        <is>
          <t>BANCO</t>
        </is>
      </c>
      <c r="AE732" t="n">
        <v>3</v>
      </c>
      <c r="AF732" t="inlineStr">
        <is>
          <t>FRONT</t>
        </is>
      </c>
      <c r="AG732" t="n">
        <v>126102</v>
      </c>
      <c r="AH732" t="inlineStr">
        <is>
          <t>MONTERREY</t>
        </is>
      </c>
      <c r="AI732" t="inlineStr">
        <is>
          <t>IDELAROSA@BANCOBASE.COM</t>
        </is>
      </c>
      <c r="AJ732" s="151" t="n">
        <v>45931</v>
      </c>
      <c r="AK732" s="151" t="n"/>
      <c r="AL732" s="151" t="n"/>
    </row>
    <row r="733" hidden="1" s="150">
      <c r="A733" t="inlineStr">
        <is>
          <t>DALANIS</t>
        </is>
      </c>
      <c r="B733" t="n">
        <v>3745</v>
      </c>
      <c r="C733" t="inlineStr">
        <is>
          <t>DAVID ALANIS GUAJARDO</t>
        </is>
      </c>
      <c r="D733" t="n">
        <v>8309</v>
      </c>
      <c r="E733" t="inlineStr">
        <is>
          <t>ASESOR CAMBIARIO</t>
        </is>
      </c>
      <c r="F733" t="inlineStr">
        <is>
          <t>MONTERREY</t>
        </is>
      </c>
      <c r="G733" t="n">
        <v>3674</v>
      </c>
      <c r="H733" t="inlineStr">
        <is>
          <t>EDGAR ENRIQUEZ TENORIO</t>
        </is>
      </c>
      <c r="I733" t="n">
        <v>8308</v>
      </c>
      <c r="J733" t="inlineStr">
        <is>
          <t>SUBDIRECTOR COMERCIAL</t>
        </is>
      </c>
      <c r="K733" t="n">
        <v>1</v>
      </c>
      <c r="L733" t="inlineStr">
        <is>
          <t>PRESIDENCIA EJECUTIVA DEL CONSEJO</t>
        </is>
      </c>
      <c r="M733" t="n">
        <v>40</v>
      </c>
      <c r="N733" t="inlineStr">
        <is>
          <t>DIRECCION GENERAL BANCO BASE</t>
        </is>
      </c>
      <c r="O733" t="n">
        <v>410</v>
      </c>
      <c r="P733" t="inlineStr">
        <is>
          <t>DIRECCION COMERCIAL</t>
        </is>
      </c>
      <c r="Q733" t="n">
        <v>4580</v>
      </c>
      <c r="R733" t="inlineStr">
        <is>
          <t>DIRECCION COMERCIAL MONTERREY 2</t>
        </is>
      </c>
      <c r="S733" t="n">
        <v>41504</v>
      </c>
      <c r="T733" t="inlineStr">
        <is>
          <t>SUBDIRECCION COMERCIAL MONTERREY 8</t>
        </is>
      </c>
      <c r="U733" t="n">
        <v>415040</v>
      </c>
      <c r="V733" t="inlineStr">
        <is>
          <t>SUBDIRECCION COMERCIAL MONTERREY 8</t>
        </is>
      </c>
      <c r="W733" t="n">
        <v>126102</v>
      </c>
      <c r="X733" t="inlineStr">
        <is>
          <t>VALLE ORIENTE</t>
        </is>
      </c>
      <c r="Y733" t="n">
        <v>3</v>
      </c>
      <c r="Z733" t="inlineStr">
        <is>
          <t>CAMBIARIO</t>
        </is>
      </c>
      <c r="AA733" t="n">
        <v>1</v>
      </c>
      <c r="AB733" t="inlineStr">
        <is>
          <t>NEGOCIO EN MARCHA</t>
        </is>
      </c>
      <c r="AC733" t="n">
        <v>1</v>
      </c>
      <c r="AD733" t="inlineStr">
        <is>
          <t>BANCO</t>
        </is>
      </c>
      <c r="AE733" t="n">
        <v>3</v>
      </c>
      <c r="AF733" t="inlineStr">
        <is>
          <t>FRONT</t>
        </is>
      </c>
      <c r="AG733" t="n">
        <v>126102</v>
      </c>
      <c r="AH733" t="inlineStr">
        <is>
          <t>MONTERREY</t>
        </is>
      </c>
      <c r="AI733" t="inlineStr">
        <is>
          <t>DALANIS@BANCOBASE.COM</t>
        </is>
      </c>
      <c r="AJ733" s="151" t="n">
        <v>46041</v>
      </c>
      <c r="AK733" s="151" t="n"/>
      <c r="AL733" s="151" t="n"/>
    </row>
    <row r="734" hidden="1" s="150">
      <c r="A734" t="inlineStr">
        <is>
          <t>EGONZALEGO</t>
        </is>
      </c>
      <c r="B734" t="n">
        <v>3730</v>
      </c>
      <c r="C734" t="inlineStr">
        <is>
          <t>ERIKA JANETH GONZALEZ GONZALEZ</t>
        </is>
      </c>
      <c r="D734" t="n">
        <v>8317</v>
      </c>
      <c r="E734" t="inlineStr">
        <is>
          <t>ASESOR CAMBIARIO</t>
        </is>
      </c>
      <c r="F734" t="inlineStr">
        <is>
          <t>MONTERREY</t>
        </is>
      </c>
      <c r="G734" t="n">
        <v>3674</v>
      </c>
      <c r="H734" t="inlineStr">
        <is>
          <t>EDGAR ENRIQUEZ TENORIO</t>
        </is>
      </c>
      <c r="I734" t="n">
        <v>8308</v>
      </c>
      <c r="J734" t="inlineStr">
        <is>
          <t>SUBDIRECTOR COMERCIAL</t>
        </is>
      </c>
      <c r="K734" t="n">
        <v>1</v>
      </c>
      <c r="L734" t="inlineStr">
        <is>
          <t>PRESIDENCIA EJECUTIVA DEL CONSEJO</t>
        </is>
      </c>
      <c r="M734" t="n">
        <v>40</v>
      </c>
      <c r="N734" t="inlineStr">
        <is>
          <t>DIRECCION GENERAL BANCO BASE</t>
        </is>
      </c>
      <c r="O734" t="n">
        <v>410</v>
      </c>
      <c r="P734" t="inlineStr">
        <is>
          <t>DIRECCION COMERCIAL</t>
        </is>
      </c>
      <c r="Q734" t="n">
        <v>4580</v>
      </c>
      <c r="R734" t="inlineStr">
        <is>
          <t>DIRECCION COMERCIAL MONTERREY 2</t>
        </is>
      </c>
      <c r="S734" t="n">
        <v>41504</v>
      </c>
      <c r="T734" t="inlineStr">
        <is>
          <t>SUBDIRECCION COMERCIAL MONTERREY 8</t>
        </is>
      </c>
      <c r="U734" t="n">
        <v>415040</v>
      </c>
      <c r="V734" t="inlineStr">
        <is>
          <t>SUBDIRECCION COMERCIAL MONTERREY 8</t>
        </is>
      </c>
      <c r="W734" t="n">
        <v>126102</v>
      </c>
      <c r="X734" t="inlineStr">
        <is>
          <t>VALLE ORIENTE</t>
        </is>
      </c>
      <c r="Y734" t="n">
        <v>3</v>
      </c>
      <c r="Z734" t="inlineStr">
        <is>
          <t>CAMBIARIO</t>
        </is>
      </c>
      <c r="AA734" t="n">
        <v>1</v>
      </c>
      <c r="AB734" t="inlineStr">
        <is>
          <t>NEGOCIO EN MARCHA</t>
        </is>
      </c>
      <c r="AC734" t="n">
        <v>1</v>
      </c>
      <c r="AD734" t="inlineStr">
        <is>
          <t>BANCO</t>
        </is>
      </c>
      <c r="AE734" t="n">
        <v>3</v>
      </c>
      <c r="AF734" t="inlineStr">
        <is>
          <t>FRONT</t>
        </is>
      </c>
      <c r="AG734" t="n">
        <v>126102</v>
      </c>
      <c r="AH734" t="inlineStr">
        <is>
          <t>MONTERREY</t>
        </is>
      </c>
      <c r="AI734" t="inlineStr">
        <is>
          <t>EGONZALEGO@BANCOBASE.COM</t>
        </is>
      </c>
      <c r="AJ734" s="151" t="n">
        <v>46027</v>
      </c>
      <c r="AK734" s="151" t="n"/>
      <c r="AL734" s="151" t="n"/>
    </row>
    <row r="735" hidden="1" s="150">
      <c r="A735" t="inlineStr">
        <is>
          <t>KSANCHEZR</t>
        </is>
      </c>
      <c r="B735" t="n">
        <v>3747</v>
      </c>
      <c r="C735" t="inlineStr">
        <is>
          <t>KATHIA GUADALUPE SANCHEZ RODARTE</t>
        </is>
      </c>
      <c r="D735" t="n">
        <v>6055</v>
      </c>
      <c r="E735" t="inlineStr">
        <is>
          <t>ASISTENTE CAMBIARIO</t>
        </is>
      </c>
      <c r="F735" t="inlineStr">
        <is>
          <t>MONTERREY</t>
        </is>
      </c>
      <c r="G735" t="n">
        <v>3674</v>
      </c>
      <c r="H735" t="inlineStr">
        <is>
          <t>EDGAR ENRIQUEZ TENORIO</t>
        </is>
      </c>
      <c r="I735" t="n">
        <v>8308</v>
      </c>
      <c r="J735" t="inlineStr">
        <is>
          <t>SUBDIRECTOR COMERCIAL</t>
        </is>
      </c>
      <c r="K735" t="n">
        <v>1</v>
      </c>
      <c r="L735" t="inlineStr">
        <is>
          <t>PRESIDENCIA EJECUTIVA DEL CONSEJO</t>
        </is>
      </c>
      <c r="M735" t="n">
        <v>40</v>
      </c>
      <c r="N735" t="inlineStr">
        <is>
          <t>DIRECCION GENERAL BANCO BASE</t>
        </is>
      </c>
      <c r="O735" t="n">
        <v>410</v>
      </c>
      <c r="P735" t="inlineStr">
        <is>
          <t>DIRECCION COMERCIAL</t>
        </is>
      </c>
      <c r="Q735" t="n">
        <v>4580</v>
      </c>
      <c r="R735" t="inlineStr">
        <is>
          <t>DIRECCION COMERCIAL MONTERREY 2</t>
        </is>
      </c>
      <c r="S735" t="n">
        <v>41504</v>
      </c>
      <c r="T735" t="inlineStr">
        <is>
          <t>SUBDIRECCION COMERCIAL MONTERREY 8</t>
        </is>
      </c>
      <c r="U735" t="n">
        <v>415040</v>
      </c>
      <c r="V735" t="inlineStr">
        <is>
          <t>SUBDIRECCION COMERCIAL MONTERREY 8</t>
        </is>
      </c>
      <c r="W735" t="n">
        <v>126102</v>
      </c>
      <c r="X735" t="inlineStr">
        <is>
          <t>VALLE ORIENTE</t>
        </is>
      </c>
      <c r="Y735" t="n">
        <v>3</v>
      </c>
      <c r="Z735" t="inlineStr">
        <is>
          <t>CAMBIARIO</t>
        </is>
      </c>
      <c r="AA735" t="n">
        <v>1</v>
      </c>
      <c r="AB735" t="inlineStr">
        <is>
          <t>NEGOCIO EN MARCHA</t>
        </is>
      </c>
      <c r="AC735" t="n">
        <v>1</v>
      </c>
      <c r="AD735" t="inlineStr">
        <is>
          <t>BANCO</t>
        </is>
      </c>
      <c r="AE735" t="n">
        <v>2</v>
      </c>
      <c r="AF735" t="inlineStr">
        <is>
          <t>MIDDLE</t>
        </is>
      </c>
      <c r="AG735" t="n">
        <v>126102</v>
      </c>
      <c r="AH735" t="inlineStr">
        <is>
          <t>MONTERREY</t>
        </is>
      </c>
      <c r="AI735" t="inlineStr">
        <is>
          <t>KSANCHEZR@BANCOBASE.COM</t>
        </is>
      </c>
      <c r="AJ735" s="151" t="n">
        <v>46041</v>
      </c>
      <c r="AK735" s="151" t="n"/>
      <c r="AL735" s="151" t="n"/>
    </row>
    <row r="736" hidden="1" s="150">
      <c r="A736" t="inlineStr">
        <is>
          <t>MMARTINEM</t>
        </is>
      </c>
      <c r="B736" t="n">
        <v>2670</v>
      </c>
      <c r="C736" t="inlineStr">
        <is>
          <t>MEDWYN MARTINEZ MUÑOZCANO</t>
        </is>
      </c>
      <c r="D736" t="n">
        <v>8323</v>
      </c>
      <c r="E736" t="inlineStr">
        <is>
          <t>ASESOR CAMBIARIO</t>
        </is>
      </c>
      <c r="F736" t="inlineStr">
        <is>
          <t>MONTERREY</t>
        </is>
      </c>
      <c r="G736" t="n">
        <v>3674</v>
      </c>
      <c r="H736" t="inlineStr">
        <is>
          <t>EDGAR ENRIQUEZ TENORIO</t>
        </is>
      </c>
      <c r="I736" t="n">
        <v>8308</v>
      </c>
      <c r="J736" t="inlineStr">
        <is>
          <t>SUBDIRECTOR COMERCIAL</t>
        </is>
      </c>
      <c r="K736" t="n">
        <v>1</v>
      </c>
      <c r="L736" t="inlineStr">
        <is>
          <t>PRESIDENCIA EJECUTIVA DEL CONSEJO</t>
        </is>
      </c>
      <c r="M736" t="n">
        <v>40</v>
      </c>
      <c r="N736" t="inlineStr">
        <is>
          <t>DIRECCION GENERAL BANCO BASE</t>
        </is>
      </c>
      <c r="O736" t="n">
        <v>410</v>
      </c>
      <c r="P736" t="inlineStr">
        <is>
          <t>DIRECCION COMERCIAL</t>
        </is>
      </c>
      <c r="Q736" t="n">
        <v>4580</v>
      </c>
      <c r="R736" t="inlineStr">
        <is>
          <t>DIRECCION COMERCIAL MONTERREY 2</t>
        </is>
      </c>
      <c r="S736" t="n">
        <v>41504</v>
      </c>
      <c r="T736" t="inlineStr">
        <is>
          <t>SUBDIRECCION COMERCIAL MONTERREY 8</t>
        </is>
      </c>
      <c r="U736" t="n">
        <v>415040</v>
      </c>
      <c r="V736" t="inlineStr">
        <is>
          <t>SUBDIRECCION COMERCIAL MONTERREY 8</t>
        </is>
      </c>
      <c r="W736" t="n">
        <v>126102</v>
      </c>
      <c r="X736" t="inlineStr">
        <is>
          <t>VALLE ORIENTE</t>
        </is>
      </c>
      <c r="Y736" t="n">
        <v>3</v>
      </c>
      <c r="Z736" t="inlineStr">
        <is>
          <t>CAMBIARIO</t>
        </is>
      </c>
      <c r="AA736" t="n">
        <v>1</v>
      </c>
      <c r="AB736" t="inlineStr">
        <is>
          <t>NEGOCIO EN MARCHA</t>
        </is>
      </c>
      <c r="AC736" t="n">
        <v>1</v>
      </c>
      <c r="AD736" t="inlineStr">
        <is>
          <t>BANCO</t>
        </is>
      </c>
      <c r="AE736" t="n">
        <v>3</v>
      </c>
      <c r="AF736" t="inlineStr">
        <is>
          <t>FRONT</t>
        </is>
      </c>
      <c r="AG736" t="n">
        <v>126102</v>
      </c>
      <c r="AH736" t="inlineStr">
        <is>
          <t>MONTERREY</t>
        </is>
      </c>
      <c r="AI736" t="inlineStr">
        <is>
          <t>MMARTINEM@BANCOBASE.COM</t>
        </is>
      </c>
      <c r="AJ736" s="151" t="n">
        <v>44728</v>
      </c>
      <c r="AK736" s="151" t="n"/>
      <c r="AL736" s="151" t="n"/>
    </row>
    <row r="737" hidden="1" s="150">
      <c r="A737" t="inlineStr">
        <is>
          <t>ODEANDA</t>
        </is>
      </c>
      <c r="B737" t="n">
        <v>3762</v>
      </c>
      <c r="C737" t="inlineStr">
        <is>
          <t>ODID DE ANDA VALDEZ</t>
        </is>
      </c>
      <c r="D737" t="n">
        <v>8314</v>
      </c>
      <c r="E737" t="inlineStr">
        <is>
          <t>ASESOR CAMBIARIO</t>
        </is>
      </c>
      <c r="F737" t="inlineStr">
        <is>
          <t>MONTERREY</t>
        </is>
      </c>
      <c r="G737" t="n">
        <v>3674</v>
      </c>
      <c r="H737" t="inlineStr">
        <is>
          <t>EDGAR ENRIQUEZ TENORIO</t>
        </is>
      </c>
      <c r="I737" t="n">
        <v>8308</v>
      </c>
      <c r="J737" t="inlineStr">
        <is>
          <t>SUBDIRECTOR COMERCIAL</t>
        </is>
      </c>
      <c r="K737" t="n">
        <v>1</v>
      </c>
      <c r="L737" t="inlineStr">
        <is>
          <t>PRESIDENCIA EJECUTIVA DEL CONSEJO</t>
        </is>
      </c>
      <c r="M737" t="n">
        <v>40</v>
      </c>
      <c r="N737" t="inlineStr">
        <is>
          <t>DIRECCION GENERAL BANCO BASE</t>
        </is>
      </c>
      <c r="O737" t="n">
        <v>410</v>
      </c>
      <c r="P737" t="inlineStr">
        <is>
          <t>DIRECCION COMERCIAL</t>
        </is>
      </c>
      <c r="Q737" t="n">
        <v>4580</v>
      </c>
      <c r="R737" t="inlineStr">
        <is>
          <t>DIRECCION COMERCIAL MONTERREY 2</t>
        </is>
      </c>
      <c r="S737" t="n">
        <v>41504</v>
      </c>
      <c r="T737" t="inlineStr">
        <is>
          <t>SUBDIRECCION COMERCIAL MONTERREY 8</t>
        </is>
      </c>
      <c r="U737" t="n">
        <v>415040</v>
      </c>
      <c r="V737" t="inlineStr">
        <is>
          <t>SUBDIRECCION COMERCIAL MONTERREY 8</t>
        </is>
      </c>
      <c r="W737" t="n">
        <v>126102</v>
      </c>
      <c r="X737" t="inlineStr">
        <is>
          <t>VALLE ORIENTE</t>
        </is>
      </c>
      <c r="Y737" t="n">
        <v>3</v>
      </c>
      <c r="Z737" t="inlineStr">
        <is>
          <t>CAMBIARIO</t>
        </is>
      </c>
      <c r="AA737" t="n">
        <v>1</v>
      </c>
      <c r="AB737" t="inlineStr">
        <is>
          <t>NEGOCIO EN MARCHA</t>
        </is>
      </c>
      <c r="AC737" t="n">
        <v>1</v>
      </c>
      <c r="AD737" t="inlineStr">
        <is>
          <t>BANCO</t>
        </is>
      </c>
      <c r="AE737" t="n">
        <v>3</v>
      </c>
      <c r="AF737" t="inlineStr">
        <is>
          <t>FRONT</t>
        </is>
      </c>
      <c r="AG737" t="n">
        <v>126102</v>
      </c>
      <c r="AH737" t="inlineStr">
        <is>
          <t>MONTERREY</t>
        </is>
      </c>
      <c r="AI737" t="inlineStr">
        <is>
          <t>ODEANDA@BANCOBASE.COM</t>
        </is>
      </c>
      <c r="AJ737" s="151" t="n">
        <v>46069</v>
      </c>
      <c r="AK737" s="151" t="n"/>
      <c r="AL737" s="151" t="n"/>
    </row>
    <row r="738" hidden="1" s="150">
      <c r="A738" t="inlineStr">
        <is>
          <t>DBONILLA</t>
        </is>
      </c>
      <c r="B738" t="n">
        <v>3622</v>
      </c>
      <c r="C738" t="inlineStr">
        <is>
          <t>DIEGO ARMANDO BONILLA LOPEZ</t>
        </is>
      </c>
      <c r="D738" t="n">
        <v>8319</v>
      </c>
      <c r="E738" t="inlineStr">
        <is>
          <t>ASESOR CAMBIARIO</t>
        </is>
      </c>
      <c r="F738" t="inlineStr">
        <is>
          <t>MONTERREY</t>
        </is>
      </c>
      <c r="G738" t="n">
        <v>3674</v>
      </c>
      <c r="H738" t="inlineStr">
        <is>
          <t>EDGAR ENRIQUEZ TENORIO</t>
        </is>
      </c>
      <c r="I738" t="n">
        <v>8308</v>
      </c>
      <c r="J738" t="inlineStr">
        <is>
          <t>SUBDIRECTOR COMERCIAL</t>
        </is>
      </c>
      <c r="K738" t="n">
        <v>1</v>
      </c>
      <c r="L738" t="inlineStr">
        <is>
          <t>PRESIDENCIA EJECUTIVA DEL CONSEJO</t>
        </is>
      </c>
      <c r="M738" t="n">
        <v>40</v>
      </c>
      <c r="N738" t="inlineStr">
        <is>
          <t>DIRECCION GENERAL BANCO BASE</t>
        </is>
      </c>
      <c r="O738" t="n">
        <v>410</v>
      </c>
      <c r="P738" t="inlineStr">
        <is>
          <t>DIRECCION COMERCIAL</t>
        </is>
      </c>
      <c r="Q738" t="n">
        <v>4580</v>
      </c>
      <c r="R738" t="inlineStr">
        <is>
          <t>DIRECCION COMERCIAL MONTERREY 2</t>
        </is>
      </c>
      <c r="S738" t="n">
        <v>41504</v>
      </c>
      <c r="T738" t="inlineStr">
        <is>
          <t>SUBDIRECCION COMERCIAL MONTERREY 8</t>
        </is>
      </c>
      <c r="U738" t="n">
        <v>415040</v>
      </c>
      <c r="V738" t="inlineStr">
        <is>
          <t>SUBDIRECCION COMERCIAL MONTERREY 8</t>
        </is>
      </c>
      <c r="W738" t="n">
        <v>126102</v>
      </c>
      <c r="X738" t="inlineStr">
        <is>
          <t>VALLE ORIENTE</t>
        </is>
      </c>
      <c r="Y738" t="n">
        <v>3</v>
      </c>
      <c r="Z738" t="inlineStr">
        <is>
          <t>CAMBIARIO</t>
        </is>
      </c>
      <c r="AA738" t="n">
        <v>1</v>
      </c>
      <c r="AB738" t="inlineStr">
        <is>
          <t>NEGOCIO EN MARCHA</t>
        </is>
      </c>
      <c r="AC738" t="n">
        <v>1</v>
      </c>
      <c r="AD738" t="inlineStr">
        <is>
          <t>BANCO</t>
        </is>
      </c>
      <c r="AE738" t="n">
        <v>3</v>
      </c>
      <c r="AF738" t="inlineStr">
        <is>
          <t>FRONT</t>
        </is>
      </c>
      <c r="AG738" t="n">
        <v>126102</v>
      </c>
      <c r="AH738" t="inlineStr">
        <is>
          <t>MONTERREY</t>
        </is>
      </c>
      <c r="AI738" t="inlineStr">
        <is>
          <t>DBONILLA@BANCOBASE.COM</t>
        </is>
      </c>
      <c r="AJ738" s="151" t="n">
        <v>45946</v>
      </c>
      <c r="AK738" s="151" t="n"/>
      <c r="AL738" s="151" t="n"/>
    </row>
    <row r="739" hidden="1" s="150">
      <c r="A739" t="inlineStr">
        <is>
          <t>HRAMOS</t>
        </is>
      </c>
      <c r="B739" t="n">
        <v>3635</v>
      </c>
      <c r="C739" t="inlineStr">
        <is>
          <t>HECTOR DANIEL RAMOS ESPINOSA</t>
        </is>
      </c>
      <c r="D739" t="n">
        <v>8318</v>
      </c>
      <c r="E739" t="inlineStr">
        <is>
          <t>ASESOR CAMBIARIO</t>
        </is>
      </c>
      <c r="F739" t="inlineStr">
        <is>
          <t>MONTERREY</t>
        </is>
      </c>
      <c r="G739" t="n">
        <v>3674</v>
      </c>
      <c r="H739" t="inlineStr">
        <is>
          <t>EDGAR ENRIQUEZ TENORIO</t>
        </is>
      </c>
      <c r="I739" t="n">
        <v>8308</v>
      </c>
      <c r="J739" t="inlineStr">
        <is>
          <t>SUBDIRECTOR COMERCIAL</t>
        </is>
      </c>
      <c r="K739" t="n">
        <v>1</v>
      </c>
      <c r="L739" t="inlineStr">
        <is>
          <t>PRESIDENCIA EJECUTIVA DEL CONSEJO</t>
        </is>
      </c>
      <c r="M739" t="n">
        <v>40</v>
      </c>
      <c r="N739" t="inlineStr">
        <is>
          <t>DIRECCION GENERAL BANCO BASE</t>
        </is>
      </c>
      <c r="O739" t="n">
        <v>410</v>
      </c>
      <c r="P739" t="inlineStr">
        <is>
          <t>DIRECCION COMERCIAL</t>
        </is>
      </c>
      <c r="Q739" t="n">
        <v>4580</v>
      </c>
      <c r="R739" t="inlineStr">
        <is>
          <t>DIRECCION COMERCIAL MONTERREY 2</t>
        </is>
      </c>
      <c r="S739" t="n">
        <v>41504</v>
      </c>
      <c r="T739" t="inlineStr">
        <is>
          <t>SUBDIRECCION COMERCIAL MONTERREY 8</t>
        </is>
      </c>
      <c r="U739" t="n">
        <v>415040</v>
      </c>
      <c r="V739" t="inlineStr">
        <is>
          <t>SUBDIRECCION COMERCIAL MONTERREY 8</t>
        </is>
      </c>
      <c r="W739" t="n">
        <v>126102</v>
      </c>
      <c r="X739" t="inlineStr">
        <is>
          <t>VALLE ORIENTE</t>
        </is>
      </c>
      <c r="Y739" t="n">
        <v>3</v>
      </c>
      <c r="Z739" t="inlineStr">
        <is>
          <t>CAMBIARIO</t>
        </is>
      </c>
      <c r="AA739" t="n">
        <v>1</v>
      </c>
      <c r="AB739" t="inlineStr">
        <is>
          <t>NEGOCIO EN MARCHA</t>
        </is>
      </c>
      <c r="AC739" t="n">
        <v>1</v>
      </c>
      <c r="AD739" t="inlineStr">
        <is>
          <t>BANCO</t>
        </is>
      </c>
      <c r="AE739" t="n">
        <v>3</v>
      </c>
      <c r="AF739" t="inlineStr">
        <is>
          <t>FRONT</t>
        </is>
      </c>
      <c r="AG739" t="n">
        <v>126102</v>
      </c>
      <c r="AH739" t="inlineStr">
        <is>
          <t>MONTERREY</t>
        </is>
      </c>
      <c r="AI739" t="inlineStr">
        <is>
          <t>HRAMOS@BANCOBASE.COM</t>
        </is>
      </c>
      <c r="AJ739" s="151" t="n">
        <v>45946</v>
      </c>
      <c r="AK739" s="151" t="n"/>
      <c r="AL739" s="151" t="n"/>
    </row>
    <row r="740" hidden="1" s="150">
      <c r="A740" t="inlineStr">
        <is>
          <t>VCASTANEDA</t>
        </is>
      </c>
      <c r="B740" t="n">
        <v>3632</v>
      </c>
      <c r="C740" t="inlineStr">
        <is>
          <t>VICTOR MANUEL CASTAÑEDA BERDEJO</t>
        </is>
      </c>
      <c r="D740" t="n">
        <v>9173</v>
      </c>
      <c r="E740" t="inlineStr">
        <is>
          <t>ASESOR CAMBIARIO</t>
        </is>
      </c>
      <c r="F740" t="inlineStr">
        <is>
          <t>MONTERREY</t>
        </is>
      </c>
      <c r="G740" t="n">
        <v>3674</v>
      </c>
      <c r="H740" t="inlineStr">
        <is>
          <t>EDGAR ENRIQUEZ TENORIO</t>
        </is>
      </c>
      <c r="I740" t="n">
        <v>8308</v>
      </c>
      <c r="J740" t="inlineStr">
        <is>
          <t>SUBDIRECTOR COMERCIAL</t>
        </is>
      </c>
      <c r="K740" t="n">
        <v>1</v>
      </c>
      <c r="L740" t="inlineStr">
        <is>
          <t>PRESIDENCIA EJECUTIVA DEL CONSEJO</t>
        </is>
      </c>
      <c r="M740" t="n">
        <v>40</v>
      </c>
      <c r="N740" t="inlineStr">
        <is>
          <t>DIRECCION GENERAL BANCO BASE</t>
        </is>
      </c>
      <c r="O740" t="n">
        <v>410</v>
      </c>
      <c r="P740" t="inlineStr">
        <is>
          <t>DIRECCION COMERCIAL</t>
        </is>
      </c>
      <c r="Q740" t="n">
        <v>4580</v>
      </c>
      <c r="R740" t="inlineStr">
        <is>
          <t>DIRECCION COMERCIAL MONTERREY 2</t>
        </is>
      </c>
      <c r="S740" t="n">
        <v>41504</v>
      </c>
      <c r="T740" t="inlineStr">
        <is>
          <t>SUBDIRECCION COMERCIAL MONTERREY 8</t>
        </is>
      </c>
      <c r="U740" t="n">
        <v>415040</v>
      </c>
      <c r="V740" t="inlineStr">
        <is>
          <t>SUBDIRECCION COMERCIAL MONTERREY 8</t>
        </is>
      </c>
      <c r="W740" t="n">
        <v>126102</v>
      </c>
      <c r="X740" t="inlineStr">
        <is>
          <t>VALLE ORIENTE</t>
        </is>
      </c>
      <c r="Y740" t="n">
        <v>3</v>
      </c>
      <c r="Z740" t="inlineStr">
        <is>
          <t>CAMBIARIO</t>
        </is>
      </c>
      <c r="AA740" t="n">
        <v>1</v>
      </c>
      <c r="AB740" t="inlineStr">
        <is>
          <t>NEGOCIO EN MARCHA</t>
        </is>
      </c>
      <c r="AC740" t="n">
        <v>1</v>
      </c>
      <c r="AD740" t="inlineStr">
        <is>
          <t>BANCO</t>
        </is>
      </c>
      <c r="AE740" t="n">
        <v>3</v>
      </c>
      <c r="AF740" t="inlineStr">
        <is>
          <t>FRONT</t>
        </is>
      </c>
      <c r="AG740" t="n">
        <v>126102</v>
      </c>
      <c r="AH740" t="inlineStr">
        <is>
          <t>MONTERREY</t>
        </is>
      </c>
      <c r="AI740" t="inlineStr">
        <is>
          <t>VCASTANEDA@BANCOBASE.COM</t>
        </is>
      </c>
      <c r="AJ740" s="151" t="n">
        <v>45946</v>
      </c>
      <c r="AK740" s="151" t="n"/>
      <c r="AL740" s="151" t="n"/>
    </row>
    <row r="741" hidden="1" s="150">
      <c r="A741" t="inlineStr">
        <is>
          <t>NHERNANDEZ</t>
        </is>
      </c>
      <c r="B741" t="n">
        <v>2716</v>
      </c>
      <c r="C741" t="inlineStr">
        <is>
          <t>NADYA CRISTINA HERNANDEZ FUENTES</t>
        </is>
      </c>
      <c r="D741" t="n">
        <v>8929</v>
      </c>
      <c r="E741" t="inlineStr">
        <is>
          <t>ESPECIALISTA DE BANCA TRANSACCIONAL</t>
        </is>
      </c>
      <c r="F741" t="inlineStr">
        <is>
          <t>MONTERREY</t>
        </is>
      </c>
      <c r="G741" t="n">
        <v>3674</v>
      </c>
      <c r="H741" t="inlineStr">
        <is>
          <t>EDGAR ENRIQUEZ TENORIO</t>
        </is>
      </c>
      <c r="I741" t="n">
        <v>8308</v>
      </c>
      <c r="J741" t="inlineStr">
        <is>
          <t>SUBDIRECTOR COMERCIAL</t>
        </is>
      </c>
      <c r="K741" t="n">
        <v>1</v>
      </c>
      <c r="L741" t="inlineStr">
        <is>
          <t>PRESIDENCIA EJECUTIVA DEL CONSEJO</t>
        </is>
      </c>
      <c r="M741" t="n">
        <v>40</v>
      </c>
      <c r="N741" t="inlineStr">
        <is>
          <t>DIRECCION GENERAL BANCO BASE</t>
        </is>
      </c>
      <c r="O741" t="n">
        <v>410</v>
      </c>
      <c r="P741" t="inlineStr">
        <is>
          <t>DIRECCION COMERCIAL</t>
        </is>
      </c>
      <c r="Q741" t="n">
        <v>4580</v>
      </c>
      <c r="R741" t="inlineStr">
        <is>
          <t>DIRECCION COMERCIAL MONTERREY 2</t>
        </is>
      </c>
      <c r="S741" t="n">
        <v>41504</v>
      </c>
      <c r="T741" t="inlineStr">
        <is>
          <t>SUBDIRECCION COMERCIAL MONTERREY 8</t>
        </is>
      </c>
      <c r="U741" t="n">
        <v>415040</v>
      </c>
      <c r="V741" t="inlineStr">
        <is>
          <t>SUBDIRECCION COMERCIAL MONTERREY 8</t>
        </is>
      </c>
      <c r="W741" t="n">
        <v>126102</v>
      </c>
      <c r="X741" t="inlineStr">
        <is>
          <t>VALLE ORIENTE</t>
        </is>
      </c>
      <c r="Y741" t="n">
        <v>14</v>
      </c>
      <c r="Z741" t="inlineStr">
        <is>
          <t>TRANSACCIONAL</t>
        </is>
      </c>
      <c r="AA741" t="n">
        <v>1</v>
      </c>
      <c r="AB741" t="inlineStr">
        <is>
          <t>NEGOCIO EN MARCHA</t>
        </is>
      </c>
      <c r="AC741" t="n">
        <v>1</v>
      </c>
      <c r="AD741" t="inlineStr">
        <is>
          <t>BANCO</t>
        </is>
      </c>
      <c r="AE741" t="n">
        <v>3</v>
      </c>
      <c r="AF741" t="inlineStr">
        <is>
          <t>FRONT</t>
        </is>
      </c>
      <c r="AG741" t="n">
        <v>126102</v>
      </c>
      <c r="AH741" t="inlineStr">
        <is>
          <t>MONTERREY</t>
        </is>
      </c>
      <c r="AI741" t="inlineStr">
        <is>
          <t>NHERNANDEZ@BANCOBASE.COM</t>
        </is>
      </c>
      <c r="AJ741" s="151" t="n">
        <v>44789</v>
      </c>
      <c r="AK741" s="151" t="n"/>
      <c r="AL741" s="151" t="n"/>
    </row>
    <row r="742" hidden="1" s="150">
      <c r="A742" t="inlineStr">
        <is>
          <t>JCASTILLOS</t>
        </is>
      </c>
      <c r="B742" t="n">
        <v>1038</v>
      </c>
      <c r="C742" t="inlineStr">
        <is>
          <t>JUAN CARLOS CASTILLO SILVA</t>
        </is>
      </c>
      <c r="D742" t="n">
        <v>8394</v>
      </c>
      <c r="E742" t="inlineStr">
        <is>
          <t>DIRECTOR COMERCIAL BAJIO</t>
        </is>
      </c>
      <c r="F742" t="inlineStr">
        <is>
          <t>SAN LUIS POTOSI</t>
        </is>
      </c>
      <c r="G742" t="n">
        <v>538</v>
      </c>
      <c r="H742" t="inlineStr">
        <is>
          <t>LUIS NICOLAS EGUIARTE CORONA</t>
        </is>
      </c>
      <c r="I742" t="n">
        <v>8232</v>
      </c>
      <c r="J742" t="inlineStr">
        <is>
          <t>DIRECTOR DE ATRACCION Y VENTAS</t>
        </is>
      </c>
      <c r="K742" t="n">
        <v>1</v>
      </c>
      <c r="L742" t="inlineStr">
        <is>
          <t>PRESIDENCIA EJECUTIVA DEL CONSEJO</t>
        </is>
      </c>
      <c r="M742" t="n">
        <v>40</v>
      </c>
      <c r="N742" t="inlineStr">
        <is>
          <t>DIRECCION GENERAL BANCO BASE</t>
        </is>
      </c>
      <c r="O742" t="n">
        <v>410</v>
      </c>
      <c r="P742" t="inlineStr">
        <is>
          <t>DIRECCION COMERCIAL</t>
        </is>
      </c>
      <c r="Q742" t="n">
        <v>4160</v>
      </c>
      <c r="R742" t="inlineStr">
        <is>
          <t>DIRECCION COMERCIAL BAJIO</t>
        </is>
      </c>
      <c r="S742" t="n">
        <v>41600</v>
      </c>
      <c r="T742" t="inlineStr">
        <is>
          <t>DIRECCION COMERCIAL BAJIO</t>
        </is>
      </c>
      <c r="U742" t="n">
        <v>416000</v>
      </c>
      <c r="V742" t="inlineStr">
        <is>
          <t>DIRECCION COMERCIAL BAJIO</t>
        </is>
      </c>
      <c r="W742" t="n">
        <v>126130</v>
      </c>
      <c r="X742" t="inlineStr">
        <is>
          <t>SAN LUIS POTOSI</t>
        </is>
      </c>
      <c r="Y742" t="n">
        <v>3</v>
      </c>
      <c r="Z742" t="inlineStr">
        <is>
          <t>CAMBIARIO</t>
        </is>
      </c>
      <c r="AA742" t="n">
        <v>1</v>
      </c>
      <c r="AB742" t="inlineStr">
        <is>
          <t>NEGOCIO EN MARCHA</t>
        </is>
      </c>
      <c r="AC742" t="n">
        <v>1</v>
      </c>
      <c r="AD742" t="inlineStr">
        <is>
          <t>BANCO</t>
        </is>
      </c>
      <c r="AE742" t="n">
        <v>3</v>
      </c>
      <c r="AF742" t="inlineStr">
        <is>
          <t>FRONT</t>
        </is>
      </c>
      <c r="AG742" t="n">
        <v>126130</v>
      </c>
      <c r="AH742" t="inlineStr">
        <is>
          <t>SAN LUIS POTOSI</t>
        </is>
      </c>
      <c r="AI742" t="inlineStr">
        <is>
          <t>JCASTILLOS@BANCOBASE.COM</t>
        </is>
      </c>
      <c r="AJ742" s="151" t="n">
        <v>41456</v>
      </c>
      <c r="AK742" s="151" t="n"/>
      <c r="AL742" s="151" t="n"/>
    </row>
    <row r="743" hidden="1" s="150">
      <c r="A743" t="inlineStr">
        <is>
          <t>MDELAROSA</t>
        </is>
      </c>
      <c r="B743" t="n">
        <v>3528</v>
      </c>
      <c r="C743" t="inlineStr">
        <is>
          <t>MONICA ALEJANDRA DE LA ROSA LIMON</t>
        </is>
      </c>
      <c r="D743" t="n">
        <v>8747</v>
      </c>
      <c r="E743" t="inlineStr">
        <is>
          <t>ASESOR CAMBIARIO</t>
        </is>
      </c>
      <c r="F743" t="inlineStr">
        <is>
          <t>SAN LUIS POTOSI</t>
        </is>
      </c>
      <c r="G743" t="n">
        <v>1038</v>
      </c>
      <c r="H743" t="inlineStr">
        <is>
          <t>JUAN CARLOS CASTILLO SILVA</t>
        </is>
      </c>
      <c r="I743" t="n">
        <v>8394</v>
      </c>
      <c r="J743" t="inlineStr">
        <is>
          <t>DIRECTOR COMERCIAL BAJIO</t>
        </is>
      </c>
      <c r="K743" t="n">
        <v>1</v>
      </c>
      <c r="L743" t="inlineStr">
        <is>
          <t>PRESIDENCIA EJECUTIVA DEL CONSEJO</t>
        </is>
      </c>
      <c r="M743" t="n">
        <v>40</v>
      </c>
      <c r="N743" t="inlineStr">
        <is>
          <t>DIRECCION GENERAL BANCO BASE</t>
        </is>
      </c>
      <c r="O743" t="n">
        <v>410</v>
      </c>
      <c r="P743" t="inlineStr">
        <is>
          <t>DIRECCION COMERCIAL</t>
        </is>
      </c>
      <c r="Q743" t="n">
        <v>4160</v>
      </c>
      <c r="R743" t="inlineStr">
        <is>
          <t>DIRECCION COMERCIAL BAJIO</t>
        </is>
      </c>
      <c r="S743" t="n">
        <v>41603</v>
      </c>
      <c r="T743" t="inlineStr">
        <is>
          <t>DIRECCION OFICINA SAN LUIS POTOSI</t>
        </is>
      </c>
      <c r="U743" t="n">
        <v>416030</v>
      </c>
      <c r="V743" t="inlineStr">
        <is>
          <t>DIRECCION OFICINA SAN LUIS POTOSI</t>
        </is>
      </c>
      <c r="W743" t="n">
        <v>126130</v>
      </c>
      <c r="X743" t="inlineStr">
        <is>
          <t>SAN LUIS POTOSI</t>
        </is>
      </c>
      <c r="Y743" t="n">
        <v>3</v>
      </c>
      <c r="Z743" t="inlineStr">
        <is>
          <t>CAMBIARIO</t>
        </is>
      </c>
      <c r="AA743" t="n">
        <v>1</v>
      </c>
      <c r="AB743" t="inlineStr">
        <is>
          <t>NEGOCIO EN MARCHA</t>
        </is>
      </c>
      <c r="AC743" t="n">
        <v>1</v>
      </c>
      <c r="AD743" t="inlineStr">
        <is>
          <t>BANCO</t>
        </is>
      </c>
      <c r="AE743" t="n">
        <v>3</v>
      </c>
      <c r="AF743" t="inlineStr">
        <is>
          <t>FRONT</t>
        </is>
      </c>
      <c r="AG743" t="n">
        <v>126130</v>
      </c>
      <c r="AH743" t="inlineStr">
        <is>
          <t>SAN LUIS POTOSI</t>
        </is>
      </c>
      <c r="AI743" t="inlineStr">
        <is>
          <t>MDELAROSA@BANCOBASE.COM</t>
        </is>
      </c>
      <c r="AJ743" s="151" t="n">
        <v>45887</v>
      </c>
      <c r="AK743" s="151" t="n"/>
      <c r="AL743" s="151" t="n"/>
    </row>
    <row r="744" hidden="1" s="150">
      <c r="A744" t="inlineStr">
        <is>
          <t>CMELIH</t>
        </is>
      </c>
      <c r="B744" t="n">
        <v>3324</v>
      </c>
      <c r="C744" t="inlineStr">
        <is>
          <t>CAROLINA MELIH HERNANDEZ</t>
        </is>
      </c>
      <c r="D744" t="n">
        <v>9857</v>
      </c>
      <c r="E744" t="inlineStr">
        <is>
          <t>DIRECTOR DE OFICINA LEON</t>
        </is>
      </c>
      <c r="F744" t="inlineStr">
        <is>
          <t>LEON</t>
        </is>
      </c>
      <c r="G744" t="n">
        <v>1038</v>
      </c>
      <c r="H744" t="inlineStr">
        <is>
          <t>JUAN CARLOS CASTILLO SILVA</t>
        </is>
      </c>
      <c r="I744" t="n">
        <v>8394</v>
      </c>
      <c r="J744" t="inlineStr">
        <is>
          <t>DIRECTOR COMERCIAL BAJIO</t>
        </is>
      </c>
      <c r="K744" t="n">
        <v>1</v>
      </c>
      <c r="L744" t="inlineStr">
        <is>
          <t>PRESIDENCIA EJECUTIVA DEL CONSEJO</t>
        </is>
      </c>
      <c r="M744" t="n">
        <v>40</v>
      </c>
      <c r="N744" t="inlineStr">
        <is>
          <t>DIRECCION GENERAL BANCO BASE</t>
        </is>
      </c>
      <c r="O744" t="n">
        <v>410</v>
      </c>
      <c r="P744" t="inlineStr">
        <is>
          <t>DIRECCION COMERCIAL</t>
        </is>
      </c>
      <c r="Q744" t="n">
        <v>4160</v>
      </c>
      <c r="R744" t="inlineStr">
        <is>
          <t>DIRECCION COMERCIAL BAJIO</t>
        </is>
      </c>
      <c r="S744" t="n">
        <v>41602</v>
      </c>
      <c r="T744" t="inlineStr">
        <is>
          <t>DIRECCION OFICINA LEON</t>
        </is>
      </c>
      <c r="U744" t="n">
        <v>416020</v>
      </c>
      <c r="V744" t="inlineStr">
        <is>
          <t>DIRECCION OFICINA LEON</t>
        </is>
      </c>
      <c r="W744" t="n">
        <v>126128</v>
      </c>
      <c r="X744" t="inlineStr">
        <is>
          <t>LEON</t>
        </is>
      </c>
      <c r="Y744" t="n">
        <v>3</v>
      </c>
      <c r="Z744" t="inlineStr">
        <is>
          <t>CAMBIARIO</t>
        </is>
      </c>
      <c r="AA744" t="n">
        <v>1</v>
      </c>
      <c r="AB744" t="inlineStr">
        <is>
          <t>NEGOCIO EN MARCHA</t>
        </is>
      </c>
      <c r="AC744" t="n">
        <v>1</v>
      </c>
      <c r="AD744" t="inlineStr">
        <is>
          <t>BANCO</t>
        </is>
      </c>
      <c r="AE744" t="n">
        <v>3</v>
      </c>
      <c r="AF744" t="inlineStr">
        <is>
          <t>FRONT</t>
        </is>
      </c>
      <c r="AG744" t="n">
        <v>126128</v>
      </c>
      <c r="AH744" t="inlineStr">
        <is>
          <t>LEON</t>
        </is>
      </c>
      <c r="AI744" t="inlineStr">
        <is>
          <t>CMELIH@BANCOBASE.COM</t>
        </is>
      </c>
      <c r="AJ744" s="151" t="n">
        <v>45673</v>
      </c>
      <c r="AK744" s="151" t="n"/>
      <c r="AL744" s="151" t="n"/>
    </row>
    <row r="745" hidden="1" s="150">
      <c r="A745" t="inlineStr">
        <is>
          <t>AHERNANDEJ</t>
        </is>
      </c>
      <c r="B745" t="n">
        <v>3669</v>
      </c>
      <c r="C745" t="inlineStr">
        <is>
          <t>ADRIANA MARIA DE SAN JUAN HERNANDEZ JIMENEZ</t>
        </is>
      </c>
      <c r="D745" t="n">
        <v>8614</v>
      </c>
      <c r="E745" t="inlineStr">
        <is>
          <t>ASESOR CAMBIARIO</t>
        </is>
      </c>
      <c r="F745" t="inlineStr">
        <is>
          <t>LEON</t>
        </is>
      </c>
      <c r="G745" t="n">
        <v>3324</v>
      </c>
      <c r="H745" t="inlineStr">
        <is>
          <t>CAROLINA MELIH HERNANDEZ</t>
        </is>
      </c>
      <c r="I745" t="n">
        <v>9857</v>
      </c>
      <c r="J745" t="inlineStr">
        <is>
          <t>DIRECTOR DE OFICINA LEON</t>
        </is>
      </c>
      <c r="K745" t="n">
        <v>1</v>
      </c>
      <c r="L745" t="inlineStr">
        <is>
          <t>PRESIDENCIA EJECUTIVA DEL CONSEJO</t>
        </is>
      </c>
      <c r="M745" t="n">
        <v>40</v>
      </c>
      <c r="N745" t="inlineStr">
        <is>
          <t>DIRECCION GENERAL BANCO BASE</t>
        </is>
      </c>
      <c r="O745" t="n">
        <v>410</v>
      </c>
      <c r="P745" t="inlineStr">
        <is>
          <t>DIRECCION COMERCIAL</t>
        </is>
      </c>
      <c r="Q745" t="n">
        <v>4160</v>
      </c>
      <c r="R745" t="inlineStr">
        <is>
          <t>DIRECCION COMERCIAL BAJIO</t>
        </is>
      </c>
      <c r="S745" t="n">
        <v>41602</v>
      </c>
      <c r="T745" t="inlineStr">
        <is>
          <t>DIRECCION OFICINA LEON</t>
        </is>
      </c>
      <c r="U745" t="n">
        <v>416020</v>
      </c>
      <c r="V745" t="inlineStr">
        <is>
          <t>DIRECCION OFICINA LEON</t>
        </is>
      </c>
      <c r="W745" t="n">
        <v>126128</v>
      </c>
      <c r="X745" t="inlineStr">
        <is>
          <t>LEON</t>
        </is>
      </c>
      <c r="Y745" t="n">
        <v>3</v>
      </c>
      <c r="Z745" t="inlineStr">
        <is>
          <t>CAMBIARIO</t>
        </is>
      </c>
      <c r="AA745" t="n">
        <v>1</v>
      </c>
      <c r="AB745" t="inlineStr">
        <is>
          <t>NEGOCIO EN MARCHA</t>
        </is>
      </c>
      <c r="AC745" t="n">
        <v>1</v>
      </c>
      <c r="AD745" t="inlineStr">
        <is>
          <t>BANCO</t>
        </is>
      </c>
      <c r="AE745" t="n">
        <v>3</v>
      </c>
      <c r="AF745" t="inlineStr">
        <is>
          <t>FRONT</t>
        </is>
      </c>
      <c r="AG745" t="n">
        <v>126128</v>
      </c>
      <c r="AH745" t="inlineStr">
        <is>
          <t>LEON</t>
        </is>
      </c>
      <c r="AI745" t="inlineStr">
        <is>
          <t>AHERNANDEJ@BANCOBASE.COM</t>
        </is>
      </c>
      <c r="AJ745" s="151" t="n">
        <v>45971</v>
      </c>
      <c r="AK745" s="151" t="n"/>
      <c r="AL745" s="151" t="n"/>
    </row>
    <row r="746" hidden="1" s="150">
      <c r="A746" t="inlineStr">
        <is>
          <t>MMARTINEG</t>
        </is>
      </c>
      <c r="B746" t="n">
        <v>2953</v>
      </c>
      <c r="C746" t="inlineStr">
        <is>
          <t>MARCO ANTONIO MARTINEZ GONZALEZ</t>
        </is>
      </c>
      <c r="D746" t="n">
        <v>9861</v>
      </c>
      <c r="E746" t="inlineStr">
        <is>
          <t>ASESOR CAMBIARIO</t>
        </is>
      </c>
      <c r="F746" t="inlineStr">
        <is>
          <t>LEON</t>
        </is>
      </c>
      <c r="G746" t="n">
        <v>3324</v>
      </c>
      <c r="H746" t="inlineStr">
        <is>
          <t>CAROLINA MELIH HERNANDEZ</t>
        </is>
      </c>
      <c r="I746" t="n">
        <v>9857</v>
      </c>
      <c r="J746" t="inlineStr">
        <is>
          <t>DIRECTOR DE OFICINA LEON</t>
        </is>
      </c>
      <c r="K746" t="n">
        <v>1</v>
      </c>
      <c r="L746" t="inlineStr">
        <is>
          <t>PRESIDENCIA EJECUTIVA DEL CONSEJO</t>
        </is>
      </c>
      <c r="M746" t="n">
        <v>40</v>
      </c>
      <c r="N746" t="inlineStr">
        <is>
          <t>DIRECCION GENERAL BANCO BASE</t>
        </is>
      </c>
      <c r="O746" t="n">
        <v>410</v>
      </c>
      <c r="P746" t="inlineStr">
        <is>
          <t>DIRECCION COMERCIAL</t>
        </is>
      </c>
      <c r="Q746" t="n">
        <v>4160</v>
      </c>
      <c r="R746" t="inlineStr">
        <is>
          <t>DIRECCION COMERCIAL BAJIO</t>
        </is>
      </c>
      <c r="S746" t="n">
        <v>41602</v>
      </c>
      <c r="T746" t="inlineStr">
        <is>
          <t>DIRECCION OFICINA LEON</t>
        </is>
      </c>
      <c r="U746" t="n">
        <v>416020</v>
      </c>
      <c r="V746" t="inlineStr">
        <is>
          <t>DIRECCION OFICINA LEON</t>
        </is>
      </c>
      <c r="W746" t="n">
        <v>126128</v>
      </c>
      <c r="X746" t="inlineStr">
        <is>
          <t>LEON</t>
        </is>
      </c>
      <c r="Y746" t="n">
        <v>3</v>
      </c>
      <c r="Z746" t="inlineStr">
        <is>
          <t>CAMBIARIO</t>
        </is>
      </c>
      <c r="AA746" t="n">
        <v>1</v>
      </c>
      <c r="AB746" t="inlineStr">
        <is>
          <t>NEGOCIO EN MARCHA</t>
        </is>
      </c>
      <c r="AC746" t="n">
        <v>1</v>
      </c>
      <c r="AD746" t="inlineStr">
        <is>
          <t>BANCO</t>
        </is>
      </c>
      <c r="AE746" t="n">
        <v>3</v>
      </c>
      <c r="AF746" t="inlineStr">
        <is>
          <t>FRONT</t>
        </is>
      </c>
      <c r="AG746" t="n">
        <v>126128</v>
      </c>
      <c r="AH746" t="inlineStr">
        <is>
          <t>LEON</t>
        </is>
      </c>
      <c r="AI746" t="inlineStr">
        <is>
          <t>MMARTINEG@BANCOBASE.COM</t>
        </is>
      </c>
      <c r="AJ746" s="151" t="n">
        <v>45175</v>
      </c>
      <c r="AK746" s="151" t="n"/>
      <c r="AL746" s="151" t="n"/>
    </row>
    <row r="747" hidden="1" s="150">
      <c r="A747" t="inlineStr">
        <is>
          <t>DMARTINEH</t>
        </is>
      </c>
      <c r="B747" t="n">
        <v>3426</v>
      </c>
      <c r="C747" t="inlineStr">
        <is>
          <t>DENISSE ALEJANDRA MARTINEZ HERNANDEZ</t>
        </is>
      </c>
      <c r="D747" t="n">
        <v>8304</v>
      </c>
      <c r="E747" t="inlineStr">
        <is>
          <t>ASESOR CAMBIARIO</t>
        </is>
      </c>
      <c r="F747" t="inlineStr">
        <is>
          <t>LEON</t>
        </is>
      </c>
      <c r="G747" t="n">
        <v>3324</v>
      </c>
      <c r="H747" t="inlineStr">
        <is>
          <t>CAROLINA MELIH HERNANDEZ</t>
        </is>
      </c>
      <c r="I747" t="n">
        <v>9857</v>
      </c>
      <c r="J747" t="inlineStr">
        <is>
          <t>DIRECTOR DE OFICINA LEON</t>
        </is>
      </c>
      <c r="K747" t="n">
        <v>1</v>
      </c>
      <c r="L747" t="inlineStr">
        <is>
          <t>PRESIDENCIA EJECUTIVA DEL CONSEJO</t>
        </is>
      </c>
      <c r="M747" t="n">
        <v>40</v>
      </c>
      <c r="N747" t="inlineStr">
        <is>
          <t>DIRECCION GENERAL BANCO BASE</t>
        </is>
      </c>
      <c r="O747" t="n">
        <v>410</v>
      </c>
      <c r="P747" t="inlineStr">
        <is>
          <t>DIRECCION COMERCIAL</t>
        </is>
      </c>
      <c r="Q747" t="n">
        <v>4160</v>
      </c>
      <c r="R747" t="inlineStr">
        <is>
          <t>DIRECCION COMERCIAL BAJIO</t>
        </is>
      </c>
      <c r="S747" t="n">
        <v>41602</v>
      </c>
      <c r="T747" t="inlineStr">
        <is>
          <t>DIRECCION OFICINA LEON</t>
        </is>
      </c>
      <c r="U747" t="n">
        <v>416020</v>
      </c>
      <c r="V747" t="inlineStr">
        <is>
          <t>DIRECCION OFICINA LEON</t>
        </is>
      </c>
      <c r="W747" t="n">
        <v>126128</v>
      </c>
      <c r="X747" t="inlineStr">
        <is>
          <t>LEON</t>
        </is>
      </c>
      <c r="Y747" t="n">
        <v>3</v>
      </c>
      <c r="Z747" t="inlineStr">
        <is>
          <t>CAMBIARIO</t>
        </is>
      </c>
      <c r="AA747" t="n">
        <v>1</v>
      </c>
      <c r="AB747" t="inlineStr">
        <is>
          <t>NEGOCIO EN MARCHA</t>
        </is>
      </c>
      <c r="AC747" t="n">
        <v>1</v>
      </c>
      <c r="AD747" t="inlineStr">
        <is>
          <t>BANCO</t>
        </is>
      </c>
      <c r="AE747" t="n">
        <v>3</v>
      </c>
      <c r="AF747" t="inlineStr">
        <is>
          <t>FRONT</t>
        </is>
      </c>
      <c r="AG747" t="n">
        <v>126128</v>
      </c>
      <c r="AH747" t="inlineStr">
        <is>
          <t>LEON</t>
        </is>
      </c>
      <c r="AI747" t="inlineStr">
        <is>
          <t>DMARTINEH@BANCOBASE.COM</t>
        </is>
      </c>
      <c r="AJ747" s="151" t="n">
        <v>45782</v>
      </c>
      <c r="AK747" s="151" t="n"/>
      <c r="AL747" s="151" t="n"/>
    </row>
    <row r="748" hidden="1" s="150">
      <c r="A748" t="inlineStr">
        <is>
          <t>CACOSTA</t>
        </is>
      </c>
      <c r="B748" t="n">
        <v>3415</v>
      </c>
      <c r="C748" t="inlineStr">
        <is>
          <t>CARLOS ACOSTA HERRERA</t>
        </is>
      </c>
      <c r="D748" t="n">
        <v>9858</v>
      </c>
      <c r="E748" t="inlineStr">
        <is>
          <t>ASESOR CAMBIARIO</t>
        </is>
      </c>
      <c r="F748" t="inlineStr">
        <is>
          <t>LEON</t>
        </is>
      </c>
      <c r="G748" t="n">
        <v>3324</v>
      </c>
      <c r="H748" t="inlineStr">
        <is>
          <t>CAROLINA MELIH HERNANDEZ</t>
        </is>
      </c>
      <c r="I748" t="n">
        <v>9857</v>
      </c>
      <c r="J748" t="inlineStr">
        <is>
          <t>DIRECTOR DE OFICINA LEON</t>
        </is>
      </c>
      <c r="K748" t="n">
        <v>1</v>
      </c>
      <c r="L748" t="inlineStr">
        <is>
          <t>PRESIDENCIA EJECUTIVA DEL CONSEJO</t>
        </is>
      </c>
      <c r="M748" t="n">
        <v>40</v>
      </c>
      <c r="N748" t="inlineStr">
        <is>
          <t>DIRECCION GENERAL BANCO BASE</t>
        </is>
      </c>
      <c r="O748" t="n">
        <v>410</v>
      </c>
      <c r="P748" t="inlineStr">
        <is>
          <t>DIRECCION COMERCIAL</t>
        </is>
      </c>
      <c r="Q748" t="n">
        <v>4160</v>
      </c>
      <c r="R748" t="inlineStr">
        <is>
          <t>DIRECCION COMERCIAL BAJIO</t>
        </is>
      </c>
      <c r="S748" t="n">
        <v>41602</v>
      </c>
      <c r="T748" t="inlineStr">
        <is>
          <t>DIRECCION OFICINA LEON</t>
        </is>
      </c>
      <c r="U748" t="n">
        <v>416020</v>
      </c>
      <c r="V748" t="inlineStr">
        <is>
          <t>DIRECCION OFICINA LEON</t>
        </is>
      </c>
      <c r="W748" t="n">
        <v>126128</v>
      </c>
      <c r="X748" t="inlineStr">
        <is>
          <t>LEON</t>
        </is>
      </c>
      <c r="Y748" t="n">
        <v>3</v>
      </c>
      <c r="Z748" t="inlineStr">
        <is>
          <t>CAMBIARIO</t>
        </is>
      </c>
      <c r="AA748" t="n">
        <v>1</v>
      </c>
      <c r="AB748" t="inlineStr">
        <is>
          <t>NEGOCIO EN MARCHA</t>
        </is>
      </c>
      <c r="AC748" t="n">
        <v>1</v>
      </c>
      <c r="AD748" t="inlineStr">
        <is>
          <t>BANCO</t>
        </is>
      </c>
      <c r="AE748" t="n">
        <v>3</v>
      </c>
      <c r="AF748" t="inlineStr">
        <is>
          <t>FRONT</t>
        </is>
      </c>
      <c r="AG748" t="n">
        <v>126128</v>
      </c>
      <c r="AH748" t="inlineStr">
        <is>
          <t>LEON</t>
        </is>
      </c>
      <c r="AI748" t="inlineStr">
        <is>
          <t>CACOSTA@BANCOBASE.COM</t>
        </is>
      </c>
      <c r="AJ748" s="151" t="n">
        <v>45768</v>
      </c>
      <c r="AK748" s="151" t="n"/>
      <c r="AL748" s="151" t="n"/>
    </row>
    <row r="749" hidden="1" s="150">
      <c r="A749" t="inlineStr">
        <is>
          <t>MPEREZA</t>
        </is>
      </c>
      <c r="B749" t="n">
        <v>2757</v>
      </c>
      <c r="C749" t="inlineStr">
        <is>
          <t>MARIA JOSE PEREZ AGUERREBERE</t>
        </is>
      </c>
      <c r="D749" t="n">
        <v>8013</v>
      </c>
      <c r="E749" t="inlineStr">
        <is>
          <t>ASESOR CAMBIARIO</t>
        </is>
      </c>
      <c r="F749" t="inlineStr">
        <is>
          <t>LEON</t>
        </is>
      </c>
      <c r="G749" t="n">
        <v>3324</v>
      </c>
      <c r="H749" t="inlineStr">
        <is>
          <t>CAROLINA MELIH HERNANDEZ</t>
        </is>
      </c>
      <c r="I749" t="n">
        <v>9857</v>
      </c>
      <c r="J749" t="inlineStr">
        <is>
          <t>DIRECTOR DE OFICINA LEON</t>
        </is>
      </c>
      <c r="K749" t="n">
        <v>1</v>
      </c>
      <c r="L749" t="inlineStr">
        <is>
          <t>PRESIDENCIA EJECUTIVA DEL CONSEJO</t>
        </is>
      </c>
      <c r="M749" t="n">
        <v>40</v>
      </c>
      <c r="N749" t="inlineStr">
        <is>
          <t>DIRECCION GENERAL BANCO BASE</t>
        </is>
      </c>
      <c r="O749" t="n">
        <v>410</v>
      </c>
      <c r="P749" t="inlineStr">
        <is>
          <t>DIRECCION COMERCIAL</t>
        </is>
      </c>
      <c r="Q749" t="n">
        <v>4160</v>
      </c>
      <c r="R749" t="inlineStr">
        <is>
          <t>DIRECCION COMERCIAL BAJIO</t>
        </is>
      </c>
      <c r="S749" t="n">
        <v>41602</v>
      </c>
      <c r="T749" t="inlineStr">
        <is>
          <t>DIRECCION OFICINA LEON</t>
        </is>
      </c>
      <c r="U749" t="n">
        <v>416020</v>
      </c>
      <c r="V749" t="inlineStr">
        <is>
          <t>DIRECCION OFICINA LEON</t>
        </is>
      </c>
      <c r="W749" t="n">
        <v>126128</v>
      </c>
      <c r="X749" t="inlineStr">
        <is>
          <t>LEON</t>
        </is>
      </c>
      <c r="Y749" t="n">
        <v>3</v>
      </c>
      <c r="Z749" t="inlineStr">
        <is>
          <t>CAMBIARIO</t>
        </is>
      </c>
      <c r="AA749" t="n">
        <v>1</v>
      </c>
      <c r="AB749" t="inlineStr">
        <is>
          <t>NEGOCIO EN MARCHA</t>
        </is>
      </c>
      <c r="AC749" t="n">
        <v>1</v>
      </c>
      <c r="AD749" t="inlineStr">
        <is>
          <t>BANCO</t>
        </is>
      </c>
      <c r="AE749" t="n">
        <v>3</v>
      </c>
      <c r="AF749" t="inlineStr">
        <is>
          <t>FRONT</t>
        </is>
      </c>
      <c r="AG749" t="n">
        <v>126128</v>
      </c>
      <c r="AH749" t="inlineStr">
        <is>
          <t>LEON</t>
        </is>
      </c>
      <c r="AI749" t="inlineStr">
        <is>
          <t>MPEREZA@BANCOBASE.COM</t>
        </is>
      </c>
      <c r="AJ749" s="151" t="n">
        <v>44851</v>
      </c>
      <c r="AK749" s="151" t="n"/>
      <c r="AL749" s="151" t="n"/>
    </row>
    <row r="750" hidden="1" s="150">
      <c r="A750" t="inlineStr">
        <is>
          <t>LMENDOZA</t>
        </is>
      </c>
      <c r="B750" t="n">
        <v>2442</v>
      </c>
      <c r="C750" t="inlineStr">
        <is>
          <t>LUZ MICHELLE BERIZU MENDOZA PACHECO</t>
        </is>
      </c>
      <c r="D750" t="n">
        <v>8007</v>
      </c>
      <c r="E750" t="inlineStr">
        <is>
          <t>ASESOR CAMBIARIO</t>
        </is>
      </c>
      <c r="F750" t="inlineStr">
        <is>
          <t>LEON</t>
        </is>
      </c>
      <c r="G750" t="n">
        <v>3324</v>
      </c>
      <c r="H750" t="inlineStr">
        <is>
          <t>CAROLINA MELIH HERNANDEZ</t>
        </is>
      </c>
      <c r="I750" t="n">
        <v>9857</v>
      </c>
      <c r="J750" t="inlineStr">
        <is>
          <t>DIRECTOR DE OFICINA LEON</t>
        </is>
      </c>
      <c r="K750" t="n">
        <v>1</v>
      </c>
      <c r="L750" t="inlineStr">
        <is>
          <t>PRESIDENCIA EJECUTIVA DEL CONSEJO</t>
        </is>
      </c>
      <c r="M750" t="n">
        <v>40</v>
      </c>
      <c r="N750" t="inlineStr">
        <is>
          <t>DIRECCION GENERAL BANCO BASE</t>
        </is>
      </c>
      <c r="O750" t="n">
        <v>410</v>
      </c>
      <c r="P750" t="inlineStr">
        <is>
          <t>DIRECCION COMERCIAL</t>
        </is>
      </c>
      <c r="Q750" t="n">
        <v>4160</v>
      </c>
      <c r="R750" t="inlineStr">
        <is>
          <t>DIRECCION COMERCIAL BAJIO</t>
        </is>
      </c>
      <c r="S750" t="n">
        <v>41602</v>
      </c>
      <c r="T750" t="inlineStr">
        <is>
          <t>DIRECCION OFICINA LEON</t>
        </is>
      </c>
      <c r="U750" t="n">
        <v>416020</v>
      </c>
      <c r="V750" t="inlineStr">
        <is>
          <t>DIRECCION OFICINA LEON</t>
        </is>
      </c>
      <c r="W750" t="n">
        <v>126128</v>
      </c>
      <c r="X750" t="inlineStr">
        <is>
          <t>LEON</t>
        </is>
      </c>
      <c r="Y750" t="n">
        <v>3</v>
      </c>
      <c r="Z750" t="inlineStr">
        <is>
          <t>CAMBIARIO</t>
        </is>
      </c>
      <c r="AA750" t="n">
        <v>1</v>
      </c>
      <c r="AB750" t="inlineStr">
        <is>
          <t>NEGOCIO EN MARCHA</t>
        </is>
      </c>
      <c r="AC750" t="n">
        <v>1</v>
      </c>
      <c r="AD750" t="inlineStr">
        <is>
          <t>BANCO</t>
        </is>
      </c>
      <c r="AE750" t="n">
        <v>3</v>
      </c>
      <c r="AF750" t="inlineStr">
        <is>
          <t>FRONT</t>
        </is>
      </c>
      <c r="AG750" t="n">
        <v>126128</v>
      </c>
      <c r="AH750" t="inlineStr">
        <is>
          <t>LEON</t>
        </is>
      </c>
      <c r="AI750" t="inlineStr">
        <is>
          <t>LMENDOZA@BANCOBASE.COM</t>
        </is>
      </c>
      <c r="AJ750" s="151" t="n">
        <v>44130</v>
      </c>
      <c r="AK750" s="151" t="n"/>
      <c r="AL750" s="151" t="n"/>
    </row>
    <row r="751" hidden="1" s="150">
      <c r="A751" t="inlineStr">
        <is>
          <t>ERIVERA</t>
        </is>
      </c>
      <c r="B751" t="n">
        <v>3461</v>
      </c>
      <c r="C751" t="inlineStr">
        <is>
          <t>JESUS EDUARDO RIVERA ZARATE</t>
        </is>
      </c>
      <c r="D751" t="n">
        <v>9859</v>
      </c>
      <c r="E751" t="inlineStr">
        <is>
          <t>ESPECIALISTA DE FINANCIAMIENTO</t>
        </is>
      </c>
      <c r="F751" t="inlineStr">
        <is>
          <t>LEON</t>
        </is>
      </c>
      <c r="G751" t="n">
        <v>3324</v>
      </c>
      <c r="H751" t="inlineStr">
        <is>
          <t>CAROLINA MELIH HERNANDEZ</t>
        </is>
      </c>
      <c r="I751" t="n">
        <v>9857</v>
      </c>
      <c r="J751" t="inlineStr">
        <is>
          <t>DIRECTOR DE OFICINA LEON</t>
        </is>
      </c>
      <c r="K751" t="n">
        <v>1</v>
      </c>
      <c r="L751" t="inlineStr">
        <is>
          <t>PRESIDENCIA EJECUTIVA DEL CONSEJO</t>
        </is>
      </c>
      <c r="M751" t="n">
        <v>40</v>
      </c>
      <c r="N751" t="inlineStr">
        <is>
          <t>DIRECCION GENERAL BANCO BASE</t>
        </is>
      </c>
      <c r="O751" t="n">
        <v>410</v>
      </c>
      <c r="P751" t="inlineStr">
        <is>
          <t>DIRECCION COMERCIAL</t>
        </is>
      </c>
      <c r="Q751" t="n">
        <v>4160</v>
      </c>
      <c r="R751" t="inlineStr">
        <is>
          <t>DIRECCION COMERCIAL BAJIO</t>
        </is>
      </c>
      <c r="S751" t="n">
        <v>41602</v>
      </c>
      <c r="T751" t="inlineStr">
        <is>
          <t>DIRECCION OFICINA LEON</t>
        </is>
      </c>
      <c r="U751" t="n">
        <v>416020</v>
      </c>
      <c r="V751" t="inlineStr">
        <is>
          <t>DIRECCION OFICINA LEON</t>
        </is>
      </c>
      <c r="W751" t="n">
        <v>126128</v>
      </c>
      <c r="X751" t="inlineStr">
        <is>
          <t>LEON</t>
        </is>
      </c>
      <c r="Y751" t="n">
        <v>13</v>
      </c>
      <c r="Z751" t="inlineStr">
        <is>
          <t>FINANCIAMIENTO</t>
        </is>
      </c>
      <c r="AA751" t="n">
        <v>1</v>
      </c>
      <c r="AB751" t="inlineStr">
        <is>
          <t>NEGOCIO EN MARCHA</t>
        </is>
      </c>
      <c r="AC751" t="n">
        <v>1</v>
      </c>
      <c r="AD751" t="inlineStr">
        <is>
          <t>BANCO</t>
        </is>
      </c>
      <c r="AE751" t="n">
        <v>3</v>
      </c>
      <c r="AF751" t="inlineStr">
        <is>
          <t>FRONT</t>
        </is>
      </c>
      <c r="AG751" t="n">
        <v>126128</v>
      </c>
      <c r="AH751" t="inlineStr">
        <is>
          <t>LEON</t>
        </is>
      </c>
      <c r="AI751" t="inlineStr">
        <is>
          <t>ERIVERA@BANCOBASE.COM</t>
        </is>
      </c>
      <c r="AJ751" s="151" t="n">
        <v>45824</v>
      </c>
      <c r="AK751" s="151" t="n"/>
      <c r="AL751" s="151" t="n"/>
    </row>
    <row r="752" hidden="1" s="150">
      <c r="A752" t="inlineStr">
        <is>
          <t>LHERNANDEC</t>
        </is>
      </c>
      <c r="B752" t="n">
        <v>2004</v>
      </c>
      <c r="C752" t="inlineStr">
        <is>
          <t>LIZBET HERNANDEZ CISNEROS</t>
        </is>
      </c>
      <c r="D752" t="n">
        <v>10052</v>
      </c>
      <c r="E752" t="inlineStr">
        <is>
          <t>EJECUTIVO DE SOPORTE</t>
        </is>
      </c>
      <c r="F752" t="inlineStr">
        <is>
          <t>LEON</t>
        </is>
      </c>
      <c r="G752" t="n">
        <v>3324</v>
      </c>
      <c r="H752" t="inlineStr">
        <is>
          <t>CAROLINA MELIH HERNANDEZ</t>
        </is>
      </c>
      <c r="I752" t="n">
        <v>9857</v>
      </c>
      <c r="J752" t="inlineStr">
        <is>
          <t>DIRECTOR DE OFICINA LEON</t>
        </is>
      </c>
      <c r="K752" t="n">
        <v>1</v>
      </c>
      <c r="L752" t="inlineStr">
        <is>
          <t>PRESIDENCIA EJECUTIVA DEL CONSEJO</t>
        </is>
      </c>
      <c r="M752" t="n">
        <v>40</v>
      </c>
      <c r="N752" t="inlineStr">
        <is>
          <t>DIRECCION GENERAL BANCO BASE</t>
        </is>
      </c>
      <c r="O752" t="n">
        <v>410</v>
      </c>
      <c r="P752" t="inlineStr">
        <is>
          <t>DIRECCION COMERCIAL</t>
        </is>
      </c>
      <c r="Q752" t="n">
        <v>4160</v>
      </c>
      <c r="R752" t="inlineStr">
        <is>
          <t>DIRECCION COMERCIAL BAJIO</t>
        </is>
      </c>
      <c r="S752" t="n">
        <v>41602</v>
      </c>
      <c r="T752" t="inlineStr">
        <is>
          <t>DIRECCION OFICINA LEON</t>
        </is>
      </c>
      <c r="U752" t="n">
        <v>416020</v>
      </c>
      <c r="V752" t="inlineStr">
        <is>
          <t>DIRECCION OFICINA LEON</t>
        </is>
      </c>
      <c r="W752" t="n">
        <v>126128</v>
      </c>
      <c r="X752" t="inlineStr">
        <is>
          <t>LEON</t>
        </is>
      </c>
      <c r="Y752" t="n">
        <v>17</v>
      </c>
      <c r="Z752" t="inlineStr">
        <is>
          <t>SOPORTE</t>
        </is>
      </c>
      <c r="AA752" t="n">
        <v>1</v>
      </c>
      <c r="AB752" t="inlineStr">
        <is>
          <t>NEGOCIO EN MARCHA</t>
        </is>
      </c>
      <c r="AC752" t="n">
        <v>1</v>
      </c>
      <c r="AD752" t="inlineStr">
        <is>
          <t>BANCO</t>
        </is>
      </c>
      <c r="AE752" t="n">
        <v>2</v>
      </c>
      <c r="AF752" t="inlineStr">
        <is>
          <t>MIDDLE</t>
        </is>
      </c>
      <c r="AG752" t="n">
        <v>126128</v>
      </c>
      <c r="AH752" t="inlineStr">
        <is>
          <t>LEON</t>
        </is>
      </c>
      <c r="AI752" t="inlineStr">
        <is>
          <t>LHERNANDEC@BANCOBASE.COM</t>
        </is>
      </c>
      <c r="AJ752" s="151" t="n">
        <v>43227</v>
      </c>
      <c r="AK752" s="151" t="n"/>
      <c r="AL752" s="151" t="n"/>
    </row>
    <row r="753" hidden="1" s="150">
      <c r="A753" t="inlineStr">
        <is>
          <t>GRUVALCAB</t>
        </is>
      </c>
      <c r="B753" t="n">
        <v>3358</v>
      </c>
      <c r="C753" t="inlineStr">
        <is>
          <t>GABRIELA GUADALUPE RUVALCABA LOPEZ</t>
        </is>
      </c>
      <c r="D753" t="n">
        <v>9207</v>
      </c>
      <c r="E753" t="inlineStr">
        <is>
          <t>ASISTENTE CAMBIARIO</t>
        </is>
      </c>
      <c r="F753" t="inlineStr">
        <is>
          <t>LEON</t>
        </is>
      </c>
      <c r="G753" t="n">
        <v>3324</v>
      </c>
      <c r="H753" t="inlineStr">
        <is>
          <t>CAROLINA MELIH HERNANDEZ</t>
        </is>
      </c>
      <c r="I753" t="n">
        <v>9857</v>
      </c>
      <c r="J753" t="inlineStr">
        <is>
          <t>DIRECTOR DE OFICINA LEON</t>
        </is>
      </c>
      <c r="K753" t="n">
        <v>1</v>
      </c>
      <c r="L753" t="inlineStr">
        <is>
          <t>PRESIDENCIA EJECUTIVA DEL CONSEJO</t>
        </is>
      </c>
      <c r="M753" t="n">
        <v>40</v>
      </c>
      <c r="N753" t="inlineStr">
        <is>
          <t>DIRECCION GENERAL BANCO BASE</t>
        </is>
      </c>
      <c r="O753" t="n">
        <v>410</v>
      </c>
      <c r="P753" t="inlineStr">
        <is>
          <t>DIRECCION COMERCIAL</t>
        </is>
      </c>
      <c r="Q753" t="n">
        <v>4160</v>
      </c>
      <c r="R753" t="inlineStr">
        <is>
          <t>DIRECCION COMERCIAL BAJIO</t>
        </is>
      </c>
      <c r="S753" t="n">
        <v>41602</v>
      </c>
      <c r="T753" t="inlineStr">
        <is>
          <t>DIRECCION OFICINA LEON</t>
        </is>
      </c>
      <c r="U753" t="n">
        <v>416020</v>
      </c>
      <c r="V753" t="inlineStr">
        <is>
          <t>DIRECCION OFICINA LEON</t>
        </is>
      </c>
      <c r="W753" t="n">
        <v>126128</v>
      </c>
      <c r="X753" t="inlineStr">
        <is>
          <t>LEON</t>
        </is>
      </c>
      <c r="Y753" t="n">
        <v>3</v>
      </c>
      <c r="Z753" t="inlineStr">
        <is>
          <t>CAMBIARIO</t>
        </is>
      </c>
      <c r="AA753" t="n">
        <v>1</v>
      </c>
      <c r="AB753" t="inlineStr">
        <is>
          <t>NEGOCIO EN MARCHA</t>
        </is>
      </c>
      <c r="AC753" t="n">
        <v>1</v>
      </c>
      <c r="AD753" t="inlineStr">
        <is>
          <t>BANCO</t>
        </is>
      </c>
      <c r="AE753" t="n">
        <v>2</v>
      </c>
      <c r="AF753" t="inlineStr">
        <is>
          <t>MIDDLE</t>
        </is>
      </c>
      <c r="AG753" t="n">
        <v>126128</v>
      </c>
      <c r="AH753" t="inlineStr">
        <is>
          <t>LEON</t>
        </is>
      </c>
      <c r="AI753" t="inlineStr">
        <is>
          <t>GRUVALCAB@BANCOBASE.COM</t>
        </is>
      </c>
      <c r="AJ753" s="151" t="n">
        <v>45719</v>
      </c>
      <c r="AK753" s="151" t="n"/>
      <c r="AL753" s="151" t="n"/>
    </row>
    <row r="754" hidden="1" s="150">
      <c r="A754" t="inlineStr">
        <is>
          <t>DMENA</t>
        </is>
      </c>
      <c r="B754" t="n">
        <v>3776</v>
      </c>
      <c r="C754" t="inlineStr">
        <is>
          <t>DAYANIRA MENA GALLARDO</t>
        </is>
      </c>
      <c r="D754" t="n">
        <v>10046</v>
      </c>
      <c r="E754" t="inlineStr">
        <is>
          <t>ASESOR CAMBIARIO</t>
        </is>
      </c>
      <c r="F754" t="inlineStr">
        <is>
          <t>LEON</t>
        </is>
      </c>
      <c r="G754" t="n">
        <v>3324</v>
      </c>
      <c r="H754" t="inlineStr">
        <is>
          <t>CAROLINA MELIH HERNANDEZ</t>
        </is>
      </c>
      <c r="I754" t="n">
        <v>9857</v>
      </c>
      <c r="J754" t="inlineStr">
        <is>
          <t>DIRECTOR DE OFICINA LEON</t>
        </is>
      </c>
      <c r="K754" t="n">
        <v>1</v>
      </c>
      <c r="L754" t="inlineStr">
        <is>
          <t>PRESIDENCIA EJECUTIVA DEL CONSEJO</t>
        </is>
      </c>
      <c r="M754" t="n">
        <v>40</v>
      </c>
      <c r="N754" t="inlineStr">
        <is>
          <t>DIRECCION GENERAL BANCO BASE</t>
        </is>
      </c>
      <c r="O754" t="n">
        <v>410</v>
      </c>
      <c r="P754" t="inlineStr">
        <is>
          <t>DIRECCION COMERCIAL</t>
        </is>
      </c>
      <c r="Q754" t="n">
        <v>4160</v>
      </c>
      <c r="R754" t="inlineStr">
        <is>
          <t>DIRECCION COMERCIAL BAJIO</t>
        </is>
      </c>
      <c r="S754" t="n">
        <v>41602</v>
      </c>
      <c r="T754" t="inlineStr">
        <is>
          <t>DIRECCION OFICINA LEON</t>
        </is>
      </c>
      <c r="U754" t="n">
        <v>416020</v>
      </c>
      <c r="V754" t="inlineStr">
        <is>
          <t>DIRECCION OFICINA LEON</t>
        </is>
      </c>
      <c r="W754" t="n">
        <v>126128</v>
      </c>
      <c r="X754" t="inlineStr">
        <is>
          <t>LEON</t>
        </is>
      </c>
      <c r="Y754" t="n">
        <v>3</v>
      </c>
      <c r="Z754" t="inlineStr">
        <is>
          <t>CAMBIARIO</t>
        </is>
      </c>
      <c r="AA754" t="n">
        <v>1</v>
      </c>
      <c r="AB754" t="inlineStr">
        <is>
          <t>NEGOCIO EN MARCHA</t>
        </is>
      </c>
      <c r="AC754" t="n">
        <v>1</v>
      </c>
      <c r="AD754" t="inlineStr">
        <is>
          <t>BANCO</t>
        </is>
      </c>
      <c r="AE754" t="n">
        <v>3</v>
      </c>
      <c r="AF754" t="inlineStr">
        <is>
          <t>FRONT</t>
        </is>
      </c>
      <c r="AG754" t="n">
        <v>126128</v>
      </c>
      <c r="AH754" t="inlineStr">
        <is>
          <t>LEON</t>
        </is>
      </c>
      <c r="AI754" t="inlineStr">
        <is>
          <t>DMENA@BANCOBASE.COM</t>
        </is>
      </c>
      <c r="AJ754" s="151" t="n">
        <v>46090</v>
      </c>
      <c r="AK754" s="151" t="n"/>
      <c r="AL754" s="151" t="n"/>
    </row>
    <row r="755" hidden="1" s="150">
      <c r="A755" t="inlineStr">
        <is>
          <t>ANAVARROA</t>
        </is>
      </c>
      <c r="B755" t="n">
        <v>3803</v>
      </c>
      <c r="C755" t="inlineStr">
        <is>
          <t>ANDREA ESTEFANIA NAVARRO ALCARAZ</t>
        </is>
      </c>
      <c r="D755" t="n">
        <v>9866</v>
      </c>
      <c r="E755" t="inlineStr">
        <is>
          <t>ESPECIALISTA DE BANCA TRANSACCIONAL</t>
        </is>
      </c>
      <c r="F755" t="inlineStr">
        <is>
          <t>LEON</t>
        </is>
      </c>
      <c r="G755" t="n">
        <v>3324</v>
      </c>
      <c r="H755" t="inlineStr">
        <is>
          <t>CAROLINA MELIH HERNANDEZ</t>
        </is>
      </c>
      <c r="I755" t="n">
        <v>9857</v>
      </c>
      <c r="J755" t="inlineStr">
        <is>
          <t>DIRECTOR DE OFICINA LEON</t>
        </is>
      </c>
      <c r="K755" t="n">
        <v>1</v>
      </c>
      <c r="L755" t="inlineStr">
        <is>
          <t>PRESIDENCIA EJECUTIVA DEL CONSEJO</t>
        </is>
      </c>
      <c r="M755" t="n">
        <v>40</v>
      </c>
      <c r="N755" t="inlineStr">
        <is>
          <t>DIRECCION GENERAL BANCO BASE</t>
        </is>
      </c>
      <c r="O755" t="n">
        <v>410</v>
      </c>
      <c r="P755" t="inlineStr">
        <is>
          <t>DIRECCION COMERCIAL</t>
        </is>
      </c>
      <c r="Q755" t="n">
        <v>4160</v>
      </c>
      <c r="R755" t="inlineStr">
        <is>
          <t>DIRECCION COMERCIAL BAJIO</t>
        </is>
      </c>
      <c r="S755" t="n">
        <v>41602</v>
      </c>
      <c r="T755" t="inlineStr">
        <is>
          <t>DIRECCION OFICINA LEON</t>
        </is>
      </c>
      <c r="U755" t="n">
        <v>416020</v>
      </c>
      <c r="V755" t="inlineStr">
        <is>
          <t>DIRECCION OFICINA LEON</t>
        </is>
      </c>
      <c r="W755" t="n">
        <v>126128</v>
      </c>
      <c r="X755" t="inlineStr">
        <is>
          <t>LEON</t>
        </is>
      </c>
      <c r="Y755" t="n">
        <v>14</v>
      </c>
      <c r="Z755" t="inlineStr">
        <is>
          <t>TRANSACCIONAL</t>
        </is>
      </c>
      <c r="AA755" t="n">
        <v>1</v>
      </c>
      <c r="AB755" t="inlineStr">
        <is>
          <t>NEGOCIO EN MARCHA</t>
        </is>
      </c>
      <c r="AC755" t="n">
        <v>1</v>
      </c>
      <c r="AD755" t="inlineStr">
        <is>
          <t>BANCO</t>
        </is>
      </c>
      <c r="AE755" t="n">
        <v>3</v>
      </c>
      <c r="AF755" t="inlineStr">
        <is>
          <t>FRONT</t>
        </is>
      </c>
      <c r="AG755" t="n">
        <v>126128</v>
      </c>
      <c r="AH755" t="inlineStr">
        <is>
          <t>LEON</t>
        </is>
      </c>
      <c r="AI755" t="inlineStr">
        <is>
          <t>ANAVARROA@BANCOBASE.COM</t>
        </is>
      </c>
      <c r="AJ755" s="151" t="n">
        <v>46128</v>
      </c>
      <c r="AK755" s="151" t="n"/>
      <c r="AL755" s="151" t="n"/>
    </row>
    <row r="756" hidden="1" s="150">
      <c r="A756" t="inlineStr">
        <is>
          <t>ACHAVEZO</t>
        </is>
      </c>
      <c r="B756" t="n">
        <v>2887</v>
      </c>
      <c r="C756" t="inlineStr">
        <is>
          <t>ABRAHAM JONATAN CHAVEZ OLGUIN</t>
        </is>
      </c>
      <c r="D756" t="n">
        <v>9976</v>
      </c>
      <c r="E756" t="inlineStr">
        <is>
          <t>ASESOR CAMBIARIO</t>
        </is>
      </c>
      <c r="F756" t="inlineStr">
        <is>
          <t>QUERETARO</t>
        </is>
      </c>
      <c r="I756" t="n">
        <v>97</v>
      </c>
      <c r="J756" t="inlineStr">
        <is>
          <t>DIRECTOR DE OFICINA QUERETARO</t>
        </is>
      </c>
      <c r="K756" t="n">
        <v>1</v>
      </c>
      <c r="L756" t="inlineStr">
        <is>
          <t>PRESIDENCIA EJECUTIVA DEL CONSEJO</t>
        </is>
      </c>
      <c r="M756" t="n">
        <v>40</v>
      </c>
      <c r="N756" t="inlineStr">
        <is>
          <t>DIRECCION GENERAL BANCO BASE</t>
        </is>
      </c>
      <c r="O756" t="n">
        <v>410</v>
      </c>
      <c r="P756" t="inlineStr">
        <is>
          <t>DIRECCION COMERCIAL</t>
        </is>
      </c>
      <c r="Q756" t="n">
        <v>4160</v>
      </c>
      <c r="R756" t="inlineStr">
        <is>
          <t>DIRECCION COMERCIAL BAJIO</t>
        </is>
      </c>
      <c r="S756" t="n">
        <v>41601</v>
      </c>
      <c r="T756" t="inlineStr">
        <is>
          <t>DIRECCION OFICINA QUERETARO</t>
        </is>
      </c>
      <c r="U756" t="n">
        <v>416010</v>
      </c>
      <c r="V756" t="inlineStr">
        <is>
          <t>DIRECCION OFICINA QUERETARO</t>
        </is>
      </c>
      <c r="W756" t="n">
        <v>126112</v>
      </c>
      <c r="X756" t="inlineStr">
        <is>
          <t>QUERETARO</t>
        </is>
      </c>
      <c r="Y756" t="n">
        <v>3</v>
      </c>
      <c r="Z756" t="inlineStr">
        <is>
          <t>CAMBIARIO</t>
        </is>
      </c>
      <c r="AA756" t="n">
        <v>1</v>
      </c>
      <c r="AB756" t="inlineStr">
        <is>
          <t>NEGOCIO EN MARCHA</t>
        </is>
      </c>
      <c r="AC756" t="n">
        <v>1</v>
      </c>
      <c r="AD756" t="inlineStr">
        <is>
          <t>BANCO</t>
        </is>
      </c>
      <c r="AE756" t="n">
        <v>3</v>
      </c>
      <c r="AF756" t="inlineStr">
        <is>
          <t>FRONT</t>
        </is>
      </c>
      <c r="AG756" t="n">
        <v>126112</v>
      </c>
      <c r="AH756" t="inlineStr">
        <is>
          <t>QUERETARO</t>
        </is>
      </c>
      <c r="AI756" t="inlineStr">
        <is>
          <t>ACHAVEZO@BANCOBASE.COM</t>
        </is>
      </c>
      <c r="AJ756" s="151" t="n">
        <v>45048</v>
      </c>
      <c r="AK756" s="151" t="n"/>
      <c r="AL756" s="151" t="n"/>
    </row>
    <row r="757" hidden="1" s="150">
      <c r="A757" t="inlineStr">
        <is>
          <t>JPUON</t>
        </is>
      </c>
      <c r="B757" t="n">
        <v>1237</v>
      </c>
      <c r="C757" t="inlineStr">
        <is>
          <t>JOSE KHIN PUON NUÑEZ</t>
        </is>
      </c>
      <c r="D757" t="n">
        <v>6071</v>
      </c>
      <c r="E757" t="inlineStr">
        <is>
          <t>ASESOR CAMBIARIO</t>
        </is>
      </c>
      <c r="F757" t="inlineStr">
        <is>
          <t>QUERETARO</t>
        </is>
      </c>
      <c r="I757" t="n">
        <v>97</v>
      </c>
      <c r="J757" t="inlineStr">
        <is>
          <t>DIRECTOR DE OFICINA QUERETARO</t>
        </is>
      </c>
      <c r="K757" t="n">
        <v>1</v>
      </c>
      <c r="L757" t="inlineStr">
        <is>
          <t>PRESIDENCIA EJECUTIVA DEL CONSEJO</t>
        </is>
      </c>
      <c r="M757" t="n">
        <v>40</v>
      </c>
      <c r="N757" t="inlineStr">
        <is>
          <t>DIRECCION GENERAL BANCO BASE</t>
        </is>
      </c>
      <c r="O757" t="n">
        <v>410</v>
      </c>
      <c r="P757" t="inlineStr">
        <is>
          <t>DIRECCION COMERCIAL</t>
        </is>
      </c>
      <c r="Q757" t="n">
        <v>4160</v>
      </c>
      <c r="R757" t="inlineStr">
        <is>
          <t>DIRECCION COMERCIAL BAJIO</t>
        </is>
      </c>
      <c r="S757" t="n">
        <v>41601</v>
      </c>
      <c r="T757" t="inlineStr">
        <is>
          <t>DIRECCION OFICINA QUERETARO</t>
        </is>
      </c>
      <c r="U757" t="n">
        <v>416010</v>
      </c>
      <c r="V757" t="inlineStr">
        <is>
          <t>DIRECCION OFICINA QUERETARO</t>
        </is>
      </c>
      <c r="W757" t="n">
        <v>126112</v>
      </c>
      <c r="X757" t="inlineStr">
        <is>
          <t>QUERETARO</t>
        </is>
      </c>
      <c r="Y757" t="n">
        <v>3</v>
      </c>
      <c r="Z757" t="inlineStr">
        <is>
          <t>CAMBIARIO</t>
        </is>
      </c>
      <c r="AA757" t="n">
        <v>1</v>
      </c>
      <c r="AB757" t="inlineStr">
        <is>
          <t>NEGOCIO EN MARCHA</t>
        </is>
      </c>
      <c r="AC757" t="n">
        <v>1</v>
      </c>
      <c r="AD757" t="inlineStr">
        <is>
          <t>BANCO</t>
        </is>
      </c>
      <c r="AE757" t="n">
        <v>3</v>
      </c>
      <c r="AF757" t="inlineStr">
        <is>
          <t>FRONT</t>
        </is>
      </c>
      <c r="AG757" t="n">
        <v>126112</v>
      </c>
      <c r="AH757" t="inlineStr">
        <is>
          <t>QUERETARO</t>
        </is>
      </c>
      <c r="AI757" t="inlineStr">
        <is>
          <t>JPUON@BANCOBASE.COM</t>
        </is>
      </c>
      <c r="AJ757" s="151" t="n">
        <v>41981</v>
      </c>
      <c r="AK757" s="151" t="n"/>
      <c r="AL757" s="151" t="n"/>
    </row>
    <row r="758" hidden="1" s="150">
      <c r="A758" t="inlineStr">
        <is>
          <t>MPAREDESM</t>
        </is>
      </c>
      <c r="B758" t="n">
        <v>3090</v>
      </c>
      <c r="C758" t="inlineStr">
        <is>
          <t>MIGUEL ANGEL PAREDES MAYEN</t>
        </is>
      </c>
      <c r="D758" t="n">
        <v>10043</v>
      </c>
      <c r="E758" t="inlineStr">
        <is>
          <t>ASESOR CAMBIARIO</t>
        </is>
      </c>
      <c r="F758" t="inlineStr">
        <is>
          <t>QUERETARO</t>
        </is>
      </c>
      <c r="I758" t="n">
        <v>97</v>
      </c>
      <c r="J758" t="inlineStr">
        <is>
          <t>DIRECTOR DE OFICINA QUERETARO</t>
        </is>
      </c>
      <c r="K758" t="n">
        <v>1</v>
      </c>
      <c r="L758" t="inlineStr">
        <is>
          <t>PRESIDENCIA EJECUTIVA DEL CONSEJO</t>
        </is>
      </c>
      <c r="M758" t="n">
        <v>40</v>
      </c>
      <c r="N758" t="inlineStr">
        <is>
          <t>DIRECCION GENERAL BANCO BASE</t>
        </is>
      </c>
      <c r="O758" t="n">
        <v>410</v>
      </c>
      <c r="P758" t="inlineStr">
        <is>
          <t>DIRECCION COMERCIAL</t>
        </is>
      </c>
      <c r="Q758" t="n">
        <v>4160</v>
      </c>
      <c r="R758" t="inlineStr">
        <is>
          <t>DIRECCION COMERCIAL BAJIO</t>
        </is>
      </c>
      <c r="S758" t="n">
        <v>41601</v>
      </c>
      <c r="T758" t="inlineStr">
        <is>
          <t>DIRECCION OFICINA QUERETARO</t>
        </is>
      </c>
      <c r="U758" t="n">
        <v>416010</v>
      </c>
      <c r="V758" t="inlineStr">
        <is>
          <t>DIRECCION OFICINA QUERETARO</t>
        </is>
      </c>
      <c r="W758" t="n">
        <v>126112</v>
      </c>
      <c r="X758" t="inlineStr">
        <is>
          <t>QUERETARO</t>
        </is>
      </c>
      <c r="Y758" t="n">
        <v>3</v>
      </c>
      <c r="Z758" t="inlineStr">
        <is>
          <t>CAMBIARIO</t>
        </is>
      </c>
      <c r="AA758" t="n">
        <v>1</v>
      </c>
      <c r="AB758" t="inlineStr">
        <is>
          <t>NEGOCIO EN MARCHA</t>
        </is>
      </c>
      <c r="AC758" t="n">
        <v>1</v>
      </c>
      <c r="AD758" t="inlineStr">
        <is>
          <t>BANCO</t>
        </is>
      </c>
      <c r="AE758" t="n">
        <v>3</v>
      </c>
      <c r="AF758" t="inlineStr">
        <is>
          <t>FRONT</t>
        </is>
      </c>
      <c r="AG758" t="n">
        <v>126112</v>
      </c>
      <c r="AH758" t="inlineStr">
        <is>
          <t>QUERETARO</t>
        </is>
      </c>
      <c r="AI758" t="inlineStr">
        <is>
          <t>MPAREDESM@BANCOBASE.COM</t>
        </is>
      </c>
      <c r="AJ758" s="151" t="n">
        <v>45398</v>
      </c>
      <c r="AK758" s="151" t="n"/>
      <c r="AL758" s="151" t="n"/>
    </row>
    <row r="759" hidden="1" s="150">
      <c r="A759" t="inlineStr">
        <is>
          <t>SMESTRE</t>
        </is>
      </c>
      <c r="B759" t="n">
        <v>804</v>
      </c>
      <c r="C759" t="inlineStr">
        <is>
          <t>SANDRA MESTRE OROZCO</t>
        </is>
      </c>
      <c r="D759" t="n">
        <v>9287</v>
      </c>
      <c r="E759" t="inlineStr">
        <is>
          <t>ASESOR CAMBIARIO</t>
        </is>
      </c>
      <c r="F759" t="inlineStr">
        <is>
          <t>QUERETARO</t>
        </is>
      </c>
      <c r="I759" t="n">
        <v>97</v>
      </c>
      <c r="J759" t="inlineStr">
        <is>
          <t>DIRECTOR DE OFICINA QUERETARO</t>
        </is>
      </c>
      <c r="K759" t="n">
        <v>1</v>
      </c>
      <c r="L759" t="inlineStr">
        <is>
          <t>PRESIDENCIA EJECUTIVA DEL CONSEJO</t>
        </is>
      </c>
      <c r="M759" t="n">
        <v>40</v>
      </c>
      <c r="N759" t="inlineStr">
        <is>
          <t>DIRECCION GENERAL BANCO BASE</t>
        </is>
      </c>
      <c r="O759" t="n">
        <v>410</v>
      </c>
      <c r="P759" t="inlineStr">
        <is>
          <t>DIRECCION COMERCIAL</t>
        </is>
      </c>
      <c r="Q759" t="n">
        <v>4160</v>
      </c>
      <c r="R759" t="inlineStr">
        <is>
          <t>DIRECCION COMERCIAL BAJIO</t>
        </is>
      </c>
      <c r="S759" t="n">
        <v>41601</v>
      </c>
      <c r="T759" t="inlineStr">
        <is>
          <t>DIRECCION OFICINA QUERETARO</t>
        </is>
      </c>
      <c r="U759" t="n">
        <v>416010</v>
      </c>
      <c r="V759" t="inlineStr">
        <is>
          <t>DIRECCION OFICINA QUERETARO</t>
        </is>
      </c>
      <c r="W759" t="n">
        <v>126112</v>
      </c>
      <c r="X759" t="inlineStr">
        <is>
          <t>QUERETARO</t>
        </is>
      </c>
      <c r="Y759" t="n">
        <v>3</v>
      </c>
      <c r="Z759" t="inlineStr">
        <is>
          <t>CAMBIARIO</t>
        </is>
      </c>
      <c r="AA759" t="n">
        <v>1</v>
      </c>
      <c r="AB759" t="inlineStr">
        <is>
          <t>NEGOCIO EN MARCHA</t>
        </is>
      </c>
      <c r="AC759" t="n">
        <v>1</v>
      </c>
      <c r="AD759" t="inlineStr">
        <is>
          <t>BANCO</t>
        </is>
      </c>
      <c r="AE759" t="n">
        <v>3</v>
      </c>
      <c r="AF759" t="inlineStr">
        <is>
          <t>FRONT</t>
        </is>
      </c>
      <c r="AG759" t="n">
        <v>126112</v>
      </c>
      <c r="AH759" t="inlineStr">
        <is>
          <t>QUERETARO</t>
        </is>
      </c>
      <c r="AI759" t="inlineStr">
        <is>
          <t>SMESTRE@BANCOBASE.COM</t>
        </is>
      </c>
      <c r="AJ759" s="151" t="n">
        <v>40848</v>
      </c>
      <c r="AK759" s="151" t="n"/>
      <c r="AL759" s="151" t="n"/>
    </row>
    <row r="760" hidden="1" s="150">
      <c r="A760" t="inlineStr">
        <is>
          <t>JMOLINA</t>
        </is>
      </c>
      <c r="B760" t="n">
        <v>3437</v>
      </c>
      <c r="C760" t="inlineStr">
        <is>
          <t>JOSE CARLOS MOLINA RODRIGUEZ</t>
        </is>
      </c>
      <c r="D760" t="n">
        <v>8655</v>
      </c>
      <c r="E760" t="inlineStr">
        <is>
          <t>ASESOR CAMBIARIO</t>
        </is>
      </c>
      <c r="F760" t="inlineStr">
        <is>
          <t>QUERETARO</t>
        </is>
      </c>
      <c r="I760" t="n">
        <v>97</v>
      </c>
      <c r="J760" t="inlineStr">
        <is>
          <t>DIRECTOR DE OFICINA QUERETARO</t>
        </is>
      </c>
      <c r="K760" t="n">
        <v>1</v>
      </c>
      <c r="L760" t="inlineStr">
        <is>
          <t>PRESIDENCIA EJECUTIVA DEL CONSEJO</t>
        </is>
      </c>
      <c r="M760" t="n">
        <v>40</v>
      </c>
      <c r="N760" t="inlineStr">
        <is>
          <t>DIRECCION GENERAL BANCO BASE</t>
        </is>
      </c>
      <c r="O760" t="n">
        <v>410</v>
      </c>
      <c r="P760" t="inlineStr">
        <is>
          <t>DIRECCION COMERCIAL</t>
        </is>
      </c>
      <c r="Q760" t="n">
        <v>4160</v>
      </c>
      <c r="R760" t="inlineStr">
        <is>
          <t>DIRECCION COMERCIAL BAJIO</t>
        </is>
      </c>
      <c r="S760" t="n">
        <v>41601</v>
      </c>
      <c r="T760" t="inlineStr">
        <is>
          <t>DIRECCION OFICINA QUERETARO</t>
        </is>
      </c>
      <c r="U760" t="n">
        <v>416010</v>
      </c>
      <c r="V760" t="inlineStr">
        <is>
          <t>DIRECCION OFICINA QUERETARO</t>
        </is>
      </c>
      <c r="W760" t="n">
        <v>126112</v>
      </c>
      <c r="X760" t="inlineStr">
        <is>
          <t>QUERETARO</t>
        </is>
      </c>
      <c r="Y760" t="n">
        <v>3</v>
      </c>
      <c r="Z760" t="inlineStr">
        <is>
          <t>CAMBIARIO</t>
        </is>
      </c>
      <c r="AA760" t="n">
        <v>1</v>
      </c>
      <c r="AB760" t="inlineStr">
        <is>
          <t>NEGOCIO EN MARCHA</t>
        </is>
      </c>
      <c r="AC760" t="n">
        <v>1</v>
      </c>
      <c r="AD760" t="inlineStr">
        <is>
          <t>BANCO</t>
        </is>
      </c>
      <c r="AE760" t="n">
        <v>3</v>
      </c>
      <c r="AF760" t="inlineStr">
        <is>
          <t>FRONT</t>
        </is>
      </c>
      <c r="AG760" t="n">
        <v>126112</v>
      </c>
      <c r="AH760" t="inlineStr">
        <is>
          <t>QUERETARO</t>
        </is>
      </c>
      <c r="AI760" t="inlineStr">
        <is>
          <t>JMOLINA@BANCOBASE.COM</t>
        </is>
      </c>
      <c r="AJ760" s="151" t="n">
        <v>45796</v>
      </c>
      <c r="AK760" s="151" t="n"/>
      <c r="AL760" s="151" t="n"/>
    </row>
    <row r="761" hidden="1" s="150">
      <c r="A761" t="inlineStr">
        <is>
          <t>XVAZQUEZN</t>
        </is>
      </c>
      <c r="B761" t="n">
        <v>3099</v>
      </c>
      <c r="C761" t="inlineStr">
        <is>
          <t>XIMENA VAZQUEZ NAVARRO</t>
        </is>
      </c>
      <c r="D761" t="n">
        <v>8207</v>
      </c>
      <c r="E761" t="inlineStr">
        <is>
          <t>ASESOR CAMBIARIO</t>
        </is>
      </c>
      <c r="F761" t="inlineStr">
        <is>
          <t>QUERETARO</t>
        </is>
      </c>
      <c r="I761" t="n">
        <v>97</v>
      </c>
      <c r="J761" t="inlineStr">
        <is>
          <t>DIRECTOR DE OFICINA QUERETARO</t>
        </is>
      </c>
      <c r="K761" t="n">
        <v>1</v>
      </c>
      <c r="L761" t="inlineStr">
        <is>
          <t>PRESIDENCIA EJECUTIVA DEL CONSEJO</t>
        </is>
      </c>
      <c r="M761" t="n">
        <v>40</v>
      </c>
      <c r="N761" t="inlineStr">
        <is>
          <t>DIRECCION GENERAL BANCO BASE</t>
        </is>
      </c>
      <c r="O761" t="n">
        <v>410</v>
      </c>
      <c r="P761" t="inlineStr">
        <is>
          <t>DIRECCION COMERCIAL</t>
        </is>
      </c>
      <c r="Q761" t="n">
        <v>4160</v>
      </c>
      <c r="R761" t="inlineStr">
        <is>
          <t>DIRECCION COMERCIAL BAJIO</t>
        </is>
      </c>
      <c r="S761" t="n">
        <v>41601</v>
      </c>
      <c r="T761" t="inlineStr">
        <is>
          <t>DIRECCION OFICINA QUERETARO</t>
        </is>
      </c>
      <c r="U761" t="n">
        <v>416010</v>
      </c>
      <c r="V761" t="inlineStr">
        <is>
          <t>DIRECCION OFICINA QUERETARO</t>
        </is>
      </c>
      <c r="W761" t="n">
        <v>126112</v>
      </c>
      <c r="X761" t="inlineStr">
        <is>
          <t>QUERETARO</t>
        </is>
      </c>
      <c r="Y761" t="n">
        <v>3</v>
      </c>
      <c r="Z761" t="inlineStr">
        <is>
          <t>CAMBIARIO</t>
        </is>
      </c>
      <c r="AA761" t="n">
        <v>1</v>
      </c>
      <c r="AB761" t="inlineStr">
        <is>
          <t>NEGOCIO EN MARCHA</t>
        </is>
      </c>
      <c r="AC761" t="n">
        <v>1</v>
      </c>
      <c r="AD761" t="inlineStr">
        <is>
          <t>BANCO</t>
        </is>
      </c>
      <c r="AE761" t="n">
        <v>3</v>
      </c>
      <c r="AF761" t="inlineStr">
        <is>
          <t>FRONT</t>
        </is>
      </c>
      <c r="AG761" t="n">
        <v>126112</v>
      </c>
      <c r="AH761" t="inlineStr">
        <is>
          <t>QUERETARO</t>
        </is>
      </c>
      <c r="AI761" t="inlineStr">
        <is>
          <t>XVAZQUEZN@BANCOBASE.COM</t>
        </is>
      </c>
      <c r="AJ761" s="151" t="n">
        <v>45398</v>
      </c>
      <c r="AK761" s="151" t="n"/>
      <c r="AL761" s="151" t="n"/>
    </row>
    <row r="762" hidden="1" s="150">
      <c r="A762" t="inlineStr">
        <is>
          <t>JSANCHEZAB</t>
        </is>
      </c>
      <c r="B762" t="n">
        <v>1211</v>
      </c>
      <c r="C762" t="inlineStr">
        <is>
          <t>JUAN CARLOS SANCHEZ ABARCA</t>
        </is>
      </c>
      <c r="D762" t="n">
        <v>9301</v>
      </c>
      <c r="E762" t="inlineStr">
        <is>
          <t>ASESOR CAMBIARIO</t>
        </is>
      </c>
      <c r="F762" t="inlineStr">
        <is>
          <t>QUERETARO</t>
        </is>
      </c>
      <c r="I762" t="n">
        <v>97</v>
      </c>
      <c r="J762" t="inlineStr">
        <is>
          <t>DIRECTOR DE OFICINA QUERETARO</t>
        </is>
      </c>
      <c r="K762" t="n">
        <v>1</v>
      </c>
      <c r="L762" t="inlineStr">
        <is>
          <t>PRESIDENCIA EJECUTIVA DEL CONSEJO</t>
        </is>
      </c>
      <c r="M762" t="n">
        <v>40</v>
      </c>
      <c r="N762" t="inlineStr">
        <is>
          <t>DIRECCION GENERAL BANCO BASE</t>
        </is>
      </c>
      <c r="O762" t="n">
        <v>410</v>
      </c>
      <c r="P762" t="inlineStr">
        <is>
          <t>DIRECCION COMERCIAL</t>
        </is>
      </c>
      <c r="Q762" t="n">
        <v>4160</v>
      </c>
      <c r="R762" t="inlineStr">
        <is>
          <t>DIRECCION COMERCIAL BAJIO</t>
        </is>
      </c>
      <c r="S762" t="n">
        <v>41601</v>
      </c>
      <c r="T762" t="inlineStr">
        <is>
          <t>DIRECCION OFICINA QUERETARO</t>
        </is>
      </c>
      <c r="U762" t="n">
        <v>416010</v>
      </c>
      <c r="V762" t="inlineStr">
        <is>
          <t>DIRECCION OFICINA QUERETARO</t>
        </is>
      </c>
      <c r="W762" t="n">
        <v>126112</v>
      </c>
      <c r="X762" t="inlineStr">
        <is>
          <t>QUERETARO</t>
        </is>
      </c>
      <c r="Y762" t="n">
        <v>3</v>
      </c>
      <c r="Z762" t="inlineStr">
        <is>
          <t>CAMBIARIO</t>
        </is>
      </c>
      <c r="AA762" t="n">
        <v>1</v>
      </c>
      <c r="AB762" t="inlineStr">
        <is>
          <t>NEGOCIO EN MARCHA</t>
        </is>
      </c>
      <c r="AC762" t="n">
        <v>1</v>
      </c>
      <c r="AD762" t="inlineStr">
        <is>
          <t>BANCO</t>
        </is>
      </c>
      <c r="AE762" t="n">
        <v>3</v>
      </c>
      <c r="AF762" t="inlineStr">
        <is>
          <t>FRONT</t>
        </is>
      </c>
      <c r="AG762" t="n">
        <v>126112</v>
      </c>
      <c r="AH762" t="inlineStr">
        <is>
          <t>QUERETARO</t>
        </is>
      </c>
      <c r="AI762" t="inlineStr">
        <is>
          <t>JSANCHEZAB@BANCOBASE.COM</t>
        </is>
      </c>
      <c r="AJ762" s="151" t="n">
        <v>41918</v>
      </c>
      <c r="AK762" s="151" t="n"/>
      <c r="AL762" s="151" t="n"/>
    </row>
    <row r="763" hidden="1" s="150">
      <c r="A763" t="inlineStr">
        <is>
          <t>CMERINO</t>
        </is>
      </c>
      <c r="B763" t="n">
        <v>3690</v>
      </c>
      <c r="C763" t="inlineStr">
        <is>
          <t>CLARA PATRICIA MERINO NAVARRETE</t>
        </is>
      </c>
      <c r="D763" t="n">
        <v>9286</v>
      </c>
      <c r="E763" t="inlineStr">
        <is>
          <t>ASESOR CAMBIARIO</t>
        </is>
      </c>
      <c r="F763" t="inlineStr">
        <is>
          <t>QUERETARO</t>
        </is>
      </c>
      <c r="I763" t="n">
        <v>97</v>
      </c>
      <c r="J763" t="inlineStr">
        <is>
          <t>DIRECTOR DE OFICINA QUERETARO</t>
        </is>
      </c>
      <c r="K763" t="n">
        <v>1</v>
      </c>
      <c r="L763" t="inlineStr">
        <is>
          <t>PRESIDENCIA EJECUTIVA DEL CONSEJO</t>
        </is>
      </c>
      <c r="M763" t="n">
        <v>40</v>
      </c>
      <c r="N763" t="inlineStr">
        <is>
          <t>DIRECCION GENERAL BANCO BASE</t>
        </is>
      </c>
      <c r="O763" t="n">
        <v>410</v>
      </c>
      <c r="P763" t="inlineStr">
        <is>
          <t>DIRECCION COMERCIAL</t>
        </is>
      </c>
      <c r="Q763" t="n">
        <v>4160</v>
      </c>
      <c r="R763" t="inlineStr">
        <is>
          <t>DIRECCION COMERCIAL BAJIO</t>
        </is>
      </c>
      <c r="S763" t="n">
        <v>41601</v>
      </c>
      <c r="T763" t="inlineStr">
        <is>
          <t>DIRECCION OFICINA QUERETARO</t>
        </is>
      </c>
      <c r="U763" t="n">
        <v>416010</v>
      </c>
      <c r="V763" t="inlineStr">
        <is>
          <t>DIRECCION OFICINA QUERETARO</t>
        </is>
      </c>
      <c r="W763" t="n">
        <v>126112</v>
      </c>
      <c r="X763" t="inlineStr">
        <is>
          <t>QUERETARO</t>
        </is>
      </c>
      <c r="Y763" t="n">
        <v>3</v>
      </c>
      <c r="Z763" t="inlineStr">
        <is>
          <t>CAMBIARIO</t>
        </is>
      </c>
      <c r="AA763" t="n">
        <v>1</v>
      </c>
      <c r="AB763" t="inlineStr">
        <is>
          <t>NEGOCIO EN MARCHA</t>
        </is>
      </c>
      <c r="AC763" t="n">
        <v>1</v>
      </c>
      <c r="AD763" t="inlineStr">
        <is>
          <t>BANCO</t>
        </is>
      </c>
      <c r="AE763" t="n">
        <v>3</v>
      </c>
      <c r="AF763" t="inlineStr">
        <is>
          <t>FRONT</t>
        </is>
      </c>
      <c r="AG763" t="n">
        <v>126112</v>
      </c>
      <c r="AH763" t="inlineStr">
        <is>
          <t>QUERETARO</t>
        </is>
      </c>
      <c r="AI763" t="inlineStr">
        <is>
          <t>CMERINO@BANCOBASE.COM</t>
        </is>
      </c>
      <c r="AJ763" s="151" t="n">
        <v>45979</v>
      </c>
      <c r="AK763" s="151" t="n"/>
      <c r="AL763" s="151" t="n"/>
    </row>
    <row r="764" hidden="1" s="150">
      <c r="A764" t="inlineStr">
        <is>
          <t>ARANGEL</t>
        </is>
      </c>
      <c r="B764" t="n">
        <v>3472</v>
      </c>
      <c r="C764" t="inlineStr">
        <is>
          <t>ANGELICA JOSELIN RANGEL CALVA</t>
        </is>
      </c>
      <c r="D764" t="n">
        <v>9990</v>
      </c>
      <c r="E764" t="inlineStr">
        <is>
          <t>ESPECIALISTA DE BANCA TRANSACCIONAL</t>
        </is>
      </c>
      <c r="F764" t="inlineStr">
        <is>
          <t>QUERETARO</t>
        </is>
      </c>
      <c r="I764" t="n">
        <v>97</v>
      </c>
      <c r="J764" t="inlineStr">
        <is>
          <t>DIRECTOR DE OFICINA QUERETARO</t>
        </is>
      </c>
      <c r="K764" t="n">
        <v>1</v>
      </c>
      <c r="L764" t="inlineStr">
        <is>
          <t>PRESIDENCIA EJECUTIVA DEL CONSEJO</t>
        </is>
      </c>
      <c r="M764" t="n">
        <v>40</v>
      </c>
      <c r="N764" t="inlineStr">
        <is>
          <t>DIRECCION GENERAL BANCO BASE</t>
        </is>
      </c>
      <c r="O764" t="n">
        <v>410</v>
      </c>
      <c r="P764" t="inlineStr">
        <is>
          <t>DIRECCION COMERCIAL</t>
        </is>
      </c>
      <c r="Q764" t="n">
        <v>4160</v>
      </c>
      <c r="R764" t="inlineStr">
        <is>
          <t>DIRECCION COMERCIAL BAJIO</t>
        </is>
      </c>
      <c r="S764" t="n">
        <v>41601</v>
      </c>
      <c r="T764" t="inlineStr">
        <is>
          <t>DIRECCION OFICINA QUERETARO</t>
        </is>
      </c>
      <c r="U764" t="n">
        <v>416010</v>
      </c>
      <c r="V764" t="inlineStr">
        <is>
          <t>DIRECCION OFICINA QUERETARO</t>
        </is>
      </c>
      <c r="W764" t="n">
        <v>126112</v>
      </c>
      <c r="X764" t="inlineStr">
        <is>
          <t>QUERETARO</t>
        </is>
      </c>
      <c r="Y764" t="n">
        <v>14</v>
      </c>
      <c r="Z764" t="inlineStr">
        <is>
          <t>TRANSACCIONAL</t>
        </is>
      </c>
      <c r="AA764" t="n">
        <v>1</v>
      </c>
      <c r="AB764" t="inlineStr">
        <is>
          <t>NEGOCIO EN MARCHA</t>
        </is>
      </c>
      <c r="AC764" t="n">
        <v>1</v>
      </c>
      <c r="AD764" t="inlineStr">
        <is>
          <t>BANCO</t>
        </is>
      </c>
      <c r="AE764" t="n">
        <v>3</v>
      </c>
      <c r="AF764" t="inlineStr">
        <is>
          <t>FRONT</t>
        </is>
      </c>
      <c r="AG764" t="n">
        <v>126112</v>
      </c>
      <c r="AH764" t="inlineStr">
        <is>
          <t>QUERETARO</t>
        </is>
      </c>
      <c r="AI764" t="inlineStr">
        <is>
          <t>ARANGEL@BANCOBASE.COM</t>
        </is>
      </c>
      <c r="AJ764" s="151" t="n">
        <v>45839</v>
      </c>
      <c r="AK764" s="151" t="n"/>
      <c r="AL764" s="151" t="n"/>
    </row>
    <row r="765" hidden="1" s="150">
      <c r="A765" t="inlineStr">
        <is>
          <t>NVILLANUEA</t>
        </is>
      </c>
      <c r="B765" t="n">
        <v>3041</v>
      </c>
      <c r="C765" t="inlineStr">
        <is>
          <t>NADIA VILLANUEVA ACOSTA</t>
        </is>
      </c>
      <c r="D765" t="n">
        <v>10044</v>
      </c>
      <c r="E765" t="inlineStr">
        <is>
          <t>ESPECIALISTA DE FINANCIAMIENTO</t>
        </is>
      </c>
      <c r="F765" t="inlineStr">
        <is>
          <t>QUERETARO</t>
        </is>
      </c>
      <c r="I765" t="n">
        <v>97</v>
      </c>
      <c r="J765" t="inlineStr">
        <is>
          <t>DIRECTOR DE OFICINA QUERETARO</t>
        </is>
      </c>
      <c r="K765" t="n">
        <v>1</v>
      </c>
      <c r="L765" t="inlineStr">
        <is>
          <t>PRESIDENCIA EJECUTIVA DEL CONSEJO</t>
        </is>
      </c>
      <c r="M765" t="n">
        <v>40</v>
      </c>
      <c r="N765" t="inlineStr">
        <is>
          <t>DIRECCION GENERAL BANCO BASE</t>
        </is>
      </c>
      <c r="O765" t="n">
        <v>410</v>
      </c>
      <c r="P765" t="inlineStr">
        <is>
          <t>DIRECCION COMERCIAL</t>
        </is>
      </c>
      <c r="Q765" t="n">
        <v>4160</v>
      </c>
      <c r="R765" t="inlineStr">
        <is>
          <t>DIRECCION COMERCIAL BAJIO</t>
        </is>
      </c>
      <c r="S765" t="n">
        <v>41601</v>
      </c>
      <c r="T765" t="inlineStr">
        <is>
          <t>DIRECCION OFICINA QUERETARO</t>
        </is>
      </c>
      <c r="U765" t="n">
        <v>416010</v>
      </c>
      <c r="V765" t="inlineStr">
        <is>
          <t>DIRECCION OFICINA QUERETARO</t>
        </is>
      </c>
      <c r="W765" t="n">
        <v>126112</v>
      </c>
      <c r="X765" t="inlineStr">
        <is>
          <t>QUERETARO</t>
        </is>
      </c>
      <c r="Y765" t="n">
        <v>13</v>
      </c>
      <c r="Z765" t="inlineStr">
        <is>
          <t>FINANCIAMIENTO</t>
        </is>
      </c>
      <c r="AA765" t="n">
        <v>1</v>
      </c>
      <c r="AB765" t="inlineStr">
        <is>
          <t>NEGOCIO EN MARCHA</t>
        </is>
      </c>
      <c r="AC765" t="n">
        <v>1</v>
      </c>
      <c r="AD765" t="inlineStr">
        <is>
          <t>BANCO</t>
        </is>
      </c>
      <c r="AE765" t="n">
        <v>3</v>
      </c>
      <c r="AF765" t="inlineStr">
        <is>
          <t>FRONT</t>
        </is>
      </c>
      <c r="AG765" t="n">
        <v>126112</v>
      </c>
      <c r="AH765" t="inlineStr">
        <is>
          <t>QUERETARO</t>
        </is>
      </c>
      <c r="AI765" t="inlineStr">
        <is>
          <t>NVILLANUEA@BANCOBASE.COM</t>
        </is>
      </c>
      <c r="AJ765" s="151" t="n">
        <v>45338</v>
      </c>
      <c r="AK765" s="151" t="n"/>
      <c r="AL765" s="151" t="n"/>
    </row>
    <row r="766" hidden="1" s="150">
      <c r="A766" t="inlineStr">
        <is>
          <t>AHINOJOSA</t>
        </is>
      </c>
      <c r="B766" t="n">
        <v>2434</v>
      </c>
      <c r="C766" t="inlineStr">
        <is>
          <t>ALEXA HINOJOSA RABAGO</t>
        </is>
      </c>
      <c r="D766" t="n">
        <v>9409</v>
      </c>
      <c r="E766" t="inlineStr">
        <is>
          <t>ASISTENTE CAMBIARIO</t>
        </is>
      </c>
      <c r="F766" t="inlineStr">
        <is>
          <t>QUERETARO</t>
        </is>
      </c>
      <c r="I766" t="n">
        <v>97</v>
      </c>
      <c r="J766" t="inlineStr">
        <is>
          <t>DIRECTOR DE OFICINA QUERETARO</t>
        </is>
      </c>
      <c r="K766" t="n">
        <v>1</v>
      </c>
      <c r="L766" t="inlineStr">
        <is>
          <t>PRESIDENCIA EJECUTIVA DEL CONSEJO</t>
        </is>
      </c>
      <c r="M766" t="n">
        <v>40</v>
      </c>
      <c r="N766" t="inlineStr">
        <is>
          <t>DIRECCION GENERAL BANCO BASE</t>
        </is>
      </c>
      <c r="O766" t="n">
        <v>410</v>
      </c>
      <c r="P766" t="inlineStr">
        <is>
          <t>DIRECCION COMERCIAL</t>
        </is>
      </c>
      <c r="Q766" t="n">
        <v>4160</v>
      </c>
      <c r="R766" t="inlineStr">
        <is>
          <t>DIRECCION COMERCIAL BAJIO</t>
        </is>
      </c>
      <c r="S766" t="n">
        <v>41601</v>
      </c>
      <c r="T766" t="inlineStr">
        <is>
          <t>DIRECCION OFICINA QUERETARO</t>
        </is>
      </c>
      <c r="U766" t="n">
        <v>416010</v>
      </c>
      <c r="V766" t="inlineStr">
        <is>
          <t>DIRECCION OFICINA QUERETARO</t>
        </is>
      </c>
      <c r="W766" t="n">
        <v>126112</v>
      </c>
      <c r="X766" t="inlineStr">
        <is>
          <t>QUERETARO</t>
        </is>
      </c>
      <c r="Y766" t="n">
        <v>3</v>
      </c>
      <c r="Z766" t="inlineStr">
        <is>
          <t>CAMBIARIO</t>
        </is>
      </c>
      <c r="AA766" t="n">
        <v>1</v>
      </c>
      <c r="AB766" t="inlineStr">
        <is>
          <t>NEGOCIO EN MARCHA</t>
        </is>
      </c>
      <c r="AC766" t="n">
        <v>1</v>
      </c>
      <c r="AD766" t="inlineStr">
        <is>
          <t>BANCO</t>
        </is>
      </c>
      <c r="AE766" t="n">
        <v>2</v>
      </c>
      <c r="AF766" t="inlineStr">
        <is>
          <t>MIDDLE</t>
        </is>
      </c>
      <c r="AG766" t="n">
        <v>126112</v>
      </c>
      <c r="AH766" t="inlineStr">
        <is>
          <t>QUERETARO</t>
        </is>
      </c>
      <c r="AI766" t="inlineStr">
        <is>
          <t>AHINOJOSA@BANCOBASE.COM</t>
        </is>
      </c>
      <c r="AJ766" s="151" t="n">
        <v>44109</v>
      </c>
      <c r="AK766" s="151" t="n"/>
      <c r="AL766" s="151" t="n"/>
    </row>
    <row r="767" hidden="1" s="150">
      <c r="A767" t="inlineStr">
        <is>
          <t>CMORENO</t>
        </is>
      </c>
      <c r="B767" t="n">
        <v>3123</v>
      </c>
      <c r="C767" t="inlineStr">
        <is>
          <t>CECILIA MORENO ANDRADE</t>
        </is>
      </c>
      <c r="D767" t="n">
        <v>8027</v>
      </c>
      <c r="E767" t="inlineStr">
        <is>
          <t>EJECUTIVO DE SOPORTE</t>
        </is>
      </c>
      <c r="F767" t="inlineStr">
        <is>
          <t>QUERETARO</t>
        </is>
      </c>
      <c r="I767" t="n">
        <v>97</v>
      </c>
      <c r="J767" t="inlineStr">
        <is>
          <t>DIRECTOR DE OFICINA QUERETARO</t>
        </is>
      </c>
      <c r="K767" t="n">
        <v>1</v>
      </c>
      <c r="L767" t="inlineStr">
        <is>
          <t>PRESIDENCIA EJECUTIVA DEL CONSEJO</t>
        </is>
      </c>
      <c r="M767" t="n">
        <v>40</v>
      </c>
      <c r="N767" t="inlineStr">
        <is>
          <t>DIRECCION GENERAL BANCO BASE</t>
        </is>
      </c>
      <c r="O767" t="n">
        <v>410</v>
      </c>
      <c r="P767" t="inlineStr">
        <is>
          <t>DIRECCION COMERCIAL</t>
        </is>
      </c>
      <c r="Q767" t="n">
        <v>4160</v>
      </c>
      <c r="R767" t="inlineStr">
        <is>
          <t>DIRECCION COMERCIAL BAJIO</t>
        </is>
      </c>
      <c r="S767" t="n">
        <v>41601</v>
      </c>
      <c r="T767" t="inlineStr">
        <is>
          <t>DIRECCION OFICINA QUERETARO</t>
        </is>
      </c>
      <c r="U767" t="n">
        <v>416010</v>
      </c>
      <c r="V767" t="inlineStr">
        <is>
          <t>DIRECCION OFICINA QUERETARO</t>
        </is>
      </c>
      <c r="W767" t="n">
        <v>126112</v>
      </c>
      <c r="X767" t="inlineStr">
        <is>
          <t>QUERETARO</t>
        </is>
      </c>
      <c r="Y767" t="n">
        <v>17</v>
      </c>
      <c r="Z767" t="inlineStr">
        <is>
          <t>SOPORTE</t>
        </is>
      </c>
      <c r="AA767" t="n">
        <v>1</v>
      </c>
      <c r="AB767" t="inlineStr">
        <is>
          <t>NEGOCIO EN MARCHA</t>
        </is>
      </c>
      <c r="AC767" t="n">
        <v>1</v>
      </c>
      <c r="AD767" t="inlineStr">
        <is>
          <t>BANCO</t>
        </is>
      </c>
      <c r="AE767" t="n">
        <v>2</v>
      </c>
      <c r="AF767" t="inlineStr">
        <is>
          <t>MIDDLE</t>
        </is>
      </c>
      <c r="AG767" t="n">
        <v>126112</v>
      </c>
      <c r="AH767" t="inlineStr">
        <is>
          <t>QUERETARO</t>
        </is>
      </c>
      <c r="AI767" t="inlineStr">
        <is>
          <t>CMORENO@BANCOBASE.COM</t>
        </is>
      </c>
      <c r="AJ767" s="151" t="n">
        <v>45428</v>
      </c>
      <c r="AK767" s="151" t="n"/>
      <c r="AL767" s="151" t="n"/>
    </row>
    <row r="768" hidden="1" s="150">
      <c r="A768" t="inlineStr">
        <is>
          <t>LTAMAYO</t>
        </is>
      </c>
      <c r="B768" t="n">
        <v>3734</v>
      </c>
      <c r="C768" t="inlineStr">
        <is>
          <t>LORENA TAMAYO BARCENAS</t>
        </is>
      </c>
      <c r="D768" t="n">
        <v>8613</v>
      </c>
      <c r="E768" t="inlineStr">
        <is>
          <t>ASISTENTE CAMBIARIO</t>
        </is>
      </c>
      <c r="F768" t="inlineStr">
        <is>
          <t>QUERETARO</t>
        </is>
      </c>
      <c r="I768" t="n">
        <v>97</v>
      </c>
      <c r="J768" t="inlineStr">
        <is>
          <t>DIRECTOR DE OFICINA QUERETARO</t>
        </is>
      </c>
      <c r="K768" t="n">
        <v>1</v>
      </c>
      <c r="L768" t="inlineStr">
        <is>
          <t>PRESIDENCIA EJECUTIVA DEL CONSEJO</t>
        </is>
      </c>
      <c r="M768" t="n">
        <v>40</v>
      </c>
      <c r="N768" t="inlineStr">
        <is>
          <t>DIRECCION GENERAL BANCO BASE</t>
        </is>
      </c>
      <c r="O768" t="n">
        <v>410</v>
      </c>
      <c r="P768" t="inlineStr">
        <is>
          <t>DIRECCION COMERCIAL</t>
        </is>
      </c>
      <c r="Q768" t="n">
        <v>4160</v>
      </c>
      <c r="R768" t="inlineStr">
        <is>
          <t>DIRECCION COMERCIAL BAJIO</t>
        </is>
      </c>
      <c r="S768" t="n">
        <v>41601</v>
      </c>
      <c r="T768" t="inlineStr">
        <is>
          <t>DIRECCION OFICINA QUERETARO</t>
        </is>
      </c>
      <c r="U768" t="n">
        <v>416010</v>
      </c>
      <c r="V768" t="inlineStr">
        <is>
          <t>DIRECCION OFICINA QUERETARO</t>
        </is>
      </c>
      <c r="W768" t="n">
        <v>126112</v>
      </c>
      <c r="X768" t="inlineStr">
        <is>
          <t>QUERETARO</t>
        </is>
      </c>
      <c r="Y768" t="n">
        <v>3</v>
      </c>
      <c r="Z768" t="inlineStr">
        <is>
          <t>CAMBIARIO</t>
        </is>
      </c>
      <c r="AA768" t="n">
        <v>1</v>
      </c>
      <c r="AB768" t="inlineStr">
        <is>
          <t>NEGOCIO EN MARCHA</t>
        </is>
      </c>
      <c r="AC768" t="n">
        <v>1</v>
      </c>
      <c r="AD768" t="inlineStr">
        <is>
          <t>BANCO</t>
        </is>
      </c>
      <c r="AE768" t="n">
        <v>2</v>
      </c>
      <c r="AF768" t="inlineStr">
        <is>
          <t>MIDDLE</t>
        </is>
      </c>
      <c r="AG768" t="n">
        <v>126112</v>
      </c>
      <c r="AH768" t="inlineStr">
        <is>
          <t>QUERETARO</t>
        </is>
      </c>
      <c r="AI768" t="inlineStr">
        <is>
          <t>LTAMAYO@BANCOBASE.COM</t>
        </is>
      </c>
      <c r="AJ768" s="151" t="n">
        <v>46027</v>
      </c>
      <c r="AK768" s="151" t="n"/>
      <c r="AL768" s="151" t="n"/>
    </row>
    <row r="769" hidden="1" s="150">
      <c r="A769" t="inlineStr">
        <is>
          <t>JSANCHEZV</t>
        </is>
      </c>
      <c r="B769" t="n">
        <v>3926</v>
      </c>
      <c r="C769" t="inlineStr">
        <is>
          <t>JOSE PABLO SANCHEZ VALENZUELA</t>
        </is>
      </c>
      <c r="D769" t="n">
        <v>8931</v>
      </c>
      <c r="E769" t="inlineStr">
        <is>
          <t>ASESOR CAMBIARIO</t>
        </is>
      </c>
      <c r="F769" t="inlineStr">
        <is>
          <t>QUERETARO</t>
        </is>
      </c>
      <c r="I769" t="n">
        <v>97</v>
      </c>
      <c r="J769" t="inlineStr">
        <is>
          <t>DIRECTOR DE OFICINA QUERETARO</t>
        </is>
      </c>
      <c r="K769" t="n">
        <v>1</v>
      </c>
      <c r="L769" t="inlineStr">
        <is>
          <t>PRESIDENCIA EJECUTIVA DEL CONSEJO</t>
        </is>
      </c>
      <c r="M769" t="n">
        <v>40</v>
      </c>
      <c r="N769" t="inlineStr">
        <is>
          <t>DIRECCION GENERAL BANCO BASE</t>
        </is>
      </c>
      <c r="O769" t="n">
        <v>410</v>
      </c>
      <c r="P769" t="inlineStr">
        <is>
          <t>DIRECCION COMERCIAL</t>
        </is>
      </c>
      <c r="Q769" t="n">
        <v>4160</v>
      </c>
      <c r="R769" t="inlineStr">
        <is>
          <t>DIRECCION COMERCIAL BAJIO</t>
        </is>
      </c>
      <c r="S769" t="n">
        <v>41601</v>
      </c>
      <c r="T769" t="inlineStr">
        <is>
          <t>DIRECCION OFICINA QUERETARO</t>
        </is>
      </c>
      <c r="U769" t="n">
        <v>416010</v>
      </c>
      <c r="V769" t="inlineStr">
        <is>
          <t>DIRECCION OFICINA QUERETARO</t>
        </is>
      </c>
      <c r="W769" t="n">
        <v>126112</v>
      </c>
      <c r="X769" t="inlineStr">
        <is>
          <t>QUERETARO</t>
        </is>
      </c>
      <c r="Y769" t="n">
        <v>3</v>
      </c>
      <c r="Z769" t="inlineStr">
        <is>
          <t>CAMBIARIO</t>
        </is>
      </c>
      <c r="AA769" t="n">
        <v>1</v>
      </c>
      <c r="AB769" t="inlineStr">
        <is>
          <t>NEGOCIO EN MARCHA</t>
        </is>
      </c>
      <c r="AC769" t="n">
        <v>1</v>
      </c>
      <c r="AD769" t="inlineStr">
        <is>
          <t>BANCO</t>
        </is>
      </c>
      <c r="AE769" t="n">
        <v>3</v>
      </c>
      <c r="AF769" t="inlineStr">
        <is>
          <t>FRONT</t>
        </is>
      </c>
      <c r="AG769" t="n">
        <v>126112</v>
      </c>
      <c r="AH769" t="inlineStr">
        <is>
          <t>QUERETARO</t>
        </is>
      </c>
      <c r="AI769" t="inlineStr">
        <is>
          <t>JSANCHEZV@BANCOBASE.COM</t>
        </is>
      </c>
      <c r="AJ769" s="151" t="n">
        <v>46204</v>
      </c>
      <c r="AK769" s="151" t="n"/>
      <c r="AL769" s="151" t="n"/>
    </row>
    <row r="770" hidden="1" s="150">
      <c r="A770" t="inlineStr">
        <is>
          <t>LPINEDO</t>
        </is>
      </c>
      <c r="B770" t="n">
        <v>3899</v>
      </c>
      <c r="C770" t="inlineStr">
        <is>
          <t>LESLIE PAMELA PINEDO GUZMAN</t>
        </is>
      </c>
      <c r="D770" t="n">
        <v>9586</v>
      </c>
      <c r="E770" t="inlineStr">
        <is>
          <t>ASESOR CAMBIARIO</t>
        </is>
      </c>
      <c r="F770" t="inlineStr">
        <is>
          <t>QUERETARO</t>
        </is>
      </c>
      <c r="I770" t="n">
        <v>97</v>
      </c>
      <c r="J770" t="inlineStr">
        <is>
          <t>DIRECTOR DE OFICINA QUERETARO</t>
        </is>
      </c>
      <c r="K770" t="n">
        <v>1</v>
      </c>
      <c r="L770" t="inlineStr">
        <is>
          <t>PRESIDENCIA EJECUTIVA DEL CONSEJO</t>
        </is>
      </c>
      <c r="M770" t="n">
        <v>40</v>
      </c>
      <c r="N770" t="inlineStr">
        <is>
          <t>DIRECCION GENERAL BANCO BASE</t>
        </is>
      </c>
      <c r="O770" t="n">
        <v>410</v>
      </c>
      <c r="P770" t="inlineStr">
        <is>
          <t>DIRECCION COMERCIAL</t>
        </is>
      </c>
      <c r="Q770" t="n">
        <v>4160</v>
      </c>
      <c r="R770" t="inlineStr">
        <is>
          <t>DIRECCION COMERCIAL BAJIO</t>
        </is>
      </c>
      <c r="S770" t="n">
        <v>41601</v>
      </c>
      <c r="T770" t="inlineStr">
        <is>
          <t>DIRECCION OFICINA QUERETARO</t>
        </is>
      </c>
      <c r="U770" t="n">
        <v>416010</v>
      </c>
      <c r="V770" t="inlineStr">
        <is>
          <t>DIRECCION OFICINA QUERETARO</t>
        </is>
      </c>
      <c r="W770" t="n">
        <v>126112</v>
      </c>
      <c r="X770" t="inlineStr">
        <is>
          <t>QUERETARO</t>
        </is>
      </c>
      <c r="Y770" t="n">
        <v>3</v>
      </c>
      <c r="Z770" t="inlineStr">
        <is>
          <t>CAMBIARIO</t>
        </is>
      </c>
      <c r="AA770" t="n">
        <v>1</v>
      </c>
      <c r="AB770" t="inlineStr">
        <is>
          <t>NEGOCIO EN MARCHA</t>
        </is>
      </c>
      <c r="AC770" t="n">
        <v>1</v>
      </c>
      <c r="AD770" t="inlineStr">
        <is>
          <t>BANCO</t>
        </is>
      </c>
      <c r="AE770" t="n">
        <v>3</v>
      </c>
      <c r="AF770" t="inlineStr">
        <is>
          <t>FRONT</t>
        </is>
      </c>
      <c r="AG770" t="n">
        <v>126112</v>
      </c>
      <c r="AH770" t="inlineStr">
        <is>
          <t>QUERETARO</t>
        </is>
      </c>
      <c r="AI770" t="inlineStr">
        <is>
          <t>LPINEDO@BANCOBASE.COM</t>
        </is>
      </c>
      <c r="AJ770" s="151" t="n">
        <v>46189</v>
      </c>
      <c r="AK770" s="151" t="n"/>
      <c r="AL770" s="151" t="n"/>
    </row>
    <row r="771" hidden="1" s="150">
      <c r="A771" t="inlineStr">
        <is>
          <t>JMORFIN</t>
        </is>
      </c>
      <c r="B771" t="n">
        <v>2277</v>
      </c>
      <c r="C771" t="inlineStr">
        <is>
          <t>JUAN MANUEL MORFIN BUENFIL</t>
        </is>
      </c>
      <c r="D771" t="n">
        <v>10081</v>
      </c>
      <c r="E771" t="inlineStr">
        <is>
          <t>DIRECTOR DE OFICINA SAN LUIS POTOSI</t>
        </is>
      </c>
      <c r="F771" t="inlineStr">
        <is>
          <t>SAN LUIS POTOSI</t>
        </is>
      </c>
      <c r="G771" t="n">
        <v>1038</v>
      </c>
      <c r="H771" t="inlineStr">
        <is>
          <t>JUAN CARLOS CASTILLO SILVA</t>
        </is>
      </c>
      <c r="I771" t="n">
        <v>8394</v>
      </c>
      <c r="J771" t="inlineStr">
        <is>
          <t>DIRECTOR COMERCIAL BAJIO</t>
        </is>
      </c>
      <c r="K771" t="n">
        <v>1</v>
      </c>
      <c r="L771" t="inlineStr">
        <is>
          <t>PRESIDENCIA EJECUTIVA DEL CONSEJO</t>
        </is>
      </c>
      <c r="M771" t="n">
        <v>40</v>
      </c>
      <c r="N771" t="inlineStr">
        <is>
          <t>DIRECCION GENERAL BANCO BASE</t>
        </is>
      </c>
      <c r="O771" t="n">
        <v>410</v>
      </c>
      <c r="P771" t="inlineStr">
        <is>
          <t>DIRECCION COMERCIAL</t>
        </is>
      </c>
      <c r="Q771" t="n">
        <v>4160</v>
      </c>
      <c r="R771" t="inlineStr">
        <is>
          <t>DIRECCION COMERCIAL BAJIO</t>
        </is>
      </c>
      <c r="S771" t="n">
        <v>41603</v>
      </c>
      <c r="T771" t="inlineStr">
        <is>
          <t>DIRECCION OFICINA SAN LUIS POTOSI</t>
        </is>
      </c>
      <c r="U771" t="n">
        <v>416030</v>
      </c>
      <c r="V771" t="inlineStr">
        <is>
          <t>DIRECCION OFICINA SAN LUIS POTOSI</t>
        </is>
      </c>
      <c r="W771" t="n">
        <v>126130</v>
      </c>
      <c r="X771" t="inlineStr">
        <is>
          <t>SAN LUIS POTOSI</t>
        </is>
      </c>
      <c r="Y771" t="n">
        <v>3</v>
      </c>
      <c r="Z771" t="inlineStr">
        <is>
          <t>CAMBIARIO</t>
        </is>
      </c>
      <c r="AA771" t="n">
        <v>1</v>
      </c>
      <c r="AB771" t="inlineStr">
        <is>
          <t>NEGOCIO EN MARCHA</t>
        </is>
      </c>
      <c r="AC771" t="n">
        <v>1</v>
      </c>
      <c r="AD771" t="inlineStr">
        <is>
          <t>BANCO</t>
        </is>
      </c>
      <c r="AE771" t="n">
        <v>3</v>
      </c>
      <c r="AF771" t="inlineStr">
        <is>
          <t>FRONT</t>
        </is>
      </c>
      <c r="AG771" t="n">
        <v>126130</v>
      </c>
      <c r="AH771" t="inlineStr">
        <is>
          <t>SAN LUIS POTOSI</t>
        </is>
      </c>
      <c r="AI771" t="inlineStr">
        <is>
          <t>JMORFIN@BANCOBASE.COM</t>
        </is>
      </c>
      <c r="AJ771" s="151" t="n">
        <v>43647</v>
      </c>
      <c r="AK771" s="151" t="n"/>
      <c r="AL771" s="151" t="n"/>
    </row>
    <row r="772" hidden="1" s="150">
      <c r="A772" t="inlineStr">
        <is>
          <t>JLUCIOM</t>
        </is>
      </c>
      <c r="B772" t="n">
        <v>3236</v>
      </c>
      <c r="C772" t="inlineStr">
        <is>
          <t>JOANA JOSELYN LUCIO MITRE</t>
        </is>
      </c>
      <c r="D772" t="n">
        <v>8616</v>
      </c>
      <c r="E772" t="inlineStr">
        <is>
          <t>ASESOR CAMBIARIO</t>
        </is>
      </c>
      <c r="F772" t="inlineStr">
        <is>
          <t>SAN LUIS POTOSI</t>
        </is>
      </c>
      <c r="G772" t="n">
        <v>2277</v>
      </c>
      <c r="H772" t="inlineStr">
        <is>
          <t>JUAN MANUEL MORFIN BUENFIL</t>
        </is>
      </c>
      <c r="I772" t="n">
        <v>10081</v>
      </c>
      <c r="J772" t="inlineStr">
        <is>
          <t>DIRECTOR DE OFICINA SAN LUIS POTOSI</t>
        </is>
      </c>
      <c r="K772" t="n">
        <v>1</v>
      </c>
      <c r="L772" t="inlineStr">
        <is>
          <t>PRESIDENCIA EJECUTIVA DEL CONSEJO</t>
        </is>
      </c>
      <c r="M772" t="n">
        <v>40</v>
      </c>
      <c r="N772" t="inlineStr">
        <is>
          <t>DIRECCION GENERAL BANCO BASE</t>
        </is>
      </c>
      <c r="O772" t="n">
        <v>410</v>
      </c>
      <c r="P772" t="inlineStr">
        <is>
          <t>DIRECCION COMERCIAL</t>
        </is>
      </c>
      <c r="Q772" t="n">
        <v>4160</v>
      </c>
      <c r="R772" t="inlineStr">
        <is>
          <t>DIRECCION COMERCIAL BAJIO</t>
        </is>
      </c>
      <c r="S772" t="n">
        <v>41603</v>
      </c>
      <c r="T772" t="inlineStr">
        <is>
          <t>DIRECCION OFICINA SAN LUIS POTOSI</t>
        </is>
      </c>
      <c r="U772" t="n">
        <v>416030</v>
      </c>
      <c r="V772" t="inlineStr">
        <is>
          <t>DIRECCION OFICINA SAN LUIS POTOSI</t>
        </is>
      </c>
      <c r="W772" t="n">
        <v>126130</v>
      </c>
      <c r="X772" t="inlineStr">
        <is>
          <t>SAN LUIS POTOSI</t>
        </is>
      </c>
      <c r="Y772" t="n">
        <v>3</v>
      </c>
      <c r="Z772" t="inlineStr">
        <is>
          <t>CAMBIARIO</t>
        </is>
      </c>
      <c r="AA772" t="n">
        <v>1</v>
      </c>
      <c r="AB772" t="inlineStr">
        <is>
          <t>NEGOCIO EN MARCHA</t>
        </is>
      </c>
      <c r="AC772" t="n">
        <v>1</v>
      </c>
      <c r="AD772" t="inlineStr">
        <is>
          <t>BANCO</t>
        </is>
      </c>
      <c r="AE772" t="n">
        <v>3</v>
      </c>
      <c r="AF772" t="inlineStr">
        <is>
          <t>FRONT</t>
        </is>
      </c>
      <c r="AG772" t="n">
        <v>126130</v>
      </c>
      <c r="AH772" t="inlineStr">
        <is>
          <t>SAN LUIS POTOSI</t>
        </is>
      </c>
      <c r="AI772" t="inlineStr">
        <is>
          <t>JLUCIOM@BANCOBASE.COM</t>
        </is>
      </c>
      <c r="AJ772" s="151" t="n">
        <v>45572</v>
      </c>
      <c r="AK772" s="151" t="n"/>
      <c r="AL772" s="151" t="n"/>
    </row>
    <row r="773" hidden="1" s="150">
      <c r="A773" t="inlineStr">
        <is>
          <t>KJARAMILLO</t>
        </is>
      </c>
      <c r="B773" t="n">
        <v>2973</v>
      </c>
      <c r="C773" t="inlineStr">
        <is>
          <t>KATHERINE ALEJANDRA JARAMILLO BRIONES</t>
        </is>
      </c>
      <c r="D773" t="n">
        <v>10096</v>
      </c>
      <c r="E773" t="inlineStr">
        <is>
          <t>ASESOR CAMBIARIO</t>
        </is>
      </c>
      <c r="F773" t="inlineStr">
        <is>
          <t>SAN LUIS POTOSI</t>
        </is>
      </c>
      <c r="G773" t="n">
        <v>2277</v>
      </c>
      <c r="H773" t="inlineStr">
        <is>
          <t>JUAN MANUEL MORFIN BUENFIL</t>
        </is>
      </c>
      <c r="I773" t="n">
        <v>10081</v>
      </c>
      <c r="J773" t="inlineStr">
        <is>
          <t>DIRECTOR DE OFICINA SAN LUIS POTOSI</t>
        </is>
      </c>
      <c r="K773" t="n">
        <v>1</v>
      </c>
      <c r="L773" t="inlineStr">
        <is>
          <t>PRESIDENCIA EJECUTIVA DEL CONSEJO</t>
        </is>
      </c>
      <c r="M773" t="n">
        <v>40</v>
      </c>
      <c r="N773" t="inlineStr">
        <is>
          <t>DIRECCION GENERAL BANCO BASE</t>
        </is>
      </c>
      <c r="O773" t="n">
        <v>410</v>
      </c>
      <c r="P773" t="inlineStr">
        <is>
          <t>DIRECCION COMERCIAL</t>
        </is>
      </c>
      <c r="Q773" t="n">
        <v>4160</v>
      </c>
      <c r="R773" t="inlineStr">
        <is>
          <t>DIRECCION COMERCIAL BAJIO</t>
        </is>
      </c>
      <c r="S773" t="n">
        <v>41603</v>
      </c>
      <c r="T773" t="inlineStr">
        <is>
          <t>DIRECCION OFICINA SAN LUIS POTOSI</t>
        </is>
      </c>
      <c r="U773" t="n">
        <v>416030</v>
      </c>
      <c r="V773" t="inlineStr">
        <is>
          <t>DIRECCION OFICINA SAN LUIS POTOSI</t>
        </is>
      </c>
      <c r="W773" t="n">
        <v>126130</v>
      </c>
      <c r="X773" t="inlineStr">
        <is>
          <t>SAN LUIS POTOSI</t>
        </is>
      </c>
      <c r="Y773" t="n">
        <v>3</v>
      </c>
      <c r="Z773" t="inlineStr">
        <is>
          <t>CAMBIARIO</t>
        </is>
      </c>
      <c r="AA773" t="n">
        <v>1</v>
      </c>
      <c r="AB773" t="inlineStr">
        <is>
          <t>NEGOCIO EN MARCHA</t>
        </is>
      </c>
      <c r="AC773" t="n">
        <v>1</v>
      </c>
      <c r="AD773" t="inlineStr">
        <is>
          <t>BANCO</t>
        </is>
      </c>
      <c r="AE773" t="n">
        <v>3</v>
      </c>
      <c r="AF773" t="inlineStr">
        <is>
          <t>FRONT</t>
        </is>
      </c>
      <c r="AG773" t="n">
        <v>126130</v>
      </c>
      <c r="AH773" t="inlineStr">
        <is>
          <t>SAN LUIS POTOSI</t>
        </is>
      </c>
      <c r="AI773" t="inlineStr">
        <is>
          <t>KJARAMILLO@BANCOBASE.COM</t>
        </is>
      </c>
      <c r="AJ773" s="151" t="n">
        <v>45201</v>
      </c>
      <c r="AK773" s="151" t="n"/>
      <c r="AL773" s="151" t="n"/>
    </row>
    <row r="774" hidden="1" s="150">
      <c r="A774" t="inlineStr">
        <is>
          <t>AGONZALESA</t>
        </is>
      </c>
      <c r="B774" t="n">
        <v>3491</v>
      </c>
      <c r="C774" t="inlineStr">
        <is>
          <t>ALEJANDRO GONZALEZ SANDOVAL</t>
        </is>
      </c>
      <c r="D774" t="n">
        <v>8599</v>
      </c>
      <c r="E774" t="inlineStr">
        <is>
          <t>ASESOR CAMBIARIO</t>
        </is>
      </c>
      <c r="F774" t="inlineStr">
        <is>
          <t>SAN LUIS POTOSI</t>
        </is>
      </c>
      <c r="G774" t="n">
        <v>2277</v>
      </c>
      <c r="H774" t="inlineStr">
        <is>
          <t>JUAN MANUEL MORFIN BUENFIL</t>
        </is>
      </c>
      <c r="I774" t="n">
        <v>10081</v>
      </c>
      <c r="J774" t="inlineStr">
        <is>
          <t>DIRECTOR DE OFICINA SAN LUIS POTOSI</t>
        </is>
      </c>
      <c r="K774" t="n">
        <v>1</v>
      </c>
      <c r="L774" t="inlineStr">
        <is>
          <t>PRESIDENCIA EJECUTIVA DEL CONSEJO</t>
        </is>
      </c>
      <c r="M774" t="n">
        <v>40</v>
      </c>
      <c r="N774" t="inlineStr">
        <is>
          <t>DIRECCION GENERAL BANCO BASE</t>
        </is>
      </c>
      <c r="O774" t="n">
        <v>410</v>
      </c>
      <c r="P774" t="inlineStr">
        <is>
          <t>DIRECCION COMERCIAL</t>
        </is>
      </c>
      <c r="Q774" t="n">
        <v>4160</v>
      </c>
      <c r="R774" t="inlineStr">
        <is>
          <t>DIRECCION COMERCIAL BAJIO</t>
        </is>
      </c>
      <c r="S774" t="n">
        <v>41603</v>
      </c>
      <c r="T774" t="inlineStr">
        <is>
          <t>DIRECCION OFICINA SAN LUIS POTOSI</t>
        </is>
      </c>
      <c r="U774" t="n">
        <v>416030</v>
      </c>
      <c r="V774" t="inlineStr">
        <is>
          <t>DIRECCION OFICINA SAN LUIS POTOSI</t>
        </is>
      </c>
      <c r="W774" t="n">
        <v>126130</v>
      </c>
      <c r="X774" t="inlineStr">
        <is>
          <t>SAN LUIS POTOSI</t>
        </is>
      </c>
      <c r="Y774" t="n">
        <v>3</v>
      </c>
      <c r="Z774" t="inlineStr">
        <is>
          <t>CAMBIARIO</t>
        </is>
      </c>
      <c r="AA774" t="n">
        <v>1</v>
      </c>
      <c r="AB774" t="inlineStr">
        <is>
          <t>NEGOCIO EN MARCHA</t>
        </is>
      </c>
      <c r="AC774" t="n">
        <v>1</v>
      </c>
      <c r="AD774" t="inlineStr">
        <is>
          <t>BANCO</t>
        </is>
      </c>
      <c r="AE774" t="n">
        <v>3</v>
      </c>
      <c r="AF774" t="inlineStr">
        <is>
          <t>FRONT</t>
        </is>
      </c>
      <c r="AG774" t="n">
        <v>126130</v>
      </c>
      <c r="AH774" t="inlineStr">
        <is>
          <t>SAN LUIS POTOSI</t>
        </is>
      </c>
      <c r="AI774" t="inlineStr">
        <is>
          <t>AGONZALESA@BANCOBASE.COM</t>
        </is>
      </c>
      <c r="AJ774" s="151" t="n">
        <v>45866</v>
      </c>
      <c r="AK774" s="151" t="n"/>
      <c r="AL774" s="151" t="n"/>
    </row>
    <row r="775" hidden="1" s="150">
      <c r="A775" t="inlineStr">
        <is>
          <t>AZAVALAM</t>
        </is>
      </c>
      <c r="B775" t="n">
        <v>3311</v>
      </c>
      <c r="C775" t="inlineStr">
        <is>
          <t>ANA PATRICIA ZAVALA MEDINA</t>
        </is>
      </c>
      <c r="D775" t="n">
        <v>10095</v>
      </c>
      <c r="E775" t="inlineStr">
        <is>
          <t>ASESOR CAMBIARIO</t>
        </is>
      </c>
      <c r="F775" t="inlineStr">
        <is>
          <t>SAN LUIS POTOSI</t>
        </is>
      </c>
      <c r="G775" t="n">
        <v>2277</v>
      </c>
      <c r="H775" t="inlineStr">
        <is>
          <t>JUAN MANUEL MORFIN BUENFIL</t>
        </is>
      </c>
      <c r="I775" t="n">
        <v>10081</v>
      </c>
      <c r="J775" t="inlineStr">
        <is>
          <t>DIRECTOR DE OFICINA SAN LUIS POTOSI</t>
        </is>
      </c>
      <c r="K775" t="n">
        <v>1</v>
      </c>
      <c r="L775" t="inlineStr">
        <is>
          <t>PRESIDENCIA EJECUTIVA DEL CONSEJO</t>
        </is>
      </c>
      <c r="M775" t="n">
        <v>40</v>
      </c>
      <c r="N775" t="inlineStr">
        <is>
          <t>DIRECCION GENERAL BANCO BASE</t>
        </is>
      </c>
      <c r="O775" t="n">
        <v>410</v>
      </c>
      <c r="P775" t="inlineStr">
        <is>
          <t>DIRECCION COMERCIAL</t>
        </is>
      </c>
      <c r="Q775" t="n">
        <v>4160</v>
      </c>
      <c r="R775" t="inlineStr">
        <is>
          <t>DIRECCION COMERCIAL BAJIO</t>
        </is>
      </c>
      <c r="S775" t="n">
        <v>41603</v>
      </c>
      <c r="T775" t="inlineStr">
        <is>
          <t>DIRECCION OFICINA SAN LUIS POTOSI</t>
        </is>
      </c>
      <c r="U775" t="n">
        <v>416030</v>
      </c>
      <c r="V775" t="inlineStr">
        <is>
          <t>DIRECCION OFICINA SAN LUIS POTOSI</t>
        </is>
      </c>
      <c r="W775" t="n">
        <v>126130</v>
      </c>
      <c r="X775" t="inlineStr">
        <is>
          <t>SAN LUIS POTOSI</t>
        </is>
      </c>
      <c r="Y775" t="n">
        <v>3</v>
      </c>
      <c r="Z775" t="inlineStr">
        <is>
          <t>CAMBIARIO</t>
        </is>
      </c>
      <c r="AA775" t="n">
        <v>1</v>
      </c>
      <c r="AB775" t="inlineStr">
        <is>
          <t>NEGOCIO EN MARCHA</t>
        </is>
      </c>
      <c r="AC775" t="n">
        <v>1</v>
      </c>
      <c r="AD775" t="inlineStr">
        <is>
          <t>BANCO</t>
        </is>
      </c>
      <c r="AE775" t="n">
        <v>3</v>
      </c>
      <c r="AF775" t="inlineStr">
        <is>
          <t>FRONT</t>
        </is>
      </c>
      <c r="AG775" t="n">
        <v>126130</v>
      </c>
      <c r="AH775" t="inlineStr">
        <is>
          <t>SAN LUIS POTOSI</t>
        </is>
      </c>
      <c r="AI775" t="inlineStr">
        <is>
          <t>AZAVALAM@BANCOBASE.COM</t>
        </is>
      </c>
      <c r="AJ775" s="151" t="n">
        <v>45663</v>
      </c>
      <c r="AK775" s="151" t="n"/>
      <c r="AL775" s="151" t="n"/>
    </row>
    <row r="776" hidden="1" s="150">
      <c r="A776" t="inlineStr">
        <is>
          <t>JSILVA</t>
        </is>
      </c>
      <c r="B776" t="n">
        <v>3237</v>
      </c>
      <c r="C776" t="inlineStr">
        <is>
          <t>FELIPE DE JESUS SILVA ALVARADO</t>
        </is>
      </c>
      <c r="D776" t="n">
        <v>10097</v>
      </c>
      <c r="E776" t="inlineStr">
        <is>
          <t>ASESOR CAMBIARIO</t>
        </is>
      </c>
      <c r="F776" t="inlineStr">
        <is>
          <t>SAN LUIS POTOSI</t>
        </is>
      </c>
      <c r="G776" t="n">
        <v>2277</v>
      </c>
      <c r="H776" t="inlineStr">
        <is>
          <t>JUAN MANUEL MORFIN BUENFIL</t>
        </is>
      </c>
      <c r="I776" t="n">
        <v>10081</v>
      </c>
      <c r="J776" t="inlineStr">
        <is>
          <t>DIRECTOR DE OFICINA SAN LUIS POTOSI</t>
        </is>
      </c>
      <c r="K776" t="n">
        <v>1</v>
      </c>
      <c r="L776" t="inlineStr">
        <is>
          <t>PRESIDENCIA EJECUTIVA DEL CONSEJO</t>
        </is>
      </c>
      <c r="M776" t="n">
        <v>40</v>
      </c>
      <c r="N776" t="inlineStr">
        <is>
          <t>DIRECCION GENERAL BANCO BASE</t>
        </is>
      </c>
      <c r="O776" t="n">
        <v>410</v>
      </c>
      <c r="P776" t="inlineStr">
        <is>
          <t>DIRECCION COMERCIAL</t>
        </is>
      </c>
      <c r="Q776" t="n">
        <v>4160</v>
      </c>
      <c r="R776" t="inlineStr">
        <is>
          <t>DIRECCION COMERCIAL BAJIO</t>
        </is>
      </c>
      <c r="S776" t="n">
        <v>41603</v>
      </c>
      <c r="T776" t="inlineStr">
        <is>
          <t>DIRECCION OFICINA SAN LUIS POTOSI</t>
        </is>
      </c>
      <c r="U776" t="n">
        <v>416030</v>
      </c>
      <c r="V776" t="inlineStr">
        <is>
          <t>DIRECCION OFICINA SAN LUIS POTOSI</t>
        </is>
      </c>
      <c r="W776" t="n">
        <v>126130</v>
      </c>
      <c r="X776" t="inlineStr">
        <is>
          <t>SAN LUIS POTOSI</t>
        </is>
      </c>
      <c r="Y776" t="n">
        <v>3</v>
      </c>
      <c r="Z776" t="inlineStr">
        <is>
          <t>CAMBIARIO</t>
        </is>
      </c>
      <c r="AA776" t="n">
        <v>1</v>
      </c>
      <c r="AB776" t="inlineStr">
        <is>
          <t>NEGOCIO EN MARCHA</t>
        </is>
      </c>
      <c r="AC776" t="n">
        <v>1</v>
      </c>
      <c r="AD776" t="inlineStr">
        <is>
          <t>BANCO</t>
        </is>
      </c>
      <c r="AE776" t="n">
        <v>3</v>
      </c>
      <c r="AF776" t="inlineStr">
        <is>
          <t>FRONT</t>
        </is>
      </c>
      <c r="AG776" t="n">
        <v>126130</v>
      </c>
      <c r="AH776" t="inlineStr">
        <is>
          <t>SAN LUIS POTOSI</t>
        </is>
      </c>
      <c r="AI776" t="inlineStr">
        <is>
          <t>JSILVA@BANCOBASE.COM</t>
        </is>
      </c>
      <c r="AJ776" s="151" t="n">
        <v>45572</v>
      </c>
      <c r="AK776" s="151" t="n"/>
      <c r="AL776" s="151" t="n"/>
    </row>
    <row r="777" hidden="1" s="150">
      <c r="A777" t="inlineStr">
        <is>
          <t>AJEREZ</t>
        </is>
      </c>
      <c r="B777" t="n">
        <v>1898</v>
      </c>
      <c r="C777" t="inlineStr">
        <is>
          <t>ALFONSO JEREZ HERRERA</t>
        </is>
      </c>
      <c r="D777" t="n">
        <v>10094</v>
      </c>
      <c r="E777" t="inlineStr">
        <is>
          <t>ASESOR CAMBIARIO</t>
        </is>
      </c>
      <c r="F777" t="inlineStr">
        <is>
          <t>SAN LUIS POTOSI</t>
        </is>
      </c>
      <c r="G777" t="n">
        <v>2277</v>
      </c>
      <c r="H777" t="inlineStr">
        <is>
          <t>JUAN MANUEL MORFIN BUENFIL</t>
        </is>
      </c>
      <c r="I777" t="n">
        <v>10081</v>
      </c>
      <c r="J777" t="inlineStr">
        <is>
          <t>DIRECTOR DE OFICINA SAN LUIS POTOSI</t>
        </is>
      </c>
      <c r="K777" t="n">
        <v>1</v>
      </c>
      <c r="L777" t="inlineStr">
        <is>
          <t>PRESIDENCIA EJECUTIVA DEL CONSEJO</t>
        </is>
      </c>
      <c r="M777" t="n">
        <v>40</v>
      </c>
      <c r="N777" t="inlineStr">
        <is>
          <t>DIRECCION GENERAL BANCO BASE</t>
        </is>
      </c>
      <c r="O777" t="n">
        <v>410</v>
      </c>
      <c r="P777" t="inlineStr">
        <is>
          <t>DIRECCION COMERCIAL</t>
        </is>
      </c>
      <c r="Q777" t="n">
        <v>4160</v>
      </c>
      <c r="R777" t="inlineStr">
        <is>
          <t>DIRECCION COMERCIAL BAJIO</t>
        </is>
      </c>
      <c r="S777" t="n">
        <v>41603</v>
      </c>
      <c r="T777" t="inlineStr">
        <is>
          <t>DIRECCION OFICINA SAN LUIS POTOSI</t>
        </is>
      </c>
      <c r="U777" t="n">
        <v>416030</v>
      </c>
      <c r="V777" t="inlineStr">
        <is>
          <t>DIRECCION OFICINA SAN LUIS POTOSI</t>
        </is>
      </c>
      <c r="W777" t="n">
        <v>126130</v>
      </c>
      <c r="X777" t="inlineStr">
        <is>
          <t>SAN LUIS POTOSI</t>
        </is>
      </c>
      <c r="Y777" t="n">
        <v>3</v>
      </c>
      <c r="Z777" t="inlineStr">
        <is>
          <t>CAMBIARIO</t>
        </is>
      </c>
      <c r="AA777" t="n">
        <v>1</v>
      </c>
      <c r="AB777" t="inlineStr">
        <is>
          <t>NEGOCIO EN MARCHA</t>
        </is>
      </c>
      <c r="AC777" t="n">
        <v>1</v>
      </c>
      <c r="AD777" t="inlineStr">
        <is>
          <t>BANCO</t>
        </is>
      </c>
      <c r="AE777" t="n">
        <v>3</v>
      </c>
      <c r="AF777" t="inlineStr">
        <is>
          <t>FRONT</t>
        </is>
      </c>
      <c r="AG777" t="n">
        <v>126130</v>
      </c>
      <c r="AH777" t="inlineStr">
        <is>
          <t>SAN LUIS POTOSI</t>
        </is>
      </c>
      <c r="AI777" t="inlineStr">
        <is>
          <t>AJEREZ@BANCOBASE.COM</t>
        </is>
      </c>
      <c r="AJ777" s="151" t="n">
        <v>43073</v>
      </c>
      <c r="AK777" s="151" t="n"/>
      <c r="AL777" s="151" t="n"/>
    </row>
    <row r="778" hidden="1" s="150">
      <c r="A778" t="inlineStr">
        <is>
          <t>SSIFUENTES</t>
        </is>
      </c>
      <c r="B778" t="n">
        <v>3336</v>
      </c>
      <c r="C778" t="inlineStr">
        <is>
          <t>SUSANA MARIA LIZBETH SIFUENTES SANDOVAL</t>
        </is>
      </c>
      <c r="D778" t="n">
        <v>10099</v>
      </c>
      <c r="E778" t="inlineStr">
        <is>
          <t>ASESOR CAMBIARIO</t>
        </is>
      </c>
      <c r="F778" t="inlineStr">
        <is>
          <t>SAN LUIS POTOSI</t>
        </is>
      </c>
      <c r="G778" t="n">
        <v>2277</v>
      </c>
      <c r="H778" t="inlineStr">
        <is>
          <t>JUAN MANUEL MORFIN BUENFIL</t>
        </is>
      </c>
      <c r="I778" t="n">
        <v>10081</v>
      </c>
      <c r="J778" t="inlineStr">
        <is>
          <t>DIRECTOR DE OFICINA SAN LUIS POTOSI</t>
        </is>
      </c>
      <c r="K778" t="n">
        <v>1</v>
      </c>
      <c r="L778" t="inlineStr">
        <is>
          <t>PRESIDENCIA EJECUTIVA DEL CONSEJO</t>
        </is>
      </c>
      <c r="M778" t="n">
        <v>40</v>
      </c>
      <c r="N778" t="inlineStr">
        <is>
          <t>DIRECCION GENERAL BANCO BASE</t>
        </is>
      </c>
      <c r="O778" t="n">
        <v>410</v>
      </c>
      <c r="P778" t="inlineStr">
        <is>
          <t>DIRECCION COMERCIAL</t>
        </is>
      </c>
      <c r="Q778" t="n">
        <v>4160</v>
      </c>
      <c r="R778" t="inlineStr">
        <is>
          <t>DIRECCION COMERCIAL BAJIO</t>
        </is>
      </c>
      <c r="S778" t="n">
        <v>41603</v>
      </c>
      <c r="T778" t="inlineStr">
        <is>
          <t>DIRECCION OFICINA SAN LUIS POTOSI</t>
        </is>
      </c>
      <c r="U778" t="n">
        <v>416030</v>
      </c>
      <c r="V778" t="inlineStr">
        <is>
          <t>DIRECCION OFICINA SAN LUIS POTOSI</t>
        </is>
      </c>
      <c r="W778" t="n">
        <v>126130</v>
      </c>
      <c r="X778" t="inlineStr">
        <is>
          <t>SAN LUIS POTOSI</t>
        </is>
      </c>
      <c r="Y778" t="n">
        <v>3</v>
      </c>
      <c r="Z778" t="inlineStr">
        <is>
          <t>CAMBIARIO</t>
        </is>
      </c>
      <c r="AA778" t="n">
        <v>1</v>
      </c>
      <c r="AB778" t="inlineStr">
        <is>
          <t>NEGOCIO EN MARCHA</t>
        </is>
      </c>
      <c r="AC778" t="n">
        <v>1</v>
      </c>
      <c r="AD778" t="inlineStr">
        <is>
          <t>BANCO</t>
        </is>
      </c>
      <c r="AE778" t="n">
        <v>3</v>
      </c>
      <c r="AF778" t="inlineStr">
        <is>
          <t>FRONT</t>
        </is>
      </c>
      <c r="AG778" t="n">
        <v>126130</v>
      </c>
      <c r="AH778" t="inlineStr">
        <is>
          <t>SAN LUIS POTOSI</t>
        </is>
      </c>
      <c r="AI778" t="inlineStr">
        <is>
          <t>SSIFUENTES@BANCOBASE.COM</t>
        </is>
      </c>
      <c r="AJ778" s="151" t="n">
        <v>45692</v>
      </c>
      <c r="AK778" s="151" t="n"/>
      <c r="AL778" s="151" t="n"/>
    </row>
    <row r="779" hidden="1" s="150">
      <c r="A779" t="inlineStr">
        <is>
          <t>KMEDELLINC</t>
        </is>
      </c>
      <c r="B779" t="n">
        <v>2336</v>
      </c>
      <c r="C779" t="inlineStr">
        <is>
          <t>KASANDRA MEDELLIN CORTES</t>
        </is>
      </c>
      <c r="D779" t="n">
        <v>8130</v>
      </c>
      <c r="E779" t="inlineStr">
        <is>
          <t>ASESOR CAMBIARIO</t>
        </is>
      </c>
      <c r="F779" t="inlineStr">
        <is>
          <t>SAN LUIS POTOSI</t>
        </is>
      </c>
      <c r="G779" t="n">
        <v>2277</v>
      </c>
      <c r="H779" t="inlineStr">
        <is>
          <t>JUAN MANUEL MORFIN BUENFIL</t>
        </is>
      </c>
      <c r="I779" t="n">
        <v>10081</v>
      </c>
      <c r="J779" t="inlineStr">
        <is>
          <t>DIRECTOR DE OFICINA SAN LUIS POTOSI</t>
        </is>
      </c>
      <c r="K779" t="n">
        <v>1</v>
      </c>
      <c r="L779" t="inlineStr">
        <is>
          <t>PRESIDENCIA EJECUTIVA DEL CONSEJO</t>
        </is>
      </c>
      <c r="M779" t="n">
        <v>40</v>
      </c>
      <c r="N779" t="inlineStr">
        <is>
          <t>DIRECCION GENERAL BANCO BASE</t>
        </is>
      </c>
      <c r="O779" t="n">
        <v>410</v>
      </c>
      <c r="P779" t="inlineStr">
        <is>
          <t>DIRECCION COMERCIAL</t>
        </is>
      </c>
      <c r="Q779" t="n">
        <v>4160</v>
      </c>
      <c r="R779" t="inlineStr">
        <is>
          <t>DIRECCION COMERCIAL BAJIO</t>
        </is>
      </c>
      <c r="S779" t="n">
        <v>41603</v>
      </c>
      <c r="T779" t="inlineStr">
        <is>
          <t>DIRECCION OFICINA SAN LUIS POTOSI</t>
        </is>
      </c>
      <c r="U779" t="n">
        <v>416030</v>
      </c>
      <c r="V779" t="inlineStr">
        <is>
          <t>DIRECCION OFICINA SAN LUIS POTOSI</t>
        </is>
      </c>
      <c r="W779" t="n">
        <v>126130</v>
      </c>
      <c r="X779" t="inlineStr">
        <is>
          <t>SAN LUIS POTOSI</t>
        </is>
      </c>
      <c r="Y779" t="n">
        <v>3</v>
      </c>
      <c r="Z779" t="inlineStr">
        <is>
          <t>CAMBIARIO</t>
        </is>
      </c>
      <c r="AA779" t="n">
        <v>1</v>
      </c>
      <c r="AB779" t="inlineStr">
        <is>
          <t>NEGOCIO EN MARCHA</t>
        </is>
      </c>
      <c r="AC779" t="n">
        <v>1</v>
      </c>
      <c r="AD779" t="inlineStr">
        <is>
          <t>BANCO</t>
        </is>
      </c>
      <c r="AE779" t="n">
        <v>3</v>
      </c>
      <c r="AF779" t="inlineStr">
        <is>
          <t>FRONT</t>
        </is>
      </c>
      <c r="AG779" t="n">
        <v>126130</v>
      </c>
      <c r="AH779" t="inlineStr">
        <is>
          <t>SAN LUIS POTOSI</t>
        </is>
      </c>
      <c r="AI779" t="inlineStr">
        <is>
          <t>KMEDELLINC@BANCOBASE.COM</t>
        </is>
      </c>
      <c r="AJ779" s="151" t="n">
        <v>43745</v>
      </c>
      <c r="AK779" s="151" t="n"/>
      <c r="AL779" s="151" t="n"/>
    </row>
    <row r="780" hidden="1" s="150">
      <c r="A780" t="inlineStr">
        <is>
          <t>JMARTINET</t>
        </is>
      </c>
      <c r="B780" t="n">
        <v>2386</v>
      </c>
      <c r="C780" t="inlineStr">
        <is>
          <t>JUAN JOSE MARTINEZ TURRUBIARTES</t>
        </is>
      </c>
      <c r="D780" t="n">
        <v>10152</v>
      </c>
      <c r="E780" t="inlineStr">
        <is>
          <t>ESPECIALISTA DE FINANCIAMIENTO</t>
        </is>
      </c>
      <c r="F780" t="inlineStr">
        <is>
          <t>SAN LUIS POTOSI</t>
        </is>
      </c>
      <c r="G780" t="n">
        <v>2277</v>
      </c>
      <c r="H780" t="inlineStr">
        <is>
          <t>JUAN MANUEL MORFIN BUENFIL</t>
        </is>
      </c>
      <c r="I780" t="n">
        <v>10081</v>
      </c>
      <c r="J780" t="inlineStr">
        <is>
          <t>DIRECTOR DE OFICINA SAN LUIS POTOSI</t>
        </is>
      </c>
      <c r="K780" t="n">
        <v>1</v>
      </c>
      <c r="L780" t="inlineStr">
        <is>
          <t>PRESIDENCIA EJECUTIVA DEL CONSEJO</t>
        </is>
      </c>
      <c r="M780" t="n">
        <v>40</v>
      </c>
      <c r="N780" t="inlineStr">
        <is>
          <t>DIRECCION GENERAL BANCO BASE</t>
        </is>
      </c>
      <c r="O780" t="n">
        <v>410</v>
      </c>
      <c r="P780" t="inlineStr">
        <is>
          <t>DIRECCION COMERCIAL</t>
        </is>
      </c>
      <c r="Q780" t="n">
        <v>4160</v>
      </c>
      <c r="R780" t="inlineStr">
        <is>
          <t>DIRECCION COMERCIAL BAJIO</t>
        </is>
      </c>
      <c r="S780" t="n">
        <v>41603</v>
      </c>
      <c r="T780" t="inlineStr">
        <is>
          <t>DIRECCION OFICINA SAN LUIS POTOSI</t>
        </is>
      </c>
      <c r="U780" t="n">
        <v>416030</v>
      </c>
      <c r="V780" t="inlineStr">
        <is>
          <t>DIRECCION OFICINA SAN LUIS POTOSI</t>
        </is>
      </c>
      <c r="W780" t="n">
        <v>126130</v>
      </c>
      <c r="X780" t="inlineStr">
        <is>
          <t>SAN LUIS POTOSI</t>
        </is>
      </c>
      <c r="Y780" t="n">
        <v>13</v>
      </c>
      <c r="Z780" t="inlineStr">
        <is>
          <t>FINANCIAMIENTO</t>
        </is>
      </c>
      <c r="AA780" t="n">
        <v>1</v>
      </c>
      <c r="AB780" t="inlineStr">
        <is>
          <t>NEGOCIO EN MARCHA</t>
        </is>
      </c>
      <c r="AC780" t="n">
        <v>1</v>
      </c>
      <c r="AD780" t="inlineStr">
        <is>
          <t>BANCO</t>
        </is>
      </c>
      <c r="AE780" t="n">
        <v>3</v>
      </c>
      <c r="AF780" t="inlineStr">
        <is>
          <t>FRONT</t>
        </is>
      </c>
      <c r="AG780" t="n">
        <v>126130</v>
      </c>
      <c r="AH780" t="inlineStr">
        <is>
          <t>SAN LUIS POTOSI</t>
        </is>
      </c>
      <c r="AI780" t="inlineStr">
        <is>
          <t>JMARTINET@BANCOBASE.COM</t>
        </is>
      </c>
      <c r="AJ780" s="151" t="n">
        <v>43878</v>
      </c>
      <c r="AK780" s="151" t="n"/>
      <c r="AL780" s="151" t="n"/>
    </row>
    <row r="781" hidden="1" s="150">
      <c r="A781" t="inlineStr">
        <is>
          <t>STORREF</t>
        </is>
      </c>
      <c r="B781" t="n">
        <v>2546</v>
      </c>
      <c r="C781" t="inlineStr">
        <is>
          <t>SOFIA TORRE FLORES</t>
        </is>
      </c>
      <c r="D781" t="n">
        <v>10373</v>
      </c>
      <c r="E781" t="inlineStr">
        <is>
          <t>ESPECIALISTA DE BANCA TRANSACCIONAL</t>
        </is>
      </c>
      <c r="F781" t="inlineStr">
        <is>
          <t>SAN LUIS POTOSI</t>
        </is>
      </c>
      <c r="G781" t="n">
        <v>2277</v>
      </c>
      <c r="H781" t="inlineStr">
        <is>
          <t>JUAN MANUEL MORFIN BUENFIL</t>
        </is>
      </c>
      <c r="I781" t="n">
        <v>10081</v>
      </c>
      <c r="J781" t="inlineStr">
        <is>
          <t>DIRECTOR DE OFICINA SAN LUIS POTOSI</t>
        </is>
      </c>
      <c r="K781" t="n">
        <v>1</v>
      </c>
      <c r="L781" t="inlineStr">
        <is>
          <t>PRESIDENCIA EJECUTIVA DEL CONSEJO</t>
        </is>
      </c>
      <c r="M781" t="n">
        <v>40</v>
      </c>
      <c r="N781" t="inlineStr">
        <is>
          <t>DIRECCION GENERAL BANCO BASE</t>
        </is>
      </c>
      <c r="O781" t="n">
        <v>410</v>
      </c>
      <c r="P781" t="inlineStr">
        <is>
          <t>DIRECCION COMERCIAL</t>
        </is>
      </c>
      <c r="Q781" t="n">
        <v>4160</v>
      </c>
      <c r="R781" t="inlineStr">
        <is>
          <t>DIRECCION COMERCIAL BAJIO</t>
        </is>
      </c>
      <c r="S781" t="n">
        <v>41603</v>
      </c>
      <c r="T781" t="inlineStr">
        <is>
          <t>DIRECCION OFICINA SAN LUIS POTOSI</t>
        </is>
      </c>
      <c r="U781" t="n">
        <v>416030</v>
      </c>
      <c r="V781" t="inlineStr">
        <is>
          <t>DIRECCION OFICINA SAN LUIS POTOSI</t>
        </is>
      </c>
      <c r="W781" t="n">
        <v>126130</v>
      </c>
      <c r="X781" t="inlineStr">
        <is>
          <t>SAN LUIS POTOSI</t>
        </is>
      </c>
      <c r="Y781" t="n">
        <v>14</v>
      </c>
      <c r="Z781" t="inlineStr">
        <is>
          <t>TRANSACCIONAL</t>
        </is>
      </c>
      <c r="AA781" t="n">
        <v>1</v>
      </c>
      <c r="AB781" t="inlineStr">
        <is>
          <t>NEGOCIO EN MARCHA</t>
        </is>
      </c>
      <c r="AC781" t="n">
        <v>1</v>
      </c>
      <c r="AD781" t="inlineStr">
        <is>
          <t>BANCO</t>
        </is>
      </c>
      <c r="AE781" t="n">
        <v>3</v>
      </c>
      <c r="AF781" t="inlineStr">
        <is>
          <t>FRONT</t>
        </is>
      </c>
      <c r="AG781" t="n">
        <v>126130</v>
      </c>
      <c r="AH781" t="inlineStr">
        <is>
          <t>SAN LUIS POTOSI</t>
        </is>
      </c>
      <c r="AI781" t="inlineStr">
        <is>
          <t>STORREF@BANCOBASE.COM</t>
        </is>
      </c>
      <c r="AJ781" s="151" t="n">
        <v>44446</v>
      </c>
      <c r="AK781" s="151" t="n"/>
      <c r="AL781" s="151" t="n"/>
    </row>
    <row r="782" hidden="1" s="150">
      <c r="A782" t="inlineStr">
        <is>
          <t>MROMEROU</t>
        </is>
      </c>
      <c r="B782" t="n">
        <v>3092</v>
      </c>
      <c r="C782" t="inlineStr">
        <is>
          <t>MARISELA ROMERO URESTI</t>
        </is>
      </c>
      <c r="D782" t="n">
        <v>8342</v>
      </c>
      <c r="E782" t="inlineStr">
        <is>
          <t>EJECUTIVO DE SOPORTE</t>
        </is>
      </c>
      <c r="F782" t="inlineStr">
        <is>
          <t>SAN LUIS POTOSI</t>
        </is>
      </c>
      <c r="G782" t="n">
        <v>2277</v>
      </c>
      <c r="H782" t="inlineStr">
        <is>
          <t>JUAN MANUEL MORFIN BUENFIL</t>
        </is>
      </c>
      <c r="I782" t="n">
        <v>10081</v>
      </c>
      <c r="J782" t="inlineStr">
        <is>
          <t>DIRECTOR DE OFICINA SAN LUIS POTOSI</t>
        </is>
      </c>
      <c r="K782" t="n">
        <v>1</v>
      </c>
      <c r="L782" t="inlineStr">
        <is>
          <t>PRESIDENCIA EJECUTIVA DEL CONSEJO</t>
        </is>
      </c>
      <c r="M782" t="n">
        <v>40</v>
      </c>
      <c r="N782" t="inlineStr">
        <is>
          <t>DIRECCION GENERAL BANCO BASE</t>
        </is>
      </c>
      <c r="O782" t="n">
        <v>410</v>
      </c>
      <c r="P782" t="inlineStr">
        <is>
          <t>DIRECCION COMERCIAL</t>
        </is>
      </c>
      <c r="Q782" t="n">
        <v>4160</v>
      </c>
      <c r="R782" t="inlineStr">
        <is>
          <t>DIRECCION COMERCIAL BAJIO</t>
        </is>
      </c>
      <c r="S782" t="n">
        <v>41603</v>
      </c>
      <c r="T782" t="inlineStr">
        <is>
          <t>DIRECCION OFICINA SAN LUIS POTOSI</t>
        </is>
      </c>
      <c r="U782" t="n">
        <v>416030</v>
      </c>
      <c r="V782" t="inlineStr">
        <is>
          <t>DIRECCION OFICINA SAN LUIS POTOSI</t>
        </is>
      </c>
      <c r="W782" t="n">
        <v>126130</v>
      </c>
      <c r="X782" t="inlineStr">
        <is>
          <t>SAN LUIS POTOSI</t>
        </is>
      </c>
      <c r="Y782" t="n">
        <v>17</v>
      </c>
      <c r="Z782" t="inlineStr">
        <is>
          <t>SOPORTE</t>
        </is>
      </c>
      <c r="AA782" t="n">
        <v>1</v>
      </c>
      <c r="AB782" t="inlineStr">
        <is>
          <t>NEGOCIO EN MARCHA</t>
        </is>
      </c>
      <c r="AC782" t="n">
        <v>1</v>
      </c>
      <c r="AD782" t="inlineStr">
        <is>
          <t>BANCO</t>
        </is>
      </c>
      <c r="AE782" t="n">
        <v>2</v>
      </c>
      <c r="AF782" t="inlineStr">
        <is>
          <t>MIDDLE</t>
        </is>
      </c>
      <c r="AG782" t="n">
        <v>126130</v>
      </c>
      <c r="AH782" t="inlineStr">
        <is>
          <t>SAN LUIS POTOSI</t>
        </is>
      </c>
      <c r="AI782" t="inlineStr">
        <is>
          <t>MROMEROU@BANCOBASE.COM</t>
        </is>
      </c>
      <c r="AJ782" s="151" t="n">
        <v>45398</v>
      </c>
      <c r="AK782" s="151" t="n"/>
      <c r="AL782" s="151" t="n"/>
    </row>
    <row r="783" hidden="1" s="150">
      <c r="A783" t="inlineStr">
        <is>
          <t>AHERRERAR</t>
        </is>
      </c>
      <c r="B783" t="n">
        <v>3106</v>
      </c>
      <c r="C783" t="inlineStr">
        <is>
          <t>ANDREA MARGARITA HERRERA RIVERA</t>
        </is>
      </c>
      <c r="D783" t="n">
        <v>8345</v>
      </c>
      <c r="E783" t="inlineStr">
        <is>
          <t>ASISTENTE CAMBIARIO</t>
        </is>
      </c>
      <c r="F783" t="inlineStr">
        <is>
          <t>SAN LUIS POTOSI</t>
        </is>
      </c>
      <c r="G783" t="n">
        <v>2277</v>
      </c>
      <c r="H783" t="inlineStr">
        <is>
          <t>JUAN MANUEL MORFIN BUENFIL</t>
        </is>
      </c>
      <c r="I783" t="n">
        <v>10081</v>
      </c>
      <c r="J783" t="inlineStr">
        <is>
          <t>DIRECTOR DE OFICINA SAN LUIS POTOSI</t>
        </is>
      </c>
      <c r="K783" t="n">
        <v>1</v>
      </c>
      <c r="L783" t="inlineStr">
        <is>
          <t>PRESIDENCIA EJECUTIVA DEL CONSEJO</t>
        </is>
      </c>
      <c r="M783" t="n">
        <v>40</v>
      </c>
      <c r="N783" t="inlineStr">
        <is>
          <t>DIRECCION GENERAL BANCO BASE</t>
        </is>
      </c>
      <c r="O783" t="n">
        <v>410</v>
      </c>
      <c r="P783" t="inlineStr">
        <is>
          <t>DIRECCION COMERCIAL</t>
        </is>
      </c>
      <c r="Q783" t="n">
        <v>4160</v>
      </c>
      <c r="R783" t="inlineStr">
        <is>
          <t>DIRECCION COMERCIAL BAJIO</t>
        </is>
      </c>
      <c r="S783" t="n">
        <v>41603</v>
      </c>
      <c r="T783" t="inlineStr">
        <is>
          <t>DIRECCION OFICINA SAN LUIS POTOSI</t>
        </is>
      </c>
      <c r="U783" t="n">
        <v>416030</v>
      </c>
      <c r="V783" t="inlineStr">
        <is>
          <t>DIRECCION OFICINA SAN LUIS POTOSI</t>
        </is>
      </c>
      <c r="W783" t="n">
        <v>126130</v>
      </c>
      <c r="X783" t="inlineStr">
        <is>
          <t>SAN LUIS POTOSI</t>
        </is>
      </c>
      <c r="Y783" t="n">
        <v>3</v>
      </c>
      <c r="Z783" t="inlineStr">
        <is>
          <t>CAMBIARIO</t>
        </is>
      </c>
      <c r="AA783" t="n">
        <v>1</v>
      </c>
      <c r="AB783" t="inlineStr">
        <is>
          <t>NEGOCIO EN MARCHA</t>
        </is>
      </c>
      <c r="AC783" t="n">
        <v>1</v>
      </c>
      <c r="AD783" t="inlineStr">
        <is>
          <t>BANCO</t>
        </is>
      </c>
      <c r="AE783" t="n">
        <v>2</v>
      </c>
      <c r="AF783" t="inlineStr">
        <is>
          <t>MIDDLE</t>
        </is>
      </c>
      <c r="AG783" t="n">
        <v>126130</v>
      </c>
      <c r="AH783" t="inlineStr">
        <is>
          <t>SAN LUIS POTOSI</t>
        </is>
      </c>
      <c r="AI783" t="inlineStr">
        <is>
          <t>AHERRERAR@BANCOBASE.COM</t>
        </is>
      </c>
      <c r="AJ783" s="151" t="n">
        <v>45414</v>
      </c>
      <c r="AK783" s="151" t="n"/>
      <c r="AL783" s="151" t="n"/>
    </row>
    <row r="784" hidden="1" s="150">
      <c r="A784" t="inlineStr">
        <is>
          <t>MCHAVEZCO</t>
        </is>
      </c>
      <c r="B784" t="n">
        <v>3784</v>
      </c>
      <c r="C784" t="inlineStr">
        <is>
          <t>MARIANA ISABEL CHAVEZ CORDOVA</t>
        </is>
      </c>
      <c r="D784" t="n">
        <v>6085</v>
      </c>
      <c r="E784" t="inlineStr">
        <is>
          <t>ASISTENTE CAMBIARIO</t>
        </is>
      </c>
      <c r="F784" t="inlineStr">
        <is>
          <t>SAN LUIS POTOSI</t>
        </is>
      </c>
      <c r="G784" t="n">
        <v>2277</v>
      </c>
      <c r="H784" t="inlineStr">
        <is>
          <t>JUAN MANUEL MORFIN BUENFIL</t>
        </is>
      </c>
      <c r="I784" t="n">
        <v>10081</v>
      </c>
      <c r="J784" t="inlineStr">
        <is>
          <t>DIRECTOR DE OFICINA SAN LUIS POTOSI</t>
        </is>
      </c>
      <c r="K784" t="n">
        <v>1</v>
      </c>
      <c r="L784" t="inlineStr">
        <is>
          <t>PRESIDENCIA EJECUTIVA DEL CONSEJO</t>
        </is>
      </c>
      <c r="M784" t="n">
        <v>40</v>
      </c>
      <c r="N784" t="inlineStr">
        <is>
          <t>DIRECCION GENERAL BANCO BASE</t>
        </is>
      </c>
      <c r="O784" t="n">
        <v>410</v>
      </c>
      <c r="P784" t="inlineStr">
        <is>
          <t>DIRECCION COMERCIAL</t>
        </is>
      </c>
      <c r="Q784" t="n">
        <v>4160</v>
      </c>
      <c r="R784" t="inlineStr">
        <is>
          <t>DIRECCION COMERCIAL BAJIO</t>
        </is>
      </c>
      <c r="S784" t="n">
        <v>41603</v>
      </c>
      <c r="T784" t="inlineStr">
        <is>
          <t>DIRECCION OFICINA SAN LUIS POTOSI</t>
        </is>
      </c>
      <c r="U784" t="n">
        <v>416030</v>
      </c>
      <c r="V784" t="inlineStr">
        <is>
          <t>DIRECCION OFICINA SAN LUIS POTOSI</t>
        </is>
      </c>
      <c r="W784" t="n">
        <v>126130</v>
      </c>
      <c r="X784" t="inlineStr">
        <is>
          <t>SAN LUIS POTOSI</t>
        </is>
      </c>
      <c r="Y784" t="n">
        <v>3</v>
      </c>
      <c r="Z784" t="inlineStr">
        <is>
          <t>CAMBIARIO</t>
        </is>
      </c>
      <c r="AA784" t="n">
        <v>1</v>
      </c>
      <c r="AB784" t="inlineStr">
        <is>
          <t>NEGOCIO EN MARCHA</t>
        </is>
      </c>
      <c r="AC784" t="n">
        <v>1</v>
      </c>
      <c r="AD784" t="inlineStr">
        <is>
          <t>BANCO</t>
        </is>
      </c>
      <c r="AE784" t="n">
        <v>2</v>
      </c>
      <c r="AF784" t="inlineStr">
        <is>
          <t>MIDDLE</t>
        </is>
      </c>
      <c r="AG784" t="n">
        <v>126130</v>
      </c>
      <c r="AH784" t="inlineStr">
        <is>
          <t>SAN LUIS POTOSI</t>
        </is>
      </c>
      <c r="AI784" t="inlineStr">
        <is>
          <t>MCHAVEZCO@BANCOBASE.COM</t>
        </is>
      </c>
      <c r="AJ784" s="151" t="n">
        <v>46098</v>
      </c>
      <c r="AK784" s="151" t="n"/>
      <c r="AL784" s="151" t="n"/>
    </row>
    <row r="785" hidden="1" s="150">
      <c r="A785" t="inlineStr">
        <is>
          <t>JSANCHEZR</t>
        </is>
      </c>
      <c r="B785" t="n">
        <v>3987</v>
      </c>
      <c r="C785" t="inlineStr">
        <is>
          <t>JOSE LUIS SANCHEZ RAMIREZ</t>
        </is>
      </c>
      <c r="D785" t="n">
        <v>8748</v>
      </c>
      <c r="E785" t="inlineStr">
        <is>
          <t>ASESOR CAMBIARIO</t>
        </is>
      </c>
      <c r="F785" t="inlineStr">
        <is>
          <t>SAN LUIS POTOSI</t>
        </is>
      </c>
      <c r="G785" t="n">
        <v>2277</v>
      </c>
      <c r="H785" t="inlineStr">
        <is>
          <t>JUAN MANUEL MORFIN BUENFIL</t>
        </is>
      </c>
      <c r="I785" t="n">
        <v>10081</v>
      </c>
      <c r="J785" t="inlineStr">
        <is>
          <t>DIRECTOR DE OFICINA SAN LUIS POTOSI</t>
        </is>
      </c>
      <c r="K785" t="n">
        <v>1</v>
      </c>
      <c r="L785" t="inlineStr">
        <is>
          <t>PRESIDENCIA EJECUTIVA DEL CONSEJO</t>
        </is>
      </c>
      <c r="M785" t="n">
        <v>40</v>
      </c>
      <c r="N785" t="inlineStr">
        <is>
          <t>DIRECCION GENERAL BANCO BASE</t>
        </is>
      </c>
      <c r="O785" t="n">
        <v>410</v>
      </c>
      <c r="P785" t="inlineStr">
        <is>
          <t>DIRECCION COMERCIAL</t>
        </is>
      </c>
      <c r="Q785" t="n">
        <v>4160</v>
      </c>
      <c r="R785" t="inlineStr">
        <is>
          <t>DIRECCION COMERCIAL BAJIO</t>
        </is>
      </c>
      <c r="S785" t="n">
        <v>41603</v>
      </c>
      <c r="T785" t="inlineStr">
        <is>
          <t>DIRECCION OFICINA SAN LUIS POTOSI</t>
        </is>
      </c>
      <c r="U785" t="n">
        <v>416030</v>
      </c>
      <c r="V785" t="inlineStr">
        <is>
          <t>DIRECCION OFICINA SAN LUIS POTOSI</t>
        </is>
      </c>
      <c r="W785" t="n">
        <v>126130</v>
      </c>
      <c r="X785" t="inlineStr">
        <is>
          <t>SAN LUIS POTOSI</t>
        </is>
      </c>
      <c r="Y785" t="n">
        <v>3</v>
      </c>
      <c r="Z785" t="inlineStr">
        <is>
          <t>CAMBIARIO</t>
        </is>
      </c>
      <c r="AA785" t="n">
        <v>1</v>
      </c>
      <c r="AB785" t="inlineStr">
        <is>
          <t>NEGOCIO EN MARCHA</t>
        </is>
      </c>
      <c r="AC785" t="n">
        <v>1</v>
      </c>
      <c r="AD785" t="inlineStr">
        <is>
          <t>BANCO</t>
        </is>
      </c>
      <c r="AE785" t="n">
        <v>3</v>
      </c>
      <c r="AF785" t="inlineStr">
        <is>
          <t>FRONT</t>
        </is>
      </c>
      <c r="AG785" t="n">
        <v>126130</v>
      </c>
      <c r="AH785" t="inlineStr">
        <is>
          <t>SAN LUIS POTOSI</t>
        </is>
      </c>
      <c r="AI785" t="inlineStr">
        <is>
          <t>JSANCHEZR@BANCOBASE.COM</t>
        </is>
      </c>
      <c r="AJ785" s="151" t="n">
        <v>46251</v>
      </c>
      <c r="AK785" s="151" t="n"/>
      <c r="AL785" s="151" t="n"/>
    </row>
    <row r="786" hidden="1" s="150">
      <c r="A786" t="inlineStr">
        <is>
          <t>RRAMIREZ</t>
        </is>
      </c>
      <c r="B786" t="n">
        <v>3923</v>
      </c>
      <c r="C786" t="inlineStr">
        <is>
          <t>RAFAEL RAMIREZ PEDROZA</t>
        </is>
      </c>
      <c r="D786" t="n">
        <v>9897</v>
      </c>
      <c r="E786" t="inlineStr">
        <is>
          <t>ASESOR CAMBIARIO</t>
        </is>
      </c>
      <c r="F786" t="inlineStr">
        <is>
          <t>SAN LUIS POTOSI</t>
        </is>
      </c>
      <c r="G786" t="n">
        <v>2277</v>
      </c>
      <c r="H786" t="inlineStr">
        <is>
          <t>JUAN MANUEL MORFIN BUENFIL</t>
        </is>
      </c>
      <c r="I786" t="n">
        <v>10081</v>
      </c>
      <c r="J786" t="inlineStr">
        <is>
          <t>DIRECTOR DE OFICINA SAN LUIS POTOSI</t>
        </is>
      </c>
      <c r="K786" t="n">
        <v>1</v>
      </c>
      <c r="L786" t="inlineStr">
        <is>
          <t>PRESIDENCIA EJECUTIVA DEL CONSEJO</t>
        </is>
      </c>
      <c r="M786" t="n">
        <v>40</v>
      </c>
      <c r="N786" t="inlineStr">
        <is>
          <t>DIRECCION GENERAL BANCO BASE</t>
        </is>
      </c>
      <c r="O786" t="n">
        <v>410</v>
      </c>
      <c r="P786" t="inlineStr">
        <is>
          <t>DIRECCION COMERCIAL</t>
        </is>
      </c>
      <c r="Q786" t="n">
        <v>4160</v>
      </c>
      <c r="R786" t="inlineStr">
        <is>
          <t>DIRECCION COMERCIAL BAJIO</t>
        </is>
      </c>
      <c r="S786" t="n">
        <v>41603</v>
      </c>
      <c r="T786" t="inlineStr">
        <is>
          <t>DIRECCION OFICINA SAN LUIS POTOSI</t>
        </is>
      </c>
      <c r="U786" t="n">
        <v>416030</v>
      </c>
      <c r="V786" t="inlineStr">
        <is>
          <t>DIRECCION OFICINA SAN LUIS POTOSI</t>
        </is>
      </c>
      <c r="W786" t="n">
        <v>126130</v>
      </c>
      <c r="X786" t="inlineStr">
        <is>
          <t>SAN LUIS POTOSI</t>
        </is>
      </c>
      <c r="Y786" t="n">
        <v>3</v>
      </c>
      <c r="Z786" t="inlineStr">
        <is>
          <t>CAMBIARIO</t>
        </is>
      </c>
      <c r="AA786" t="n">
        <v>1</v>
      </c>
      <c r="AB786" t="inlineStr">
        <is>
          <t>NEGOCIO EN MARCHA</t>
        </is>
      </c>
      <c r="AC786" t="n">
        <v>1</v>
      </c>
      <c r="AD786" t="inlineStr">
        <is>
          <t>BANCO</t>
        </is>
      </c>
      <c r="AE786" t="n">
        <v>3</v>
      </c>
      <c r="AF786" t="inlineStr">
        <is>
          <t>FRONT</t>
        </is>
      </c>
      <c r="AG786" t="n">
        <v>126130</v>
      </c>
      <c r="AH786" t="inlineStr">
        <is>
          <t>SAN LUIS POTOSI</t>
        </is>
      </c>
      <c r="AI786" t="inlineStr">
        <is>
          <t>RRAMIREZP@BANCOBASE.COM</t>
        </is>
      </c>
      <c r="AJ786" s="151" t="n">
        <v>46204</v>
      </c>
      <c r="AK786" s="151" t="n"/>
      <c r="AL786" s="151" t="n"/>
    </row>
    <row r="787" hidden="1" s="150">
      <c r="A787" t="inlineStr">
        <is>
          <t>LBECERRA</t>
        </is>
      </c>
      <c r="B787" t="n">
        <v>4004</v>
      </c>
      <c r="C787" t="inlineStr">
        <is>
          <t>LUIS ANDRES BECERRA MARTINEZ</t>
        </is>
      </c>
      <c r="D787" t="n">
        <v>98</v>
      </c>
      <c r="E787" t="inlineStr">
        <is>
          <t>DIRECTOR DE OFICINA AGUASCALIENTES</t>
        </is>
      </c>
      <c r="F787" t="inlineStr">
        <is>
          <t>AGUASCALIENTES</t>
        </is>
      </c>
      <c r="G787" t="n">
        <v>1038</v>
      </c>
      <c r="H787" t="inlineStr">
        <is>
          <t>JUAN CARLOS CASTILLO SILVA</t>
        </is>
      </c>
      <c r="I787" t="n">
        <v>8394</v>
      </c>
      <c r="J787" t="inlineStr">
        <is>
          <t>DIRECTOR COMERCIAL BAJIO</t>
        </is>
      </c>
      <c r="K787" t="n">
        <v>1</v>
      </c>
      <c r="L787" t="inlineStr">
        <is>
          <t>PRESIDENCIA EJECUTIVA DEL CONSEJO</t>
        </is>
      </c>
      <c r="M787" t="n">
        <v>40</v>
      </c>
      <c r="N787" t="inlineStr">
        <is>
          <t>DIRECCION GENERAL BANCO BASE</t>
        </is>
      </c>
      <c r="O787" t="n">
        <v>410</v>
      </c>
      <c r="P787" t="inlineStr">
        <is>
          <t>DIRECCION COMERCIAL</t>
        </is>
      </c>
      <c r="Q787" t="n">
        <v>4160</v>
      </c>
      <c r="R787" t="inlineStr">
        <is>
          <t>DIRECCION COMERCIAL BAJIO</t>
        </is>
      </c>
      <c r="S787" t="n">
        <v>41604</v>
      </c>
      <c r="T787" t="inlineStr">
        <is>
          <t>DIRECCION OFICINA AGUASCALIENTES</t>
        </is>
      </c>
      <c r="U787" t="n">
        <v>416040</v>
      </c>
      <c r="V787" t="inlineStr">
        <is>
          <t>DIRECCION OFICINA AGUASCALIENTES</t>
        </is>
      </c>
      <c r="W787" t="n">
        <v>126103</v>
      </c>
      <c r="X787" t="inlineStr">
        <is>
          <t>AGUASCALIENTES</t>
        </is>
      </c>
      <c r="Y787" t="n">
        <v>3</v>
      </c>
      <c r="Z787" t="inlineStr">
        <is>
          <t>CAMBIARIO</t>
        </is>
      </c>
      <c r="AA787" t="n">
        <v>1</v>
      </c>
      <c r="AB787" t="inlineStr">
        <is>
          <t>NEGOCIO EN MARCHA</t>
        </is>
      </c>
      <c r="AC787" t="n">
        <v>1</v>
      </c>
      <c r="AD787" t="inlineStr">
        <is>
          <t>BANCO</t>
        </is>
      </c>
      <c r="AE787" t="n">
        <v>3</v>
      </c>
      <c r="AF787" t="inlineStr">
        <is>
          <t>FRONT</t>
        </is>
      </c>
      <c r="AG787" t="n">
        <v>126103</v>
      </c>
      <c r="AH787" t="inlineStr">
        <is>
          <t>AGUASCALIENTES</t>
        </is>
      </c>
      <c r="AI787" t="inlineStr">
        <is>
          <t>LBECERRA@BANCOBASE.COM</t>
        </is>
      </c>
      <c r="AJ787" s="151" t="n">
        <v>46255</v>
      </c>
      <c r="AK787" s="151" t="n"/>
      <c r="AL787" s="151" t="n"/>
    </row>
    <row r="788" hidden="1" s="150">
      <c r="A788" t="inlineStr">
        <is>
          <t>ASILVA</t>
        </is>
      </c>
      <c r="B788" t="n">
        <v>822</v>
      </c>
      <c r="C788" t="inlineStr">
        <is>
          <t>ARACELI DEL CARMEN SILVA MALDONADO</t>
        </is>
      </c>
      <c r="D788" t="n">
        <v>9294</v>
      </c>
      <c r="E788" t="inlineStr">
        <is>
          <t>ASESOR CAMBIARIO</t>
        </is>
      </c>
      <c r="F788" t="inlineStr">
        <is>
          <t>AGUASCALIENTES</t>
        </is>
      </c>
      <c r="G788" t="n">
        <v>4004</v>
      </c>
      <c r="H788" t="inlineStr">
        <is>
          <t>LUIS ANDRES BECERRA MARTINEZ</t>
        </is>
      </c>
      <c r="I788" t="n">
        <v>98</v>
      </c>
      <c r="J788" t="inlineStr">
        <is>
          <t>DIRECTOR DE OFICINA AGUASCALIENTES</t>
        </is>
      </c>
      <c r="K788" t="n">
        <v>1</v>
      </c>
      <c r="L788" t="inlineStr">
        <is>
          <t>PRESIDENCIA EJECUTIVA DEL CONSEJO</t>
        </is>
      </c>
      <c r="M788" t="n">
        <v>40</v>
      </c>
      <c r="N788" t="inlineStr">
        <is>
          <t>DIRECCION GENERAL BANCO BASE</t>
        </is>
      </c>
      <c r="O788" t="n">
        <v>410</v>
      </c>
      <c r="P788" t="inlineStr">
        <is>
          <t>DIRECCION COMERCIAL</t>
        </is>
      </c>
      <c r="Q788" t="n">
        <v>4160</v>
      </c>
      <c r="R788" t="inlineStr">
        <is>
          <t>DIRECCION COMERCIAL BAJIO</t>
        </is>
      </c>
      <c r="S788" t="n">
        <v>41604</v>
      </c>
      <c r="T788" t="inlineStr">
        <is>
          <t>DIRECCION OFICINA AGUASCALIENTES</t>
        </is>
      </c>
      <c r="U788" t="n">
        <v>416040</v>
      </c>
      <c r="V788" t="inlineStr">
        <is>
          <t>DIRECCION OFICINA AGUASCALIENTES</t>
        </is>
      </c>
      <c r="W788" t="n">
        <v>126103</v>
      </c>
      <c r="X788" t="inlineStr">
        <is>
          <t>AGUASCALIENTES</t>
        </is>
      </c>
      <c r="Y788" t="n">
        <v>3</v>
      </c>
      <c r="Z788" t="inlineStr">
        <is>
          <t>CAMBIARIO</t>
        </is>
      </c>
      <c r="AA788" t="n">
        <v>1</v>
      </c>
      <c r="AB788" t="inlineStr">
        <is>
          <t>NEGOCIO EN MARCHA</t>
        </is>
      </c>
      <c r="AC788" t="n">
        <v>1</v>
      </c>
      <c r="AD788" t="inlineStr">
        <is>
          <t>BANCO</t>
        </is>
      </c>
      <c r="AE788" t="n">
        <v>3</v>
      </c>
      <c r="AF788" t="inlineStr">
        <is>
          <t>FRONT</t>
        </is>
      </c>
      <c r="AG788" t="n">
        <v>126103</v>
      </c>
      <c r="AH788" t="inlineStr">
        <is>
          <t>AGUASCALIENTES</t>
        </is>
      </c>
      <c r="AI788" t="inlineStr">
        <is>
          <t>ASILVA@BANCOBASE.COM</t>
        </is>
      </c>
      <c r="AJ788" s="151" t="n">
        <v>40924</v>
      </c>
      <c r="AK788" s="151" t="n"/>
      <c r="AL788" s="151" t="n"/>
    </row>
    <row r="789" hidden="1" s="150">
      <c r="A789" t="inlineStr">
        <is>
          <t>ISANTACRUZ</t>
        </is>
      </c>
      <c r="B789" t="n">
        <v>3178</v>
      </c>
      <c r="C789" t="inlineStr">
        <is>
          <t>ILIAN DEL CARMEN SANTACRUZ HERRERA</t>
        </is>
      </c>
      <c r="D789" t="n">
        <v>8149</v>
      </c>
      <c r="E789" t="inlineStr">
        <is>
          <t>ASESOR CAMBIARIO</t>
        </is>
      </c>
      <c r="F789" t="inlineStr">
        <is>
          <t>AGUASCALIENTES</t>
        </is>
      </c>
      <c r="G789" t="n">
        <v>4004</v>
      </c>
      <c r="H789" t="inlineStr">
        <is>
          <t>LUIS ANDRES BECERRA MARTINEZ</t>
        </is>
      </c>
      <c r="I789" t="n">
        <v>98</v>
      </c>
      <c r="J789" t="inlineStr">
        <is>
          <t>DIRECTOR DE OFICINA AGUASCALIENTES</t>
        </is>
      </c>
      <c r="K789" t="n">
        <v>1</v>
      </c>
      <c r="L789" t="inlineStr">
        <is>
          <t>PRESIDENCIA EJECUTIVA DEL CONSEJO</t>
        </is>
      </c>
      <c r="M789" t="n">
        <v>40</v>
      </c>
      <c r="N789" t="inlineStr">
        <is>
          <t>DIRECCION GENERAL BANCO BASE</t>
        </is>
      </c>
      <c r="O789" t="n">
        <v>410</v>
      </c>
      <c r="P789" t="inlineStr">
        <is>
          <t>DIRECCION COMERCIAL</t>
        </is>
      </c>
      <c r="Q789" t="n">
        <v>4160</v>
      </c>
      <c r="R789" t="inlineStr">
        <is>
          <t>DIRECCION COMERCIAL BAJIO</t>
        </is>
      </c>
      <c r="S789" t="n">
        <v>41604</v>
      </c>
      <c r="T789" t="inlineStr">
        <is>
          <t>DIRECCION OFICINA AGUASCALIENTES</t>
        </is>
      </c>
      <c r="U789" t="n">
        <v>416040</v>
      </c>
      <c r="V789" t="inlineStr">
        <is>
          <t>DIRECCION OFICINA AGUASCALIENTES</t>
        </is>
      </c>
      <c r="W789" t="n">
        <v>126103</v>
      </c>
      <c r="X789" t="inlineStr">
        <is>
          <t>AGUASCALIENTES</t>
        </is>
      </c>
      <c r="Y789" t="n">
        <v>3</v>
      </c>
      <c r="Z789" t="inlineStr">
        <is>
          <t>CAMBIARIO</t>
        </is>
      </c>
      <c r="AA789" t="n">
        <v>1</v>
      </c>
      <c r="AB789" t="inlineStr">
        <is>
          <t>NEGOCIO EN MARCHA</t>
        </is>
      </c>
      <c r="AC789" t="n">
        <v>1</v>
      </c>
      <c r="AD789" t="inlineStr">
        <is>
          <t>BANCO</t>
        </is>
      </c>
      <c r="AE789" t="n">
        <v>3</v>
      </c>
      <c r="AF789" t="inlineStr">
        <is>
          <t>FRONT</t>
        </is>
      </c>
      <c r="AG789" t="n">
        <v>126103</v>
      </c>
      <c r="AH789" t="inlineStr">
        <is>
          <t>AGUASCALIENTES</t>
        </is>
      </c>
      <c r="AI789" t="inlineStr">
        <is>
          <t>ISANTACRUZ@BANCOBASE.COM</t>
        </is>
      </c>
      <c r="AJ789" s="151" t="n">
        <v>45505</v>
      </c>
      <c r="AK789" s="151" t="n"/>
      <c r="AL789" s="151" t="n"/>
    </row>
    <row r="790" hidden="1" s="150">
      <c r="A790" t="inlineStr">
        <is>
          <t>STEJEDA</t>
        </is>
      </c>
      <c r="B790" t="n">
        <v>2578</v>
      </c>
      <c r="C790" t="inlineStr">
        <is>
          <t>SANDRA DANIELA TEJEDA SANDOVAL</t>
        </is>
      </c>
      <c r="D790" t="n">
        <v>8148</v>
      </c>
      <c r="E790" t="inlineStr">
        <is>
          <t>ASESOR CAMBIARIO</t>
        </is>
      </c>
      <c r="F790" t="inlineStr">
        <is>
          <t>AGUASCALIENTES</t>
        </is>
      </c>
      <c r="G790" t="n">
        <v>4004</v>
      </c>
      <c r="H790" t="inlineStr">
        <is>
          <t>LUIS ANDRES BECERRA MARTINEZ</t>
        </is>
      </c>
      <c r="I790" t="n">
        <v>98</v>
      </c>
      <c r="J790" t="inlineStr">
        <is>
          <t>DIRECTOR DE OFICINA AGUASCALIENTES</t>
        </is>
      </c>
      <c r="K790" t="n">
        <v>1</v>
      </c>
      <c r="L790" t="inlineStr">
        <is>
          <t>PRESIDENCIA EJECUTIVA DEL CONSEJO</t>
        </is>
      </c>
      <c r="M790" t="n">
        <v>40</v>
      </c>
      <c r="N790" t="inlineStr">
        <is>
          <t>DIRECCION GENERAL BANCO BASE</t>
        </is>
      </c>
      <c r="O790" t="n">
        <v>410</v>
      </c>
      <c r="P790" t="inlineStr">
        <is>
          <t>DIRECCION COMERCIAL</t>
        </is>
      </c>
      <c r="Q790" t="n">
        <v>4160</v>
      </c>
      <c r="R790" t="inlineStr">
        <is>
          <t>DIRECCION COMERCIAL BAJIO</t>
        </is>
      </c>
      <c r="S790" t="n">
        <v>41604</v>
      </c>
      <c r="T790" t="inlineStr">
        <is>
          <t>DIRECCION OFICINA AGUASCALIENTES</t>
        </is>
      </c>
      <c r="U790" t="n">
        <v>416040</v>
      </c>
      <c r="V790" t="inlineStr">
        <is>
          <t>DIRECCION OFICINA AGUASCALIENTES</t>
        </is>
      </c>
      <c r="W790" t="n">
        <v>126103</v>
      </c>
      <c r="X790" t="inlineStr">
        <is>
          <t>AGUASCALIENTES</t>
        </is>
      </c>
      <c r="Y790" t="n">
        <v>3</v>
      </c>
      <c r="Z790" t="inlineStr">
        <is>
          <t>CAMBIARIO</t>
        </is>
      </c>
      <c r="AA790" t="n">
        <v>1</v>
      </c>
      <c r="AB790" t="inlineStr">
        <is>
          <t>NEGOCIO EN MARCHA</t>
        </is>
      </c>
      <c r="AC790" t="n">
        <v>1</v>
      </c>
      <c r="AD790" t="inlineStr">
        <is>
          <t>BANCO</t>
        </is>
      </c>
      <c r="AE790" t="n">
        <v>3</v>
      </c>
      <c r="AF790" t="inlineStr">
        <is>
          <t>FRONT</t>
        </is>
      </c>
      <c r="AG790" t="n">
        <v>126103</v>
      </c>
      <c r="AH790" t="inlineStr">
        <is>
          <t>AGUASCALIENTES</t>
        </is>
      </c>
      <c r="AI790" t="inlineStr">
        <is>
          <t>STEJEDA@BANCOBASE.COM</t>
        </is>
      </c>
      <c r="AJ790" s="151" t="n">
        <v>44516</v>
      </c>
      <c r="AK790" s="151" t="n"/>
      <c r="AL790" s="151" t="n"/>
    </row>
    <row r="791" hidden="1" s="150">
      <c r="A791" t="inlineStr">
        <is>
          <t>DDELRIO</t>
        </is>
      </c>
      <c r="B791" t="n">
        <v>3666</v>
      </c>
      <c r="C791" t="inlineStr">
        <is>
          <t>DAVID JAIR DEL RIO IBARRA</t>
        </is>
      </c>
      <c r="D791" t="n">
        <v>6020</v>
      </c>
      <c r="E791" t="inlineStr">
        <is>
          <t>ASESOR CAMBIARIO</t>
        </is>
      </c>
      <c r="F791" t="inlineStr">
        <is>
          <t>AGUASCALIENTES</t>
        </is>
      </c>
      <c r="G791" t="n">
        <v>4004</v>
      </c>
      <c r="H791" t="inlineStr">
        <is>
          <t>LUIS ANDRES BECERRA MARTINEZ</t>
        </is>
      </c>
      <c r="I791" t="n">
        <v>98</v>
      </c>
      <c r="J791" t="inlineStr">
        <is>
          <t>DIRECTOR DE OFICINA AGUASCALIENTES</t>
        </is>
      </c>
      <c r="K791" t="n">
        <v>1</v>
      </c>
      <c r="L791" t="inlineStr">
        <is>
          <t>PRESIDENCIA EJECUTIVA DEL CONSEJO</t>
        </is>
      </c>
      <c r="M791" t="n">
        <v>40</v>
      </c>
      <c r="N791" t="inlineStr">
        <is>
          <t>DIRECCION GENERAL BANCO BASE</t>
        </is>
      </c>
      <c r="O791" t="n">
        <v>410</v>
      </c>
      <c r="P791" t="inlineStr">
        <is>
          <t>DIRECCION COMERCIAL</t>
        </is>
      </c>
      <c r="Q791" t="n">
        <v>4160</v>
      </c>
      <c r="R791" t="inlineStr">
        <is>
          <t>DIRECCION COMERCIAL BAJIO</t>
        </is>
      </c>
      <c r="S791" t="n">
        <v>41604</v>
      </c>
      <c r="T791" t="inlineStr">
        <is>
          <t>DIRECCION OFICINA AGUASCALIENTES</t>
        </is>
      </c>
      <c r="U791" t="n">
        <v>416040</v>
      </c>
      <c r="V791" t="inlineStr">
        <is>
          <t>DIRECCION OFICINA AGUASCALIENTES</t>
        </is>
      </c>
      <c r="W791" t="n">
        <v>126103</v>
      </c>
      <c r="X791" t="inlineStr">
        <is>
          <t>AGUASCALIENTES</t>
        </is>
      </c>
      <c r="Y791" t="n">
        <v>3</v>
      </c>
      <c r="Z791" t="inlineStr">
        <is>
          <t>CAMBIARIO</t>
        </is>
      </c>
      <c r="AA791" t="n">
        <v>1</v>
      </c>
      <c r="AB791" t="inlineStr">
        <is>
          <t>NEGOCIO EN MARCHA</t>
        </is>
      </c>
      <c r="AC791" t="n">
        <v>1</v>
      </c>
      <c r="AD791" t="inlineStr">
        <is>
          <t>BANCO</t>
        </is>
      </c>
      <c r="AE791" t="n">
        <v>3</v>
      </c>
      <c r="AF791" t="inlineStr">
        <is>
          <t>FRONT</t>
        </is>
      </c>
      <c r="AG791" t="n">
        <v>126103</v>
      </c>
      <c r="AH791" t="inlineStr">
        <is>
          <t>AGUASCALIENTES</t>
        </is>
      </c>
      <c r="AI791" t="inlineStr">
        <is>
          <t>DDELRIO@BANCOBASE.COM</t>
        </is>
      </c>
      <c r="AJ791" s="151" t="n">
        <v>45964</v>
      </c>
      <c r="AK791" s="151" t="n"/>
      <c r="AL791" s="151" t="n"/>
    </row>
    <row r="792" hidden="1" s="150">
      <c r="A792" t="inlineStr">
        <is>
          <t>OGONZALEZM</t>
        </is>
      </c>
      <c r="B792" t="n">
        <v>3207</v>
      </c>
      <c r="C792" t="inlineStr">
        <is>
          <t>JOSE OSCAR GONZALEZ MARTINEZ</t>
        </is>
      </c>
      <c r="D792" t="n">
        <v>10047</v>
      </c>
      <c r="E792" t="inlineStr">
        <is>
          <t>ASESOR CAMBIARIO</t>
        </is>
      </c>
      <c r="F792" t="inlineStr">
        <is>
          <t>AGUASCALIENTES</t>
        </is>
      </c>
      <c r="G792" t="n">
        <v>4004</v>
      </c>
      <c r="H792" t="inlineStr">
        <is>
          <t>LUIS ANDRES BECERRA MARTINEZ</t>
        </is>
      </c>
      <c r="I792" t="n">
        <v>98</v>
      </c>
      <c r="J792" t="inlineStr">
        <is>
          <t>DIRECTOR DE OFICINA AGUASCALIENTES</t>
        </is>
      </c>
      <c r="K792" t="n">
        <v>1</v>
      </c>
      <c r="L792" t="inlineStr">
        <is>
          <t>PRESIDENCIA EJECUTIVA DEL CONSEJO</t>
        </is>
      </c>
      <c r="M792" t="n">
        <v>40</v>
      </c>
      <c r="N792" t="inlineStr">
        <is>
          <t>DIRECCION GENERAL BANCO BASE</t>
        </is>
      </c>
      <c r="O792" t="n">
        <v>410</v>
      </c>
      <c r="P792" t="inlineStr">
        <is>
          <t>DIRECCION COMERCIAL</t>
        </is>
      </c>
      <c r="Q792" t="n">
        <v>4160</v>
      </c>
      <c r="R792" t="inlineStr">
        <is>
          <t>DIRECCION COMERCIAL BAJIO</t>
        </is>
      </c>
      <c r="S792" t="n">
        <v>41604</v>
      </c>
      <c r="T792" t="inlineStr">
        <is>
          <t>DIRECCION OFICINA AGUASCALIENTES</t>
        </is>
      </c>
      <c r="U792" t="n">
        <v>416040</v>
      </c>
      <c r="V792" t="inlineStr">
        <is>
          <t>DIRECCION OFICINA AGUASCALIENTES</t>
        </is>
      </c>
      <c r="W792" t="n">
        <v>126103</v>
      </c>
      <c r="X792" t="inlineStr">
        <is>
          <t>AGUASCALIENTES</t>
        </is>
      </c>
      <c r="Y792" t="n">
        <v>3</v>
      </c>
      <c r="Z792" t="inlineStr">
        <is>
          <t>CAMBIARIO</t>
        </is>
      </c>
      <c r="AA792" t="n">
        <v>1</v>
      </c>
      <c r="AB792" t="inlineStr">
        <is>
          <t>NEGOCIO EN MARCHA</t>
        </is>
      </c>
      <c r="AC792" t="n">
        <v>1</v>
      </c>
      <c r="AD792" t="inlineStr">
        <is>
          <t>BANCO</t>
        </is>
      </c>
      <c r="AE792" t="n">
        <v>3</v>
      </c>
      <c r="AF792" t="inlineStr">
        <is>
          <t>FRONT</t>
        </is>
      </c>
      <c r="AG792" t="n">
        <v>126103</v>
      </c>
      <c r="AH792" t="inlineStr">
        <is>
          <t>AGUASCALIENTES</t>
        </is>
      </c>
      <c r="AI792" t="inlineStr">
        <is>
          <t>OGONZALEZM@BANCOBASE.COM</t>
        </is>
      </c>
      <c r="AJ792" s="151" t="n">
        <v>45552</v>
      </c>
      <c r="AK792" s="151" t="n"/>
      <c r="AL792" s="151" t="n"/>
    </row>
    <row r="793" hidden="1" s="150">
      <c r="A793" t="inlineStr">
        <is>
          <t>MLOPEZS</t>
        </is>
      </c>
      <c r="B793" t="n">
        <v>590</v>
      </c>
      <c r="C793" t="inlineStr">
        <is>
          <t>MIRIAM FLORENCIA LOPEZ SANDOVAL</t>
        </is>
      </c>
      <c r="D793" t="n">
        <v>9295</v>
      </c>
      <c r="E793" t="inlineStr">
        <is>
          <t>ASESOR CAMBIARIO</t>
        </is>
      </c>
      <c r="F793" t="inlineStr">
        <is>
          <t>AGUASCALIENTES</t>
        </is>
      </c>
      <c r="G793" t="n">
        <v>4004</v>
      </c>
      <c r="H793" t="inlineStr">
        <is>
          <t>LUIS ANDRES BECERRA MARTINEZ</t>
        </is>
      </c>
      <c r="I793" t="n">
        <v>98</v>
      </c>
      <c r="J793" t="inlineStr">
        <is>
          <t>DIRECTOR DE OFICINA AGUASCALIENTES</t>
        </is>
      </c>
      <c r="K793" t="n">
        <v>1</v>
      </c>
      <c r="L793" t="inlineStr">
        <is>
          <t>PRESIDENCIA EJECUTIVA DEL CONSEJO</t>
        </is>
      </c>
      <c r="M793" t="n">
        <v>40</v>
      </c>
      <c r="N793" t="inlineStr">
        <is>
          <t>DIRECCION GENERAL BANCO BASE</t>
        </is>
      </c>
      <c r="O793" t="n">
        <v>410</v>
      </c>
      <c r="P793" t="inlineStr">
        <is>
          <t>DIRECCION COMERCIAL</t>
        </is>
      </c>
      <c r="Q793" t="n">
        <v>4160</v>
      </c>
      <c r="R793" t="inlineStr">
        <is>
          <t>DIRECCION COMERCIAL BAJIO</t>
        </is>
      </c>
      <c r="S793" t="n">
        <v>41604</v>
      </c>
      <c r="T793" t="inlineStr">
        <is>
          <t>DIRECCION OFICINA AGUASCALIENTES</t>
        </is>
      </c>
      <c r="U793" t="n">
        <v>416040</v>
      </c>
      <c r="V793" t="inlineStr">
        <is>
          <t>DIRECCION OFICINA AGUASCALIENTES</t>
        </is>
      </c>
      <c r="W793" t="n">
        <v>126103</v>
      </c>
      <c r="X793" t="inlineStr">
        <is>
          <t>AGUASCALIENTES</t>
        </is>
      </c>
      <c r="Y793" t="n">
        <v>3</v>
      </c>
      <c r="Z793" t="inlineStr">
        <is>
          <t>CAMBIARIO</t>
        </is>
      </c>
      <c r="AA793" t="n">
        <v>1</v>
      </c>
      <c r="AB793" t="inlineStr">
        <is>
          <t>NEGOCIO EN MARCHA</t>
        </is>
      </c>
      <c r="AC793" t="n">
        <v>1</v>
      </c>
      <c r="AD793" t="inlineStr">
        <is>
          <t>BANCO</t>
        </is>
      </c>
      <c r="AE793" t="n">
        <v>3</v>
      </c>
      <c r="AF793" t="inlineStr">
        <is>
          <t>FRONT</t>
        </is>
      </c>
      <c r="AG793" t="n">
        <v>126103</v>
      </c>
      <c r="AH793" t="inlineStr">
        <is>
          <t>AGUASCALIENTES</t>
        </is>
      </c>
      <c r="AI793" t="inlineStr">
        <is>
          <t>MLOPEZS@BANCOBASE.COM</t>
        </is>
      </c>
      <c r="AJ793" s="151" t="n">
        <v>40183</v>
      </c>
      <c r="AK793" s="151" t="n"/>
      <c r="AL793" s="151" t="n"/>
    </row>
    <row r="794" hidden="1" s="150">
      <c r="A794" t="inlineStr">
        <is>
          <t>MGOMEZI</t>
        </is>
      </c>
      <c r="B794" t="n">
        <v>1241</v>
      </c>
      <c r="C794" t="inlineStr">
        <is>
          <t>MARIA ELIZABETH GOMEZ IBARRA</t>
        </is>
      </c>
      <c r="D794" t="n">
        <v>8147</v>
      </c>
      <c r="E794" t="inlineStr">
        <is>
          <t>ASESOR CAMBIARIO</t>
        </is>
      </c>
      <c r="F794" t="inlineStr">
        <is>
          <t>AGUASCALIENTES</t>
        </is>
      </c>
      <c r="G794" t="n">
        <v>4004</v>
      </c>
      <c r="H794" t="inlineStr">
        <is>
          <t>LUIS ANDRES BECERRA MARTINEZ</t>
        </is>
      </c>
      <c r="I794" t="n">
        <v>98</v>
      </c>
      <c r="J794" t="inlineStr">
        <is>
          <t>DIRECTOR DE OFICINA AGUASCALIENTES</t>
        </is>
      </c>
      <c r="K794" t="n">
        <v>1</v>
      </c>
      <c r="L794" t="inlineStr">
        <is>
          <t>PRESIDENCIA EJECUTIVA DEL CONSEJO</t>
        </is>
      </c>
      <c r="M794" t="n">
        <v>40</v>
      </c>
      <c r="N794" t="inlineStr">
        <is>
          <t>DIRECCION GENERAL BANCO BASE</t>
        </is>
      </c>
      <c r="O794" t="n">
        <v>410</v>
      </c>
      <c r="P794" t="inlineStr">
        <is>
          <t>DIRECCION COMERCIAL</t>
        </is>
      </c>
      <c r="Q794" t="n">
        <v>4160</v>
      </c>
      <c r="R794" t="inlineStr">
        <is>
          <t>DIRECCION COMERCIAL BAJIO</t>
        </is>
      </c>
      <c r="S794" t="n">
        <v>41604</v>
      </c>
      <c r="T794" t="inlineStr">
        <is>
          <t>DIRECCION OFICINA AGUASCALIENTES</t>
        </is>
      </c>
      <c r="U794" t="n">
        <v>416040</v>
      </c>
      <c r="V794" t="inlineStr">
        <is>
          <t>DIRECCION OFICINA AGUASCALIENTES</t>
        </is>
      </c>
      <c r="W794" t="n">
        <v>126103</v>
      </c>
      <c r="X794" t="inlineStr">
        <is>
          <t>AGUASCALIENTES</t>
        </is>
      </c>
      <c r="Y794" t="n">
        <v>3</v>
      </c>
      <c r="Z794" t="inlineStr">
        <is>
          <t>CAMBIARIO</t>
        </is>
      </c>
      <c r="AA794" t="n">
        <v>1</v>
      </c>
      <c r="AB794" t="inlineStr">
        <is>
          <t>NEGOCIO EN MARCHA</t>
        </is>
      </c>
      <c r="AC794" t="n">
        <v>1</v>
      </c>
      <c r="AD794" t="inlineStr">
        <is>
          <t>BANCO</t>
        </is>
      </c>
      <c r="AE794" t="n">
        <v>3</v>
      </c>
      <c r="AF794" t="inlineStr">
        <is>
          <t>FRONT</t>
        </is>
      </c>
      <c r="AG794" t="n">
        <v>126103</v>
      </c>
      <c r="AH794" t="inlineStr">
        <is>
          <t>AGUASCALIENTES</t>
        </is>
      </c>
      <c r="AI794" t="inlineStr">
        <is>
          <t>MGOMEZI@BANCOBASE.COM</t>
        </is>
      </c>
      <c r="AJ794" s="151" t="n">
        <v>41988</v>
      </c>
      <c r="AK794" s="151" t="n"/>
      <c r="AL794" s="151" t="n"/>
    </row>
    <row r="795" hidden="1" s="150">
      <c r="A795" t="inlineStr">
        <is>
          <t>YESCALERA</t>
        </is>
      </c>
      <c r="B795" t="n">
        <v>1769</v>
      </c>
      <c r="C795" t="inlineStr">
        <is>
          <t>YADIRA VIRIDIANA ESCALERA MARTINEZ</t>
        </is>
      </c>
      <c r="D795" t="n">
        <v>9985</v>
      </c>
      <c r="E795" t="inlineStr">
        <is>
          <t>ESPECIALISTA DE BANCA TRANSACCIONAL</t>
        </is>
      </c>
      <c r="F795" t="inlineStr">
        <is>
          <t>AGUASCALIENTES</t>
        </is>
      </c>
      <c r="G795" t="n">
        <v>4004</v>
      </c>
      <c r="H795" t="inlineStr">
        <is>
          <t>LUIS ANDRES BECERRA MARTINEZ</t>
        </is>
      </c>
      <c r="I795" t="n">
        <v>98</v>
      </c>
      <c r="J795" t="inlineStr">
        <is>
          <t>DIRECTOR DE OFICINA AGUASCALIENTES</t>
        </is>
      </c>
      <c r="K795" t="n">
        <v>1</v>
      </c>
      <c r="L795" t="inlineStr">
        <is>
          <t>PRESIDENCIA EJECUTIVA DEL CONSEJO</t>
        </is>
      </c>
      <c r="M795" t="n">
        <v>40</v>
      </c>
      <c r="N795" t="inlineStr">
        <is>
          <t>DIRECCION GENERAL BANCO BASE</t>
        </is>
      </c>
      <c r="O795" t="n">
        <v>410</v>
      </c>
      <c r="P795" t="inlineStr">
        <is>
          <t>DIRECCION COMERCIAL</t>
        </is>
      </c>
      <c r="Q795" t="n">
        <v>4160</v>
      </c>
      <c r="R795" t="inlineStr">
        <is>
          <t>DIRECCION COMERCIAL BAJIO</t>
        </is>
      </c>
      <c r="S795" t="n">
        <v>41604</v>
      </c>
      <c r="T795" t="inlineStr">
        <is>
          <t>DIRECCION OFICINA AGUASCALIENTES</t>
        </is>
      </c>
      <c r="U795" t="n">
        <v>416040</v>
      </c>
      <c r="V795" t="inlineStr">
        <is>
          <t>DIRECCION OFICINA AGUASCALIENTES</t>
        </is>
      </c>
      <c r="W795" t="n">
        <v>126103</v>
      </c>
      <c r="X795" t="inlineStr">
        <is>
          <t>AGUASCALIENTES</t>
        </is>
      </c>
      <c r="Y795" t="n">
        <v>14</v>
      </c>
      <c r="Z795" t="inlineStr">
        <is>
          <t>TRANSACCIONAL</t>
        </is>
      </c>
      <c r="AA795" t="n">
        <v>1</v>
      </c>
      <c r="AB795" t="inlineStr">
        <is>
          <t>NEGOCIO EN MARCHA</t>
        </is>
      </c>
      <c r="AC795" t="n">
        <v>1</v>
      </c>
      <c r="AD795" t="inlineStr">
        <is>
          <t>BANCO</t>
        </is>
      </c>
      <c r="AE795" t="n">
        <v>3</v>
      </c>
      <c r="AF795" t="inlineStr">
        <is>
          <t>FRONT</t>
        </is>
      </c>
      <c r="AG795" t="n">
        <v>126103</v>
      </c>
      <c r="AH795" t="inlineStr">
        <is>
          <t>AGUASCALIENTES</t>
        </is>
      </c>
      <c r="AI795" t="inlineStr">
        <is>
          <t>YESCALERA@BANCOBASE.COM</t>
        </is>
      </c>
      <c r="AJ795" s="151" t="n">
        <v>42887</v>
      </c>
      <c r="AK795" s="151" t="n"/>
      <c r="AL795" s="151" t="n"/>
    </row>
    <row r="796" hidden="1" s="150">
      <c r="A796" t="inlineStr">
        <is>
          <t>NRODRIGUES</t>
        </is>
      </c>
      <c r="B796" t="n">
        <v>3668</v>
      </c>
      <c r="C796" t="inlineStr">
        <is>
          <t>NANCY GEORGINA RODRIGUEZ SOLIS</t>
        </is>
      </c>
      <c r="D796" t="n">
        <v>8009</v>
      </c>
      <c r="E796" t="inlineStr">
        <is>
          <t>ASISTENTE CAMBIARIO</t>
        </is>
      </c>
      <c r="F796" t="inlineStr">
        <is>
          <t>AGUASCALIENTES</t>
        </is>
      </c>
      <c r="G796" t="n">
        <v>4004</v>
      </c>
      <c r="H796" t="inlineStr">
        <is>
          <t>LUIS ANDRES BECERRA MARTINEZ</t>
        </is>
      </c>
      <c r="I796" t="n">
        <v>98</v>
      </c>
      <c r="J796" t="inlineStr">
        <is>
          <t>DIRECTOR DE OFICINA AGUASCALIENTES</t>
        </is>
      </c>
      <c r="K796" t="n">
        <v>1</v>
      </c>
      <c r="L796" t="inlineStr">
        <is>
          <t>PRESIDENCIA EJECUTIVA DEL CONSEJO</t>
        </is>
      </c>
      <c r="M796" t="n">
        <v>40</v>
      </c>
      <c r="N796" t="inlineStr">
        <is>
          <t>DIRECCION GENERAL BANCO BASE</t>
        </is>
      </c>
      <c r="O796" t="n">
        <v>410</v>
      </c>
      <c r="P796" t="inlineStr">
        <is>
          <t>DIRECCION COMERCIAL</t>
        </is>
      </c>
      <c r="Q796" t="n">
        <v>4160</v>
      </c>
      <c r="R796" t="inlineStr">
        <is>
          <t>DIRECCION COMERCIAL BAJIO</t>
        </is>
      </c>
      <c r="S796" t="n">
        <v>41604</v>
      </c>
      <c r="T796" t="inlineStr">
        <is>
          <t>DIRECCION OFICINA AGUASCALIENTES</t>
        </is>
      </c>
      <c r="U796" t="n">
        <v>416040</v>
      </c>
      <c r="V796" t="inlineStr">
        <is>
          <t>DIRECCION OFICINA AGUASCALIENTES</t>
        </is>
      </c>
      <c r="W796" t="n">
        <v>126103</v>
      </c>
      <c r="X796" t="inlineStr">
        <is>
          <t>AGUASCALIENTES</t>
        </is>
      </c>
      <c r="Y796" t="n">
        <v>3</v>
      </c>
      <c r="Z796" t="inlineStr">
        <is>
          <t>CAMBIARIO</t>
        </is>
      </c>
      <c r="AA796" t="n">
        <v>1</v>
      </c>
      <c r="AB796" t="inlineStr">
        <is>
          <t>NEGOCIO EN MARCHA</t>
        </is>
      </c>
      <c r="AC796" t="n">
        <v>1</v>
      </c>
      <c r="AD796" t="inlineStr">
        <is>
          <t>BANCO</t>
        </is>
      </c>
      <c r="AE796" t="n">
        <v>2</v>
      </c>
      <c r="AF796" t="inlineStr">
        <is>
          <t>MIDDLE</t>
        </is>
      </c>
      <c r="AG796" t="n">
        <v>126103</v>
      </c>
      <c r="AH796" t="inlineStr">
        <is>
          <t>AGUASCALIENTES</t>
        </is>
      </c>
      <c r="AI796" t="inlineStr">
        <is>
          <t>NRODRIGUES@BANCOBASE.COM</t>
        </is>
      </c>
      <c r="AJ796" s="151" t="n">
        <v>45964</v>
      </c>
      <c r="AK796" s="151" t="n"/>
      <c r="AL796" s="151" t="n"/>
    </row>
    <row r="797" hidden="1" s="150">
      <c r="A797" t="inlineStr">
        <is>
          <t>AURZUA</t>
        </is>
      </c>
      <c r="B797" t="n">
        <v>3985</v>
      </c>
      <c r="C797" t="inlineStr">
        <is>
          <t>ANA GABRIELA URZUA LEMUS</t>
        </is>
      </c>
      <c r="D797" t="n">
        <v>9979</v>
      </c>
      <c r="E797" t="inlineStr">
        <is>
          <t>EJECUTIVO DE SOPORTE</t>
        </is>
      </c>
      <c r="F797" t="inlineStr">
        <is>
          <t>AGUASCALIENTES</t>
        </is>
      </c>
      <c r="G797" t="n">
        <v>4004</v>
      </c>
      <c r="H797" t="inlineStr">
        <is>
          <t>LUIS ANDRES BECERRA MARTINEZ</t>
        </is>
      </c>
      <c r="I797" t="n">
        <v>98</v>
      </c>
      <c r="J797" t="inlineStr">
        <is>
          <t>DIRECTOR DE OFICINA AGUASCALIENTES</t>
        </is>
      </c>
      <c r="K797" t="n">
        <v>1</v>
      </c>
      <c r="L797" t="inlineStr">
        <is>
          <t>PRESIDENCIA EJECUTIVA DEL CONSEJO</t>
        </is>
      </c>
      <c r="M797" t="n">
        <v>40</v>
      </c>
      <c r="N797" t="inlineStr">
        <is>
          <t>DIRECCION GENERAL BANCO BASE</t>
        </is>
      </c>
      <c r="O797" t="n">
        <v>410</v>
      </c>
      <c r="P797" t="inlineStr">
        <is>
          <t>DIRECCION COMERCIAL</t>
        </is>
      </c>
      <c r="Q797" t="n">
        <v>4160</v>
      </c>
      <c r="R797" t="inlineStr">
        <is>
          <t>DIRECCION COMERCIAL BAJIO</t>
        </is>
      </c>
      <c r="S797" t="n">
        <v>41604</v>
      </c>
      <c r="T797" t="inlineStr">
        <is>
          <t>DIRECCION OFICINA AGUASCALIENTES</t>
        </is>
      </c>
      <c r="U797" t="n">
        <v>416040</v>
      </c>
      <c r="V797" t="inlineStr">
        <is>
          <t>DIRECCION OFICINA AGUASCALIENTES</t>
        </is>
      </c>
      <c r="W797" t="n">
        <v>126103</v>
      </c>
      <c r="X797" t="inlineStr">
        <is>
          <t>AGUASCALIENTES</t>
        </is>
      </c>
      <c r="Y797" t="n">
        <v>17</v>
      </c>
      <c r="Z797" t="inlineStr">
        <is>
          <t>SOPORTE</t>
        </is>
      </c>
      <c r="AA797" t="n">
        <v>1</v>
      </c>
      <c r="AB797" t="inlineStr">
        <is>
          <t>NEGOCIO EN MARCHA</t>
        </is>
      </c>
      <c r="AC797" t="n">
        <v>1</v>
      </c>
      <c r="AD797" t="inlineStr">
        <is>
          <t>BANCO</t>
        </is>
      </c>
      <c r="AE797" t="n">
        <v>2</v>
      </c>
      <c r="AF797" t="inlineStr">
        <is>
          <t>MIDDLE</t>
        </is>
      </c>
      <c r="AG797" t="n">
        <v>126103</v>
      </c>
      <c r="AH797" t="inlineStr">
        <is>
          <t>AGUASCALIENTES</t>
        </is>
      </c>
      <c r="AI797" t="inlineStr">
        <is>
          <t>AURZUA@BANCOBASE.COM</t>
        </is>
      </c>
      <c r="AJ797" s="151" t="n">
        <v>46251</v>
      </c>
      <c r="AK797" s="151" t="n"/>
      <c r="AL797" s="151" t="n"/>
    </row>
    <row r="798" hidden="1" s="150">
      <c r="A798" t="inlineStr">
        <is>
          <t>MMENDEZ</t>
        </is>
      </c>
      <c r="B798" t="n">
        <v>3190</v>
      </c>
      <c r="C798" t="inlineStr">
        <is>
          <t>MONICA DEL CARMEN MENDEZ DUEÑAS</t>
        </is>
      </c>
      <c r="D798" t="n">
        <v>9296</v>
      </c>
      <c r="E798" t="inlineStr">
        <is>
          <t>ASISTENTE CAMBIARIO</t>
        </is>
      </c>
      <c r="F798" t="inlineStr">
        <is>
          <t>AGUASCALIENTES</t>
        </is>
      </c>
      <c r="G798" t="n">
        <v>4004</v>
      </c>
      <c r="H798" t="inlineStr">
        <is>
          <t>LUIS ANDRES BECERRA MARTINEZ</t>
        </is>
      </c>
      <c r="I798" t="n">
        <v>98</v>
      </c>
      <c r="J798" t="inlineStr">
        <is>
          <t>DIRECTOR DE OFICINA AGUASCALIENTES</t>
        </is>
      </c>
      <c r="K798" t="n">
        <v>1</v>
      </c>
      <c r="L798" t="inlineStr">
        <is>
          <t>PRESIDENCIA EJECUTIVA DEL CONSEJO</t>
        </is>
      </c>
      <c r="M798" t="n">
        <v>40</v>
      </c>
      <c r="N798" t="inlineStr">
        <is>
          <t>DIRECCION GENERAL BANCO BASE</t>
        </is>
      </c>
      <c r="O798" t="n">
        <v>410</v>
      </c>
      <c r="P798" t="inlineStr">
        <is>
          <t>DIRECCION COMERCIAL</t>
        </is>
      </c>
      <c r="Q798" t="n">
        <v>4160</v>
      </c>
      <c r="R798" t="inlineStr">
        <is>
          <t>DIRECCION COMERCIAL BAJIO</t>
        </is>
      </c>
      <c r="S798" t="n">
        <v>41604</v>
      </c>
      <c r="T798" t="inlineStr">
        <is>
          <t>DIRECCION OFICINA AGUASCALIENTES</t>
        </is>
      </c>
      <c r="U798" t="n">
        <v>416040</v>
      </c>
      <c r="V798" t="inlineStr">
        <is>
          <t>DIRECCION OFICINA AGUASCALIENTES</t>
        </is>
      </c>
      <c r="W798" t="n">
        <v>126103</v>
      </c>
      <c r="X798" t="inlineStr">
        <is>
          <t>AGUASCALIENTES</t>
        </is>
      </c>
      <c r="Y798" t="n">
        <v>3</v>
      </c>
      <c r="Z798" t="inlineStr">
        <is>
          <t>CAMBIARIO</t>
        </is>
      </c>
      <c r="AA798" t="n">
        <v>1</v>
      </c>
      <c r="AB798" t="inlineStr">
        <is>
          <t>NEGOCIO EN MARCHA</t>
        </is>
      </c>
      <c r="AC798" t="n">
        <v>1</v>
      </c>
      <c r="AD798" t="inlineStr">
        <is>
          <t>BANCO</t>
        </is>
      </c>
      <c r="AE798" t="n">
        <v>2</v>
      </c>
      <c r="AF798" t="inlineStr">
        <is>
          <t>MIDDLE</t>
        </is>
      </c>
      <c r="AG798" t="n">
        <v>126103</v>
      </c>
      <c r="AH798" t="inlineStr">
        <is>
          <t>AGUASCALIENTES</t>
        </is>
      </c>
      <c r="AI798" t="inlineStr">
        <is>
          <t>MMENDEZ@BANCOBASE.COM</t>
        </is>
      </c>
      <c r="AJ798" s="151" t="n">
        <v>45523</v>
      </c>
      <c r="AK798" s="151" t="n"/>
      <c r="AL798" s="151" t="n"/>
    </row>
    <row r="799" hidden="1" s="150">
      <c r="A799" t="inlineStr">
        <is>
          <t>LRODRIGUET</t>
        </is>
      </c>
      <c r="B799" t="n">
        <v>3866</v>
      </c>
      <c r="C799" t="inlineStr">
        <is>
          <t>LUIS FERNANDO RODRIGUEZ TORRES</t>
        </is>
      </c>
      <c r="D799" t="n">
        <v>9290</v>
      </c>
      <c r="E799" t="inlineStr">
        <is>
          <t>ASESOR CAMBIARIO</t>
        </is>
      </c>
      <c r="F799" t="inlineStr">
        <is>
          <t>AGUASCALIENTES</t>
        </is>
      </c>
      <c r="G799" t="n">
        <v>4004</v>
      </c>
      <c r="H799" t="inlineStr">
        <is>
          <t>LUIS ANDRES BECERRA MARTINEZ</t>
        </is>
      </c>
      <c r="I799" t="n">
        <v>98</v>
      </c>
      <c r="J799" t="inlineStr">
        <is>
          <t>DIRECTOR DE OFICINA AGUASCALIENTES</t>
        </is>
      </c>
      <c r="K799" t="n">
        <v>1</v>
      </c>
      <c r="L799" t="inlineStr">
        <is>
          <t>PRESIDENCIA EJECUTIVA DEL CONSEJO</t>
        </is>
      </c>
      <c r="M799" t="n">
        <v>40</v>
      </c>
      <c r="N799" t="inlineStr">
        <is>
          <t>DIRECCION GENERAL BANCO BASE</t>
        </is>
      </c>
      <c r="O799" t="n">
        <v>410</v>
      </c>
      <c r="P799" t="inlineStr">
        <is>
          <t>DIRECCION COMERCIAL</t>
        </is>
      </c>
      <c r="Q799" t="n">
        <v>4160</v>
      </c>
      <c r="R799" t="inlineStr">
        <is>
          <t>DIRECCION COMERCIAL BAJIO</t>
        </is>
      </c>
      <c r="S799" t="n">
        <v>41604</v>
      </c>
      <c r="T799" t="inlineStr">
        <is>
          <t>DIRECCION OFICINA AGUASCALIENTES</t>
        </is>
      </c>
      <c r="U799" t="n">
        <v>416040</v>
      </c>
      <c r="V799" t="inlineStr">
        <is>
          <t>DIRECCION OFICINA AGUASCALIENTES</t>
        </is>
      </c>
      <c r="W799" t="n">
        <v>126103</v>
      </c>
      <c r="X799" t="inlineStr">
        <is>
          <t>AGUASCALIENTES</t>
        </is>
      </c>
      <c r="Y799" t="n">
        <v>3</v>
      </c>
      <c r="Z799" t="inlineStr">
        <is>
          <t>CAMBIARIO</t>
        </is>
      </c>
      <c r="AA799" t="n">
        <v>1</v>
      </c>
      <c r="AB799" t="inlineStr">
        <is>
          <t>NEGOCIO EN MARCHA</t>
        </is>
      </c>
      <c r="AC799" t="n">
        <v>1</v>
      </c>
      <c r="AD799" t="inlineStr">
        <is>
          <t>BANCO</t>
        </is>
      </c>
      <c r="AE799" t="n">
        <v>3</v>
      </c>
      <c r="AF799" t="inlineStr">
        <is>
          <t>FRONT</t>
        </is>
      </c>
      <c r="AG799" t="n">
        <v>126103</v>
      </c>
      <c r="AH799" t="inlineStr">
        <is>
          <t>AGUASCALIENTES</t>
        </is>
      </c>
      <c r="AI799" t="inlineStr">
        <is>
          <t>LRODRIGUET@BANCOBASE.COM</t>
        </is>
      </c>
      <c r="AJ799" s="151" t="n">
        <v>46160</v>
      </c>
      <c r="AK799" s="151" t="n"/>
      <c r="AL799" s="151" t="n"/>
    </row>
    <row r="800" hidden="1" s="150">
      <c r="A800" t="inlineStr">
        <is>
          <t>LMORENO</t>
        </is>
      </c>
      <c r="B800" t="n">
        <v>2579</v>
      </c>
      <c r="C800" t="inlineStr">
        <is>
          <t>LETICIA MORENO MUÑOZ</t>
        </is>
      </c>
      <c r="D800" t="n">
        <v>9371</v>
      </c>
      <c r="E800" t="inlineStr">
        <is>
          <t>ESPECIALISTA DE FINANCIAMIENTO</t>
        </is>
      </c>
      <c r="F800" t="inlineStr">
        <is>
          <t>AGUASCALIENTES</t>
        </is>
      </c>
      <c r="G800" t="n">
        <v>4004</v>
      </c>
      <c r="H800" t="inlineStr">
        <is>
          <t>LUIS ANDRES BECERRA MARTINEZ</t>
        </is>
      </c>
      <c r="I800" t="n">
        <v>98</v>
      </c>
      <c r="J800" t="inlineStr">
        <is>
          <t>DIRECTOR DE OFICINA AGUASCALIENTES</t>
        </is>
      </c>
      <c r="K800" t="n">
        <v>1</v>
      </c>
      <c r="L800" t="inlineStr">
        <is>
          <t>PRESIDENCIA EJECUTIVA DEL CONSEJO</t>
        </is>
      </c>
      <c r="M800" t="n">
        <v>40</v>
      </c>
      <c r="N800" t="inlineStr">
        <is>
          <t>DIRECCION GENERAL BANCO BASE</t>
        </is>
      </c>
      <c r="O800" t="n">
        <v>410</v>
      </c>
      <c r="P800" t="inlineStr">
        <is>
          <t>DIRECCION COMERCIAL</t>
        </is>
      </c>
      <c r="Q800" t="n">
        <v>4160</v>
      </c>
      <c r="R800" t="inlineStr">
        <is>
          <t>DIRECCION COMERCIAL BAJIO</t>
        </is>
      </c>
      <c r="S800" t="n">
        <v>41604</v>
      </c>
      <c r="T800" t="inlineStr">
        <is>
          <t>DIRECCION OFICINA AGUASCALIENTES</t>
        </is>
      </c>
      <c r="U800" t="n">
        <v>416040</v>
      </c>
      <c r="V800" t="inlineStr">
        <is>
          <t>DIRECCION OFICINA AGUASCALIENTES</t>
        </is>
      </c>
      <c r="W800" t="n">
        <v>126103</v>
      </c>
      <c r="X800" t="inlineStr">
        <is>
          <t>AGUASCALIENTES</t>
        </is>
      </c>
      <c r="Y800" t="n">
        <v>13</v>
      </c>
      <c r="Z800" t="inlineStr">
        <is>
          <t>FINANCIAMIENTO</t>
        </is>
      </c>
      <c r="AA800" t="n">
        <v>1</v>
      </c>
      <c r="AB800" t="inlineStr">
        <is>
          <t>NEGOCIO EN MARCHA</t>
        </is>
      </c>
      <c r="AC800" t="n">
        <v>1</v>
      </c>
      <c r="AD800" t="inlineStr">
        <is>
          <t>BANCO</t>
        </is>
      </c>
      <c r="AE800" t="n">
        <v>3</v>
      </c>
      <c r="AF800" t="inlineStr">
        <is>
          <t>FRONT</t>
        </is>
      </c>
      <c r="AG800" t="n">
        <v>126103</v>
      </c>
      <c r="AH800" t="inlineStr">
        <is>
          <t>AGUASCALIENTES</t>
        </is>
      </c>
      <c r="AI800" t="inlineStr">
        <is>
          <t>LMORENO@BANCOBASE.COM</t>
        </is>
      </c>
      <c r="AJ800" s="151" t="n">
        <v>44516</v>
      </c>
      <c r="AK800" s="151" t="n"/>
      <c r="AL800" s="151" t="n"/>
    </row>
    <row r="801" hidden="1" s="150">
      <c r="A801" t="inlineStr">
        <is>
          <t>SGODINEZ</t>
        </is>
      </c>
      <c r="B801" t="n">
        <v>1031</v>
      </c>
      <c r="C801" t="inlineStr">
        <is>
          <t>SERGIO GODINEZ GONZALEZ</t>
        </is>
      </c>
      <c r="D801" t="n">
        <v>9284</v>
      </c>
      <c r="E801" t="inlineStr">
        <is>
          <t>GERENTE DE PROMOCION</t>
        </is>
      </c>
      <c r="F801" t="inlineStr">
        <is>
          <t>QUERETARO</t>
        </is>
      </c>
      <c r="G801" t="n">
        <v>1038</v>
      </c>
      <c r="H801" t="inlineStr">
        <is>
          <t>JUAN CARLOS CASTILLO SILVA</t>
        </is>
      </c>
      <c r="I801" t="n">
        <v>8394</v>
      </c>
      <c r="J801" t="inlineStr">
        <is>
          <t>DIRECTOR COMERCIAL BAJIO</t>
        </is>
      </c>
      <c r="K801" t="n">
        <v>1</v>
      </c>
      <c r="L801" t="inlineStr">
        <is>
          <t>PRESIDENCIA EJECUTIVA DEL CONSEJO</t>
        </is>
      </c>
      <c r="M801" t="n">
        <v>40</v>
      </c>
      <c r="N801" t="inlineStr">
        <is>
          <t>DIRECCION GENERAL BANCO BASE</t>
        </is>
      </c>
      <c r="O801" t="n">
        <v>410</v>
      </c>
      <c r="P801" t="inlineStr">
        <is>
          <t>DIRECCION COMERCIAL</t>
        </is>
      </c>
      <c r="Q801" t="n">
        <v>4160</v>
      </c>
      <c r="R801" t="inlineStr">
        <is>
          <t>DIRECCION COMERCIAL BAJIO</t>
        </is>
      </c>
      <c r="S801" t="n">
        <v>41600</v>
      </c>
      <c r="T801" t="inlineStr">
        <is>
          <t>DIRECCION COMERCIAL BAJIO</t>
        </is>
      </c>
      <c r="U801" t="n">
        <v>416002</v>
      </c>
      <c r="V801" t="inlineStr">
        <is>
          <t>PROMOCION BAJIO</t>
        </is>
      </c>
      <c r="W801" t="n">
        <v>126112</v>
      </c>
      <c r="X801" t="inlineStr">
        <is>
          <t>QUERETARO</t>
        </is>
      </c>
      <c r="Y801" t="n">
        <v>3</v>
      </c>
      <c r="Z801" t="inlineStr">
        <is>
          <t>CAMBIARIO</t>
        </is>
      </c>
      <c r="AA801" t="n">
        <v>1</v>
      </c>
      <c r="AB801" t="inlineStr">
        <is>
          <t>NEGOCIO EN MARCHA</t>
        </is>
      </c>
      <c r="AC801" t="n">
        <v>1</v>
      </c>
      <c r="AD801" t="inlineStr">
        <is>
          <t>BANCO</t>
        </is>
      </c>
      <c r="AE801" t="n">
        <v>3</v>
      </c>
      <c r="AF801" t="inlineStr">
        <is>
          <t>FRONT</t>
        </is>
      </c>
      <c r="AG801" t="n">
        <v>126112</v>
      </c>
      <c r="AH801" t="inlineStr">
        <is>
          <t>QUERETARO</t>
        </is>
      </c>
      <c r="AI801" t="inlineStr">
        <is>
          <t>SGODINEZ@BANCOBASE.COM</t>
        </is>
      </c>
      <c r="AJ801" s="151" t="n">
        <v>41428</v>
      </c>
      <c r="AK801" s="151" t="n"/>
      <c r="AL801" s="151" t="n"/>
    </row>
    <row r="802" hidden="1" s="150">
      <c r="A802" t="inlineStr">
        <is>
          <t>LCABRERA</t>
        </is>
      </c>
      <c r="B802" t="n">
        <v>1841</v>
      </c>
      <c r="C802" t="inlineStr">
        <is>
          <t>LAURA CABRERA GALVAN</t>
        </is>
      </c>
      <c r="D802" t="n">
        <v>6059</v>
      </c>
      <c r="E802" t="inlineStr">
        <is>
          <t>ASISTENTE CAMBIARIO</t>
        </is>
      </c>
      <c r="F802" t="inlineStr">
        <is>
          <t>QUERETARO</t>
        </is>
      </c>
      <c r="G802" t="n">
        <v>1031</v>
      </c>
      <c r="H802" t="inlineStr">
        <is>
          <t>SERGIO GODINEZ GONZALEZ</t>
        </is>
      </c>
      <c r="I802" t="n">
        <v>9284</v>
      </c>
      <c r="J802" t="inlineStr">
        <is>
          <t>GERENTE DE PROMOCION</t>
        </is>
      </c>
      <c r="K802" t="n">
        <v>1</v>
      </c>
      <c r="L802" t="inlineStr">
        <is>
          <t>PRESIDENCIA EJECUTIVA DEL CONSEJO</t>
        </is>
      </c>
      <c r="M802" t="n">
        <v>40</v>
      </c>
      <c r="N802" t="inlineStr">
        <is>
          <t>DIRECCION GENERAL BANCO BASE</t>
        </is>
      </c>
      <c r="O802" t="n">
        <v>410</v>
      </c>
      <c r="P802" t="inlineStr">
        <is>
          <t>DIRECCION COMERCIAL</t>
        </is>
      </c>
      <c r="Q802" t="n">
        <v>4160</v>
      </c>
      <c r="R802" t="inlineStr">
        <is>
          <t>DIRECCION COMERCIAL BAJIO</t>
        </is>
      </c>
      <c r="S802" t="n">
        <v>41600</v>
      </c>
      <c r="T802" t="inlineStr">
        <is>
          <t>DIRECCION COMERCIAL BAJIO</t>
        </is>
      </c>
      <c r="U802" t="n">
        <v>416002</v>
      </c>
      <c r="V802" t="inlineStr">
        <is>
          <t>PROMOCION BAJIO</t>
        </is>
      </c>
      <c r="W802" t="n">
        <v>126112</v>
      </c>
      <c r="X802" t="inlineStr">
        <is>
          <t>QUERETARO</t>
        </is>
      </c>
      <c r="Y802" t="n">
        <v>3</v>
      </c>
      <c r="Z802" t="inlineStr">
        <is>
          <t>CAMBIARIO</t>
        </is>
      </c>
      <c r="AA802" t="n">
        <v>1</v>
      </c>
      <c r="AB802" t="inlineStr">
        <is>
          <t>NEGOCIO EN MARCHA</t>
        </is>
      </c>
      <c r="AC802" t="n">
        <v>1</v>
      </c>
      <c r="AD802" t="inlineStr">
        <is>
          <t>BANCO</t>
        </is>
      </c>
      <c r="AE802" t="n">
        <v>2</v>
      </c>
      <c r="AF802" t="inlineStr">
        <is>
          <t>MIDDLE</t>
        </is>
      </c>
      <c r="AG802" t="n">
        <v>126112</v>
      </c>
      <c r="AH802" t="inlineStr">
        <is>
          <t>QUERETARO</t>
        </is>
      </c>
      <c r="AI802" t="inlineStr">
        <is>
          <t>LCABRERA@BANCOBASE.COM</t>
        </is>
      </c>
      <c r="AJ802" s="151" t="n">
        <v>42982</v>
      </c>
      <c r="AK802" s="151" t="n"/>
      <c r="AL802" s="151" t="n"/>
    </row>
    <row r="803" hidden="1" s="150">
      <c r="A803" t="inlineStr">
        <is>
          <t>JAMIEVA</t>
        </is>
      </c>
      <c r="B803" t="n">
        <v>2360</v>
      </c>
      <c r="C803" t="inlineStr">
        <is>
          <t>JULIAN AMIEVA ALONSO</t>
        </is>
      </c>
      <c r="D803" t="n">
        <v>9650</v>
      </c>
      <c r="E803" t="inlineStr">
        <is>
          <t>DIRECTOR COMERCIAL CIUDAD DE MEXICO</t>
        </is>
      </c>
      <c r="F803" t="inlineStr">
        <is>
          <t>MEXICO</t>
        </is>
      </c>
      <c r="G803" t="n">
        <v>538</v>
      </c>
      <c r="H803" t="inlineStr">
        <is>
          <t>LUIS NICOLAS EGUIARTE CORONA</t>
        </is>
      </c>
      <c r="I803" t="n">
        <v>8232</v>
      </c>
      <c r="J803" t="inlineStr">
        <is>
          <t>DIRECTOR DE ATRACCION Y VENTAS</t>
        </is>
      </c>
      <c r="K803" t="n">
        <v>1</v>
      </c>
      <c r="L803" t="inlineStr">
        <is>
          <t>PRESIDENCIA EJECUTIVA DEL CONSEJO</t>
        </is>
      </c>
      <c r="M803" t="n">
        <v>40</v>
      </c>
      <c r="N803" t="inlineStr">
        <is>
          <t>DIRECCION GENERAL BANCO BASE</t>
        </is>
      </c>
      <c r="O803" t="n">
        <v>410</v>
      </c>
      <c r="P803" t="inlineStr">
        <is>
          <t>DIRECCION COMERCIAL</t>
        </is>
      </c>
      <c r="Q803" t="n">
        <v>4190</v>
      </c>
      <c r="R803" t="inlineStr">
        <is>
          <t>DIRECCION COMERCIAL CDMX 1</t>
        </is>
      </c>
      <c r="S803" t="n">
        <v>41900</v>
      </c>
      <c r="T803" t="inlineStr">
        <is>
          <t>DIRECCION COMERCIAL CDMX 1</t>
        </is>
      </c>
      <c r="U803" t="n">
        <v>419000</v>
      </c>
      <c r="V803" t="inlineStr">
        <is>
          <t>DIRECCION COMERCIAL CDMX 1</t>
        </is>
      </c>
      <c r="W803" t="n">
        <v>134111</v>
      </c>
      <c r="X803" t="inlineStr">
        <is>
          <t>LOMAS</t>
        </is>
      </c>
      <c r="Y803" t="n">
        <v>3</v>
      </c>
      <c r="Z803" t="inlineStr">
        <is>
          <t>CAMBIARIO</t>
        </is>
      </c>
      <c r="AA803" t="n">
        <v>1</v>
      </c>
      <c r="AB803" t="inlineStr">
        <is>
          <t>NEGOCIO EN MARCHA</t>
        </is>
      </c>
      <c r="AC803" t="n">
        <v>1</v>
      </c>
      <c r="AD803" t="inlineStr">
        <is>
          <t>BANCO</t>
        </is>
      </c>
      <c r="AE803" t="n">
        <v>3</v>
      </c>
      <c r="AF803" t="inlineStr">
        <is>
          <t>FRONT</t>
        </is>
      </c>
      <c r="AG803" t="n">
        <v>134111</v>
      </c>
      <c r="AH803" t="inlineStr">
        <is>
          <t>LOMAS</t>
        </is>
      </c>
      <c r="AI803" t="inlineStr">
        <is>
          <t>JAMIEVA@BANCOBASE.COM</t>
        </is>
      </c>
      <c r="AJ803" s="151" t="n">
        <v>43808</v>
      </c>
      <c r="AK803" s="151" t="n"/>
      <c r="AL803" s="151" t="n"/>
    </row>
    <row r="804" hidden="1" s="150">
      <c r="A804" t="inlineStr">
        <is>
          <t>ACHAVEZM</t>
        </is>
      </c>
      <c r="B804" t="n">
        <v>3131</v>
      </c>
      <c r="C804" t="inlineStr">
        <is>
          <t>ANA GABRIELA CHAVEZ MONDRAGON</t>
        </is>
      </c>
      <c r="D804" t="n">
        <v>8353</v>
      </c>
      <c r="E804" t="inlineStr">
        <is>
          <t>ANALISTA DE GESTION</t>
        </is>
      </c>
      <c r="F804" t="inlineStr">
        <is>
          <t>MEXICO</t>
        </is>
      </c>
      <c r="G804" t="n">
        <v>2360</v>
      </c>
      <c r="H804" t="inlineStr">
        <is>
          <t>JULIAN AMIEVA ALONSO</t>
        </is>
      </c>
      <c r="I804" t="n">
        <v>9650</v>
      </c>
      <c r="J804" t="inlineStr">
        <is>
          <t>DIRECTOR COMERCIAL CIUDAD DE MEXICO</t>
        </is>
      </c>
      <c r="K804" t="n">
        <v>1</v>
      </c>
      <c r="L804" t="inlineStr">
        <is>
          <t>PRESIDENCIA EJECUTIVA DEL CONSEJO</t>
        </is>
      </c>
      <c r="M804" t="n">
        <v>40</v>
      </c>
      <c r="N804" t="inlineStr">
        <is>
          <t>DIRECCION GENERAL BANCO BASE</t>
        </is>
      </c>
      <c r="O804" t="n">
        <v>410</v>
      </c>
      <c r="P804" t="inlineStr">
        <is>
          <t>DIRECCION COMERCIAL</t>
        </is>
      </c>
      <c r="Q804" t="n">
        <v>4190</v>
      </c>
      <c r="R804" t="inlineStr">
        <is>
          <t>DIRECCION COMERCIAL CDMX 1</t>
        </is>
      </c>
      <c r="S804" t="n">
        <v>41900</v>
      </c>
      <c r="T804" t="inlineStr">
        <is>
          <t>DIRECCION COMERCIAL CDMX 1</t>
        </is>
      </c>
      <c r="U804" t="n">
        <v>419000</v>
      </c>
      <c r="V804" t="inlineStr">
        <is>
          <t>DIRECCION COMERCIAL CDMX 1</t>
        </is>
      </c>
      <c r="W804" t="n">
        <v>134111</v>
      </c>
      <c r="X804" t="inlineStr">
        <is>
          <t>LOMAS</t>
        </is>
      </c>
      <c r="Y804" t="n">
        <v>3</v>
      </c>
      <c r="Z804" t="inlineStr">
        <is>
          <t>CAMBIARIO</t>
        </is>
      </c>
      <c r="AA804" t="n">
        <v>1</v>
      </c>
      <c r="AB804" t="inlineStr">
        <is>
          <t>NEGOCIO EN MARCHA</t>
        </is>
      </c>
      <c r="AC804" t="n">
        <v>1</v>
      </c>
      <c r="AD804" t="inlineStr">
        <is>
          <t>BANCO</t>
        </is>
      </c>
      <c r="AE804" t="n">
        <v>3</v>
      </c>
      <c r="AF804" t="inlineStr">
        <is>
          <t>FRONT</t>
        </is>
      </c>
      <c r="AG804" t="n">
        <v>134111</v>
      </c>
      <c r="AH804" t="inlineStr">
        <is>
          <t>LOMAS</t>
        </is>
      </c>
      <c r="AI804" t="inlineStr">
        <is>
          <t>ACHAVEZM@BANCOBASE.COM</t>
        </is>
      </c>
      <c r="AJ804" s="151" t="n">
        <v>45446</v>
      </c>
      <c r="AK804" s="151" t="n"/>
      <c r="AL804" s="151" t="n"/>
    </row>
    <row r="805" hidden="1" s="150">
      <c r="A805" t="inlineStr">
        <is>
          <t>SCESTELLOS</t>
        </is>
      </c>
      <c r="B805" t="n">
        <v>845</v>
      </c>
      <c r="C805" t="inlineStr">
        <is>
          <t>SALVADOR JONATHAN CESTELLOS CARPENA</t>
        </is>
      </c>
      <c r="D805" t="n">
        <v>10121</v>
      </c>
      <c r="E805" t="inlineStr">
        <is>
          <t>SUBDIRECTOR DE PROMOCION</t>
        </is>
      </c>
      <c r="F805" t="inlineStr">
        <is>
          <t>MEXICO</t>
        </is>
      </c>
      <c r="G805" t="n">
        <v>2360</v>
      </c>
      <c r="H805" t="inlineStr">
        <is>
          <t>JULIAN AMIEVA ALONSO</t>
        </is>
      </c>
      <c r="I805" t="n">
        <v>9650</v>
      </c>
      <c r="J805" t="inlineStr">
        <is>
          <t>DIRECTOR COMERCIAL CIUDAD DE MEXICO</t>
        </is>
      </c>
      <c r="K805" t="n">
        <v>1</v>
      </c>
      <c r="L805" t="inlineStr">
        <is>
          <t>PRESIDENCIA EJECUTIVA DEL CONSEJO</t>
        </is>
      </c>
      <c r="M805" t="n">
        <v>40</v>
      </c>
      <c r="N805" t="inlineStr">
        <is>
          <t>DIRECCION GENERAL BANCO BASE</t>
        </is>
      </c>
      <c r="O805" t="n">
        <v>410</v>
      </c>
      <c r="P805" t="inlineStr">
        <is>
          <t>DIRECCION COMERCIAL</t>
        </is>
      </c>
      <c r="Q805" t="n">
        <v>4190</v>
      </c>
      <c r="R805" t="inlineStr">
        <is>
          <t>DIRECCION COMERCIAL CDMX 1</t>
        </is>
      </c>
      <c r="S805" t="n">
        <v>41900</v>
      </c>
      <c r="T805" t="inlineStr">
        <is>
          <t>DIRECCION COMERCIAL CDMX 1</t>
        </is>
      </c>
      <c r="U805" t="n">
        <v>419001</v>
      </c>
      <c r="V805" t="inlineStr">
        <is>
          <t>PROMOCION MEXICO 1</t>
        </is>
      </c>
      <c r="W805" t="n">
        <v>134111</v>
      </c>
      <c r="X805" t="inlineStr">
        <is>
          <t>LOMAS</t>
        </is>
      </c>
      <c r="Y805" t="n">
        <v>3</v>
      </c>
      <c r="Z805" t="inlineStr">
        <is>
          <t>CAMBIARIO</t>
        </is>
      </c>
      <c r="AA805" t="n">
        <v>1</v>
      </c>
      <c r="AB805" t="inlineStr">
        <is>
          <t>NEGOCIO EN MARCHA</t>
        </is>
      </c>
      <c r="AC805" t="n">
        <v>1</v>
      </c>
      <c r="AD805" t="inlineStr">
        <is>
          <t>BANCO</t>
        </is>
      </c>
      <c r="AE805" t="n">
        <v>3</v>
      </c>
      <c r="AF805" t="inlineStr">
        <is>
          <t>FRONT</t>
        </is>
      </c>
      <c r="AG805" t="n">
        <v>134111</v>
      </c>
      <c r="AH805" t="inlineStr">
        <is>
          <t>LOMAS</t>
        </is>
      </c>
      <c r="AI805" t="inlineStr">
        <is>
          <t>SCESTELLOS@BANCOBASE.COM</t>
        </is>
      </c>
      <c r="AJ805" s="151" t="n">
        <v>40973</v>
      </c>
      <c r="AK805" s="151" t="n"/>
      <c r="AL805" s="151" t="n"/>
    </row>
    <row r="806" hidden="1" s="150">
      <c r="A806" t="inlineStr">
        <is>
          <t>DMARQUEZ</t>
        </is>
      </c>
      <c r="B806" t="n">
        <v>2288</v>
      </c>
      <c r="C806" t="inlineStr">
        <is>
          <t>DIANA MARQUEZ ENZASTIGA</t>
        </is>
      </c>
      <c r="D806" t="n">
        <v>9216</v>
      </c>
      <c r="E806" t="inlineStr">
        <is>
          <t>ASISTENTE CAMBIARIO</t>
        </is>
      </c>
      <c r="F806" t="inlineStr">
        <is>
          <t>MEXICO</t>
        </is>
      </c>
      <c r="G806" t="n">
        <v>845</v>
      </c>
      <c r="H806" t="inlineStr">
        <is>
          <t>SALVADOR JONATHAN CESTELLOS CARPENA</t>
        </is>
      </c>
      <c r="I806" t="n">
        <v>10121</v>
      </c>
      <c r="J806" t="inlineStr">
        <is>
          <t>SUBDIRECTOR DE PROMOCION</t>
        </is>
      </c>
      <c r="K806" t="n">
        <v>1</v>
      </c>
      <c r="L806" t="inlineStr">
        <is>
          <t>PRESIDENCIA EJECUTIVA DEL CONSEJO</t>
        </is>
      </c>
      <c r="M806" t="n">
        <v>40</v>
      </c>
      <c r="N806" t="inlineStr">
        <is>
          <t>DIRECCION GENERAL BANCO BASE</t>
        </is>
      </c>
      <c r="O806" t="n">
        <v>410</v>
      </c>
      <c r="P806" t="inlineStr">
        <is>
          <t>DIRECCION COMERCIAL</t>
        </is>
      </c>
      <c r="Q806" t="n">
        <v>4190</v>
      </c>
      <c r="R806" t="inlineStr">
        <is>
          <t>DIRECCION COMERCIAL CDMX 1</t>
        </is>
      </c>
      <c r="S806" t="n">
        <v>41900</v>
      </c>
      <c r="T806" t="inlineStr">
        <is>
          <t>DIRECCION COMERCIAL CDMX 1</t>
        </is>
      </c>
      <c r="U806" t="n">
        <v>419001</v>
      </c>
      <c r="V806" t="inlineStr">
        <is>
          <t>PROMOCION MEXICO 1</t>
        </is>
      </c>
      <c r="W806" t="n">
        <v>134111</v>
      </c>
      <c r="X806" t="inlineStr">
        <is>
          <t>LOMAS</t>
        </is>
      </c>
      <c r="Y806" t="n">
        <v>3</v>
      </c>
      <c r="Z806" t="inlineStr">
        <is>
          <t>CAMBIARIO</t>
        </is>
      </c>
      <c r="AA806" t="n">
        <v>1</v>
      </c>
      <c r="AB806" t="inlineStr">
        <is>
          <t>NEGOCIO EN MARCHA</t>
        </is>
      </c>
      <c r="AC806" t="n">
        <v>1</v>
      </c>
      <c r="AD806" t="inlineStr">
        <is>
          <t>BANCO</t>
        </is>
      </c>
      <c r="AE806" t="n">
        <v>2</v>
      </c>
      <c r="AF806" t="inlineStr">
        <is>
          <t>MIDDLE</t>
        </is>
      </c>
      <c r="AG806" t="n">
        <v>134111</v>
      </c>
      <c r="AH806" t="inlineStr">
        <is>
          <t>LOMAS</t>
        </is>
      </c>
      <c r="AI806" t="inlineStr">
        <is>
          <t>DMARQUEZ@BANCOBASE.COM</t>
        </is>
      </c>
      <c r="AJ806" s="151" t="n">
        <v>43664</v>
      </c>
      <c r="AK806" s="151" t="n"/>
      <c r="AL806" s="151" t="n"/>
    </row>
    <row r="807" hidden="1" s="150">
      <c r="A807" t="inlineStr">
        <is>
          <t>PMORALESL</t>
        </is>
      </c>
      <c r="B807" t="n">
        <v>2481</v>
      </c>
      <c r="C807" t="inlineStr">
        <is>
          <t>PABLO MORALES LOPEZ</t>
        </is>
      </c>
      <c r="D807" t="n">
        <v>6026</v>
      </c>
      <c r="E807" t="inlineStr">
        <is>
          <t>SUBDIRECTOR DE PROMOCION COMERCIAL</t>
        </is>
      </c>
      <c r="F807" t="inlineStr">
        <is>
          <t>MEXICO</t>
        </is>
      </c>
      <c r="G807" t="n">
        <v>2360</v>
      </c>
      <c r="H807" t="inlineStr">
        <is>
          <t>JULIAN AMIEVA ALONSO</t>
        </is>
      </c>
      <c r="I807" t="n">
        <v>9650</v>
      </c>
      <c r="J807" t="inlineStr">
        <is>
          <t>DIRECTOR COMERCIAL CIUDAD DE MEXICO</t>
        </is>
      </c>
      <c r="K807" t="n">
        <v>1</v>
      </c>
      <c r="L807" t="inlineStr">
        <is>
          <t>PRESIDENCIA EJECUTIVA DEL CONSEJO</t>
        </is>
      </c>
      <c r="M807" t="n">
        <v>40</v>
      </c>
      <c r="N807" t="inlineStr">
        <is>
          <t>DIRECCION GENERAL BANCO BASE</t>
        </is>
      </c>
      <c r="O807" t="n">
        <v>410</v>
      </c>
      <c r="P807" t="inlineStr">
        <is>
          <t>DIRECCION COMERCIAL</t>
        </is>
      </c>
      <c r="Q807" t="n">
        <v>4190</v>
      </c>
      <c r="R807" t="inlineStr">
        <is>
          <t>DIRECCION COMERCIAL CDMX 1</t>
        </is>
      </c>
      <c r="S807" t="n">
        <v>41920</v>
      </c>
      <c r="T807" t="inlineStr">
        <is>
          <t>SUBDIRECCION COMERCIAL CDMX 2</t>
        </is>
      </c>
      <c r="U807" t="n">
        <v>419200</v>
      </c>
      <c r="V807" t="inlineStr">
        <is>
          <t>SUBDIRECCION COMERCIAL CDMX 2</t>
        </is>
      </c>
      <c r="W807" t="n">
        <v>134111</v>
      </c>
      <c r="X807" t="inlineStr">
        <is>
          <t>LOMAS</t>
        </is>
      </c>
      <c r="Y807" t="n">
        <v>3</v>
      </c>
      <c r="Z807" t="inlineStr">
        <is>
          <t>CAMBIARIO</t>
        </is>
      </c>
      <c r="AA807" t="n">
        <v>1</v>
      </c>
      <c r="AB807" t="inlineStr">
        <is>
          <t>NEGOCIO EN MARCHA</t>
        </is>
      </c>
      <c r="AC807" t="n">
        <v>1</v>
      </c>
      <c r="AD807" t="inlineStr">
        <is>
          <t>BANCO</t>
        </is>
      </c>
      <c r="AE807" t="n">
        <v>3</v>
      </c>
      <c r="AF807" t="inlineStr">
        <is>
          <t>FRONT</t>
        </is>
      </c>
      <c r="AG807" t="n">
        <v>134111</v>
      </c>
      <c r="AH807" t="inlineStr">
        <is>
          <t>LOMAS</t>
        </is>
      </c>
      <c r="AI807" t="inlineStr">
        <is>
          <t>PMORALESL@BANCOBASE.COM</t>
        </is>
      </c>
      <c r="AJ807" s="151" t="n">
        <v>44252</v>
      </c>
      <c r="AK807" s="151" t="n"/>
      <c r="AL807" s="151" t="n"/>
    </row>
    <row r="808" hidden="1" s="150">
      <c r="A808" t="inlineStr">
        <is>
          <t>AANDRADE</t>
        </is>
      </c>
      <c r="B808" t="n">
        <v>3050</v>
      </c>
      <c r="C808" t="inlineStr">
        <is>
          <t>ARACELY ANDRADE ALCAZAR</t>
        </is>
      </c>
      <c r="D808" t="n">
        <v>9197</v>
      </c>
      <c r="E808" t="inlineStr">
        <is>
          <t>ASESOR CAMBIARIO</t>
        </is>
      </c>
      <c r="F808" t="inlineStr">
        <is>
          <t>MEXICO</t>
        </is>
      </c>
      <c r="G808" t="n">
        <v>2481</v>
      </c>
      <c r="H808" t="inlineStr">
        <is>
          <t>PABLO MORALES LOPEZ</t>
        </is>
      </c>
      <c r="I808" t="n">
        <v>6026</v>
      </c>
      <c r="J808" t="inlineStr">
        <is>
          <t>SUBDIRECTOR DE PROMOCION COMERCIAL</t>
        </is>
      </c>
      <c r="K808" t="n">
        <v>1</v>
      </c>
      <c r="L808" t="inlineStr">
        <is>
          <t>PRESIDENCIA EJECUTIVA DEL CONSEJO</t>
        </is>
      </c>
      <c r="M808" t="n">
        <v>40</v>
      </c>
      <c r="N808" t="inlineStr">
        <is>
          <t>DIRECCION GENERAL BANCO BASE</t>
        </is>
      </c>
      <c r="O808" t="n">
        <v>410</v>
      </c>
      <c r="P808" t="inlineStr">
        <is>
          <t>DIRECCION COMERCIAL</t>
        </is>
      </c>
      <c r="Q808" t="n">
        <v>4190</v>
      </c>
      <c r="R808" t="inlineStr">
        <is>
          <t>DIRECCION COMERCIAL CDMX 1</t>
        </is>
      </c>
      <c r="S808" t="n">
        <v>41920</v>
      </c>
      <c r="T808" t="inlineStr">
        <is>
          <t>SUBDIRECCION COMERCIAL CDMX 2</t>
        </is>
      </c>
      <c r="U808" t="n">
        <v>419200</v>
      </c>
      <c r="V808" t="inlineStr">
        <is>
          <t>SUBDIRECCION COMERCIAL CDMX 2</t>
        </is>
      </c>
      <c r="W808" t="n">
        <v>134111</v>
      </c>
      <c r="X808" t="inlineStr">
        <is>
          <t>LOMAS</t>
        </is>
      </c>
      <c r="Y808" t="n">
        <v>3</v>
      </c>
      <c r="Z808" t="inlineStr">
        <is>
          <t>CAMBIARIO</t>
        </is>
      </c>
      <c r="AA808" t="n">
        <v>1</v>
      </c>
      <c r="AB808" t="inlineStr">
        <is>
          <t>NEGOCIO EN MARCHA</t>
        </is>
      </c>
      <c r="AC808" t="n">
        <v>1</v>
      </c>
      <c r="AD808" t="inlineStr">
        <is>
          <t>BANCO</t>
        </is>
      </c>
      <c r="AE808" t="n">
        <v>3</v>
      </c>
      <c r="AF808" t="inlineStr">
        <is>
          <t>FRONT</t>
        </is>
      </c>
      <c r="AG808" t="n">
        <v>134111</v>
      </c>
      <c r="AH808" t="inlineStr">
        <is>
          <t>LOMAS</t>
        </is>
      </c>
      <c r="AI808" t="inlineStr">
        <is>
          <t>AANDRADE@BANCOBASE.COM</t>
        </is>
      </c>
      <c r="AJ808" s="151" t="n">
        <v>45357</v>
      </c>
      <c r="AK808" s="151" t="n"/>
      <c r="AL808" s="151" t="n"/>
    </row>
    <row r="809" hidden="1" s="150">
      <c r="A809" t="inlineStr">
        <is>
          <t>DMORALESB</t>
        </is>
      </c>
      <c r="B809" t="n">
        <v>3033</v>
      </c>
      <c r="C809" t="inlineStr">
        <is>
          <t>DANIEL ALEJANDRO MORALES BONILLA</t>
        </is>
      </c>
      <c r="D809" t="n">
        <v>8331</v>
      </c>
      <c r="E809" t="inlineStr">
        <is>
          <t>EJECUTIVO DE SOPORTE</t>
        </is>
      </c>
      <c r="F809" t="inlineStr">
        <is>
          <t>MEXICO</t>
        </is>
      </c>
      <c r="G809" t="n">
        <v>2481</v>
      </c>
      <c r="H809" t="inlineStr">
        <is>
          <t>PABLO MORALES LOPEZ</t>
        </is>
      </c>
      <c r="I809" t="n">
        <v>6026</v>
      </c>
      <c r="J809" t="inlineStr">
        <is>
          <t>SUBDIRECTOR DE PROMOCION COMERCIAL</t>
        </is>
      </c>
      <c r="K809" t="n">
        <v>1</v>
      </c>
      <c r="L809" t="inlineStr">
        <is>
          <t>PRESIDENCIA EJECUTIVA DEL CONSEJO</t>
        </is>
      </c>
      <c r="M809" t="n">
        <v>40</v>
      </c>
      <c r="N809" t="inlineStr">
        <is>
          <t>DIRECCION GENERAL BANCO BASE</t>
        </is>
      </c>
      <c r="O809" t="n">
        <v>410</v>
      </c>
      <c r="P809" t="inlineStr">
        <is>
          <t>DIRECCION COMERCIAL</t>
        </is>
      </c>
      <c r="Q809" t="n">
        <v>4190</v>
      </c>
      <c r="R809" t="inlineStr">
        <is>
          <t>DIRECCION COMERCIAL CDMX 1</t>
        </is>
      </c>
      <c r="S809" t="n">
        <v>41920</v>
      </c>
      <c r="T809" t="inlineStr">
        <is>
          <t>SUBDIRECCION COMERCIAL CDMX 2</t>
        </is>
      </c>
      <c r="U809" t="n">
        <v>419200</v>
      </c>
      <c r="V809" t="inlineStr">
        <is>
          <t>SUBDIRECCION COMERCIAL CDMX 2</t>
        </is>
      </c>
      <c r="W809" t="n">
        <v>134111</v>
      </c>
      <c r="X809" t="inlineStr">
        <is>
          <t>LOMAS</t>
        </is>
      </c>
      <c r="Y809" t="n">
        <v>17</v>
      </c>
      <c r="Z809" t="inlineStr">
        <is>
          <t>SOPORTE</t>
        </is>
      </c>
      <c r="AA809" t="n">
        <v>1</v>
      </c>
      <c r="AB809" t="inlineStr">
        <is>
          <t>NEGOCIO EN MARCHA</t>
        </is>
      </c>
      <c r="AC809" t="n">
        <v>1</v>
      </c>
      <c r="AD809" t="inlineStr">
        <is>
          <t>BANCO</t>
        </is>
      </c>
      <c r="AE809" t="n">
        <v>2</v>
      </c>
      <c r="AF809" t="inlineStr">
        <is>
          <t>MIDDLE</t>
        </is>
      </c>
      <c r="AG809" t="n">
        <v>134111</v>
      </c>
      <c r="AH809" t="inlineStr">
        <is>
          <t>LOMAS</t>
        </is>
      </c>
      <c r="AI809" t="inlineStr">
        <is>
          <t>DMORALESB@BANCOBASE.COM</t>
        </is>
      </c>
      <c r="AJ809" s="151" t="n">
        <v>45338</v>
      </c>
      <c r="AK809" s="151" t="n"/>
      <c r="AL809" s="151" t="n"/>
    </row>
    <row r="810" hidden="1" s="150">
      <c r="A810" t="inlineStr">
        <is>
          <t>GFERNANDEZ</t>
        </is>
      </c>
      <c r="B810" t="n">
        <v>2676</v>
      </c>
      <c r="C810" t="inlineStr">
        <is>
          <t>GILBERTO FERNANDEZ DOMINGUEZ</t>
        </is>
      </c>
      <c r="D810" t="n">
        <v>9378</v>
      </c>
      <c r="E810" t="inlineStr">
        <is>
          <t>ESPECIALISTA DE FINANCIAMIENTO</t>
        </is>
      </c>
      <c r="F810" t="inlineStr">
        <is>
          <t>MEXICO</t>
        </is>
      </c>
      <c r="G810" t="n">
        <v>2481</v>
      </c>
      <c r="H810" t="inlineStr">
        <is>
          <t>PABLO MORALES LOPEZ</t>
        </is>
      </c>
      <c r="I810" t="n">
        <v>6026</v>
      </c>
      <c r="J810" t="inlineStr">
        <is>
          <t>SUBDIRECTOR DE PROMOCION COMERCIAL</t>
        </is>
      </c>
      <c r="K810" t="n">
        <v>1</v>
      </c>
      <c r="L810" t="inlineStr">
        <is>
          <t>PRESIDENCIA EJECUTIVA DEL CONSEJO</t>
        </is>
      </c>
      <c r="M810" t="n">
        <v>40</v>
      </c>
      <c r="N810" t="inlineStr">
        <is>
          <t>DIRECCION GENERAL BANCO BASE</t>
        </is>
      </c>
      <c r="O810" t="n">
        <v>410</v>
      </c>
      <c r="P810" t="inlineStr">
        <is>
          <t>DIRECCION COMERCIAL</t>
        </is>
      </c>
      <c r="Q810" t="n">
        <v>4190</v>
      </c>
      <c r="R810" t="inlineStr">
        <is>
          <t>DIRECCION COMERCIAL CDMX 1</t>
        </is>
      </c>
      <c r="S810" t="n">
        <v>41920</v>
      </c>
      <c r="T810" t="inlineStr">
        <is>
          <t>SUBDIRECCION COMERCIAL CDMX 2</t>
        </is>
      </c>
      <c r="U810" t="n">
        <v>419200</v>
      </c>
      <c r="V810" t="inlineStr">
        <is>
          <t>SUBDIRECCION COMERCIAL CDMX 2</t>
        </is>
      </c>
      <c r="W810" t="n">
        <v>134111</v>
      </c>
      <c r="X810" t="inlineStr">
        <is>
          <t>LOMAS</t>
        </is>
      </c>
      <c r="Y810" t="n">
        <v>13</v>
      </c>
      <c r="Z810" t="inlineStr">
        <is>
          <t>FINANCIAMIENTO</t>
        </is>
      </c>
      <c r="AA810" t="n">
        <v>1</v>
      </c>
      <c r="AB810" t="inlineStr">
        <is>
          <t>NEGOCIO EN MARCHA</t>
        </is>
      </c>
      <c r="AC810" t="n">
        <v>1</v>
      </c>
      <c r="AD810" t="inlineStr">
        <is>
          <t>BANCO</t>
        </is>
      </c>
      <c r="AE810" t="n">
        <v>3</v>
      </c>
      <c r="AF810" t="inlineStr">
        <is>
          <t>FRONT</t>
        </is>
      </c>
      <c r="AG810" t="n">
        <v>134111</v>
      </c>
      <c r="AH810" t="inlineStr">
        <is>
          <t>LOMAS</t>
        </is>
      </c>
      <c r="AI810" t="inlineStr">
        <is>
          <t>GFERNANDEZ@BANCOBASE.COM</t>
        </is>
      </c>
      <c r="AJ810" s="151" t="n">
        <v>44732</v>
      </c>
      <c r="AK810" s="151" t="n"/>
      <c r="AL810" s="151" t="n"/>
    </row>
    <row r="811" hidden="1" s="150">
      <c r="A811" t="inlineStr">
        <is>
          <t>RCRISTOBAL</t>
        </is>
      </c>
      <c r="B811" t="n">
        <v>1963</v>
      </c>
      <c r="C811" t="inlineStr">
        <is>
          <t>RODRIGO SANTIAGO CRISTOBAL PEREZ</t>
        </is>
      </c>
      <c r="D811" t="n">
        <v>10171</v>
      </c>
      <c r="E811" t="inlineStr">
        <is>
          <t>ESPECIALISTA DE BANCA TRANSACCIONAL</t>
        </is>
      </c>
      <c r="F811" t="inlineStr">
        <is>
          <t>MEXICO</t>
        </is>
      </c>
      <c r="G811" t="n">
        <v>2481</v>
      </c>
      <c r="H811" t="inlineStr">
        <is>
          <t>PABLO MORALES LOPEZ</t>
        </is>
      </c>
      <c r="I811" t="n">
        <v>6026</v>
      </c>
      <c r="J811" t="inlineStr">
        <is>
          <t>SUBDIRECTOR DE PROMOCION COMERCIAL</t>
        </is>
      </c>
      <c r="K811" t="n">
        <v>1</v>
      </c>
      <c r="L811" t="inlineStr">
        <is>
          <t>PRESIDENCIA EJECUTIVA DEL CONSEJO</t>
        </is>
      </c>
      <c r="M811" t="n">
        <v>40</v>
      </c>
      <c r="N811" t="inlineStr">
        <is>
          <t>DIRECCION GENERAL BANCO BASE</t>
        </is>
      </c>
      <c r="O811" t="n">
        <v>410</v>
      </c>
      <c r="P811" t="inlineStr">
        <is>
          <t>DIRECCION COMERCIAL</t>
        </is>
      </c>
      <c r="Q811" t="n">
        <v>4190</v>
      </c>
      <c r="R811" t="inlineStr">
        <is>
          <t>DIRECCION COMERCIAL CDMX 1</t>
        </is>
      </c>
      <c r="S811" t="n">
        <v>41920</v>
      </c>
      <c r="T811" t="inlineStr">
        <is>
          <t>SUBDIRECCION COMERCIAL CDMX 2</t>
        </is>
      </c>
      <c r="U811" t="n">
        <v>419200</v>
      </c>
      <c r="V811" t="inlineStr">
        <is>
          <t>SUBDIRECCION COMERCIAL CDMX 2</t>
        </is>
      </c>
      <c r="W811" t="n">
        <v>134111</v>
      </c>
      <c r="X811" t="inlineStr">
        <is>
          <t>LOMAS</t>
        </is>
      </c>
      <c r="Y811" t="n">
        <v>14</v>
      </c>
      <c r="Z811" t="inlineStr">
        <is>
          <t>TRANSACCIONAL</t>
        </is>
      </c>
      <c r="AA811" t="n">
        <v>1</v>
      </c>
      <c r="AB811" t="inlineStr">
        <is>
          <t>NEGOCIO EN MARCHA</t>
        </is>
      </c>
      <c r="AC811" t="n">
        <v>1</v>
      </c>
      <c r="AD811" t="inlineStr">
        <is>
          <t>BANCO</t>
        </is>
      </c>
      <c r="AE811" t="n">
        <v>3</v>
      </c>
      <c r="AF811" t="inlineStr">
        <is>
          <t>FRONT</t>
        </is>
      </c>
      <c r="AG811" t="n">
        <v>134111</v>
      </c>
      <c r="AH811" t="inlineStr">
        <is>
          <t>LOMAS</t>
        </is>
      </c>
      <c r="AI811" t="inlineStr">
        <is>
          <t>RCRISTOBAL@BANCOBASE.COM</t>
        </is>
      </c>
      <c r="AJ811" s="151" t="n">
        <v>43166</v>
      </c>
      <c r="AK811" s="151" t="n"/>
      <c r="AL811" s="151" t="n"/>
    </row>
    <row r="812" hidden="1" s="150">
      <c r="A812" t="inlineStr">
        <is>
          <t>ACORIA</t>
        </is>
      </c>
      <c r="B812" t="n">
        <v>2521</v>
      </c>
      <c r="C812" t="inlineStr">
        <is>
          <t>ASTRID MELISA CORIA MENDOZA</t>
        </is>
      </c>
      <c r="D812" t="n">
        <v>9289</v>
      </c>
      <c r="E812" t="inlineStr">
        <is>
          <t>ASESOR CAMBIARIO</t>
        </is>
      </c>
      <c r="F812" t="inlineStr">
        <is>
          <t>MEXICO</t>
        </is>
      </c>
      <c r="G812" t="n">
        <v>2481</v>
      </c>
      <c r="H812" t="inlineStr">
        <is>
          <t>PABLO MORALES LOPEZ</t>
        </is>
      </c>
      <c r="I812" t="n">
        <v>6026</v>
      </c>
      <c r="J812" t="inlineStr">
        <is>
          <t>SUBDIRECTOR DE PROMOCION COMERCIAL</t>
        </is>
      </c>
      <c r="K812" t="n">
        <v>1</v>
      </c>
      <c r="L812" t="inlineStr">
        <is>
          <t>PRESIDENCIA EJECUTIVA DEL CONSEJO</t>
        </is>
      </c>
      <c r="M812" t="n">
        <v>40</v>
      </c>
      <c r="N812" t="inlineStr">
        <is>
          <t>DIRECCION GENERAL BANCO BASE</t>
        </is>
      </c>
      <c r="O812" t="n">
        <v>410</v>
      </c>
      <c r="P812" t="inlineStr">
        <is>
          <t>DIRECCION COMERCIAL</t>
        </is>
      </c>
      <c r="Q812" t="n">
        <v>4190</v>
      </c>
      <c r="R812" t="inlineStr">
        <is>
          <t>DIRECCION COMERCIAL CDMX 1</t>
        </is>
      </c>
      <c r="S812" t="n">
        <v>41920</v>
      </c>
      <c r="T812" t="inlineStr">
        <is>
          <t>SUBDIRECCION COMERCIAL CDMX 2</t>
        </is>
      </c>
      <c r="U812" t="n">
        <v>419200</v>
      </c>
      <c r="V812" t="inlineStr">
        <is>
          <t>SUBDIRECCION COMERCIAL CDMX 2</t>
        </is>
      </c>
      <c r="W812" t="n">
        <v>134111</v>
      </c>
      <c r="X812" t="inlineStr">
        <is>
          <t>LOMAS</t>
        </is>
      </c>
      <c r="Y812" t="n">
        <v>3</v>
      </c>
      <c r="Z812" t="inlineStr">
        <is>
          <t>CAMBIARIO</t>
        </is>
      </c>
      <c r="AA812" t="n">
        <v>1</v>
      </c>
      <c r="AB812" t="inlineStr">
        <is>
          <t>NEGOCIO EN MARCHA</t>
        </is>
      </c>
      <c r="AC812" t="n">
        <v>1</v>
      </c>
      <c r="AD812" t="inlineStr">
        <is>
          <t>BANCO</t>
        </is>
      </c>
      <c r="AE812" t="n">
        <v>3</v>
      </c>
      <c r="AF812" t="inlineStr">
        <is>
          <t>FRONT</t>
        </is>
      </c>
      <c r="AG812" t="n">
        <v>134111</v>
      </c>
      <c r="AH812" t="inlineStr">
        <is>
          <t>LOMAS</t>
        </is>
      </c>
      <c r="AI812" t="inlineStr">
        <is>
          <t>ACORIA@BANCOBASE.COM</t>
        </is>
      </c>
      <c r="AJ812" s="151" t="n">
        <v>44384</v>
      </c>
      <c r="AK812" s="151" t="n"/>
      <c r="AL812" s="151" t="n"/>
    </row>
    <row r="813" hidden="1" s="150">
      <c r="A813" t="inlineStr">
        <is>
          <t>AZUBIETA</t>
        </is>
      </c>
      <c r="B813" t="n">
        <v>2591</v>
      </c>
      <c r="C813" t="inlineStr">
        <is>
          <t>ALEJANDRO ZUBIETA RODRIGUEZ</t>
        </is>
      </c>
      <c r="D813" t="n">
        <v>10008</v>
      </c>
      <c r="E813" t="inlineStr">
        <is>
          <t>ASESOR CAMBIARIO</t>
        </is>
      </c>
      <c r="F813" t="inlineStr">
        <is>
          <t>MEXICO</t>
        </is>
      </c>
      <c r="G813" t="n">
        <v>2481</v>
      </c>
      <c r="H813" t="inlineStr">
        <is>
          <t>PABLO MORALES LOPEZ</t>
        </is>
      </c>
      <c r="I813" t="n">
        <v>6026</v>
      </c>
      <c r="J813" t="inlineStr">
        <is>
          <t>SUBDIRECTOR DE PROMOCION COMERCIAL</t>
        </is>
      </c>
      <c r="K813" t="n">
        <v>1</v>
      </c>
      <c r="L813" t="inlineStr">
        <is>
          <t>PRESIDENCIA EJECUTIVA DEL CONSEJO</t>
        </is>
      </c>
      <c r="M813" t="n">
        <v>40</v>
      </c>
      <c r="N813" t="inlineStr">
        <is>
          <t>DIRECCION GENERAL BANCO BASE</t>
        </is>
      </c>
      <c r="O813" t="n">
        <v>410</v>
      </c>
      <c r="P813" t="inlineStr">
        <is>
          <t>DIRECCION COMERCIAL</t>
        </is>
      </c>
      <c r="Q813" t="n">
        <v>4190</v>
      </c>
      <c r="R813" t="inlineStr">
        <is>
          <t>DIRECCION COMERCIAL CDMX 1</t>
        </is>
      </c>
      <c r="S813" t="n">
        <v>41920</v>
      </c>
      <c r="T813" t="inlineStr">
        <is>
          <t>SUBDIRECCION COMERCIAL CDMX 2</t>
        </is>
      </c>
      <c r="U813" t="n">
        <v>419200</v>
      </c>
      <c r="V813" t="inlineStr">
        <is>
          <t>SUBDIRECCION COMERCIAL CDMX 2</t>
        </is>
      </c>
      <c r="W813" t="n">
        <v>134111</v>
      </c>
      <c r="X813" t="inlineStr">
        <is>
          <t>LOMAS</t>
        </is>
      </c>
      <c r="Y813" t="n">
        <v>3</v>
      </c>
      <c r="Z813" t="inlineStr">
        <is>
          <t>CAMBIARIO</t>
        </is>
      </c>
      <c r="AA813" t="n">
        <v>1</v>
      </c>
      <c r="AB813" t="inlineStr">
        <is>
          <t>NEGOCIO EN MARCHA</t>
        </is>
      </c>
      <c r="AC813" t="n">
        <v>1</v>
      </c>
      <c r="AD813" t="inlineStr">
        <is>
          <t>BANCO</t>
        </is>
      </c>
      <c r="AE813" t="n">
        <v>3</v>
      </c>
      <c r="AF813" t="inlineStr">
        <is>
          <t>FRONT</t>
        </is>
      </c>
      <c r="AG813" t="n">
        <v>134111</v>
      </c>
      <c r="AH813" t="inlineStr">
        <is>
          <t>LOMAS</t>
        </is>
      </c>
      <c r="AI813" t="inlineStr">
        <is>
          <t>AZUBIETA@BANCOBASE.COM</t>
        </is>
      </c>
      <c r="AJ813" s="151" t="n">
        <v>44546</v>
      </c>
      <c r="AK813" s="151" t="n"/>
      <c r="AL813" s="151" t="n"/>
    </row>
    <row r="814" hidden="1" s="150">
      <c r="A814" t="inlineStr">
        <is>
          <t>RBARRIGA</t>
        </is>
      </c>
      <c r="B814" t="n">
        <v>2539</v>
      </c>
      <c r="C814" t="inlineStr">
        <is>
          <t>REBECA MARGARITA BARRIGA ROSALES</t>
        </is>
      </c>
      <c r="D814" t="n">
        <v>9774</v>
      </c>
      <c r="E814" t="inlineStr">
        <is>
          <t>ASESOR CAMBIARIO</t>
        </is>
      </c>
      <c r="F814" t="inlineStr">
        <is>
          <t>MEXICO</t>
        </is>
      </c>
      <c r="G814" t="n">
        <v>2481</v>
      </c>
      <c r="H814" t="inlineStr">
        <is>
          <t>PABLO MORALES LOPEZ</t>
        </is>
      </c>
      <c r="I814" t="n">
        <v>6026</v>
      </c>
      <c r="J814" t="inlineStr">
        <is>
          <t>SUBDIRECTOR DE PROMOCION COMERCIAL</t>
        </is>
      </c>
      <c r="K814" t="n">
        <v>1</v>
      </c>
      <c r="L814" t="inlineStr">
        <is>
          <t>PRESIDENCIA EJECUTIVA DEL CONSEJO</t>
        </is>
      </c>
      <c r="M814" t="n">
        <v>40</v>
      </c>
      <c r="N814" t="inlineStr">
        <is>
          <t>DIRECCION GENERAL BANCO BASE</t>
        </is>
      </c>
      <c r="O814" t="n">
        <v>410</v>
      </c>
      <c r="P814" t="inlineStr">
        <is>
          <t>DIRECCION COMERCIAL</t>
        </is>
      </c>
      <c r="Q814" t="n">
        <v>4190</v>
      </c>
      <c r="R814" t="inlineStr">
        <is>
          <t>DIRECCION COMERCIAL CDMX 1</t>
        </is>
      </c>
      <c r="S814" t="n">
        <v>41920</v>
      </c>
      <c r="T814" t="inlineStr">
        <is>
          <t>SUBDIRECCION COMERCIAL CDMX 2</t>
        </is>
      </c>
      <c r="U814" t="n">
        <v>419200</v>
      </c>
      <c r="V814" t="inlineStr">
        <is>
          <t>SUBDIRECCION COMERCIAL CDMX 2</t>
        </is>
      </c>
      <c r="W814" t="n">
        <v>134111</v>
      </c>
      <c r="X814" t="inlineStr">
        <is>
          <t>LOMAS</t>
        </is>
      </c>
      <c r="Y814" t="n">
        <v>3</v>
      </c>
      <c r="Z814" t="inlineStr">
        <is>
          <t>CAMBIARIO</t>
        </is>
      </c>
      <c r="AA814" t="n">
        <v>1</v>
      </c>
      <c r="AB814" t="inlineStr">
        <is>
          <t>NEGOCIO EN MARCHA</t>
        </is>
      </c>
      <c r="AC814" t="n">
        <v>1</v>
      </c>
      <c r="AD814" t="inlineStr">
        <is>
          <t>BANCO</t>
        </is>
      </c>
      <c r="AE814" t="n">
        <v>3</v>
      </c>
      <c r="AF814" t="inlineStr">
        <is>
          <t>FRONT</t>
        </is>
      </c>
      <c r="AG814" t="n">
        <v>134111</v>
      </c>
      <c r="AH814" t="inlineStr">
        <is>
          <t>LOMAS</t>
        </is>
      </c>
      <c r="AI814" t="inlineStr">
        <is>
          <t>RBARRIGA@BANCOBASE.COM</t>
        </is>
      </c>
      <c r="AJ814" s="151" t="n">
        <v>44440</v>
      </c>
      <c r="AK814" s="151" t="n"/>
      <c r="AL814" s="151" t="n"/>
    </row>
    <row r="815" hidden="1" s="150">
      <c r="A815" t="inlineStr">
        <is>
          <t>AARROYO</t>
        </is>
      </c>
      <c r="B815" t="n">
        <v>3327</v>
      </c>
      <c r="C815" t="inlineStr">
        <is>
          <t>ABIGAIL CELESTE ARROYO NARANJO</t>
        </is>
      </c>
      <c r="D815" t="n">
        <v>8286</v>
      </c>
      <c r="E815" t="inlineStr">
        <is>
          <t>ASESOR CAMBIARIO</t>
        </is>
      </c>
      <c r="F815" t="inlineStr">
        <is>
          <t>MEXICO</t>
        </is>
      </c>
      <c r="G815" t="n">
        <v>2481</v>
      </c>
      <c r="H815" t="inlineStr">
        <is>
          <t>PABLO MORALES LOPEZ</t>
        </is>
      </c>
      <c r="I815" t="n">
        <v>6026</v>
      </c>
      <c r="J815" t="inlineStr">
        <is>
          <t>SUBDIRECTOR DE PROMOCION COMERCIAL</t>
        </is>
      </c>
      <c r="K815" t="n">
        <v>1</v>
      </c>
      <c r="L815" t="inlineStr">
        <is>
          <t>PRESIDENCIA EJECUTIVA DEL CONSEJO</t>
        </is>
      </c>
      <c r="M815" t="n">
        <v>40</v>
      </c>
      <c r="N815" t="inlineStr">
        <is>
          <t>DIRECCION GENERAL BANCO BASE</t>
        </is>
      </c>
      <c r="O815" t="n">
        <v>410</v>
      </c>
      <c r="P815" t="inlineStr">
        <is>
          <t>DIRECCION COMERCIAL</t>
        </is>
      </c>
      <c r="Q815" t="n">
        <v>4190</v>
      </c>
      <c r="R815" t="inlineStr">
        <is>
          <t>DIRECCION COMERCIAL CDMX 1</t>
        </is>
      </c>
      <c r="S815" t="n">
        <v>41920</v>
      </c>
      <c r="T815" t="inlineStr">
        <is>
          <t>SUBDIRECCION COMERCIAL CDMX 2</t>
        </is>
      </c>
      <c r="U815" t="n">
        <v>419200</v>
      </c>
      <c r="V815" t="inlineStr">
        <is>
          <t>SUBDIRECCION COMERCIAL CDMX 2</t>
        </is>
      </c>
      <c r="W815" t="n">
        <v>134111</v>
      </c>
      <c r="X815" t="inlineStr">
        <is>
          <t>LOMAS</t>
        </is>
      </c>
      <c r="Y815" t="n">
        <v>3</v>
      </c>
      <c r="Z815" t="inlineStr">
        <is>
          <t>CAMBIARIO</t>
        </is>
      </c>
      <c r="AA815" t="n">
        <v>1</v>
      </c>
      <c r="AB815" t="inlineStr">
        <is>
          <t>NEGOCIO EN MARCHA</t>
        </is>
      </c>
      <c r="AC815" t="n">
        <v>1</v>
      </c>
      <c r="AD815" t="inlineStr">
        <is>
          <t>BANCO</t>
        </is>
      </c>
      <c r="AE815" t="n">
        <v>3</v>
      </c>
      <c r="AF815" t="inlineStr">
        <is>
          <t>FRONT</t>
        </is>
      </c>
      <c r="AG815" t="n">
        <v>134111</v>
      </c>
      <c r="AH815" t="inlineStr">
        <is>
          <t>LOMAS</t>
        </is>
      </c>
      <c r="AI815" t="inlineStr">
        <is>
          <t>AARROYO@BANCOBASE.COM</t>
        </is>
      </c>
      <c r="AJ815" s="151" t="n">
        <v>45692</v>
      </c>
      <c r="AK815" s="151" t="n"/>
      <c r="AL815" s="151" t="n"/>
    </row>
    <row r="816" hidden="1" s="150">
      <c r="A816" t="inlineStr">
        <is>
          <t>SCASTANEDA</t>
        </is>
      </c>
      <c r="B816" t="n">
        <v>3225</v>
      </c>
      <c r="C816" t="inlineStr">
        <is>
          <t>MANOLO SEBASTIAN CASTAÑEDA CURIEL</t>
        </is>
      </c>
      <c r="D816" t="n">
        <v>9291</v>
      </c>
      <c r="E816" t="inlineStr">
        <is>
          <t>ASESOR CAMBIARIO</t>
        </is>
      </c>
      <c r="F816" t="inlineStr">
        <is>
          <t>MEXICO</t>
        </is>
      </c>
      <c r="G816" t="n">
        <v>2481</v>
      </c>
      <c r="H816" t="inlineStr">
        <is>
          <t>PABLO MORALES LOPEZ</t>
        </is>
      </c>
      <c r="I816" t="n">
        <v>6026</v>
      </c>
      <c r="J816" t="inlineStr">
        <is>
          <t>SUBDIRECTOR DE PROMOCION COMERCIAL</t>
        </is>
      </c>
      <c r="K816" t="n">
        <v>1</v>
      </c>
      <c r="L816" t="inlineStr">
        <is>
          <t>PRESIDENCIA EJECUTIVA DEL CONSEJO</t>
        </is>
      </c>
      <c r="M816" t="n">
        <v>40</v>
      </c>
      <c r="N816" t="inlineStr">
        <is>
          <t>DIRECCION GENERAL BANCO BASE</t>
        </is>
      </c>
      <c r="O816" t="n">
        <v>410</v>
      </c>
      <c r="P816" t="inlineStr">
        <is>
          <t>DIRECCION COMERCIAL</t>
        </is>
      </c>
      <c r="Q816" t="n">
        <v>4190</v>
      </c>
      <c r="R816" t="inlineStr">
        <is>
          <t>DIRECCION COMERCIAL CDMX 1</t>
        </is>
      </c>
      <c r="S816" t="n">
        <v>41920</v>
      </c>
      <c r="T816" t="inlineStr">
        <is>
          <t>SUBDIRECCION COMERCIAL CDMX 2</t>
        </is>
      </c>
      <c r="U816" t="n">
        <v>419200</v>
      </c>
      <c r="V816" t="inlineStr">
        <is>
          <t>SUBDIRECCION COMERCIAL CDMX 2</t>
        </is>
      </c>
      <c r="W816" t="n">
        <v>134111</v>
      </c>
      <c r="X816" t="inlineStr">
        <is>
          <t>LOMAS</t>
        </is>
      </c>
      <c r="Y816" t="n">
        <v>3</v>
      </c>
      <c r="Z816" t="inlineStr">
        <is>
          <t>CAMBIARIO</t>
        </is>
      </c>
      <c r="AA816" t="n">
        <v>1</v>
      </c>
      <c r="AB816" t="inlineStr">
        <is>
          <t>NEGOCIO EN MARCHA</t>
        </is>
      </c>
      <c r="AC816" t="n">
        <v>1</v>
      </c>
      <c r="AD816" t="inlineStr">
        <is>
          <t>BANCO</t>
        </is>
      </c>
      <c r="AE816" t="n">
        <v>3</v>
      </c>
      <c r="AF816" t="inlineStr">
        <is>
          <t>FRONT</t>
        </is>
      </c>
      <c r="AG816" t="n">
        <v>134111</v>
      </c>
      <c r="AH816" t="inlineStr">
        <is>
          <t>LOMAS</t>
        </is>
      </c>
      <c r="AI816" t="inlineStr">
        <is>
          <t>SCASTANEDA@BANCOBASE.COM</t>
        </is>
      </c>
      <c r="AJ816" s="151" t="n">
        <v>45572</v>
      </c>
      <c r="AK816" s="151" t="n"/>
      <c r="AL816" s="151" t="n"/>
    </row>
    <row r="817" hidden="1" s="150">
      <c r="A817" t="inlineStr">
        <is>
          <t>SLOPEZL</t>
        </is>
      </c>
      <c r="B817" t="n">
        <v>3490</v>
      </c>
      <c r="C817" t="inlineStr">
        <is>
          <t>DULCE STEPHANIE LOPEZ LEDEZMA</t>
        </is>
      </c>
      <c r="D817" t="n">
        <v>9049</v>
      </c>
      <c r="E817" t="inlineStr">
        <is>
          <t>ASISTENTE CAMBIARIO</t>
        </is>
      </c>
      <c r="F817" t="inlineStr">
        <is>
          <t>MEXICO</t>
        </is>
      </c>
      <c r="G817" t="n">
        <v>2481</v>
      </c>
      <c r="H817" t="inlineStr">
        <is>
          <t>PABLO MORALES LOPEZ</t>
        </is>
      </c>
      <c r="I817" t="n">
        <v>6026</v>
      </c>
      <c r="J817" t="inlineStr">
        <is>
          <t>SUBDIRECTOR DE PROMOCION COMERCIAL</t>
        </is>
      </c>
      <c r="K817" t="n">
        <v>1</v>
      </c>
      <c r="L817" t="inlineStr">
        <is>
          <t>PRESIDENCIA EJECUTIVA DEL CONSEJO</t>
        </is>
      </c>
      <c r="M817" t="n">
        <v>40</v>
      </c>
      <c r="N817" t="inlineStr">
        <is>
          <t>DIRECCION GENERAL BANCO BASE</t>
        </is>
      </c>
      <c r="O817" t="n">
        <v>410</v>
      </c>
      <c r="P817" t="inlineStr">
        <is>
          <t>DIRECCION COMERCIAL</t>
        </is>
      </c>
      <c r="Q817" t="n">
        <v>4190</v>
      </c>
      <c r="R817" t="inlineStr">
        <is>
          <t>DIRECCION COMERCIAL CDMX 1</t>
        </is>
      </c>
      <c r="S817" t="n">
        <v>41920</v>
      </c>
      <c r="T817" t="inlineStr">
        <is>
          <t>SUBDIRECCION COMERCIAL CDMX 2</t>
        </is>
      </c>
      <c r="U817" t="n">
        <v>419200</v>
      </c>
      <c r="V817" t="inlineStr">
        <is>
          <t>SUBDIRECCION COMERCIAL CDMX 2</t>
        </is>
      </c>
      <c r="W817" t="n">
        <v>134111</v>
      </c>
      <c r="X817" t="inlineStr">
        <is>
          <t>LOMAS</t>
        </is>
      </c>
      <c r="Y817" t="n">
        <v>3</v>
      </c>
      <c r="Z817" t="inlineStr">
        <is>
          <t>CAMBIARIO</t>
        </is>
      </c>
      <c r="AA817" t="n">
        <v>1</v>
      </c>
      <c r="AB817" t="inlineStr">
        <is>
          <t>NEGOCIO EN MARCHA</t>
        </is>
      </c>
      <c r="AC817" t="n">
        <v>1</v>
      </c>
      <c r="AD817" t="inlineStr">
        <is>
          <t>BANCO</t>
        </is>
      </c>
      <c r="AE817" t="n">
        <v>2</v>
      </c>
      <c r="AF817" t="inlineStr">
        <is>
          <t>MIDDLE</t>
        </is>
      </c>
      <c r="AG817" t="n">
        <v>134111</v>
      </c>
      <c r="AH817" t="inlineStr">
        <is>
          <t>LOMAS</t>
        </is>
      </c>
      <c r="AI817" t="inlineStr">
        <is>
          <t>SLOPEZL@BANCOBASE.COM</t>
        </is>
      </c>
      <c r="AJ817" s="151" t="n">
        <v>45854</v>
      </c>
      <c r="AK817" s="151" t="n"/>
      <c r="AL817" s="151" t="n"/>
    </row>
    <row r="818" hidden="1" s="150">
      <c r="A818" t="inlineStr">
        <is>
          <t>EGARCIAA</t>
        </is>
      </c>
      <c r="B818" t="n">
        <v>3557</v>
      </c>
      <c r="C818" t="inlineStr">
        <is>
          <t>ESTEFANIA IVETTE GARCIA AGUIRRE</t>
        </is>
      </c>
      <c r="D818" t="n">
        <v>8765</v>
      </c>
      <c r="E818" t="inlineStr">
        <is>
          <t>ASESOR CAMBIARIO</t>
        </is>
      </c>
      <c r="F818" t="inlineStr">
        <is>
          <t>MEXICO</t>
        </is>
      </c>
      <c r="G818" t="n">
        <v>2481</v>
      </c>
      <c r="H818" t="inlineStr">
        <is>
          <t>PABLO MORALES LOPEZ</t>
        </is>
      </c>
      <c r="I818" t="n">
        <v>6026</v>
      </c>
      <c r="J818" t="inlineStr">
        <is>
          <t>SUBDIRECTOR DE PROMOCION COMERCIAL</t>
        </is>
      </c>
      <c r="K818" t="n">
        <v>1</v>
      </c>
      <c r="L818" t="inlineStr">
        <is>
          <t>PRESIDENCIA EJECUTIVA DEL CONSEJO</t>
        </is>
      </c>
      <c r="M818" t="n">
        <v>40</v>
      </c>
      <c r="N818" t="inlineStr">
        <is>
          <t>DIRECCION GENERAL BANCO BASE</t>
        </is>
      </c>
      <c r="O818" t="n">
        <v>410</v>
      </c>
      <c r="P818" t="inlineStr">
        <is>
          <t>DIRECCION COMERCIAL</t>
        </is>
      </c>
      <c r="Q818" t="n">
        <v>4190</v>
      </c>
      <c r="R818" t="inlineStr">
        <is>
          <t>DIRECCION COMERCIAL CDMX 1</t>
        </is>
      </c>
      <c r="S818" t="n">
        <v>41920</v>
      </c>
      <c r="T818" t="inlineStr">
        <is>
          <t>SUBDIRECCION COMERCIAL CDMX 2</t>
        </is>
      </c>
      <c r="U818" t="n">
        <v>419200</v>
      </c>
      <c r="V818" t="inlineStr">
        <is>
          <t>SUBDIRECCION COMERCIAL CDMX 2</t>
        </is>
      </c>
      <c r="W818" t="n">
        <v>134111</v>
      </c>
      <c r="X818" t="inlineStr">
        <is>
          <t>LOMAS</t>
        </is>
      </c>
      <c r="Y818" t="n">
        <v>3</v>
      </c>
      <c r="Z818" t="inlineStr">
        <is>
          <t>CAMBIARIO</t>
        </is>
      </c>
      <c r="AA818" t="n">
        <v>1</v>
      </c>
      <c r="AB818" t="inlineStr">
        <is>
          <t>NEGOCIO EN MARCHA</t>
        </is>
      </c>
      <c r="AC818" t="n">
        <v>1</v>
      </c>
      <c r="AD818" t="inlineStr">
        <is>
          <t>BANCO</t>
        </is>
      </c>
      <c r="AE818" t="n">
        <v>3</v>
      </c>
      <c r="AF818" t="inlineStr">
        <is>
          <t>FRONT</t>
        </is>
      </c>
      <c r="AG818" t="n">
        <v>134111</v>
      </c>
      <c r="AH818" t="inlineStr">
        <is>
          <t>LOMAS</t>
        </is>
      </c>
      <c r="AI818" t="inlineStr">
        <is>
          <t>EGARCIAA@BANCOBASE.COM</t>
        </is>
      </c>
      <c r="AJ818" s="151" t="n">
        <v>45901</v>
      </c>
      <c r="AK818" s="151" t="n"/>
      <c r="AL818" s="151" t="n"/>
    </row>
    <row r="819" hidden="1" s="150">
      <c r="A819" t="inlineStr">
        <is>
          <t>LMARTINEZC</t>
        </is>
      </c>
      <c r="B819" t="n">
        <v>1141</v>
      </c>
      <c r="C819" t="inlineStr">
        <is>
          <t>LETICIA ANEL MARTINEZ CUEVAS</t>
        </is>
      </c>
      <c r="D819" t="n">
        <v>10420</v>
      </c>
      <c r="E819" t="inlineStr">
        <is>
          <t>SUBDIRECTOR COMERCIAL</t>
        </is>
      </c>
      <c r="F819" t="inlineStr">
        <is>
          <t>MEXICO</t>
        </is>
      </c>
      <c r="G819" t="n">
        <v>2360</v>
      </c>
      <c r="H819" t="inlineStr">
        <is>
          <t>JULIAN AMIEVA ALONSO</t>
        </is>
      </c>
      <c r="I819" t="n">
        <v>9650</v>
      </c>
      <c r="J819" t="inlineStr">
        <is>
          <t>DIRECTOR COMERCIAL CIUDAD DE MEXICO</t>
        </is>
      </c>
      <c r="K819" t="n">
        <v>1</v>
      </c>
      <c r="L819" t="inlineStr">
        <is>
          <t>PRESIDENCIA EJECUTIVA DEL CONSEJO</t>
        </is>
      </c>
      <c r="M819" t="n">
        <v>40</v>
      </c>
      <c r="N819" t="inlineStr">
        <is>
          <t>DIRECCION GENERAL BANCO BASE</t>
        </is>
      </c>
      <c r="O819" t="n">
        <v>410</v>
      </c>
      <c r="P819" t="inlineStr">
        <is>
          <t>DIRECCION COMERCIAL</t>
        </is>
      </c>
      <c r="Q819" t="n">
        <v>4190</v>
      </c>
      <c r="R819" t="inlineStr">
        <is>
          <t>DIRECCION COMERCIAL CDMX 1</t>
        </is>
      </c>
      <c r="S819" t="n">
        <v>41910</v>
      </c>
      <c r="T819" t="inlineStr">
        <is>
          <t>SUBDIRECCION COMERCIAL CDMX 1</t>
        </is>
      </c>
      <c r="U819" t="n">
        <v>419100</v>
      </c>
      <c r="V819" t="inlineStr">
        <is>
          <t>SUBDIRECCION COMERCIAL CDMX 1</t>
        </is>
      </c>
      <c r="W819" t="n">
        <v>134111</v>
      </c>
      <c r="X819" t="inlineStr">
        <is>
          <t>LOMAS</t>
        </is>
      </c>
      <c r="Y819" t="n">
        <v>3</v>
      </c>
      <c r="Z819" t="inlineStr">
        <is>
          <t>CAMBIARIO</t>
        </is>
      </c>
      <c r="AA819" t="n">
        <v>1</v>
      </c>
      <c r="AB819" t="inlineStr">
        <is>
          <t>NEGOCIO EN MARCHA</t>
        </is>
      </c>
      <c r="AC819" t="n">
        <v>1</v>
      </c>
      <c r="AD819" t="inlineStr">
        <is>
          <t>BANCO</t>
        </is>
      </c>
      <c r="AE819" t="n">
        <v>3</v>
      </c>
      <c r="AF819" t="inlineStr">
        <is>
          <t>FRONT</t>
        </is>
      </c>
      <c r="AG819" t="n">
        <v>134111</v>
      </c>
      <c r="AH819" t="inlineStr">
        <is>
          <t>LOMAS</t>
        </is>
      </c>
      <c r="AI819" t="inlineStr">
        <is>
          <t>LMARTINEZC@BANCOBASE.COM</t>
        </is>
      </c>
      <c r="AJ819" s="151" t="n">
        <v>41739</v>
      </c>
      <c r="AK819" s="151" t="n"/>
      <c r="AL819" s="151" t="n"/>
    </row>
    <row r="820" hidden="1" s="150">
      <c r="A820" t="inlineStr">
        <is>
          <t>EARREDONDO</t>
        </is>
      </c>
      <c r="B820" t="n">
        <v>1213</v>
      </c>
      <c r="C820" t="inlineStr">
        <is>
          <t>EDITH ARREDONDO FLORES</t>
        </is>
      </c>
      <c r="D820" t="n">
        <v>6073</v>
      </c>
      <c r="E820" t="inlineStr">
        <is>
          <t>ASESOR CAMBIARIO</t>
        </is>
      </c>
      <c r="F820" t="inlineStr">
        <is>
          <t>MEXICO</t>
        </is>
      </c>
      <c r="G820" t="n">
        <v>1141</v>
      </c>
      <c r="H820" t="inlineStr">
        <is>
          <t>LETICIA ANEL MARTINEZ CUEVAS</t>
        </is>
      </c>
      <c r="I820" t="n">
        <v>10420</v>
      </c>
      <c r="J820" t="inlineStr">
        <is>
          <t>SUBDIRECTOR COMERCIAL</t>
        </is>
      </c>
      <c r="K820" t="n">
        <v>1</v>
      </c>
      <c r="L820" t="inlineStr">
        <is>
          <t>PRESIDENCIA EJECUTIVA DEL CONSEJO</t>
        </is>
      </c>
      <c r="M820" t="n">
        <v>40</v>
      </c>
      <c r="N820" t="inlineStr">
        <is>
          <t>DIRECCION GENERAL BANCO BASE</t>
        </is>
      </c>
      <c r="O820" t="n">
        <v>410</v>
      </c>
      <c r="P820" t="inlineStr">
        <is>
          <t>DIRECCION COMERCIAL</t>
        </is>
      </c>
      <c r="Q820" t="n">
        <v>4190</v>
      </c>
      <c r="R820" t="inlineStr">
        <is>
          <t>DIRECCION COMERCIAL CDMX 1</t>
        </is>
      </c>
      <c r="S820" t="n">
        <v>41910</v>
      </c>
      <c r="T820" t="inlineStr">
        <is>
          <t>SUBDIRECCION COMERCIAL CDMX 1</t>
        </is>
      </c>
      <c r="U820" t="n">
        <v>419100</v>
      </c>
      <c r="V820" t="inlineStr">
        <is>
          <t>SUBDIRECCION COMERCIAL CDMX 1</t>
        </is>
      </c>
      <c r="W820" t="n">
        <v>134111</v>
      </c>
      <c r="X820" t="inlineStr">
        <is>
          <t>LOMAS</t>
        </is>
      </c>
      <c r="Y820" t="n">
        <v>3</v>
      </c>
      <c r="Z820" t="inlineStr">
        <is>
          <t>CAMBIARIO</t>
        </is>
      </c>
      <c r="AA820" t="n">
        <v>1</v>
      </c>
      <c r="AB820" t="inlineStr">
        <is>
          <t>NEGOCIO EN MARCHA</t>
        </is>
      </c>
      <c r="AC820" t="n">
        <v>1</v>
      </c>
      <c r="AD820" t="inlineStr">
        <is>
          <t>BANCO</t>
        </is>
      </c>
      <c r="AE820" t="n">
        <v>3</v>
      </c>
      <c r="AF820" t="inlineStr">
        <is>
          <t>FRONT</t>
        </is>
      </c>
      <c r="AG820" t="n">
        <v>134111</v>
      </c>
      <c r="AH820" t="inlineStr">
        <is>
          <t>LOMAS</t>
        </is>
      </c>
      <c r="AI820" t="inlineStr">
        <is>
          <t>EARREDONDO@BANCOBASE.COM</t>
        </is>
      </c>
      <c r="AJ820" s="151" t="n">
        <v>41919</v>
      </c>
      <c r="AK820" s="151" t="n"/>
      <c r="AL820" s="151" t="n"/>
    </row>
    <row r="821" hidden="1" s="150">
      <c r="A821" t="inlineStr">
        <is>
          <t>EBERNABE</t>
        </is>
      </c>
      <c r="B821" t="n">
        <v>1893</v>
      </c>
      <c r="C821" t="inlineStr">
        <is>
          <t>ELIZABETH BERNABE RICO</t>
        </is>
      </c>
      <c r="D821" t="n">
        <v>10028</v>
      </c>
      <c r="E821" t="inlineStr">
        <is>
          <t>ESPECIALISTA DE BANCA TRANSACCIONAL</t>
        </is>
      </c>
      <c r="F821" t="inlineStr">
        <is>
          <t>MEXICO</t>
        </is>
      </c>
      <c r="G821" t="n">
        <v>1141</v>
      </c>
      <c r="H821" t="inlineStr">
        <is>
          <t>LETICIA ANEL MARTINEZ CUEVAS</t>
        </is>
      </c>
      <c r="I821" t="n">
        <v>10420</v>
      </c>
      <c r="J821" t="inlineStr">
        <is>
          <t>SUBDIRECTOR COMERCIAL</t>
        </is>
      </c>
      <c r="K821" t="n">
        <v>1</v>
      </c>
      <c r="L821" t="inlineStr">
        <is>
          <t>PRESIDENCIA EJECUTIVA DEL CONSEJO</t>
        </is>
      </c>
      <c r="M821" t="n">
        <v>40</v>
      </c>
      <c r="N821" t="inlineStr">
        <is>
          <t>DIRECCION GENERAL BANCO BASE</t>
        </is>
      </c>
      <c r="O821" t="n">
        <v>410</v>
      </c>
      <c r="P821" t="inlineStr">
        <is>
          <t>DIRECCION COMERCIAL</t>
        </is>
      </c>
      <c r="Q821" t="n">
        <v>4190</v>
      </c>
      <c r="R821" t="inlineStr">
        <is>
          <t>DIRECCION COMERCIAL CDMX 1</t>
        </is>
      </c>
      <c r="S821" t="n">
        <v>41910</v>
      </c>
      <c r="T821" t="inlineStr">
        <is>
          <t>SUBDIRECCION COMERCIAL CDMX 1</t>
        </is>
      </c>
      <c r="U821" t="n">
        <v>419100</v>
      </c>
      <c r="V821" t="inlineStr">
        <is>
          <t>SUBDIRECCION COMERCIAL CDMX 1</t>
        </is>
      </c>
      <c r="W821" t="n">
        <v>134111</v>
      </c>
      <c r="X821" t="inlineStr">
        <is>
          <t>LOMAS</t>
        </is>
      </c>
      <c r="Y821" t="n">
        <v>14</v>
      </c>
      <c r="Z821" t="inlineStr">
        <is>
          <t>TRANSACCIONAL</t>
        </is>
      </c>
      <c r="AA821" t="n">
        <v>1</v>
      </c>
      <c r="AB821" t="inlineStr">
        <is>
          <t>NEGOCIO EN MARCHA</t>
        </is>
      </c>
      <c r="AC821" t="n">
        <v>1</v>
      </c>
      <c r="AD821" t="inlineStr">
        <is>
          <t>BANCO</t>
        </is>
      </c>
      <c r="AE821" t="n">
        <v>3</v>
      </c>
      <c r="AF821" t="inlineStr">
        <is>
          <t>FRONT</t>
        </is>
      </c>
      <c r="AG821" t="n">
        <v>134111</v>
      </c>
      <c r="AH821" t="inlineStr">
        <is>
          <t>LOMAS</t>
        </is>
      </c>
      <c r="AI821" t="inlineStr">
        <is>
          <t>EBERNABE@BANCOBASE.COM</t>
        </is>
      </c>
      <c r="AJ821" s="151" t="n">
        <v>43062</v>
      </c>
      <c r="AK821" s="151" t="n"/>
      <c r="AL821" s="151" t="n"/>
    </row>
    <row r="822" hidden="1" s="150">
      <c r="A822" t="inlineStr">
        <is>
          <t>EOPATOWSKI</t>
        </is>
      </c>
      <c r="B822" t="n">
        <v>2089</v>
      </c>
      <c r="C822" t="inlineStr">
        <is>
          <t>SARA EMMA OPATOWSKI CORVERA</t>
        </is>
      </c>
      <c r="D822" t="n">
        <v>9388</v>
      </c>
      <c r="E822" t="inlineStr">
        <is>
          <t>ASESOR CAMBIARIO</t>
        </is>
      </c>
      <c r="F822" t="inlineStr">
        <is>
          <t>MEXICO</t>
        </is>
      </c>
      <c r="G822" t="n">
        <v>1141</v>
      </c>
      <c r="H822" t="inlineStr">
        <is>
          <t>LETICIA ANEL MARTINEZ CUEVAS</t>
        </is>
      </c>
      <c r="I822" t="n">
        <v>10420</v>
      </c>
      <c r="J822" t="inlineStr">
        <is>
          <t>SUBDIRECTOR COMERCIAL</t>
        </is>
      </c>
      <c r="K822" t="n">
        <v>1</v>
      </c>
      <c r="L822" t="inlineStr">
        <is>
          <t>PRESIDENCIA EJECUTIVA DEL CONSEJO</t>
        </is>
      </c>
      <c r="M822" t="n">
        <v>40</v>
      </c>
      <c r="N822" t="inlineStr">
        <is>
          <t>DIRECCION GENERAL BANCO BASE</t>
        </is>
      </c>
      <c r="O822" t="n">
        <v>410</v>
      </c>
      <c r="P822" t="inlineStr">
        <is>
          <t>DIRECCION COMERCIAL</t>
        </is>
      </c>
      <c r="Q822" t="n">
        <v>4190</v>
      </c>
      <c r="R822" t="inlineStr">
        <is>
          <t>DIRECCION COMERCIAL CDMX 1</t>
        </is>
      </c>
      <c r="S822" t="n">
        <v>41910</v>
      </c>
      <c r="T822" t="inlineStr">
        <is>
          <t>SUBDIRECCION COMERCIAL CDMX 1</t>
        </is>
      </c>
      <c r="U822" t="n">
        <v>419100</v>
      </c>
      <c r="V822" t="inlineStr">
        <is>
          <t>SUBDIRECCION COMERCIAL CDMX 1</t>
        </is>
      </c>
      <c r="W822" t="n">
        <v>134111</v>
      </c>
      <c r="X822" t="inlineStr">
        <is>
          <t>LOMAS</t>
        </is>
      </c>
      <c r="Y822" t="n">
        <v>3</v>
      </c>
      <c r="Z822" t="inlineStr">
        <is>
          <t>CAMBIARIO</t>
        </is>
      </c>
      <c r="AA822" t="n">
        <v>1</v>
      </c>
      <c r="AB822" t="inlineStr">
        <is>
          <t>NEGOCIO EN MARCHA</t>
        </is>
      </c>
      <c r="AC822" t="n">
        <v>1</v>
      </c>
      <c r="AD822" t="inlineStr">
        <is>
          <t>BANCO</t>
        </is>
      </c>
      <c r="AE822" t="n">
        <v>3</v>
      </c>
      <c r="AF822" t="inlineStr">
        <is>
          <t>FRONT</t>
        </is>
      </c>
      <c r="AG822" t="n">
        <v>134111</v>
      </c>
      <c r="AH822" t="inlineStr">
        <is>
          <t>LOMAS</t>
        </is>
      </c>
      <c r="AI822" t="inlineStr">
        <is>
          <t>EOPATOWSKI@BANCOBASE.COM</t>
        </is>
      </c>
      <c r="AJ822" s="151" t="n">
        <v>43346</v>
      </c>
      <c r="AK822" s="151" t="n"/>
      <c r="AL822" s="151" t="n"/>
    </row>
    <row r="823" hidden="1" s="150">
      <c r="A823" t="inlineStr">
        <is>
          <t>GVARILLAS</t>
        </is>
      </c>
      <c r="B823" t="n">
        <v>1587</v>
      </c>
      <c r="C823" t="inlineStr">
        <is>
          <t>GABRIELA VARILLAS MATEOS</t>
        </is>
      </c>
      <c r="D823" t="n">
        <v>8449</v>
      </c>
      <c r="E823" t="inlineStr">
        <is>
          <t>ESPECIALISTA DE FINANCIAMIENTO</t>
        </is>
      </c>
      <c r="F823" t="inlineStr">
        <is>
          <t>MEXICO</t>
        </is>
      </c>
      <c r="G823" t="n">
        <v>1141</v>
      </c>
      <c r="H823" t="inlineStr">
        <is>
          <t>LETICIA ANEL MARTINEZ CUEVAS</t>
        </is>
      </c>
      <c r="I823" t="n">
        <v>10420</v>
      </c>
      <c r="J823" t="inlineStr">
        <is>
          <t>SUBDIRECTOR COMERCIAL</t>
        </is>
      </c>
      <c r="K823" t="n">
        <v>1</v>
      </c>
      <c r="L823" t="inlineStr">
        <is>
          <t>PRESIDENCIA EJECUTIVA DEL CONSEJO</t>
        </is>
      </c>
      <c r="M823" t="n">
        <v>40</v>
      </c>
      <c r="N823" t="inlineStr">
        <is>
          <t>DIRECCION GENERAL BANCO BASE</t>
        </is>
      </c>
      <c r="O823" t="n">
        <v>410</v>
      </c>
      <c r="P823" t="inlineStr">
        <is>
          <t>DIRECCION COMERCIAL</t>
        </is>
      </c>
      <c r="Q823" t="n">
        <v>4190</v>
      </c>
      <c r="R823" t="inlineStr">
        <is>
          <t>DIRECCION COMERCIAL CDMX 1</t>
        </is>
      </c>
      <c r="S823" t="n">
        <v>41910</v>
      </c>
      <c r="T823" t="inlineStr">
        <is>
          <t>SUBDIRECCION COMERCIAL CDMX 1</t>
        </is>
      </c>
      <c r="U823" t="n">
        <v>419100</v>
      </c>
      <c r="V823" t="inlineStr">
        <is>
          <t>SUBDIRECCION COMERCIAL CDMX 1</t>
        </is>
      </c>
      <c r="W823" t="n">
        <v>134111</v>
      </c>
      <c r="X823" t="inlineStr">
        <is>
          <t>LOMAS</t>
        </is>
      </c>
      <c r="Y823" t="n">
        <v>13</v>
      </c>
      <c r="Z823" t="inlineStr">
        <is>
          <t>FINANCIAMIENTO</t>
        </is>
      </c>
      <c r="AA823" t="n">
        <v>1</v>
      </c>
      <c r="AB823" t="inlineStr">
        <is>
          <t>NEGOCIO EN MARCHA</t>
        </is>
      </c>
      <c r="AC823" t="n">
        <v>1</v>
      </c>
      <c r="AD823" t="inlineStr">
        <is>
          <t>BANCO</t>
        </is>
      </c>
      <c r="AE823" t="n">
        <v>3</v>
      </c>
      <c r="AF823" t="inlineStr">
        <is>
          <t>FRONT</t>
        </is>
      </c>
      <c r="AG823" t="n">
        <v>134111</v>
      </c>
      <c r="AH823" t="inlineStr">
        <is>
          <t>LOMAS</t>
        </is>
      </c>
      <c r="AI823" t="inlineStr">
        <is>
          <t>GVARILLAS@BANCOBASE.COM</t>
        </is>
      </c>
      <c r="AJ823" s="151" t="n">
        <v>42555</v>
      </c>
      <c r="AK823" s="151" t="n"/>
      <c r="AL823" s="151" t="n"/>
    </row>
    <row r="824" hidden="1" s="150">
      <c r="A824" t="inlineStr">
        <is>
          <t>GZARATE</t>
        </is>
      </c>
      <c r="B824" t="n">
        <v>729</v>
      </c>
      <c r="C824" t="inlineStr">
        <is>
          <t>TOMAS GERARDO ZARATE MARTINEZ</t>
        </is>
      </c>
      <c r="D824" t="n">
        <v>9163</v>
      </c>
      <c r="E824" t="inlineStr">
        <is>
          <t>ASESOR CAMBIARIO</t>
        </is>
      </c>
      <c r="F824" t="inlineStr">
        <is>
          <t>MEXICO</t>
        </is>
      </c>
      <c r="G824" t="n">
        <v>1141</v>
      </c>
      <c r="H824" t="inlineStr">
        <is>
          <t>LETICIA ANEL MARTINEZ CUEVAS</t>
        </is>
      </c>
      <c r="I824" t="n">
        <v>10420</v>
      </c>
      <c r="J824" t="inlineStr">
        <is>
          <t>SUBDIRECTOR COMERCIAL</t>
        </is>
      </c>
      <c r="K824" t="n">
        <v>1</v>
      </c>
      <c r="L824" t="inlineStr">
        <is>
          <t>PRESIDENCIA EJECUTIVA DEL CONSEJO</t>
        </is>
      </c>
      <c r="M824" t="n">
        <v>40</v>
      </c>
      <c r="N824" t="inlineStr">
        <is>
          <t>DIRECCION GENERAL BANCO BASE</t>
        </is>
      </c>
      <c r="O824" t="n">
        <v>410</v>
      </c>
      <c r="P824" t="inlineStr">
        <is>
          <t>DIRECCION COMERCIAL</t>
        </is>
      </c>
      <c r="Q824" t="n">
        <v>4190</v>
      </c>
      <c r="R824" t="inlineStr">
        <is>
          <t>DIRECCION COMERCIAL CDMX 1</t>
        </is>
      </c>
      <c r="S824" t="n">
        <v>41910</v>
      </c>
      <c r="T824" t="inlineStr">
        <is>
          <t>SUBDIRECCION COMERCIAL CDMX 1</t>
        </is>
      </c>
      <c r="U824" t="n">
        <v>419100</v>
      </c>
      <c r="V824" t="inlineStr">
        <is>
          <t>SUBDIRECCION COMERCIAL CDMX 1</t>
        </is>
      </c>
      <c r="W824" t="n">
        <v>134111</v>
      </c>
      <c r="X824" t="inlineStr">
        <is>
          <t>LOMAS</t>
        </is>
      </c>
      <c r="Y824" t="n">
        <v>3</v>
      </c>
      <c r="Z824" t="inlineStr">
        <is>
          <t>CAMBIARIO</t>
        </is>
      </c>
      <c r="AA824" t="n">
        <v>1</v>
      </c>
      <c r="AB824" t="inlineStr">
        <is>
          <t>NEGOCIO EN MARCHA</t>
        </is>
      </c>
      <c r="AC824" t="n">
        <v>1</v>
      </c>
      <c r="AD824" t="inlineStr">
        <is>
          <t>BANCO</t>
        </is>
      </c>
      <c r="AE824" t="n">
        <v>3</v>
      </c>
      <c r="AF824" t="inlineStr">
        <is>
          <t>FRONT</t>
        </is>
      </c>
      <c r="AG824" t="n">
        <v>134111</v>
      </c>
      <c r="AH824" t="inlineStr">
        <is>
          <t>LOMAS</t>
        </is>
      </c>
      <c r="AI824" t="inlineStr">
        <is>
          <t>GZARATE@BANCOBASE.COM</t>
        </is>
      </c>
      <c r="AJ824" s="151" t="n">
        <v>40634</v>
      </c>
      <c r="AK824" s="151" t="n"/>
      <c r="AL824" s="151" t="n"/>
    </row>
    <row r="825" hidden="1" s="150">
      <c r="A825" t="inlineStr">
        <is>
          <t>JNOHPAL</t>
        </is>
      </c>
      <c r="B825" t="n">
        <v>1436</v>
      </c>
      <c r="C825" t="inlineStr">
        <is>
          <t>JOCELYN NOHPAL TORRES</t>
        </is>
      </c>
      <c r="D825" t="n">
        <v>9212</v>
      </c>
      <c r="E825" t="inlineStr">
        <is>
          <t>EJECUTIVO DE SOPORTE</t>
        </is>
      </c>
      <c r="F825" t="inlineStr">
        <is>
          <t>MEXICO</t>
        </is>
      </c>
      <c r="G825" t="n">
        <v>1141</v>
      </c>
      <c r="H825" t="inlineStr">
        <is>
          <t>LETICIA ANEL MARTINEZ CUEVAS</t>
        </is>
      </c>
      <c r="I825" t="n">
        <v>10420</v>
      </c>
      <c r="J825" t="inlineStr">
        <is>
          <t>SUBDIRECTOR COMERCIAL</t>
        </is>
      </c>
      <c r="K825" t="n">
        <v>1</v>
      </c>
      <c r="L825" t="inlineStr">
        <is>
          <t>PRESIDENCIA EJECUTIVA DEL CONSEJO</t>
        </is>
      </c>
      <c r="M825" t="n">
        <v>40</v>
      </c>
      <c r="N825" t="inlineStr">
        <is>
          <t>DIRECCION GENERAL BANCO BASE</t>
        </is>
      </c>
      <c r="O825" t="n">
        <v>410</v>
      </c>
      <c r="P825" t="inlineStr">
        <is>
          <t>DIRECCION COMERCIAL</t>
        </is>
      </c>
      <c r="Q825" t="n">
        <v>4190</v>
      </c>
      <c r="R825" t="inlineStr">
        <is>
          <t>DIRECCION COMERCIAL CDMX 1</t>
        </is>
      </c>
      <c r="S825" t="n">
        <v>41910</v>
      </c>
      <c r="T825" t="inlineStr">
        <is>
          <t>SUBDIRECCION COMERCIAL CDMX 1</t>
        </is>
      </c>
      <c r="U825" t="n">
        <v>419100</v>
      </c>
      <c r="V825" t="inlineStr">
        <is>
          <t>SUBDIRECCION COMERCIAL CDMX 1</t>
        </is>
      </c>
      <c r="W825" t="n">
        <v>134111</v>
      </c>
      <c r="X825" t="inlineStr">
        <is>
          <t>LOMAS</t>
        </is>
      </c>
      <c r="Y825" t="n">
        <v>17</v>
      </c>
      <c r="Z825" t="inlineStr">
        <is>
          <t>SOPORTE</t>
        </is>
      </c>
      <c r="AA825" t="n">
        <v>1</v>
      </c>
      <c r="AB825" t="inlineStr">
        <is>
          <t>NEGOCIO EN MARCHA</t>
        </is>
      </c>
      <c r="AC825" t="n">
        <v>1</v>
      </c>
      <c r="AD825" t="inlineStr">
        <is>
          <t>BANCO</t>
        </is>
      </c>
      <c r="AE825" t="n">
        <v>2</v>
      </c>
      <c r="AF825" t="inlineStr">
        <is>
          <t>MIDDLE</t>
        </is>
      </c>
      <c r="AG825" t="n">
        <v>134111</v>
      </c>
      <c r="AH825" t="inlineStr">
        <is>
          <t>LOMAS</t>
        </is>
      </c>
      <c r="AI825" t="inlineStr">
        <is>
          <t>JNOHPAL@BANCOBASE.COM</t>
        </is>
      </c>
      <c r="AJ825" s="151" t="n">
        <v>42374</v>
      </c>
      <c r="AK825" s="151" t="n"/>
      <c r="AL825" s="151" t="n"/>
    </row>
    <row r="826" hidden="1" s="150">
      <c r="A826" t="inlineStr">
        <is>
          <t>JTREJO</t>
        </is>
      </c>
      <c r="B826" t="n">
        <v>1220</v>
      </c>
      <c r="C826" t="inlineStr">
        <is>
          <t>JONATHAN JORDY TREJO GUADARRAMA</t>
        </is>
      </c>
      <c r="D826" t="n">
        <v>6047</v>
      </c>
      <c r="E826" t="inlineStr">
        <is>
          <t>ASESOR CAMBIARIO</t>
        </is>
      </c>
      <c r="F826" t="inlineStr">
        <is>
          <t>MEXICO</t>
        </is>
      </c>
      <c r="G826" t="n">
        <v>1141</v>
      </c>
      <c r="H826" t="inlineStr">
        <is>
          <t>LETICIA ANEL MARTINEZ CUEVAS</t>
        </is>
      </c>
      <c r="I826" t="n">
        <v>10420</v>
      </c>
      <c r="J826" t="inlineStr">
        <is>
          <t>SUBDIRECTOR COMERCIAL</t>
        </is>
      </c>
      <c r="K826" t="n">
        <v>1</v>
      </c>
      <c r="L826" t="inlineStr">
        <is>
          <t>PRESIDENCIA EJECUTIVA DEL CONSEJO</t>
        </is>
      </c>
      <c r="M826" t="n">
        <v>40</v>
      </c>
      <c r="N826" t="inlineStr">
        <is>
          <t>DIRECCION GENERAL BANCO BASE</t>
        </is>
      </c>
      <c r="O826" t="n">
        <v>410</v>
      </c>
      <c r="P826" t="inlineStr">
        <is>
          <t>DIRECCION COMERCIAL</t>
        </is>
      </c>
      <c r="Q826" t="n">
        <v>4190</v>
      </c>
      <c r="R826" t="inlineStr">
        <is>
          <t>DIRECCION COMERCIAL CDMX 1</t>
        </is>
      </c>
      <c r="S826" t="n">
        <v>41910</v>
      </c>
      <c r="T826" t="inlineStr">
        <is>
          <t>SUBDIRECCION COMERCIAL CDMX 1</t>
        </is>
      </c>
      <c r="U826" t="n">
        <v>419100</v>
      </c>
      <c r="V826" t="inlineStr">
        <is>
          <t>SUBDIRECCION COMERCIAL CDMX 1</t>
        </is>
      </c>
      <c r="W826" t="n">
        <v>134111</v>
      </c>
      <c r="X826" t="inlineStr">
        <is>
          <t>LOMAS</t>
        </is>
      </c>
      <c r="Y826" t="n">
        <v>3</v>
      </c>
      <c r="Z826" t="inlineStr">
        <is>
          <t>CAMBIARIO</t>
        </is>
      </c>
      <c r="AA826" t="n">
        <v>1</v>
      </c>
      <c r="AB826" t="inlineStr">
        <is>
          <t>NEGOCIO EN MARCHA</t>
        </is>
      </c>
      <c r="AC826" t="n">
        <v>1</v>
      </c>
      <c r="AD826" t="inlineStr">
        <is>
          <t>BANCO</t>
        </is>
      </c>
      <c r="AE826" t="n">
        <v>3</v>
      </c>
      <c r="AF826" t="inlineStr">
        <is>
          <t>FRONT</t>
        </is>
      </c>
      <c r="AG826" t="n">
        <v>134111</v>
      </c>
      <c r="AH826" t="inlineStr">
        <is>
          <t>LOMAS</t>
        </is>
      </c>
      <c r="AI826" t="inlineStr">
        <is>
          <t>JTREJO@BANCOBASE.COM</t>
        </is>
      </c>
      <c r="AJ826" s="151" t="n">
        <v>41933</v>
      </c>
      <c r="AK826" s="151" t="n"/>
      <c r="AL826" s="151" t="n"/>
    </row>
    <row r="827" hidden="1" s="150">
      <c r="A827" t="inlineStr">
        <is>
          <t>KLOPEZD</t>
        </is>
      </c>
      <c r="B827" t="n">
        <v>2437</v>
      </c>
      <c r="C827" t="inlineStr">
        <is>
          <t>KARLA ANAHI LOPEZ DELGADO</t>
        </is>
      </c>
      <c r="D827" t="n">
        <v>9686</v>
      </c>
      <c r="E827" t="inlineStr">
        <is>
          <t>ESPECIALISTA DE FINANCIAMIENTO</t>
        </is>
      </c>
      <c r="F827" t="inlineStr">
        <is>
          <t>MEXICO</t>
        </is>
      </c>
      <c r="G827" t="n">
        <v>1141</v>
      </c>
      <c r="H827" t="inlineStr">
        <is>
          <t>LETICIA ANEL MARTINEZ CUEVAS</t>
        </is>
      </c>
      <c r="I827" t="n">
        <v>10420</v>
      </c>
      <c r="J827" t="inlineStr">
        <is>
          <t>SUBDIRECTOR COMERCIAL</t>
        </is>
      </c>
      <c r="K827" t="n">
        <v>1</v>
      </c>
      <c r="L827" t="inlineStr">
        <is>
          <t>PRESIDENCIA EJECUTIVA DEL CONSEJO</t>
        </is>
      </c>
      <c r="M827" t="n">
        <v>40</v>
      </c>
      <c r="N827" t="inlineStr">
        <is>
          <t>DIRECCION GENERAL BANCO BASE</t>
        </is>
      </c>
      <c r="O827" t="n">
        <v>410</v>
      </c>
      <c r="P827" t="inlineStr">
        <is>
          <t>DIRECCION COMERCIAL</t>
        </is>
      </c>
      <c r="Q827" t="n">
        <v>4190</v>
      </c>
      <c r="R827" t="inlineStr">
        <is>
          <t>DIRECCION COMERCIAL CDMX 1</t>
        </is>
      </c>
      <c r="S827" t="n">
        <v>41910</v>
      </c>
      <c r="T827" t="inlineStr">
        <is>
          <t>SUBDIRECCION COMERCIAL CDMX 1</t>
        </is>
      </c>
      <c r="U827" t="n">
        <v>419100</v>
      </c>
      <c r="V827" t="inlineStr">
        <is>
          <t>SUBDIRECCION COMERCIAL CDMX 1</t>
        </is>
      </c>
      <c r="W827" t="n">
        <v>134111</v>
      </c>
      <c r="X827" t="inlineStr">
        <is>
          <t>LOMAS</t>
        </is>
      </c>
      <c r="Y827" t="n">
        <v>13</v>
      </c>
      <c r="Z827" t="inlineStr">
        <is>
          <t>FINANCIAMIENTO</t>
        </is>
      </c>
      <c r="AA827" t="n">
        <v>1</v>
      </c>
      <c r="AB827" t="inlineStr">
        <is>
          <t>NEGOCIO EN MARCHA</t>
        </is>
      </c>
      <c r="AC827" t="n">
        <v>1</v>
      </c>
      <c r="AD827" t="inlineStr">
        <is>
          <t>BANCO</t>
        </is>
      </c>
      <c r="AE827" t="n">
        <v>3</v>
      </c>
      <c r="AF827" t="inlineStr">
        <is>
          <t>FRONT</t>
        </is>
      </c>
      <c r="AG827" t="n">
        <v>134111</v>
      </c>
      <c r="AH827" t="inlineStr">
        <is>
          <t>LOMAS</t>
        </is>
      </c>
      <c r="AI827" t="inlineStr">
        <is>
          <t>KLOPEZD@BANCOBASE.COM</t>
        </is>
      </c>
      <c r="AJ827" s="151" t="n">
        <v>44120</v>
      </c>
      <c r="AK827" s="151" t="n"/>
      <c r="AL827" s="151" t="n"/>
    </row>
    <row r="828" hidden="1" s="150">
      <c r="A828" t="inlineStr">
        <is>
          <t>KSUAREZ</t>
        </is>
      </c>
      <c r="B828" t="n">
        <v>1873</v>
      </c>
      <c r="C828" t="inlineStr">
        <is>
          <t>KAREN PAULINA SUAREZ ALEGRIA</t>
        </is>
      </c>
      <c r="D828" t="n">
        <v>10120</v>
      </c>
      <c r="E828" t="inlineStr">
        <is>
          <t>ASESOR CAMBIARIO</t>
        </is>
      </c>
      <c r="F828" t="inlineStr">
        <is>
          <t>MEXICO</t>
        </is>
      </c>
      <c r="G828" t="n">
        <v>1141</v>
      </c>
      <c r="H828" t="inlineStr">
        <is>
          <t>LETICIA ANEL MARTINEZ CUEVAS</t>
        </is>
      </c>
      <c r="I828" t="n">
        <v>10420</v>
      </c>
      <c r="J828" t="inlineStr">
        <is>
          <t>SUBDIRECTOR COMERCIAL</t>
        </is>
      </c>
      <c r="K828" t="n">
        <v>1</v>
      </c>
      <c r="L828" t="inlineStr">
        <is>
          <t>PRESIDENCIA EJECUTIVA DEL CONSEJO</t>
        </is>
      </c>
      <c r="M828" t="n">
        <v>40</v>
      </c>
      <c r="N828" t="inlineStr">
        <is>
          <t>DIRECCION GENERAL BANCO BASE</t>
        </is>
      </c>
      <c r="O828" t="n">
        <v>410</v>
      </c>
      <c r="P828" t="inlineStr">
        <is>
          <t>DIRECCION COMERCIAL</t>
        </is>
      </c>
      <c r="Q828" t="n">
        <v>4190</v>
      </c>
      <c r="R828" t="inlineStr">
        <is>
          <t>DIRECCION COMERCIAL CDMX 1</t>
        </is>
      </c>
      <c r="S828" t="n">
        <v>41910</v>
      </c>
      <c r="T828" t="inlineStr">
        <is>
          <t>SUBDIRECCION COMERCIAL CDMX 1</t>
        </is>
      </c>
      <c r="U828" t="n">
        <v>419100</v>
      </c>
      <c r="V828" t="inlineStr">
        <is>
          <t>SUBDIRECCION COMERCIAL CDMX 1</t>
        </is>
      </c>
      <c r="W828" t="n">
        <v>134111</v>
      </c>
      <c r="X828" t="inlineStr">
        <is>
          <t>LOMAS</t>
        </is>
      </c>
      <c r="Y828" t="n">
        <v>3</v>
      </c>
      <c r="Z828" t="inlineStr">
        <is>
          <t>CAMBIARIO</t>
        </is>
      </c>
      <c r="AA828" t="n">
        <v>1</v>
      </c>
      <c r="AB828" t="inlineStr">
        <is>
          <t>NEGOCIO EN MARCHA</t>
        </is>
      </c>
      <c r="AC828" t="n">
        <v>1</v>
      </c>
      <c r="AD828" t="inlineStr">
        <is>
          <t>BANCO</t>
        </is>
      </c>
      <c r="AE828" t="n">
        <v>3</v>
      </c>
      <c r="AF828" t="inlineStr">
        <is>
          <t>FRONT</t>
        </is>
      </c>
      <c r="AG828" t="n">
        <v>134111</v>
      </c>
      <c r="AH828" t="inlineStr">
        <is>
          <t>LOMAS</t>
        </is>
      </c>
      <c r="AI828" t="inlineStr">
        <is>
          <t>KSUAREZ@BANCOBASE.COM</t>
        </is>
      </c>
      <c r="AJ828" s="151" t="n">
        <v>43040</v>
      </c>
      <c r="AK828" s="151" t="n"/>
      <c r="AL828" s="151" t="n"/>
    </row>
    <row r="829" hidden="1" s="150">
      <c r="A829" t="inlineStr">
        <is>
          <t>LROBLEDO</t>
        </is>
      </c>
      <c r="B829" t="n">
        <v>2095</v>
      </c>
      <c r="C829" t="inlineStr">
        <is>
          <t>LESLIE POLET ROBLEDO ORTIZ</t>
        </is>
      </c>
      <c r="D829" t="n">
        <v>9927</v>
      </c>
      <c r="E829" t="inlineStr">
        <is>
          <t>ASISTENTE CAMBIARIO</t>
        </is>
      </c>
      <c r="F829" t="inlineStr">
        <is>
          <t>MEXICO</t>
        </is>
      </c>
      <c r="G829" t="n">
        <v>1141</v>
      </c>
      <c r="H829" t="inlineStr">
        <is>
          <t>LETICIA ANEL MARTINEZ CUEVAS</t>
        </is>
      </c>
      <c r="I829" t="n">
        <v>10420</v>
      </c>
      <c r="J829" t="inlineStr">
        <is>
          <t>SUBDIRECTOR COMERCIAL</t>
        </is>
      </c>
      <c r="K829" t="n">
        <v>1</v>
      </c>
      <c r="L829" t="inlineStr">
        <is>
          <t>PRESIDENCIA EJECUTIVA DEL CONSEJO</t>
        </is>
      </c>
      <c r="M829" t="n">
        <v>40</v>
      </c>
      <c r="N829" t="inlineStr">
        <is>
          <t>DIRECCION GENERAL BANCO BASE</t>
        </is>
      </c>
      <c r="O829" t="n">
        <v>410</v>
      </c>
      <c r="P829" t="inlineStr">
        <is>
          <t>DIRECCION COMERCIAL</t>
        </is>
      </c>
      <c r="Q829" t="n">
        <v>4190</v>
      </c>
      <c r="R829" t="inlineStr">
        <is>
          <t>DIRECCION COMERCIAL CDMX 1</t>
        </is>
      </c>
      <c r="S829" t="n">
        <v>41910</v>
      </c>
      <c r="T829" t="inlineStr">
        <is>
          <t>SUBDIRECCION COMERCIAL CDMX 1</t>
        </is>
      </c>
      <c r="U829" t="n">
        <v>419100</v>
      </c>
      <c r="V829" t="inlineStr">
        <is>
          <t>SUBDIRECCION COMERCIAL CDMX 1</t>
        </is>
      </c>
      <c r="W829" t="n">
        <v>134111</v>
      </c>
      <c r="X829" t="inlineStr">
        <is>
          <t>LOMAS</t>
        </is>
      </c>
      <c r="Y829" t="n">
        <v>3</v>
      </c>
      <c r="Z829" t="inlineStr">
        <is>
          <t>CAMBIARIO</t>
        </is>
      </c>
      <c r="AA829" t="n">
        <v>1</v>
      </c>
      <c r="AB829" t="inlineStr">
        <is>
          <t>NEGOCIO EN MARCHA</t>
        </is>
      </c>
      <c r="AC829" t="n">
        <v>1</v>
      </c>
      <c r="AD829" t="inlineStr">
        <is>
          <t>BANCO</t>
        </is>
      </c>
      <c r="AE829" t="n">
        <v>2</v>
      </c>
      <c r="AF829" t="inlineStr">
        <is>
          <t>MIDDLE</t>
        </is>
      </c>
      <c r="AG829" t="n">
        <v>134111</v>
      </c>
      <c r="AH829" t="inlineStr">
        <is>
          <t>LOMAS</t>
        </is>
      </c>
      <c r="AI829" t="inlineStr">
        <is>
          <t>LROBLEDO@BANCOBASE.COM</t>
        </is>
      </c>
      <c r="AJ829" s="151" t="n">
        <v>43353</v>
      </c>
      <c r="AK829" s="151" t="n"/>
      <c r="AL829" s="151" t="n"/>
    </row>
    <row r="830" hidden="1" s="150">
      <c r="A830" t="inlineStr">
        <is>
          <t>MESCAMILLA</t>
        </is>
      </c>
      <c r="B830" t="n">
        <v>848</v>
      </c>
      <c r="C830" t="inlineStr">
        <is>
          <t>MARLEM ESCAMILLA YAÑEZ</t>
        </is>
      </c>
      <c r="D830" t="n">
        <v>9395</v>
      </c>
      <c r="E830" t="inlineStr">
        <is>
          <t>ASESOR CAMBIARIO</t>
        </is>
      </c>
      <c r="F830" t="inlineStr">
        <is>
          <t>MEXICO</t>
        </is>
      </c>
      <c r="G830" t="n">
        <v>1141</v>
      </c>
      <c r="H830" t="inlineStr">
        <is>
          <t>LETICIA ANEL MARTINEZ CUEVAS</t>
        </is>
      </c>
      <c r="I830" t="n">
        <v>10420</v>
      </c>
      <c r="J830" t="inlineStr">
        <is>
          <t>SUBDIRECTOR COMERCIAL</t>
        </is>
      </c>
      <c r="K830" t="n">
        <v>1</v>
      </c>
      <c r="L830" t="inlineStr">
        <is>
          <t>PRESIDENCIA EJECUTIVA DEL CONSEJO</t>
        </is>
      </c>
      <c r="M830" t="n">
        <v>40</v>
      </c>
      <c r="N830" t="inlineStr">
        <is>
          <t>DIRECCION GENERAL BANCO BASE</t>
        </is>
      </c>
      <c r="O830" t="n">
        <v>410</v>
      </c>
      <c r="P830" t="inlineStr">
        <is>
          <t>DIRECCION COMERCIAL</t>
        </is>
      </c>
      <c r="Q830" t="n">
        <v>4190</v>
      </c>
      <c r="R830" t="inlineStr">
        <is>
          <t>DIRECCION COMERCIAL CDMX 1</t>
        </is>
      </c>
      <c r="S830" t="n">
        <v>41910</v>
      </c>
      <c r="T830" t="inlineStr">
        <is>
          <t>SUBDIRECCION COMERCIAL CDMX 1</t>
        </is>
      </c>
      <c r="U830" t="n">
        <v>419100</v>
      </c>
      <c r="V830" t="inlineStr">
        <is>
          <t>SUBDIRECCION COMERCIAL CDMX 1</t>
        </is>
      </c>
      <c r="W830" t="n">
        <v>134111</v>
      </c>
      <c r="X830" t="inlineStr">
        <is>
          <t>LOMAS</t>
        </is>
      </c>
      <c r="Y830" t="n">
        <v>3</v>
      </c>
      <c r="Z830" t="inlineStr">
        <is>
          <t>CAMBIARIO</t>
        </is>
      </c>
      <c r="AA830" t="n">
        <v>1</v>
      </c>
      <c r="AB830" t="inlineStr">
        <is>
          <t>NEGOCIO EN MARCHA</t>
        </is>
      </c>
      <c r="AC830" t="n">
        <v>1</v>
      </c>
      <c r="AD830" t="inlineStr">
        <is>
          <t>BANCO</t>
        </is>
      </c>
      <c r="AE830" t="n">
        <v>3</v>
      </c>
      <c r="AF830" t="inlineStr">
        <is>
          <t>FRONT</t>
        </is>
      </c>
      <c r="AG830" t="n">
        <v>134111</v>
      </c>
      <c r="AH830" t="inlineStr">
        <is>
          <t>LOMAS</t>
        </is>
      </c>
      <c r="AI830" t="inlineStr">
        <is>
          <t>MESCAMILLA@BANCOBASE.COM</t>
        </is>
      </c>
      <c r="AJ830" s="151" t="n">
        <v>40973</v>
      </c>
      <c r="AK830" s="151" t="n"/>
      <c r="AL830" s="151" t="n"/>
    </row>
    <row r="831" hidden="1" s="150">
      <c r="A831" t="inlineStr">
        <is>
          <t>MGOMEZ</t>
        </is>
      </c>
      <c r="B831" t="n">
        <v>198</v>
      </c>
      <c r="C831" t="inlineStr">
        <is>
          <t>MAGALI SARIA GOMEZ RIVERA</t>
        </is>
      </c>
      <c r="D831" t="n">
        <v>9215</v>
      </c>
      <c r="E831" t="inlineStr">
        <is>
          <t>ASISTENTE CAMBIARIO</t>
        </is>
      </c>
      <c r="F831" t="inlineStr">
        <is>
          <t>MEXICO</t>
        </is>
      </c>
      <c r="G831" t="n">
        <v>1141</v>
      </c>
      <c r="H831" t="inlineStr">
        <is>
          <t>LETICIA ANEL MARTINEZ CUEVAS</t>
        </is>
      </c>
      <c r="I831" t="n">
        <v>10420</v>
      </c>
      <c r="J831" t="inlineStr">
        <is>
          <t>SUBDIRECTOR COMERCIAL</t>
        </is>
      </c>
      <c r="K831" t="n">
        <v>1</v>
      </c>
      <c r="L831" t="inlineStr">
        <is>
          <t>PRESIDENCIA EJECUTIVA DEL CONSEJO</t>
        </is>
      </c>
      <c r="M831" t="n">
        <v>40</v>
      </c>
      <c r="N831" t="inlineStr">
        <is>
          <t>DIRECCION GENERAL BANCO BASE</t>
        </is>
      </c>
      <c r="O831" t="n">
        <v>410</v>
      </c>
      <c r="P831" t="inlineStr">
        <is>
          <t>DIRECCION COMERCIAL</t>
        </is>
      </c>
      <c r="Q831" t="n">
        <v>4190</v>
      </c>
      <c r="R831" t="inlineStr">
        <is>
          <t>DIRECCION COMERCIAL CDMX 1</t>
        </is>
      </c>
      <c r="S831" t="n">
        <v>41910</v>
      </c>
      <c r="T831" t="inlineStr">
        <is>
          <t>SUBDIRECCION COMERCIAL CDMX 1</t>
        </is>
      </c>
      <c r="U831" t="n">
        <v>419100</v>
      </c>
      <c r="V831" t="inlineStr">
        <is>
          <t>SUBDIRECCION COMERCIAL CDMX 1</t>
        </is>
      </c>
      <c r="W831" t="n">
        <v>134111</v>
      </c>
      <c r="X831" t="inlineStr">
        <is>
          <t>LOMAS</t>
        </is>
      </c>
      <c r="Y831" t="n">
        <v>3</v>
      </c>
      <c r="Z831" t="inlineStr">
        <is>
          <t>CAMBIARIO</t>
        </is>
      </c>
      <c r="AA831" t="n">
        <v>1</v>
      </c>
      <c r="AB831" t="inlineStr">
        <is>
          <t>NEGOCIO EN MARCHA</t>
        </is>
      </c>
      <c r="AC831" t="n">
        <v>1</v>
      </c>
      <c r="AD831" t="inlineStr">
        <is>
          <t>BANCO</t>
        </is>
      </c>
      <c r="AE831" t="n">
        <v>2</v>
      </c>
      <c r="AF831" t="inlineStr">
        <is>
          <t>MIDDLE</t>
        </is>
      </c>
      <c r="AG831" t="n">
        <v>134111</v>
      </c>
      <c r="AH831" t="inlineStr">
        <is>
          <t>LOMAS</t>
        </is>
      </c>
      <c r="AI831" t="inlineStr">
        <is>
          <t>MGOMEZ@BANCOBASE.COM</t>
        </is>
      </c>
      <c r="AJ831" s="151" t="n">
        <v>37196</v>
      </c>
      <c r="AK831" s="151" t="n"/>
      <c r="AL831" s="151" t="n"/>
    </row>
    <row r="832" hidden="1" s="150">
      <c r="A832" t="inlineStr">
        <is>
          <t>OLOPEZR</t>
        </is>
      </c>
      <c r="B832" t="n">
        <v>2519</v>
      </c>
      <c r="C832" t="inlineStr">
        <is>
          <t>OSCAR DE JESUS LOPEZ RINCON</t>
        </is>
      </c>
      <c r="D832" t="n">
        <v>10129</v>
      </c>
      <c r="E832" t="inlineStr">
        <is>
          <t>ASISTENTE CAMBIARIO</t>
        </is>
      </c>
      <c r="F832" t="inlineStr">
        <is>
          <t>MEXICO</t>
        </is>
      </c>
      <c r="G832" t="n">
        <v>1141</v>
      </c>
      <c r="H832" t="inlineStr">
        <is>
          <t>LETICIA ANEL MARTINEZ CUEVAS</t>
        </is>
      </c>
      <c r="I832" t="n">
        <v>10420</v>
      </c>
      <c r="J832" t="inlineStr">
        <is>
          <t>SUBDIRECTOR COMERCIAL</t>
        </is>
      </c>
      <c r="K832" t="n">
        <v>1</v>
      </c>
      <c r="L832" t="inlineStr">
        <is>
          <t>PRESIDENCIA EJECUTIVA DEL CONSEJO</t>
        </is>
      </c>
      <c r="M832" t="n">
        <v>40</v>
      </c>
      <c r="N832" t="inlineStr">
        <is>
          <t>DIRECCION GENERAL BANCO BASE</t>
        </is>
      </c>
      <c r="O832" t="n">
        <v>410</v>
      </c>
      <c r="P832" t="inlineStr">
        <is>
          <t>DIRECCION COMERCIAL</t>
        </is>
      </c>
      <c r="Q832" t="n">
        <v>4190</v>
      </c>
      <c r="R832" t="inlineStr">
        <is>
          <t>DIRECCION COMERCIAL CDMX 1</t>
        </is>
      </c>
      <c r="S832" t="n">
        <v>41910</v>
      </c>
      <c r="T832" t="inlineStr">
        <is>
          <t>SUBDIRECCION COMERCIAL CDMX 1</t>
        </is>
      </c>
      <c r="U832" t="n">
        <v>419100</v>
      </c>
      <c r="V832" t="inlineStr">
        <is>
          <t>SUBDIRECCION COMERCIAL CDMX 1</t>
        </is>
      </c>
      <c r="W832" t="n">
        <v>134111</v>
      </c>
      <c r="X832" t="inlineStr">
        <is>
          <t>LOMAS</t>
        </is>
      </c>
      <c r="Y832" t="n">
        <v>3</v>
      </c>
      <c r="Z832" t="inlineStr">
        <is>
          <t>CAMBIARIO</t>
        </is>
      </c>
      <c r="AA832" t="n">
        <v>1</v>
      </c>
      <c r="AB832" t="inlineStr">
        <is>
          <t>NEGOCIO EN MARCHA</t>
        </is>
      </c>
      <c r="AC832" t="n">
        <v>1</v>
      </c>
      <c r="AD832" t="inlineStr">
        <is>
          <t>BANCO</t>
        </is>
      </c>
      <c r="AE832" t="n">
        <v>2</v>
      </c>
      <c r="AF832" t="inlineStr">
        <is>
          <t>MIDDLE</t>
        </is>
      </c>
      <c r="AG832" t="n">
        <v>134111</v>
      </c>
      <c r="AH832" t="inlineStr">
        <is>
          <t>LOMAS</t>
        </is>
      </c>
      <c r="AI832" t="inlineStr">
        <is>
          <t>OLOPEZR@BANCOBASE.COM</t>
        </is>
      </c>
      <c r="AJ832" s="151" t="n">
        <v>44378</v>
      </c>
      <c r="AK832" s="151" t="n"/>
      <c r="AL832" s="151" t="n"/>
    </row>
    <row r="833" hidden="1" s="150">
      <c r="A833" t="inlineStr">
        <is>
          <t>YESCUDERO</t>
        </is>
      </c>
      <c r="B833" t="n">
        <v>1632</v>
      </c>
      <c r="C833" t="inlineStr">
        <is>
          <t>YESSICA ESCUDERO CUATETA</t>
        </is>
      </c>
      <c r="D833" t="n">
        <v>9213</v>
      </c>
      <c r="E833" t="inlineStr">
        <is>
          <t>ASISTENTE CAMBIARIO</t>
        </is>
      </c>
      <c r="F833" t="inlineStr">
        <is>
          <t>MEXICO</t>
        </is>
      </c>
      <c r="G833" t="n">
        <v>1141</v>
      </c>
      <c r="H833" t="inlineStr">
        <is>
          <t>LETICIA ANEL MARTINEZ CUEVAS</t>
        </is>
      </c>
      <c r="I833" t="n">
        <v>10420</v>
      </c>
      <c r="J833" t="inlineStr">
        <is>
          <t>SUBDIRECTOR COMERCIAL</t>
        </is>
      </c>
      <c r="K833" t="n">
        <v>1</v>
      </c>
      <c r="L833" t="inlineStr">
        <is>
          <t>PRESIDENCIA EJECUTIVA DEL CONSEJO</t>
        </is>
      </c>
      <c r="M833" t="n">
        <v>40</v>
      </c>
      <c r="N833" t="inlineStr">
        <is>
          <t>DIRECCION GENERAL BANCO BASE</t>
        </is>
      </c>
      <c r="O833" t="n">
        <v>410</v>
      </c>
      <c r="P833" t="inlineStr">
        <is>
          <t>DIRECCION COMERCIAL</t>
        </is>
      </c>
      <c r="Q833" t="n">
        <v>4190</v>
      </c>
      <c r="R833" t="inlineStr">
        <is>
          <t>DIRECCION COMERCIAL CDMX 1</t>
        </is>
      </c>
      <c r="S833" t="n">
        <v>41910</v>
      </c>
      <c r="T833" t="inlineStr">
        <is>
          <t>SUBDIRECCION COMERCIAL CDMX 1</t>
        </is>
      </c>
      <c r="U833" t="n">
        <v>419100</v>
      </c>
      <c r="V833" t="inlineStr">
        <is>
          <t>SUBDIRECCION COMERCIAL CDMX 1</t>
        </is>
      </c>
      <c r="W833" t="n">
        <v>134111</v>
      </c>
      <c r="X833" t="inlineStr">
        <is>
          <t>LOMAS</t>
        </is>
      </c>
      <c r="Y833" t="n">
        <v>3</v>
      </c>
      <c r="Z833" t="inlineStr">
        <is>
          <t>CAMBIARIO</t>
        </is>
      </c>
      <c r="AA833" t="n">
        <v>1</v>
      </c>
      <c r="AB833" t="inlineStr">
        <is>
          <t>NEGOCIO EN MARCHA</t>
        </is>
      </c>
      <c r="AC833" t="n">
        <v>1</v>
      </c>
      <c r="AD833" t="inlineStr">
        <is>
          <t>BANCO</t>
        </is>
      </c>
      <c r="AE833" t="n">
        <v>2</v>
      </c>
      <c r="AF833" t="inlineStr">
        <is>
          <t>MIDDLE</t>
        </is>
      </c>
      <c r="AG833" t="n">
        <v>134111</v>
      </c>
      <c r="AH833" t="inlineStr">
        <is>
          <t>LOMAS</t>
        </is>
      </c>
      <c r="AI833" t="inlineStr">
        <is>
          <t>YESCUDERO@BANCOBASE.COM</t>
        </is>
      </c>
      <c r="AJ833" s="151" t="n">
        <v>42646</v>
      </c>
      <c r="AK833" s="151" t="n"/>
      <c r="AL833" s="151" t="n"/>
    </row>
    <row r="834" hidden="1" s="150">
      <c r="A834" t="inlineStr">
        <is>
          <t>DBENITEZ</t>
        </is>
      </c>
      <c r="B834" t="n">
        <v>1155</v>
      </c>
      <c r="C834" t="inlineStr">
        <is>
          <t>DENISE ITZURI BENITEZ JAIMES</t>
        </is>
      </c>
      <c r="D834" t="n">
        <v>9697</v>
      </c>
      <c r="E834" t="inlineStr">
        <is>
          <t>ASESOR CAMBIARIO</t>
        </is>
      </c>
      <c r="F834" t="inlineStr">
        <is>
          <t>MEXICO</t>
        </is>
      </c>
      <c r="G834" t="n">
        <v>1141</v>
      </c>
      <c r="H834" t="inlineStr">
        <is>
          <t>LETICIA ANEL MARTINEZ CUEVAS</t>
        </is>
      </c>
      <c r="I834" t="n">
        <v>10420</v>
      </c>
      <c r="J834" t="inlineStr">
        <is>
          <t>SUBDIRECTOR COMERCIAL</t>
        </is>
      </c>
      <c r="K834" t="n">
        <v>1</v>
      </c>
      <c r="L834" t="inlineStr">
        <is>
          <t>PRESIDENCIA EJECUTIVA DEL CONSEJO</t>
        </is>
      </c>
      <c r="M834" t="n">
        <v>40</v>
      </c>
      <c r="N834" t="inlineStr">
        <is>
          <t>DIRECCION GENERAL BANCO BASE</t>
        </is>
      </c>
      <c r="O834" t="n">
        <v>410</v>
      </c>
      <c r="P834" t="inlineStr">
        <is>
          <t>DIRECCION COMERCIAL</t>
        </is>
      </c>
      <c r="Q834" t="n">
        <v>4190</v>
      </c>
      <c r="R834" t="inlineStr">
        <is>
          <t>DIRECCION COMERCIAL CDMX 1</t>
        </is>
      </c>
      <c r="S834" t="n">
        <v>41910</v>
      </c>
      <c r="T834" t="inlineStr">
        <is>
          <t>SUBDIRECCION COMERCIAL CDMX 1</t>
        </is>
      </c>
      <c r="U834" t="n">
        <v>419100</v>
      </c>
      <c r="V834" t="inlineStr">
        <is>
          <t>SUBDIRECCION COMERCIAL CDMX 1</t>
        </is>
      </c>
      <c r="W834" t="n">
        <v>134111</v>
      </c>
      <c r="X834" t="inlineStr">
        <is>
          <t>LOMAS</t>
        </is>
      </c>
      <c r="Y834" t="n">
        <v>3</v>
      </c>
      <c r="Z834" t="inlineStr">
        <is>
          <t>CAMBIARIO</t>
        </is>
      </c>
      <c r="AA834" t="n">
        <v>1</v>
      </c>
      <c r="AB834" t="inlineStr">
        <is>
          <t>NEGOCIO EN MARCHA</t>
        </is>
      </c>
      <c r="AC834" t="n">
        <v>1</v>
      </c>
      <c r="AD834" t="inlineStr">
        <is>
          <t>BANCO</t>
        </is>
      </c>
      <c r="AE834" t="n">
        <v>3</v>
      </c>
      <c r="AF834" t="inlineStr">
        <is>
          <t>FRONT</t>
        </is>
      </c>
      <c r="AG834" t="n">
        <v>134111</v>
      </c>
      <c r="AH834" t="inlineStr">
        <is>
          <t>LOMAS</t>
        </is>
      </c>
      <c r="AI834" t="inlineStr">
        <is>
          <t>DBENITEZ@BANCOBASE.COM</t>
        </is>
      </c>
      <c r="AJ834" s="151" t="n">
        <v>41785</v>
      </c>
      <c r="AK834" s="151" t="n"/>
      <c r="AL834" s="151" t="n"/>
    </row>
    <row r="835" hidden="1" s="150">
      <c r="A835" t="inlineStr">
        <is>
          <t>APALAFOX</t>
        </is>
      </c>
      <c r="B835" t="n">
        <v>911</v>
      </c>
      <c r="C835" t="inlineStr">
        <is>
          <t>ARIANA YARELI PALAFOX SOTO</t>
        </is>
      </c>
      <c r="D835" t="n">
        <v>9663</v>
      </c>
      <c r="E835" t="inlineStr">
        <is>
          <t>ASESOR CAMBIARIO</t>
        </is>
      </c>
      <c r="F835" t="inlineStr">
        <is>
          <t>MEXICO</t>
        </is>
      </c>
      <c r="G835" t="n">
        <v>1141</v>
      </c>
      <c r="H835" t="inlineStr">
        <is>
          <t>LETICIA ANEL MARTINEZ CUEVAS</t>
        </is>
      </c>
      <c r="I835" t="n">
        <v>10420</v>
      </c>
      <c r="J835" t="inlineStr">
        <is>
          <t>SUBDIRECTOR COMERCIAL</t>
        </is>
      </c>
      <c r="K835" t="n">
        <v>1</v>
      </c>
      <c r="L835" t="inlineStr">
        <is>
          <t>PRESIDENCIA EJECUTIVA DEL CONSEJO</t>
        </is>
      </c>
      <c r="M835" t="n">
        <v>40</v>
      </c>
      <c r="N835" t="inlineStr">
        <is>
          <t>DIRECCION GENERAL BANCO BASE</t>
        </is>
      </c>
      <c r="O835" t="n">
        <v>410</v>
      </c>
      <c r="P835" t="inlineStr">
        <is>
          <t>DIRECCION COMERCIAL</t>
        </is>
      </c>
      <c r="Q835" t="n">
        <v>4190</v>
      </c>
      <c r="R835" t="inlineStr">
        <is>
          <t>DIRECCION COMERCIAL CDMX 1</t>
        </is>
      </c>
      <c r="S835" t="n">
        <v>41910</v>
      </c>
      <c r="T835" t="inlineStr">
        <is>
          <t>SUBDIRECCION COMERCIAL CDMX 1</t>
        </is>
      </c>
      <c r="U835" t="n">
        <v>419100</v>
      </c>
      <c r="V835" t="inlineStr">
        <is>
          <t>SUBDIRECCION COMERCIAL CDMX 1</t>
        </is>
      </c>
      <c r="W835" t="n">
        <v>134111</v>
      </c>
      <c r="X835" t="inlineStr">
        <is>
          <t>LOMAS</t>
        </is>
      </c>
      <c r="Y835" t="n">
        <v>3</v>
      </c>
      <c r="Z835" t="inlineStr">
        <is>
          <t>CAMBIARIO</t>
        </is>
      </c>
      <c r="AA835" t="n">
        <v>1</v>
      </c>
      <c r="AB835" t="inlineStr">
        <is>
          <t>NEGOCIO EN MARCHA</t>
        </is>
      </c>
      <c r="AC835" t="n">
        <v>1</v>
      </c>
      <c r="AD835" t="inlineStr">
        <is>
          <t>BANCO</t>
        </is>
      </c>
      <c r="AE835" t="n">
        <v>3</v>
      </c>
      <c r="AF835" t="inlineStr">
        <is>
          <t>FRONT</t>
        </is>
      </c>
      <c r="AG835" t="n">
        <v>134111</v>
      </c>
      <c r="AH835" t="inlineStr">
        <is>
          <t>LOMAS</t>
        </is>
      </c>
      <c r="AI835" t="inlineStr">
        <is>
          <t>APALAFOX@BANCOBASE.COM</t>
        </is>
      </c>
      <c r="AJ835" s="151" t="n">
        <v>41091</v>
      </c>
      <c r="AK835" s="151" t="n"/>
      <c r="AL835" s="151" t="n"/>
    </row>
    <row r="836" hidden="1" s="150">
      <c r="A836" t="inlineStr">
        <is>
          <t>CVARGAS</t>
        </is>
      </c>
      <c r="B836" t="n">
        <v>1097</v>
      </c>
      <c r="C836" t="inlineStr">
        <is>
          <t>CESAR ISRAEL VARGAS GRANADOS</t>
        </is>
      </c>
      <c r="D836" t="n">
        <v>9177</v>
      </c>
      <c r="E836" t="inlineStr">
        <is>
          <t>ASESOR CAMBIARIO</t>
        </is>
      </c>
      <c r="F836" t="inlineStr">
        <is>
          <t>MEXICO</t>
        </is>
      </c>
      <c r="G836" t="n">
        <v>1141</v>
      </c>
      <c r="H836" t="inlineStr">
        <is>
          <t>LETICIA ANEL MARTINEZ CUEVAS</t>
        </is>
      </c>
      <c r="I836" t="n">
        <v>10420</v>
      </c>
      <c r="J836" t="inlineStr">
        <is>
          <t>SUBDIRECTOR COMERCIAL</t>
        </is>
      </c>
      <c r="K836" t="n">
        <v>1</v>
      </c>
      <c r="L836" t="inlineStr">
        <is>
          <t>PRESIDENCIA EJECUTIVA DEL CONSEJO</t>
        </is>
      </c>
      <c r="M836" t="n">
        <v>40</v>
      </c>
      <c r="N836" t="inlineStr">
        <is>
          <t>DIRECCION GENERAL BANCO BASE</t>
        </is>
      </c>
      <c r="O836" t="n">
        <v>410</v>
      </c>
      <c r="P836" t="inlineStr">
        <is>
          <t>DIRECCION COMERCIAL</t>
        </is>
      </c>
      <c r="Q836" t="n">
        <v>4190</v>
      </c>
      <c r="R836" t="inlineStr">
        <is>
          <t>DIRECCION COMERCIAL CDMX 1</t>
        </is>
      </c>
      <c r="S836" t="n">
        <v>41910</v>
      </c>
      <c r="T836" t="inlineStr">
        <is>
          <t>SUBDIRECCION COMERCIAL CDMX 1</t>
        </is>
      </c>
      <c r="U836" t="n">
        <v>419100</v>
      </c>
      <c r="V836" t="inlineStr">
        <is>
          <t>SUBDIRECCION COMERCIAL CDMX 1</t>
        </is>
      </c>
      <c r="W836" t="n">
        <v>134111</v>
      </c>
      <c r="X836" t="inlineStr">
        <is>
          <t>LOMAS</t>
        </is>
      </c>
      <c r="Y836" t="n">
        <v>3</v>
      </c>
      <c r="Z836" t="inlineStr">
        <is>
          <t>CAMBIARIO</t>
        </is>
      </c>
      <c r="AA836" t="n">
        <v>1</v>
      </c>
      <c r="AB836" t="inlineStr">
        <is>
          <t>NEGOCIO EN MARCHA</t>
        </is>
      </c>
      <c r="AC836" t="n">
        <v>1</v>
      </c>
      <c r="AD836" t="inlineStr">
        <is>
          <t>BANCO</t>
        </is>
      </c>
      <c r="AE836" t="n">
        <v>3</v>
      </c>
      <c r="AF836" t="inlineStr">
        <is>
          <t>FRONT</t>
        </is>
      </c>
      <c r="AG836" t="n">
        <v>134111</v>
      </c>
      <c r="AH836" t="inlineStr">
        <is>
          <t>LOMAS</t>
        </is>
      </c>
      <c r="AI836" t="inlineStr">
        <is>
          <t>CVARGAS@BANCOBASE.COM</t>
        </is>
      </c>
      <c r="AJ836" s="151" t="n">
        <v>41624</v>
      </c>
      <c r="AK836" s="151" t="n"/>
      <c r="AL836" s="151" t="n"/>
    </row>
    <row r="837" hidden="1" s="150">
      <c r="A837" t="inlineStr">
        <is>
          <t>BSANCHEZ</t>
        </is>
      </c>
      <c r="B837" t="n">
        <v>1529</v>
      </c>
      <c r="C837" t="inlineStr">
        <is>
          <t>BARBARA DEYANIRA SANCHEZ LEMUS</t>
        </is>
      </c>
      <c r="D837" t="n">
        <v>9552</v>
      </c>
      <c r="E837" t="inlineStr">
        <is>
          <t>ASESOR CAMBIARIO</t>
        </is>
      </c>
      <c r="F837" t="inlineStr">
        <is>
          <t>MEXICO</t>
        </is>
      </c>
      <c r="G837" t="n">
        <v>1141</v>
      </c>
      <c r="H837" t="inlineStr">
        <is>
          <t>LETICIA ANEL MARTINEZ CUEVAS</t>
        </is>
      </c>
      <c r="I837" t="n">
        <v>10420</v>
      </c>
      <c r="J837" t="inlineStr">
        <is>
          <t>SUBDIRECTOR COMERCIAL</t>
        </is>
      </c>
      <c r="K837" t="n">
        <v>1</v>
      </c>
      <c r="L837" t="inlineStr">
        <is>
          <t>PRESIDENCIA EJECUTIVA DEL CONSEJO</t>
        </is>
      </c>
      <c r="M837" t="n">
        <v>40</v>
      </c>
      <c r="N837" t="inlineStr">
        <is>
          <t>DIRECCION GENERAL BANCO BASE</t>
        </is>
      </c>
      <c r="O837" t="n">
        <v>410</v>
      </c>
      <c r="P837" t="inlineStr">
        <is>
          <t>DIRECCION COMERCIAL</t>
        </is>
      </c>
      <c r="Q837" t="n">
        <v>4190</v>
      </c>
      <c r="R837" t="inlineStr">
        <is>
          <t>DIRECCION COMERCIAL CDMX 1</t>
        </is>
      </c>
      <c r="S837" t="n">
        <v>41910</v>
      </c>
      <c r="T837" t="inlineStr">
        <is>
          <t>SUBDIRECCION COMERCIAL CDMX 1</t>
        </is>
      </c>
      <c r="U837" t="n">
        <v>419100</v>
      </c>
      <c r="V837" t="inlineStr">
        <is>
          <t>SUBDIRECCION COMERCIAL CDMX 1</t>
        </is>
      </c>
      <c r="W837" t="n">
        <v>134111</v>
      </c>
      <c r="X837" t="inlineStr">
        <is>
          <t>LOMAS</t>
        </is>
      </c>
      <c r="Y837" t="n">
        <v>3</v>
      </c>
      <c r="Z837" t="inlineStr">
        <is>
          <t>CAMBIARIO</t>
        </is>
      </c>
      <c r="AA837" t="n">
        <v>1</v>
      </c>
      <c r="AB837" t="inlineStr">
        <is>
          <t>NEGOCIO EN MARCHA</t>
        </is>
      </c>
      <c r="AC837" t="n">
        <v>1</v>
      </c>
      <c r="AD837" t="inlineStr">
        <is>
          <t>BANCO</t>
        </is>
      </c>
      <c r="AE837" t="n">
        <v>3</v>
      </c>
      <c r="AF837" t="inlineStr">
        <is>
          <t>FRONT</t>
        </is>
      </c>
      <c r="AG837" t="n">
        <v>134111</v>
      </c>
      <c r="AH837" t="inlineStr">
        <is>
          <t>LOMAS</t>
        </is>
      </c>
      <c r="AI837" t="inlineStr">
        <is>
          <t>BSANCHEZ@BANCOBASE.COM</t>
        </is>
      </c>
      <c r="AJ837" s="151" t="n">
        <v>42468</v>
      </c>
      <c r="AK837" s="151" t="n"/>
      <c r="AL837" s="151" t="n"/>
    </row>
    <row r="838" hidden="1" s="150">
      <c r="A838" t="inlineStr">
        <is>
          <t>RRIVERO</t>
        </is>
      </c>
      <c r="B838" t="n">
        <v>3521</v>
      </c>
      <c r="C838" t="inlineStr">
        <is>
          <t>ROBERTO RIVERO RUBIO</t>
        </is>
      </c>
      <c r="D838" t="n">
        <v>9193</v>
      </c>
      <c r="E838" t="inlineStr">
        <is>
          <t>ASESOR CAMBIARIO</t>
        </is>
      </c>
      <c r="F838" t="inlineStr">
        <is>
          <t>MEXICO</t>
        </is>
      </c>
      <c r="G838" t="n">
        <v>1141</v>
      </c>
      <c r="H838" t="inlineStr">
        <is>
          <t>LETICIA ANEL MARTINEZ CUEVAS</t>
        </is>
      </c>
      <c r="I838" t="n">
        <v>10420</v>
      </c>
      <c r="J838" t="inlineStr">
        <is>
          <t>SUBDIRECTOR COMERCIAL</t>
        </is>
      </c>
      <c r="K838" t="n">
        <v>1</v>
      </c>
      <c r="L838" t="inlineStr">
        <is>
          <t>PRESIDENCIA EJECUTIVA DEL CONSEJO</t>
        </is>
      </c>
      <c r="M838" t="n">
        <v>40</v>
      </c>
      <c r="N838" t="inlineStr">
        <is>
          <t>DIRECCION GENERAL BANCO BASE</t>
        </is>
      </c>
      <c r="O838" t="n">
        <v>410</v>
      </c>
      <c r="P838" t="inlineStr">
        <is>
          <t>DIRECCION COMERCIAL</t>
        </is>
      </c>
      <c r="Q838" t="n">
        <v>4190</v>
      </c>
      <c r="R838" t="inlineStr">
        <is>
          <t>DIRECCION COMERCIAL CDMX 1</t>
        </is>
      </c>
      <c r="S838" t="n">
        <v>41910</v>
      </c>
      <c r="T838" t="inlineStr">
        <is>
          <t>SUBDIRECCION COMERCIAL CDMX 1</t>
        </is>
      </c>
      <c r="U838" t="n">
        <v>419100</v>
      </c>
      <c r="V838" t="inlineStr">
        <is>
          <t>SUBDIRECCION COMERCIAL CDMX 1</t>
        </is>
      </c>
      <c r="W838" t="n">
        <v>134111</v>
      </c>
      <c r="X838" t="inlineStr">
        <is>
          <t>LOMAS</t>
        </is>
      </c>
      <c r="Y838" t="n">
        <v>3</v>
      </c>
      <c r="Z838" t="inlineStr">
        <is>
          <t>CAMBIARIO</t>
        </is>
      </c>
      <c r="AA838" t="n">
        <v>1</v>
      </c>
      <c r="AB838" t="inlineStr">
        <is>
          <t>NEGOCIO EN MARCHA</t>
        </is>
      </c>
      <c r="AC838" t="n">
        <v>1</v>
      </c>
      <c r="AD838" t="inlineStr">
        <is>
          <t>BANCO</t>
        </is>
      </c>
      <c r="AE838" t="n">
        <v>3</v>
      </c>
      <c r="AF838" t="inlineStr">
        <is>
          <t>FRONT</t>
        </is>
      </c>
      <c r="AG838" t="n">
        <v>134111</v>
      </c>
      <c r="AH838" t="inlineStr">
        <is>
          <t>LOMAS</t>
        </is>
      </c>
      <c r="AI838" t="inlineStr">
        <is>
          <t>RRIVERO@BANCOBASE.COM</t>
        </is>
      </c>
      <c r="AJ838" s="151" t="n">
        <v>45873</v>
      </c>
      <c r="AK838" s="151" t="n"/>
      <c r="AL838" s="151" t="n"/>
    </row>
    <row r="839" hidden="1" s="150">
      <c r="A839" t="inlineStr">
        <is>
          <t>PGONZALEG</t>
        </is>
      </c>
      <c r="B839" t="n">
        <v>2280</v>
      </c>
      <c r="C839" t="inlineStr">
        <is>
          <t>PABLO GONZALEZ GONZALEZ</t>
        </is>
      </c>
      <c r="D839" t="n">
        <v>3596</v>
      </c>
      <c r="E839" t="inlineStr">
        <is>
          <t>SUBDIRECTOR COMERCIAL</t>
        </is>
      </c>
      <c r="F839" t="inlineStr">
        <is>
          <t>MEXICO</t>
        </is>
      </c>
      <c r="G839" t="n">
        <v>2360</v>
      </c>
      <c r="H839" t="inlineStr">
        <is>
          <t>JULIAN AMIEVA ALONSO</t>
        </is>
      </c>
      <c r="I839" t="n">
        <v>9650</v>
      </c>
      <c r="J839" t="inlineStr">
        <is>
          <t>DIRECTOR COMERCIAL CIUDAD DE MEXICO</t>
        </is>
      </c>
      <c r="K839" t="n">
        <v>1</v>
      </c>
      <c r="L839" t="inlineStr">
        <is>
          <t>PRESIDENCIA EJECUTIVA DEL CONSEJO</t>
        </is>
      </c>
      <c r="M839" t="n">
        <v>40</v>
      </c>
      <c r="N839" t="inlineStr">
        <is>
          <t>DIRECCION GENERAL BANCO BASE</t>
        </is>
      </c>
      <c r="O839" t="n">
        <v>410</v>
      </c>
      <c r="P839" t="inlineStr">
        <is>
          <t>DIRECCION COMERCIAL</t>
        </is>
      </c>
      <c r="Q839" t="n">
        <v>4190</v>
      </c>
      <c r="R839" t="inlineStr">
        <is>
          <t>DIRECCION COMERCIAL CDMX 1</t>
        </is>
      </c>
      <c r="S839" t="n">
        <v>41940</v>
      </c>
      <c r="T839" t="inlineStr">
        <is>
          <t>SUBDIRECCION COMERCIAL CDMX 4</t>
        </is>
      </c>
      <c r="U839" t="n">
        <v>419400</v>
      </c>
      <c r="V839" t="inlineStr">
        <is>
          <t>SUBDIRECCION COMERCIAL CDMX 4</t>
        </is>
      </c>
      <c r="W839" t="n">
        <v>134111</v>
      </c>
      <c r="X839" t="inlineStr">
        <is>
          <t>LOMAS</t>
        </is>
      </c>
      <c r="Y839" t="n">
        <v>3</v>
      </c>
      <c r="Z839" t="inlineStr">
        <is>
          <t>CAMBIARIO</t>
        </is>
      </c>
      <c r="AA839" t="n">
        <v>1</v>
      </c>
      <c r="AB839" t="inlineStr">
        <is>
          <t>NEGOCIO EN MARCHA</t>
        </is>
      </c>
      <c r="AC839" t="n">
        <v>1</v>
      </c>
      <c r="AD839" t="inlineStr">
        <is>
          <t>BANCO</t>
        </is>
      </c>
      <c r="AE839" t="n">
        <v>3</v>
      </c>
      <c r="AF839" t="inlineStr">
        <is>
          <t>FRONT</t>
        </is>
      </c>
      <c r="AG839" t="n">
        <v>134111</v>
      </c>
      <c r="AH839" t="inlineStr">
        <is>
          <t>LOMAS</t>
        </is>
      </c>
      <c r="AI839" t="inlineStr">
        <is>
          <t>PGONZALEG@BANCOBASE.COM</t>
        </is>
      </c>
      <c r="AJ839" s="151" t="n">
        <v>43654</v>
      </c>
      <c r="AK839" s="151" t="n"/>
      <c r="AL839" s="151" t="n"/>
    </row>
    <row r="840" hidden="1" s="150">
      <c r="A840" t="inlineStr">
        <is>
          <t>ASANCHEZS</t>
        </is>
      </c>
      <c r="B840" t="n">
        <v>3328</v>
      </c>
      <c r="C840" t="inlineStr">
        <is>
          <t>MAURICIO ALEXIS SANCHEZ SOLANO</t>
        </is>
      </c>
      <c r="D840" t="n">
        <v>8114</v>
      </c>
      <c r="E840" t="inlineStr">
        <is>
          <t>ASESOR CAMBIARIO</t>
        </is>
      </c>
      <c r="F840" t="inlineStr">
        <is>
          <t>MEXICO</t>
        </is>
      </c>
      <c r="G840" t="n">
        <v>2280</v>
      </c>
      <c r="H840" t="inlineStr">
        <is>
          <t>PABLO GONZALEZ GONZALEZ</t>
        </is>
      </c>
      <c r="I840" t="n">
        <v>3596</v>
      </c>
      <c r="J840" t="inlineStr">
        <is>
          <t>SUBDIRECTOR COMERCIAL</t>
        </is>
      </c>
      <c r="K840" t="n">
        <v>1</v>
      </c>
      <c r="L840" t="inlineStr">
        <is>
          <t>PRESIDENCIA EJECUTIVA DEL CONSEJO</t>
        </is>
      </c>
      <c r="M840" t="n">
        <v>40</v>
      </c>
      <c r="N840" t="inlineStr">
        <is>
          <t>DIRECCION GENERAL BANCO BASE</t>
        </is>
      </c>
      <c r="O840" t="n">
        <v>410</v>
      </c>
      <c r="P840" t="inlineStr">
        <is>
          <t>DIRECCION COMERCIAL</t>
        </is>
      </c>
      <c r="Q840" t="n">
        <v>4190</v>
      </c>
      <c r="R840" t="inlineStr">
        <is>
          <t>DIRECCION COMERCIAL CDMX 1</t>
        </is>
      </c>
      <c r="S840" t="n">
        <v>41940</v>
      </c>
      <c r="T840" t="inlineStr">
        <is>
          <t>SUBDIRECCION COMERCIAL CDMX 4</t>
        </is>
      </c>
      <c r="U840" t="n">
        <v>419400</v>
      </c>
      <c r="V840" t="inlineStr">
        <is>
          <t>SUBDIRECCION COMERCIAL CDMX 4</t>
        </is>
      </c>
      <c r="W840" t="n">
        <v>134111</v>
      </c>
      <c r="X840" t="inlineStr">
        <is>
          <t>LOMAS</t>
        </is>
      </c>
      <c r="Y840" t="n">
        <v>3</v>
      </c>
      <c r="Z840" t="inlineStr">
        <is>
          <t>CAMBIARIO</t>
        </is>
      </c>
      <c r="AA840" t="n">
        <v>1</v>
      </c>
      <c r="AB840" t="inlineStr">
        <is>
          <t>NEGOCIO EN MARCHA</t>
        </is>
      </c>
      <c r="AC840" t="n">
        <v>1</v>
      </c>
      <c r="AD840" t="inlineStr">
        <is>
          <t>BANCO</t>
        </is>
      </c>
      <c r="AE840" t="n">
        <v>3</v>
      </c>
      <c r="AF840" t="inlineStr">
        <is>
          <t>FRONT</t>
        </is>
      </c>
      <c r="AG840" t="n">
        <v>134111</v>
      </c>
      <c r="AH840" t="inlineStr">
        <is>
          <t>LOMAS</t>
        </is>
      </c>
      <c r="AI840" t="inlineStr">
        <is>
          <t>ASANCHEZS@BANCOBASE.COM</t>
        </is>
      </c>
      <c r="AJ840" s="151" t="n">
        <v>45692</v>
      </c>
      <c r="AK840" s="151" t="n"/>
      <c r="AL840" s="151" t="n"/>
    </row>
    <row r="841" hidden="1" s="150">
      <c r="A841" t="inlineStr">
        <is>
          <t>BJARDON</t>
        </is>
      </c>
      <c r="B841" t="n">
        <v>3112</v>
      </c>
      <c r="C841" t="inlineStr">
        <is>
          <t>BERNARDO MANUEL JARDON ALCOCER</t>
        </is>
      </c>
      <c r="D841" t="n">
        <v>9009</v>
      </c>
      <c r="E841" t="inlineStr">
        <is>
          <t>ASESOR CAMBIARIO</t>
        </is>
      </c>
      <c r="F841" t="inlineStr">
        <is>
          <t>MEXICO</t>
        </is>
      </c>
      <c r="G841" t="n">
        <v>2280</v>
      </c>
      <c r="H841" t="inlineStr">
        <is>
          <t>PABLO GONZALEZ GONZALEZ</t>
        </is>
      </c>
      <c r="I841" t="n">
        <v>3596</v>
      </c>
      <c r="J841" t="inlineStr">
        <is>
          <t>SUBDIRECTOR COMERCIAL</t>
        </is>
      </c>
      <c r="K841" t="n">
        <v>1</v>
      </c>
      <c r="L841" t="inlineStr">
        <is>
          <t>PRESIDENCIA EJECUTIVA DEL CONSEJO</t>
        </is>
      </c>
      <c r="M841" t="n">
        <v>40</v>
      </c>
      <c r="N841" t="inlineStr">
        <is>
          <t>DIRECCION GENERAL BANCO BASE</t>
        </is>
      </c>
      <c r="O841" t="n">
        <v>410</v>
      </c>
      <c r="P841" t="inlineStr">
        <is>
          <t>DIRECCION COMERCIAL</t>
        </is>
      </c>
      <c r="Q841" t="n">
        <v>4190</v>
      </c>
      <c r="R841" t="inlineStr">
        <is>
          <t>DIRECCION COMERCIAL CDMX 1</t>
        </is>
      </c>
      <c r="S841" t="n">
        <v>41940</v>
      </c>
      <c r="T841" t="inlineStr">
        <is>
          <t>SUBDIRECCION COMERCIAL CDMX 4</t>
        </is>
      </c>
      <c r="U841" t="n">
        <v>419400</v>
      </c>
      <c r="V841" t="inlineStr">
        <is>
          <t>SUBDIRECCION COMERCIAL CDMX 4</t>
        </is>
      </c>
      <c r="W841" t="n">
        <v>134111</v>
      </c>
      <c r="X841" t="inlineStr">
        <is>
          <t>LOMAS</t>
        </is>
      </c>
      <c r="Y841" t="n">
        <v>3</v>
      </c>
      <c r="Z841" t="inlineStr">
        <is>
          <t>CAMBIARIO</t>
        </is>
      </c>
      <c r="AA841" t="n">
        <v>1</v>
      </c>
      <c r="AB841" t="inlineStr">
        <is>
          <t>NEGOCIO EN MARCHA</t>
        </is>
      </c>
      <c r="AC841" t="n">
        <v>1</v>
      </c>
      <c r="AD841" t="inlineStr">
        <is>
          <t>BANCO</t>
        </is>
      </c>
      <c r="AE841" t="n">
        <v>3</v>
      </c>
      <c r="AF841" t="inlineStr">
        <is>
          <t>FRONT</t>
        </is>
      </c>
      <c r="AG841" t="n">
        <v>134111</v>
      </c>
      <c r="AH841" t="inlineStr">
        <is>
          <t>LOMAS</t>
        </is>
      </c>
      <c r="AI841" t="inlineStr">
        <is>
          <t>BJARDON@BANCOBASE.COM</t>
        </is>
      </c>
      <c r="AJ841" s="151" t="n">
        <v>45428</v>
      </c>
      <c r="AK841" s="151" t="n"/>
      <c r="AL841" s="151" t="n"/>
    </row>
    <row r="842" hidden="1" s="150">
      <c r="A842" t="inlineStr">
        <is>
          <t>BROMERO</t>
        </is>
      </c>
      <c r="B842" t="n">
        <v>3205</v>
      </c>
      <c r="C842" t="inlineStr">
        <is>
          <t>BERNARDO YAEL ROMERO MARTINEZ</t>
        </is>
      </c>
      <c r="D842" t="n">
        <v>8034</v>
      </c>
      <c r="E842" t="inlineStr">
        <is>
          <t>ESPECIALISTA DE BANCA TRANSACCIONAL</t>
        </is>
      </c>
      <c r="F842" t="inlineStr">
        <is>
          <t>MEXICO</t>
        </is>
      </c>
      <c r="G842" t="n">
        <v>2280</v>
      </c>
      <c r="H842" t="inlineStr">
        <is>
          <t>PABLO GONZALEZ GONZALEZ</t>
        </is>
      </c>
      <c r="I842" t="n">
        <v>3596</v>
      </c>
      <c r="J842" t="inlineStr">
        <is>
          <t>SUBDIRECTOR COMERCIAL</t>
        </is>
      </c>
      <c r="K842" t="n">
        <v>1</v>
      </c>
      <c r="L842" t="inlineStr">
        <is>
          <t>PRESIDENCIA EJECUTIVA DEL CONSEJO</t>
        </is>
      </c>
      <c r="M842" t="n">
        <v>40</v>
      </c>
      <c r="N842" t="inlineStr">
        <is>
          <t>DIRECCION GENERAL BANCO BASE</t>
        </is>
      </c>
      <c r="O842" t="n">
        <v>410</v>
      </c>
      <c r="P842" t="inlineStr">
        <is>
          <t>DIRECCION COMERCIAL</t>
        </is>
      </c>
      <c r="Q842" t="n">
        <v>4190</v>
      </c>
      <c r="R842" t="inlineStr">
        <is>
          <t>DIRECCION COMERCIAL CDMX 1</t>
        </is>
      </c>
      <c r="S842" t="n">
        <v>41940</v>
      </c>
      <c r="T842" t="inlineStr">
        <is>
          <t>SUBDIRECCION COMERCIAL CDMX 4</t>
        </is>
      </c>
      <c r="U842" t="n">
        <v>419400</v>
      </c>
      <c r="V842" t="inlineStr">
        <is>
          <t>SUBDIRECCION COMERCIAL CDMX 4</t>
        </is>
      </c>
      <c r="W842" t="n">
        <v>134111</v>
      </c>
      <c r="X842" t="inlineStr">
        <is>
          <t>LOMAS</t>
        </is>
      </c>
      <c r="Y842" t="n">
        <v>14</v>
      </c>
      <c r="Z842" t="inlineStr">
        <is>
          <t>TRANSACCIONAL</t>
        </is>
      </c>
      <c r="AA842" t="n">
        <v>1</v>
      </c>
      <c r="AB842" t="inlineStr">
        <is>
          <t>NEGOCIO EN MARCHA</t>
        </is>
      </c>
      <c r="AC842" t="n">
        <v>1</v>
      </c>
      <c r="AD842" t="inlineStr">
        <is>
          <t>BANCO</t>
        </is>
      </c>
      <c r="AE842" t="n">
        <v>3</v>
      </c>
      <c r="AF842" t="inlineStr">
        <is>
          <t>FRONT</t>
        </is>
      </c>
      <c r="AG842" t="n">
        <v>134111</v>
      </c>
      <c r="AH842" t="inlineStr">
        <is>
          <t>LOMAS</t>
        </is>
      </c>
      <c r="AI842" t="inlineStr">
        <is>
          <t>BROMERO@BANCOBASE.COM</t>
        </is>
      </c>
      <c r="AJ842" s="151" t="n">
        <v>45552</v>
      </c>
      <c r="AK842" s="151" t="n"/>
      <c r="AL842" s="151" t="n"/>
    </row>
    <row r="843" hidden="1" s="150">
      <c r="A843" t="inlineStr">
        <is>
          <t>ACASTROM</t>
        </is>
      </c>
      <c r="B843" t="n">
        <v>3733</v>
      </c>
      <c r="C843" t="inlineStr">
        <is>
          <t>ADRIANA YAZMIN CASTRO MAESTRE</t>
        </is>
      </c>
      <c r="D843" t="n">
        <v>8334</v>
      </c>
      <c r="E843" t="inlineStr">
        <is>
          <t>ASISTENTE CAMBIARIO</t>
        </is>
      </c>
      <c r="F843" t="inlineStr">
        <is>
          <t>MEXICO</t>
        </is>
      </c>
      <c r="G843" t="n">
        <v>2280</v>
      </c>
      <c r="H843" t="inlineStr">
        <is>
          <t>PABLO GONZALEZ GONZALEZ</t>
        </is>
      </c>
      <c r="I843" t="n">
        <v>3596</v>
      </c>
      <c r="J843" t="inlineStr">
        <is>
          <t>SUBDIRECTOR COMERCIAL</t>
        </is>
      </c>
      <c r="K843" t="n">
        <v>1</v>
      </c>
      <c r="L843" t="inlineStr">
        <is>
          <t>PRESIDENCIA EJECUTIVA DEL CONSEJO</t>
        </is>
      </c>
      <c r="M843" t="n">
        <v>40</v>
      </c>
      <c r="N843" t="inlineStr">
        <is>
          <t>DIRECCION GENERAL BANCO BASE</t>
        </is>
      </c>
      <c r="O843" t="n">
        <v>410</v>
      </c>
      <c r="P843" t="inlineStr">
        <is>
          <t>DIRECCION COMERCIAL</t>
        </is>
      </c>
      <c r="Q843" t="n">
        <v>4190</v>
      </c>
      <c r="R843" t="inlineStr">
        <is>
          <t>DIRECCION COMERCIAL CDMX 1</t>
        </is>
      </c>
      <c r="S843" t="n">
        <v>41940</v>
      </c>
      <c r="T843" t="inlineStr">
        <is>
          <t>SUBDIRECCION COMERCIAL CDMX 4</t>
        </is>
      </c>
      <c r="U843" t="n">
        <v>419400</v>
      </c>
      <c r="V843" t="inlineStr">
        <is>
          <t>SUBDIRECCION COMERCIAL CDMX 4</t>
        </is>
      </c>
      <c r="W843" t="n">
        <v>134111</v>
      </c>
      <c r="X843" t="inlineStr">
        <is>
          <t>LOMAS</t>
        </is>
      </c>
      <c r="Y843" t="n">
        <v>3</v>
      </c>
      <c r="Z843" t="inlineStr">
        <is>
          <t>CAMBIARIO</t>
        </is>
      </c>
      <c r="AA843" t="n">
        <v>1</v>
      </c>
      <c r="AB843" t="inlineStr">
        <is>
          <t>NEGOCIO EN MARCHA</t>
        </is>
      </c>
      <c r="AC843" t="n">
        <v>1</v>
      </c>
      <c r="AD843" t="inlineStr">
        <is>
          <t>BANCO</t>
        </is>
      </c>
      <c r="AE843" t="n">
        <v>2</v>
      </c>
      <c r="AF843" t="inlineStr">
        <is>
          <t>MIDDLE</t>
        </is>
      </c>
      <c r="AG843" t="n">
        <v>134111</v>
      </c>
      <c r="AH843" t="inlineStr">
        <is>
          <t>LOMAS</t>
        </is>
      </c>
      <c r="AI843" t="inlineStr">
        <is>
          <t>ACASTROM@BANCOBASE.COM</t>
        </is>
      </c>
      <c r="AJ843" s="151" t="n">
        <v>46027</v>
      </c>
      <c r="AK843" s="151" t="n"/>
      <c r="AL843" s="151" t="n"/>
    </row>
    <row r="844" hidden="1" s="150">
      <c r="A844" t="inlineStr">
        <is>
          <t>KBARRO</t>
        </is>
      </c>
      <c r="B844" t="n">
        <v>2983</v>
      </c>
      <c r="C844" t="inlineStr">
        <is>
          <t>KEVIN BARRO ZAMORA</t>
        </is>
      </c>
      <c r="D844" t="n">
        <v>9160</v>
      </c>
      <c r="E844" t="inlineStr">
        <is>
          <t>ASESOR CAMBIARIO</t>
        </is>
      </c>
      <c r="F844" t="inlineStr">
        <is>
          <t>MEXICO</t>
        </is>
      </c>
      <c r="G844" t="n">
        <v>2280</v>
      </c>
      <c r="H844" t="inlineStr">
        <is>
          <t>PABLO GONZALEZ GONZALEZ</t>
        </is>
      </c>
      <c r="I844" t="n">
        <v>3596</v>
      </c>
      <c r="J844" t="inlineStr">
        <is>
          <t>SUBDIRECTOR COMERCIAL</t>
        </is>
      </c>
      <c r="K844" t="n">
        <v>1</v>
      </c>
      <c r="L844" t="inlineStr">
        <is>
          <t>PRESIDENCIA EJECUTIVA DEL CONSEJO</t>
        </is>
      </c>
      <c r="M844" t="n">
        <v>40</v>
      </c>
      <c r="N844" t="inlineStr">
        <is>
          <t>DIRECCION GENERAL BANCO BASE</t>
        </is>
      </c>
      <c r="O844" t="n">
        <v>410</v>
      </c>
      <c r="P844" t="inlineStr">
        <is>
          <t>DIRECCION COMERCIAL</t>
        </is>
      </c>
      <c r="Q844" t="n">
        <v>4190</v>
      </c>
      <c r="R844" t="inlineStr">
        <is>
          <t>DIRECCION COMERCIAL CDMX 1</t>
        </is>
      </c>
      <c r="S844" t="n">
        <v>41940</v>
      </c>
      <c r="T844" t="inlineStr">
        <is>
          <t>SUBDIRECCION COMERCIAL CDMX 4</t>
        </is>
      </c>
      <c r="U844" t="n">
        <v>419400</v>
      </c>
      <c r="V844" t="inlineStr">
        <is>
          <t>SUBDIRECCION COMERCIAL CDMX 4</t>
        </is>
      </c>
      <c r="W844" t="n">
        <v>134111</v>
      </c>
      <c r="X844" t="inlineStr">
        <is>
          <t>LOMAS</t>
        </is>
      </c>
      <c r="Y844" t="n">
        <v>3</v>
      </c>
      <c r="Z844" t="inlineStr">
        <is>
          <t>CAMBIARIO</t>
        </is>
      </c>
      <c r="AA844" t="n">
        <v>1</v>
      </c>
      <c r="AB844" t="inlineStr">
        <is>
          <t>NEGOCIO EN MARCHA</t>
        </is>
      </c>
      <c r="AC844" t="n">
        <v>1</v>
      </c>
      <c r="AD844" t="inlineStr">
        <is>
          <t>BANCO</t>
        </is>
      </c>
      <c r="AE844" t="n">
        <v>3</v>
      </c>
      <c r="AF844" t="inlineStr">
        <is>
          <t>FRONT</t>
        </is>
      </c>
      <c r="AG844" t="n">
        <v>134111</v>
      </c>
      <c r="AH844" t="inlineStr">
        <is>
          <t>LOMAS</t>
        </is>
      </c>
      <c r="AI844" t="inlineStr">
        <is>
          <t>KBARRO@BANCOBASE.COM</t>
        </is>
      </c>
      <c r="AJ844" s="151" t="n">
        <v>45237</v>
      </c>
      <c r="AK844" s="151" t="n"/>
      <c r="AL844" s="151" t="n"/>
    </row>
    <row r="845" hidden="1" s="150">
      <c r="A845" t="inlineStr">
        <is>
          <t>IRIOSG</t>
        </is>
      </c>
      <c r="B845" t="n">
        <v>1911</v>
      </c>
      <c r="C845" t="inlineStr">
        <is>
          <t>ITZEL MONSERRAT RIOS GARCIA</t>
        </is>
      </c>
      <c r="D845" t="n">
        <v>9411</v>
      </c>
      <c r="E845" t="inlineStr">
        <is>
          <t>ASISTENTE CAMBIARIO</t>
        </is>
      </c>
      <c r="F845" t="inlineStr">
        <is>
          <t>MEXICO</t>
        </is>
      </c>
      <c r="G845" t="n">
        <v>2280</v>
      </c>
      <c r="H845" t="inlineStr">
        <is>
          <t>PABLO GONZALEZ GONZALEZ</t>
        </is>
      </c>
      <c r="I845" t="n">
        <v>3596</v>
      </c>
      <c r="J845" t="inlineStr">
        <is>
          <t>SUBDIRECTOR COMERCIAL</t>
        </is>
      </c>
      <c r="K845" t="n">
        <v>1</v>
      </c>
      <c r="L845" t="inlineStr">
        <is>
          <t>PRESIDENCIA EJECUTIVA DEL CONSEJO</t>
        </is>
      </c>
      <c r="M845" t="n">
        <v>40</v>
      </c>
      <c r="N845" t="inlineStr">
        <is>
          <t>DIRECCION GENERAL BANCO BASE</t>
        </is>
      </c>
      <c r="O845" t="n">
        <v>410</v>
      </c>
      <c r="P845" t="inlineStr">
        <is>
          <t>DIRECCION COMERCIAL</t>
        </is>
      </c>
      <c r="Q845" t="n">
        <v>4190</v>
      </c>
      <c r="R845" t="inlineStr">
        <is>
          <t>DIRECCION COMERCIAL CDMX 1</t>
        </is>
      </c>
      <c r="S845" t="n">
        <v>41940</v>
      </c>
      <c r="T845" t="inlineStr">
        <is>
          <t>SUBDIRECCION COMERCIAL CDMX 4</t>
        </is>
      </c>
      <c r="U845" t="n">
        <v>419400</v>
      </c>
      <c r="V845" t="inlineStr">
        <is>
          <t>SUBDIRECCION COMERCIAL CDMX 4</t>
        </is>
      </c>
      <c r="W845" t="n">
        <v>134111</v>
      </c>
      <c r="X845" t="inlineStr">
        <is>
          <t>LOMAS</t>
        </is>
      </c>
      <c r="Y845" t="n">
        <v>3</v>
      </c>
      <c r="Z845" t="inlineStr">
        <is>
          <t>CAMBIARIO</t>
        </is>
      </c>
      <c r="AA845" t="n">
        <v>1</v>
      </c>
      <c r="AB845" t="inlineStr">
        <is>
          <t>NEGOCIO EN MARCHA</t>
        </is>
      </c>
      <c r="AC845" t="n">
        <v>1</v>
      </c>
      <c r="AD845" t="inlineStr">
        <is>
          <t>BANCO</t>
        </is>
      </c>
      <c r="AE845" t="n">
        <v>2</v>
      </c>
      <c r="AF845" t="inlineStr">
        <is>
          <t>MIDDLE</t>
        </is>
      </c>
      <c r="AG845" t="n">
        <v>134111</v>
      </c>
      <c r="AH845" t="inlineStr">
        <is>
          <t>LOMAS</t>
        </is>
      </c>
      <c r="AI845" t="inlineStr">
        <is>
          <t>IRIOSG@BANCOBASE.COM</t>
        </is>
      </c>
      <c r="AJ845" s="151" t="n">
        <v>43117</v>
      </c>
      <c r="AK845" s="151" t="n"/>
      <c r="AL845" s="151" t="n"/>
    </row>
    <row r="846" hidden="1" s="150">
      <c r="A846" t="inlineStr">
        <is>
          <t>MRIOS</t>
        </is>
      </c>
      <c r="B846" t="n">
        <v>918</v>
      </c>
      <c r="C846" t="inlineStr">
        <is>
          <t>MADAI RIOS GONZALEZ</t>
        </is>
      </c>
      <c r="D846" t="n">
        <v>9660</v>
      </c>
      <c r="E846" t="inlineStr">
        <is>
          <t>ASESOR CAMBIARIO</t>
        </is>
      </c>
      <c r="F846" t="inlineStr">
        <is>
          <t>MEXICO</t>
        </is>
      </c>
      <c r="G846" t="n">
        <v>2280</v>
      </c>
      <c r="H846" t="inlineStr">
        <is>
          <t>PABLO GONZALEZ GONZALEZ</t>
        </is>
      </c>
      <c r="I846" t="n">
        <v>3596</v>
      </c>
      <c r="J846" t="inlineStr">
        <is>
          <t>SUBDIRECTOR COMERCIAL</t>
        </is>
      </c>
      <c r="K846" t="n">
        <v>1</v>
      </c>
      <c r="L846" t="inlineStr">
        <is>
          <t>PRESIDENCIA EJECUTIVA DEL CONSEJO</t>
        </is>
      </c>
      <c r="M846" t="n">
        <v>40</v>
      </c>
      <c r="N846" t="inlineStr">
        <is>
          <t>DIRECCION GENERAL BANCO BASE</t>
        </is>
      </c>
      <c r="O846" t="n">
        <v>410</v>
      </c>
      <c r="P846" t="inlineStr">
        <is>
          <t>DIRECCION COMERCIAL</t>
        </is>
      </c>
      <c r="Q846" t="n">
        <v>4190</v>
      </c>
      <c r="R846" t="inlineStr">
        <is>
          <t>DIRECCION COMERCIAL CDMX 1</t>
        </is>
      </c>
      <c r="S846" t="n">
        <v>41940</v>
      </c>
      <c r="T846" t="inlineStr">
        <is>
          <t>SUBDIRECCION COMERCIAL CDMX 4</t>
        </is>
      </c>
      <c r="U846" t="n">
        <v>419400</v>
      </c>
      <c r="V846" t="inlineStr">
        <is>
          <t>SUBDIRECCION COMERCIAL CDMX 4</t>
        </is>
      </c>
      <c r="W846" t="n">
        <v>134111</v>
      </c>
      <c r="X846" t="inlineStr">
        <is>
          <t>LOMAS</t>
        </is>
      </c>
      <c r="Y846" t="n">
        <v>3</v>
      </c>
      <c r="Z846" t="inlineStr">
        <is>
          <t>CAMBIARIO</t>
        </is>
      </c>
      <c r="AA846" t="n">
        <v>1</v>
      </c>
      <c r="AB846" t="inlineStr">
        <is>
          <t>NEGOCIO EN MARCHA</t>
        </is>
      </c>
      <c r="AC846" t="n">
        <v>1</v>
      </c>
      <c r="AD846" t="inlineStr">
        <is>
          <t>BANCO</t>
        </is>
      </c>
      <c r="AE846" t="n">
        <v>3</v>
      </c>
      <c r="AF846" t="inlineStr">
        <is>
          <t>FRONT</t>
        </is>
      </c>
      <c r="AG846" t="n">
        <v>134111</v>
      </c>
      <c r="AH846" t="inlineStr">
        <is>
          <t>LOMAS</t>
        </is>
      </c>
      <c r="AI846" t="inlineStr">
        <is>
          <t>MRIOS@BANCOBASE.COM</t>
        </is>
      </c>
      <c r="AJ846" s="151" t="n">
        <v>41106</v>
      </c>
      <c r="AK846" s="151" t="n"/>
      <c r="AL846" s="151" t="n"/>
    </row>
    <row r="847" hidden="1" s="150">
      <c r="A847" t="inlineStr">
        <is>
          <t>BLARA</t>
        </is>
      </c>
      <c r="B847" t="n">
        <v>3489</v>
      </c>
      <c r="C847" t="inlineStr">
        <is>
          <t>BLANCA DANIELA LARA VALADEZ</t>
        </is>
      </c>
      <c r="D847" t="n">
        <v>8653</v>
      </c>
      <c r="E847" t="inlineStr">
        <is>
          <t>EJECUTIVO DE SOPORTE</t>
        </is>
      </c>
      <c r="F847" t="inlineStr">
        <is>
          <t>MEXICO</t>
        </is>
      </c>
      <c r="G847" t="n">
        <v>2280</v>
      </c>
      <c r="H847" t="inlineStr">
        <is>
          <t>PABLO GONZALEZ GONZALEZ</t>
        </is>
      </c>
      <c r="I847" t="n">
        <v>3596</v>
      </c>
      <c r="J847" t="inlineStr">
        <is>
          <t>SUBDIRECTOR COMERCIAL</t>
        </is>
      </c>
      <c r="K847" t="n">
        <v>1</v>
      </c>
      <c r="L847" t="inlineStr">
        <is>
          <t>PRESIDENCIA EJECUTIVA DEL CONSEJO</t>
        </is>
      </c>
      <c r="M847" t="n">
        <v>40</v>
      </c>
      <c r="N847" t="inlineStr">
        <is>
          <t>DIRECCION GENERAL BANCO BASE</t>
        </is>
      </c>
      <c r="O847" t="n">
        <v>410</v>
      </c>
      <c r="P847" t="inlineStr">
        <is>
          <t>DIRECCION COMERCIAL</t>
        </is>
      </c>
      <c r="Q847" t="n">
        <v>4190</v>
      </c>
      <c r="R847" t="inlineStr">
        <is>
          <t>DIRECCION COMERCIAL CDMX 1</t>
        </is>
      </c>
      <c r="S847" t="n">
        <v>41940</v>
      </c>
      <c r="T847" t="inlineStr">
        <is>
          <t>SUBDIRECCION COMERCIAL CDMX 4</t>
        </is>
      </c>
      <c r="U847" t="n">
        <v>419400</v>
      </c>
      <c r="V847" t="inlineStr">
        <is>
          <t>SUBDIRECCION COMERCIAL CDMX 4</t>
        </is>
      </c>
      <c r="W847" t="n">
        <v>134111</v>
      </c>
      <c r="X847" t="inlineStr">
        <is>
          <t>LOMAS</t>
        </is>
      </c>
      <c r="Y847" t="n">
        <v>17</v>
      </c>
      <c r="Z847" t="inlineStr">
        <is>
          <t>SOPORTE</t>
        </is>
      </c>
      <c r="AA847" t="n">
        <v>1</v>
      </c>
      <c r="AB847" t="inlineStr">
        <is>
          <t>NEGOCIO EN MARCHA</t>
        </is>
      </c>
      <c r="AC847" t="n">
        <v>1</v>
      </c>
      <c r="AD847" t="inlineStr">
        <is>
          <t>BANCO</t>
        </is>
      </c>
      <c r="AE847" t="n">
        <v>2</v>
      </c>
      <c r="AF847" t="inlineStr">
        <is>
          <t>MIDDLE</t>
        </is>
      </c>
      <c r="AG847" t="n">
        <v>134111</v>
      </c>
      <c r="AH847" t="inlineStr">
        <is>
          <t>LOMAS</t>
        </is>
      </c>
      <c r="AI847" t="inlineStr">
        <is>
          <t>BLARA@BANCOBASE.COM</t>
        </is>
      </c>
      <c r="AJ847" s="151" t="n">
        <v>45854</v>
      </c>
      <c r="AK847" s="151" t="n"/>
      <c r="AL847" s="151" t="n"/>
    </row>
    <row r="848" hidden="1" s="150">
      <c r="A848" t="inlineStr">
        <is>
          <t>ISANJUAN</t>
        </is>
      </c>
      <c r="B848" t="n">
        <v>3523</v>
      </c>
      <c r="C848" t="inlineStr">
        <is>
          <t>ITZEL KARINA SAN JUAN SOSA</t>
        </is>
      </c>
      <c r="D848" t="n">
        <v>8247</v>
      </c>
      <c r="E848" t="inlineStr">
        <is>
          <t>ASESOR CAMBIARIO</t>
        </is>
      </c>
      <c r="F848" t="inlineStr">
        <is>
          <t>TELETRABAJO</t>
        </is>
      </c>
      <c r="G848" t="n">
        <v>2280</v>
      </c>
      <c r="H848" t="inlineStr">
        <is>
          <t>PABLO GONZALEZ GONZALEZ</t>
        </is>
      </c>
      <c r="I848" t="n">
        <v>3596</v>
      </c>
      <c r="J848" t="inlineStr">
        <is>
          <t>SUBDIRECTOR COMERCIAL</t>
        </is>
      </c>
      <c r="K848" t="n">
        <v>1</v>
      </c>
      <c r="L848" t="inlineStr">
        <is>
          <t>PRESIDENCIA EJECUTIVA DEL CONSEJO</t>
        </is>
      </c>
      <c r="M848" t="n">
        <v>40</v>
      </c>
      <c r="N848" t="inlineStr">
        <is>
          <t>DIRECCION GENERAL BANCO BASE</t>
        </is>
      </c>
      <c r="O848" t="n">
        <v>410</v>
      </c>
      <c r="P848" t="inlineStr">
        <is>
          <t>DIRECCION COMERCIAL</t>
        </is>
      </c>
      <c r="Q848" t="n">
        <v>4190</v>
      </c>
      <c r="R848" t="inlineStr">
        <is>
          <t>DIRECCION COMERCIAL CDMX 1</t>
        </is>
      </c>
      <c r="S848" t="n">
        <v>41940</v>
      </c>
      <c r="T848" t="inlineStr">
        <is>
          <t>SUBDIRECCION COMERCIAL CDMX 4</t>
        </is>
      </c>
      <c r="U848" t="n">
        <v>419400</v>
      </c>
      <c r="V848" t="inlineStr">
        <is>
          <t>SUBDIRECCION COMERCIAL CDMX 4</t>
        </is>
      </c>
      <c r="W848" t="n">
        <v>134111</v>
      </c>
      <c r="X848" t="inlineStr">
        <is>
          <t>LOMAS</t>
        </is>
      </c>
      <c r="Y848" t="n">
        <v>3</v>
      </c>
      <c r="Z848" t="inlineStr">
        <is>
          <t>CAMBIARIO</t>
        </is>
      </c>
      <c r="AA848" t="n">
        <v>1</v>
      </c>
      <c r="AB848" t="inlineStr">
        <is>
          <t>NEGOCIO EN MARCHA</t>
        </is>
      </c>
      <c r="AC848" t="n">
        <v>1</v>
      </c>
      <c r="AD848" t="inlineStr">
        <is>
          <t>BANCO</t>
        </is>
      </c>
      <c r="AE848" t="n">
        <v>3</v>
      </c>
      <c r="AF848" t="inlineStr">
        <is>
          <t>FRONT</t>
        </is>
      </c>
      <c r="AG848" t="n">
        <v>134111</v>
      </c>
      <c r="AH848" t="inlineStr">
        <is>
          <t>LOMAS</t>
        </is>
      </c>
      <c r="AI848" t="inlineStr">
        <is>
          <t>ISANJUAN@BANCOBASE.COM</t>
        </is>
      </c>
      <c r="AJ848" s="151" t="n">
        <v>45880</v>
      </c>
      <c r="AK848" s="151" t="n"/>
      <c r="AL848" s="151" t="n"/>
    </row>
    <row r="849" hidden="1" s="150">
      <c r="A849" t="inlineStr">
        <is>
          <t>DAMADOR</t>
        </is>
      </c>
      <c r="B849" t="n">
        <v>3541</v>
      </c>
      <c r="C849" t="inlineStr">
        <is>
          <t>DIANA ELENA AMADOR GOMEZ</t>
        </is>
      </c>
      <c r="D849" t="n">
        <v>8766</v>
      </c>
      <c r="E849" t="inlineStr">
        <is>
          <t>ASESOR CAMBIARIO</t>
        </is>
      </c>
      <c r="F849" t="inlineStr">
        <is>
          <t>MEXICO</t>
        </is>
      </c>
      <c r="G849" t="n">
        <v>2280</v>
      </c>
      <c r="H849" t="inlineStr">
        <is>
          <t>PABLO GONZALEZ GONZALEZ</t>
        </is>
      </c>
      <c r="I849" t="n">
        <v>3596</v>
      </c>
      <c r="J849" t="inlineStr">
        <is>
          <t>SUBDIRECTOR COMERCIAL</t>
        </is>
      </c>
      <c r="K849" t="n">
        <v>1</v>
      </c>
      <c r="L849" t="inlineStr">
        <is>
          <t>PRESIDENCIA EJECUTIVA DEL CONSEJO</t>
        </is>
      </c>
      <c r="M849" t="n">
        <v>40</v>
      </c>
      <c r="N849" t="inlineStr">
        <is>
          <t>DIRECCION GENERAL BANCO BASE</t>
        </is>
      </c>
      <c r="O849" t="n">
        <v>410</v>
      </c>
      <c r="P849" t="inlineStr">
        <is>
          <t>DIRECCION COMERCIAL</t>
        </is>
      </c>
      <c r="Q849" t="n">
        <v>4190</v>
      </c>
      <c r="R849" t="inlineStr">
        <is>
          <t>DIRECCION COMERCIAL CDMX 1</t>
        </is>
      </c>
      <c r="S849" t="n">
        <v>41940</v>
      </c>
      <c r="T849" t="inlineStr">
        <is>
          <t>SUBDIRECCION COMERCIAL CDMX 4</t>
        </is>
      </c>
      <c r="U849" t="n">
        <v>419400</v>
      </c>
      <c r="V849" t="inlineStr">
        <is>
          <t>SUBDIRECCION COMERCIAL CDMX 4</t>
        </is>
      </c>
      <c r="W849" t="n">
        <v>134111</v>
      </c>
      <c r="X849" t="inlineStr">
        <is>
          <t>LOMAS</t>
        </is>
      </c>
      <c r="Y849" t="n">
        <v>3</v>
      </c>
      <c r="Z849" t="inlineStr">
        <is>
          <t>CAMBIARIO</t>
        </is>
      </c>
      <c r="AA849" t="n">
        <v>1</v>
      </c>
      <c r="AB849" t="inlineStr">
        <is>
          <t>NEGOCIO EN MARCHA</t>
        </is>
      </c>
      <c r="AC849" t="n">
        <v>1</v>
      </c>
      <c r="AD849" t="inlineStr">
        <is>
          <t>BANCO</t>
        </is>
      </c>
      <c r="AE849" t="n">
        <v>3</v>
      </c>
      <c r="AF849" t="inlineStr">
        <is>
          <t>FRONT</t>
        </is>
      </c>
      <c r="AG849" t="n">
        <v>134111</v>
      </c>
      <c r="AH849" t="inlineStr">
        <is>
          <t>LOMAS</t>
        </is>
      </c>
      <c r="AI849" t="inlineStr">
        <is>
          <t>DAMADOR@BANCOBASE.COM</t>
        </is>
      </c>
      <c r="AJ849" s="151" t="n">
        <v>45894</v>
      </c>
      <c r="AK849" s="151" t="n"/>
      <c r="AL849" s="151" t="n"/>
    </row>
    <row r="850" hidden="1" s="150">
      <c r="A850" t="inlineStr">
        <is>
          <t>RHUERTAG</t>
        </is>
      </c>
      <c r="B850" t="n">
        <v>3530</v>
      </c>
      <c r="C850" t="inlineStr">
        <is>
          <t>ROSANA ASTRID HUERTA GARCIA</t>
        </is>
      </c>
      <c r="D850" t="n">
        <v>10242</v>
      </c>
      <c r="E850" t="inlineStr">
        <is>
          <t>ASESOR CAMBIARIO</t>
        </is>
      </c>
      <c r="F850" t="inlineStr">
        <is>
          <t>MEXICO</t>
        </is>
      </c>
      <c r="G850" t="n">
        <v>2280</v>
      </c>
      <c r="H850" t="inlineStr">
        <is>
          <t>PABLO GONZALEZ GONZALEZ</t>
        </is>
      </c>
      <c r="I850" t="n">
        <v>3596</v>
      </c>
      <c r="J850" t="inlineStr">
        <is>
          <t>SUBDIRECTOR COMERCIAL</t>
        </is>
      </c>
      <c r="K850" t="n">
        <v>1</v>
      </c>
      <c r="L850" t="inlineStr">
        <is>
          <t>PRESIDENCIA EJECUTIVA DEL CONSEJO</t>
        </is>
      </c>
      <c r="M850" t="n">
        <v>40</v>
      </c>
      <c r="N850" t="inlineStr">
        <is>
          <t>DIRECCION GENERAL BANCO BASE</t>
        </is>
      </c>
      <c r="O850" t="n">
        <v>410</v>
      </c>
      <c r="P850" t="inlineStr">
        <is>
          <t>DIRECCION COMERCIAL</t>
        </is>
      </c>
      <c r="Q850" t="n">
        <v>4190</v>
      </c>
      <c r="R850" t="inlineStr">
        <is>
          <t>DIRECCION COMERCIAL CDMX 1</t>
        </is>
      </c>
      <c r="S850" t="n">
        <v>41940</v>
      </c>
      <c r="T850" t="inlineStr">
        <is>
          <t>SUBDIRECCION COMERCIAL CDMX 4</t>
        </is>
      </c>
      <c r="U850" t="n">
        <v>419400</v>
      </c>
      <c r="V850" t="inlineStr">
        <is>
          <t>SUBDIRECCION COMERCIAL CDMX 4</t>
        </is>
      </c>
      <c r="W850" t="n">
        <v>134111</v>
      </c>
      <c r="X850" t="inlineStr">
        <is>
          <t>LOMAS</t>
        </is>
      </c>
      <c r="Y850" t="n">
        <v>3</v>
      </c>
      <c r="Z850" t="inlineStr">
        <is>
          <t>CAMBIARIO</t>
        </is>
      </c>
      <c r="AA850" t="n">
        <v>1</v>
      </c>
      <c r="AB850" t="inlineStr">
        <is>
          <t>NEGOCIO EN MARCHA</t>
        </is>
      </c>
      <c r="AC850" t="n">
        <v>1</v>
      </c>
      <c r="AD850" t="inlineStr">
        <is>
          <t>BANCO</t>
        </is>
      </c>
      <c r="AE850" t="n">
        <v>3</v>
      </c>
      <c r="AF850" t="inlineStr">
        <is>
          <t>FRONT</t>
        </is>
      </c>
      <c r="AG850" t="n">
        <v>134111</v>
      </c>
      <c r="AH850" t="inlineStr">
        <is>
          <t>LOMAS</t>
        </is>
      </c>
      <c r="AI850" t="inlineStr">
        <is>
          <t>RHUERTAG@BANCOBASE.COM</t>
        </is>
      </c>
      <c r="AJ850" s="151" t="n">
        <v>45887</v>
      </c>
      <c r="AK850" s="151" t="n"/>
      <c r="AL850" s="151" t="n"/>
    </row>
    <row r="851" hidden="1" s="150">
      <c r="A851" t="inlineStr">
        <is>
          <t>AARROYOA</t>
        </is>
      </c>
      <c r="B851" t="n">
        <v>3605</v>
      </c>
      <c r="C851" t="inlineStr">
        <is>
          <t>ANA MARIA ARACELI ARROYO LEAL</t>
        </is>
      </c>
      <c r="D851" t="n">
        <v>8769</v>
      </c>
      <c r="E851" t="inlineStr">
        <is>
          <t>ASISTENTE CAMBIARIO</t>
        </is>
      </c>
      <c r="F851" t="inlineStr">
        <is>
          <t>TELETRABAJO</t>
        </is>
      </c>
      <c r="G851" t="n">
        <v>2280</v>
      </c>
      <c r="H851" t="inlineStr">
        <is>
          <t>PABLO GONZALEZ GONZALEZ</t>
        </is>
      </c>
      <c r="I851" t="n">
        <v>3596</v>
      </c>
      <c r="J851" t="inlineStr">
        <is>
          <t>SUBDIRECTOR COMERCIAL</t>
        </is>
      </c>
      <c r="K851" t="n">
        <v>1</v>
      </c>
      <c r="L851" t="inlineStr">
        <is>
          <t>PRESIDENCIA EJECUTIVA DEL CONSEJO</t>
        </is>
      </c>
      <c r="M851" t="n">
        <v>40</v>
      </c>
      <c r="N851" t="inlineStr">
        <is>
          <t>DIRECCION GENERAL BANCO BASE</t>
        </is>
      </c>
      <c r="O851" t="n">
        <v>410</v>
      </c>
      <c r="P851" t="inlineStr">
        <is>
          <t>DIRECCION COMERCIAL</t>
        </is>
      </c>
      <c r="Q851" t="n">
        <v>4190</v>
      </c>
      <c r="R851" t="inlineStr">
        <is>
          <t>DIRECCION COMERCIAL CDMX 1</t>
        </is>
      </c>
      <c r="S851" t="n">
        <v>41940</v>
      </c>
      <c r="T851" t="inlineStr">
        <is>
          <t>SUBDIRECCION COMERCIAL CDMX 4</t>
        </is>
      </c>
      <c r="U851" t="n">
        <v>419400</v>
      </c>
      <c r="V851" t="inlineStr">
        <is>
          <t>SUBDIRECCION COMERCIAL CDMX 4</t>
        </is>
      </c>
      <c r="W851" t="n">
        <v>134111</v>
      </c>
      <c r="X851" t="inlineStr">
        <is>
          <t>LOMAS</t>
        </is>
      </c>
      <c r="Y851" t="n">
        <v>3</v>
      </c>
      <c r="Z851" t="inlineStr">
        <is>
          <t>CAMBIARIO</t>
        </is>
      </c>
      <c r="AA851" t="n">
        <v>1</v>
      </c>
      <c r="AB851" t="inlineStr">
        <is>
          <t>NEGOCIO EN MARCHA</t>
        </is>
      </c>
      <c r="AC851" t="n">
        <v>1</v>
      </c>
      <c r="AD851" t="inlineStr">
        <is>
          <t>BANCO</t>
        </is>
      </c>
      <c r="AE851" t="n">
        <v>2</v>
      </c>
      <c r="AF851" t="inlineStr">
        <is>
          <t>MIDDLE</t>
        </is>
      </c>
      <c r="AG851" t="n">
        <v>134111</v>
      </c>
      <c r="AH851" t="inlineStr">
        <is>
          <t>LOMAS</t>
        </is>
      </c>
      <c r="AI851" t="inlineStr">
        <is>
          <t>AARROYOA@BANCOBASE.COM</t>
        </is>
      </c>
      <c r="AJ851" s="151" t="n">
        <v>45931</v>
      </c>
      <c r="AK851" s="151" t="n"/>
      <c r="AL851" s="151" t="n"/>
    </row>
    <row r="852" hidden="1" s="150">
      <c r="A852" t="inlineStr">
        <is>
          <t>CGONZALEZC</t>
        </is>
      </c>
      <c r="B852" t="n">
        <v>1568</v>
      </c>
      <c r="C852" t="inlineStr">
        <is>
          <t>CARLOS ANDRES GONZALEZ CASTRO</t>
        </is>
      </c>
      <c r="D852" t="n">
        <v>8727</v>
      </c>
      <c r="E852" t="inlineStr">
        <is>
          <t>ESPECIALISTA DE FINANCIAMIENTO</t>
        </is>
      </c>
      <c r="F852" t="inlineStr">
        <is>
          <t>MEXICO</t>
        </is>
      </c>
      <c r="G852" t="n">
        <v>2280</v>
      </c>
      <c r="H852" t="inlineStr">
        <is>
          <t>PABLO GONZALEZ GONZALEZ</t>
        </is>
      </c>
      <c r="I852" t="n">
        <v>3596</v>
      </c>
      <c r="J852" t="inlineStr">
        <is>
          <t>SUBDIRECTOR COMERCIAL</t>
        </is>
      </c>
      <c r="K852" t="n">
        <v>1</v>
      </c>
      <c r="L852" t="inlineStr">
        <is>
          <t>PRESIDENCIA EJECUTIVA DEL CONSEJO</t>
        </is>
      </c>
      <c r="M852" t="n">
        <v>40</v>
      </c>
      <c r="N852" t="inlineStr">
        <is>
          <t>DIRECCION GENERAL BANCO BASE</t>
        </is>
      </c>
      <c r="O852" t="n">
        <v>410</v>
      </c>
      <c r="P852" t="inlineStr">
        <is>
          <t>DIRECCION COMERCIAL</t>
        </is>
      </c>
      <c r="Q852" t="n">
        <v>4190</v>
      </c>
      <c r="R852" t="inlineStr">
        <is>
          <t>DIRECCION COMERCIAL CDMX 1</t>
        </is>
      </c>
      <c r="S852" t="n">
        <v>41940</v>
      </c>
      <c r="T852" t="inlineStr">
        <is>
          <t>SUBDIRECCION COMERCIAL CDMX 4</t>
        </is>
      </c>
      <c r="U852" t="n">
        <v>419400</v>
      </c>
      <c r="V852" t="inlineStr">
        <is>
          <t>SUBDIRECCION COMERCIAL CDMX 4</t>
        </is>
      </c>
      <c r="W852" t="n">
        <v>134111</v>
      </c>
      <c r="X852" t="inlineStr">
        <is>
          <t>LOMAS</t>
        </is>
      </c>
      <c r="Y852" t="n">
        <v>13</v>
      </c>
      <c r="Z852" t="inlineStr">
        <is>
          <t>FINANCIAMIENTO</t>
        </is>
      </c>
      <c r="AA852" t="n">
        <v>1</v>
      </c>
      <c r="AB852" t="inlineStr">
        <is>
          <t>NEGOCIO EN MARCHA</t>
        </is>
      </c>
      <c r="AC852" t="n">
        <v>1</v>
      </c>
      <c r="AD852" t="inlineStr">
        <is>
          <t>BANCO</t>
        </is>
      </c>
      <c r="AE852" t="n">
        <v>3</v>
      </c>
      <c r="AF852" t="inlineStr">
        <is>
          <t>FRONT</t>
        </is>
      </c>
      <c r="AG852" t="n">
        <v>134111</v>
      </c>
      <c r="AH852" t="inlineStr">
        <is>
          <t>LOMAS</t>
        </is>
      </c>
      <c r="AI852" t="inlineStr">
        <is>
          <t>CGONZALEZC@BANCOBASE.COM</t>
        </is>
      </c>
      <c r="AJ852" s="151" t="n">
        <v>42522</v>
      </c>
      <c r="AK852" s="151" t="n"/>
      <c r="AL852" s="151" t="n"/>
    </row>
    <row r="853" hidden="1" s="150">
      <c r="A853" t="inlineStr">
        <is>
          <t>VTREJO</t>
        </is>
      </c>
      <c r="B853" t="n">
        <v>3058</v>
      </c>
      <c r="C853" t="inlineStr">
        <is>
          <t>VICTOR TREJO VAZQUEZ</t>
        </is>
      </c>
      <c r="D853" t="n">
        <v>9185</v>
      </c>
      <c r="E853" t="inlineStr">
        <is>
          <t>SUBDIRECTOR COMERCIAL</t>
        </is>
      </c>
      <c r="F853" t="inlineStr">
        <is>
          <t>MEXICO</t>
        </is>
      </c>
      <c r="G853" t="n">
        <v>2360</v>
      </c>
      <c r="H853" t="inlineStr">
        <is>
          <t>JULIAN AMIEVA ALONSO</t>
        </is>
      </c>
      <c r="I853" t="n">
        <v>9650</v>
      </c>
      <c r="J853" t="inlineStr">
        <is>
          <t>DIRECTOR COMERCIAL CIUDAD DE MEXICO</t>
        </is>
      </c>
      <c r="K853" t="n">
        <v>1</v>
      </c>
      <c r="L853" t="inlineStr">
        <is>
          <t>PRESIDENCIA EJECUTIVA DEL CONSEJO</t>
        </is>
      </c>
      <c r="M853" t="n">
        <v>40</v>
      </c>
      <c r="N853" t="inlineStr">
        <is>
          <t>DIRECCION GENERAL BANCO BASE</t>
        </is>
      </c>
      <c r="O853" t="n">
        <v>410</v>
      </c>
      <c r="P853" t="inlineStr">
        <is>
          <t>DIRECCION COMERCIAL</t>
        </is>
      </c>
      <c r="Q853" t="n">
        <v>4190</v>
      </c>
      <c r="R853" t="inlineStr">
        <is>
          <t>DIRECCION COMERCIAL CDMX 1</t>
        </is>
      </c>
      <c r="S853" t="n">
        <v>41950</v>
      </c>
      <c r="T853" t="inlineStr">
        <is>
          <t>SUBDIRECCION COMERCIAL CDMX 5</t>
        </is>
      </c>
      <c r="U853" t="n">
        <v>419500</v>
      </c>
      <c r="V853" t="inlineStr">
        <is>
          <t>SUBDIRECCION COMERCIAL CDMX 5</t>
        </is>
      </c>
      <c r="W853" t="n">
        <v>134111</v>
      </c>
      <c r="X853" t="inlineStr">
        <is>
          <t>LOMAS</t>
        </is>
      </c>
      <c r="Y853" t="n">
        <v>3</v>
      </c>
      <c r="Z853" t="inlineStr">
        <is>
          <t>CAMBIARIO</t>
        </is>
      </c>
      <c r="AA853" t="n">
        <v>1</v>
      </c>
      <c r="AB853" t="inlineStr">
        <is>
          <t>NEGOCIO EN MARCHA</t>
        </is>
      </c>
      <c r="AC853" t="n">
        <v>1</v>
      </c>
      <c r="AD853" t="inlineStr">
        <is>
          <t>BANCO</t>
        </is>
      </c>
      <c r="AE853" t="n">
        <v>3</v>
      </c>
      <c r="AF853" t="inlineStr">
        <is>
          <t>FRONT</t>
        </is>
      </c>
      <c r="AG853" t="n">
        <v>134111</v>
      </c>
      <c r="AH853" t="inlineStr">
        <is>
          <t>LOMAS</t>
        </is>
      </c>
      <c r="AI853" t="inlineStr">
        <is>
          <t>VTREJO@BANCOBASE.COM</t>
        </is>
      </c>
      <c r="AJ853" s="151" t="n">
        <v>45370</v>
      </c>
      <c r="AK853" s="151" t="n"/>
      <c r="AL853" s="151" t="n"/>
    </row>
    <row r="854" hidden="1" s="150">
      <c r="A854" t="inlineStr">
        <is>
          <t>CARANA</t>
        </is>
      </c>
      <c r="B854" t="n">
        <v>2492</v>
      </c>
      <c r="C854" t="inlineStr">
        <is>
          <t>CITLALI SINAHI ARANA SANCHEZ</t>
        </is>
      </c>
      <c r="D854" t="n">
        <v>8564</v>
      </c>
      <c r="E854" t="inlineStr">
        <is>
          <t>EJECUTIVO DE SOPORTE</t>
        </is>
      </c>
      <c r="F854" t="inlineStr">
        <is>
          <t>MEXICO</t>
        </is>
      </c>
      <c r="G854" t="n">
        <v>3058</v>
      </c>
      <c r="H854" t="inlineStr">
        <is>
          <t>VICTOR TREJO VAZQUEZ</t>
        </is>
      </c>
      <c r="I854" t="n">
        <v>9185</v>
      </c>
      <c r="J854" t="inlineStr">
        <is>
          <t>SUBDIRECTOR COMERCIAL</t>
        </is>
      </c>
      <c r="K854" t="n">
        <v>1</v>
      </c>
      <c r="L854" t="inlineStr">
        <is>
          <t>PRESIDENCIA EJECUTIVA DEL CONSEJO</t>
        </is>
      </c>
      <c r="M854" t="n">
        <v>40</v>
      </c>
      <c r="N854" t="inlineStr">
        <is>
          <t>DIRECCION GENERAL BANCO BASE</t>
        </is>
      </c>
      <c r="O854" t="n">
        <v>410</v>
      </c>
      <c r="P854" t="inlineStr">
        <is>
          <t>DIRECCION COMERCIAL</t>
        </is>
      </c>
      <c r="Q854" t="n">
        <v>4190</v>
      </c>
      <c r="R854" t="inlineStr">
        <is>
          <t>DIRECCION COMERCIAL CDMX 1</t>
        </is>
      </c>
      <c r="S854" t="n">
        <v>41950</v>
      </c>
      <c r="T854" t="inlineStr">
        <is>
          <t>SUBDIRECCION COMERCIAL CDMX 5</t>
        </is>
      </c>
      <c r="U854" t="n">
        <v>419500</v>
      </c>
      <c r="V854" t="inlineStr">
        <is>
          <t>SUBDIRECCION COMERCIAL CDMX 5</t>
        </is>
      </c>
      <c r="W854" t="n">
        <v>134111</v>
      </c>
      <c r="X854" t="inlineStr">
        <is>
          <t>LOMAS</t>
        </is>
      </c>
      <c r="Y854" t="n">
        <v>17</v>
      </c>
      <c r="Z854" t="inlineStr">
        <is>
          <t>SOPORTE</t>
        </is>
      </c>
      <c r="AA854" t="n">
        <v>1</v>
      </c>
      <c r="AB854" t="inlineStr">
        <is>
          <t>NEGOCIO EN MARCHA</t>
        </is>
      </c>
      <c r="AC854" t="n">
        <v>1</v>
      </c>
      <c r="AD854" t="inlineStr">
        <is>
          <t>BANCO</t>
        </is>
      </c>
      <c r="AE854" t="n">
        <v>2</v>
      </c>
      <c r="AF854" t="inlineStr">
        <is>
          <t>MIDDLE</t>
        </is>
      </c>
      <c r="AG854" t="n">
        <v>134111</v>
      </c>
      <c r="AH854" t="inlineStr">
        <is>
          <t>LOMAS</t>
        </is>
      </c>
      <c r="AI854" t="inlineStr">
        <is>
          <t>CARANA@BANCOBASE.COM</t>
        </is>
      </c>
      <c r="AJ854" s="151" t="n">
        <v>44308</v>
      </c>
      <c r="AK854" s="151" t="n"/>
      <c r="AL854" s="151" t="n"/>
    </row>
    <row r="855" hidden="1" s="150">
      <c r="A855" t="inlineStr">
        <is>
          <t>DGALLEGOS</t>
        </is>
      </c>
      <c r="B855" t="n">
        <v>1513</v>
      </c>
      <c r="C855" t="inlineStr">
        <is>
          <t>DEBORAH GALLEGOS MONTOYA</t>
        </is>
      </c>
      <c r="D855" t="n">
        <v>9546</v>
      </c>
      <c r="E855" t="inlineStr">
        <is>
          <t>ASESOR CAMBIARIO</t>
        </is>
      </c>
      <c r="F855" t="inlineStr">
        <is>
          <t>MEXICO</t>
        </is>
      </c>
      <c r="G855" t="n">
        <v>3058</v>
      </c>
      <c r="H855" t="inlineStr">
        <is>
          <t>VICTOR TREJO VAZQUEZ</t>
        </is>
      </c>
      <c r="I855" t="n">
        <v>9185</v>
      </c>
      <c r="J855" t="inlineStr">
        <is>
          <t>SUBDIRECTOR COMERCIAL</t>
        </is>
      </c>
      <c r="K855" t="n">
        <v>1</v>
      </c>
      <c r="L855" t="inlineStr">
        <is>
          <t>PRESIDENCIA EJECUTIVA DEL CONSEJO</t>
        </is>
      </c>
      <c r="M855" t="n">
        <v>40</v>
      </c>
      <c r="N855" t="inlineStr">
        <is>
          <t>DIRECCION GENERAL BANCO BASE</t>
        </is>
      </c>
      <c r="O855" t="n">
        <v>410</v>
      </c>
      <c r="P855" t="inlineStr">
        <is>
          <t>DIRECCION COMERCIAL</t>
        </is>
      </c>
      <c r="Q855" t="n">
        <v>4190</v>
      </c>
      <c r="R855" t="inlineStr">
        <is>
          <t>DIRECCION COMERCIAL CDMX 1</t>
        </is>
      </c>
      <c r="S855" t="n">
        <v>41950</v>
      </c>
      <c r="T855" t="inlineStr">
        <is>
          <t>SUBDIRECCION COMERCIAL CDMX 5</t>
        </is>
      </c>
      <c r="U855" t="n">
        <v>419500</v>
      </c>
      <c r="V855" t="inlineStr">
        <is>
          <t>SUBDIRECCION COMERCIAL CDMX 5</t>
        </is>
      </c>
      <c r="W855" t="n">
        <v>134111</v>
      </c>
      <c r="X855" t="inlineStr">
        <is>
          <t>LOMAS</t>
        </is>
      </c>
      <c r="Y855" t="n">
        <v>3</v>
      </c>
      <c r="Z855" t="inlineStr">
        <is>
          <t>CAMBIARIO</t>
        </is>
      </c>
      <c r="AA855" t="n">
        <v>1</v>
      </c>
      <c r="AB855" t="inlineStr">
        <is>
          <t>NEGOCIO EN MARCHA</t>
        </is>
      </c>
      <c r="AC855" t="n">
        <v>1</v>
      </c>
      <c r="AD855" t="inlineStr">
        <is>
          <t>BANCO</t>
        </is>
      </c>
      <c r="AE855" t="n">
        <v>3</v>
      </c>
      <c r="AF855" t="inlineStr">
        <is>
          <t>FRONT</t>
        </is>
      </c>
      <c r="AG855" t="n">
        <v>134111</v>
      </c>
      <c r="AH855" t="inlineStr">
        <is>
          <t>LOMAS</t>
        </is>
      </c>
      <c r="AI855" t="inlineStr">
        <is>
          <t>DGALLEGOS@BANCOBASE.COM</t>
        </is>
      </c>
      <c r="AJ855" s="151" t="n">
        <v>42444</v>
      </c>
      <c r="AK855" s="151" t="n"/>
      <c r="AL855" s="151" t="n"/>
    </row>
    <row r="856" hidden="1" s="150">
      <c r="A856" t="inlineStr">
        <is>
          <t>DPALOMARES</t>
        </is>
      </c>
      <c r="B856" t="n">
        <v>2060</v>
      </c>
      <c r="C856" t="inlineStr">
        <is>
          <t>DAVID ULISES PALOMARES MARTINEZ</t>
        </is>
      </c>
      <c r="D856" t="n">
        <v>8563</v>
      </c>
      <c r="E856" t="inlineStr">
        <is>
          <t>ESPECIALISTA DE FINANCIAMIENTO</t>
        </is>
      </c>
      <c r="F856" t="inlineStr">
        <is>
          <t>MEXICO</t>
        </is>
      </c>
      <c r="G856" t="n">
        <v>3058</v>
      </c>
      <c r="H856" t="inlineStr">
        <is>
          <t>VICTOR TREJO VAZQUEZ</t>
        </is>
      </c>
      <c r="I856" t="n">
        <v>9185</v>
      </c>
      <c r="J856" t="inlineStr">
        <is>
          <t>SUBDIRECTOR COMERCIAL</t>
        </is>
      </c>
      <c r="K856" t="n">
        <v>1</v>
      </c>
      <c r="L856" t="inlineStr">
        <is>
          <t>PRESIDENCIA EJECUTIVA DEL CONSEJO</t>
        </is>
      </c>
      <c r="M856" t="n">
        <v>40</v>
      </c>
      <c r="N856" t="inlineStr">
        <is>
          <t>DIRECCION GENERAL BANCO BASE</t>
        </is>
      </c>
      <c r="O856" t="n">
        <v>410</v>
      </c>
      <c r="P856" t="inlineStr">
        <is>
          <t>DIRECCION COMERCIAL</t>
        </is>
      </c>
      <c r="Q856" t="n">
        <v>4190</v>
      </c>
      <c r="R856" t="inlineStr">
        <is>
          <t>DIRECCION COMERCIAL CDMX 1</t>
        </is>
      </c>
      <c r="S856" t="n">
        <v>41950</v>
      </c>
      <c r="T856" t="inlineStr">
        <is>
          <t>SUBDIRECCION COMERCIAL CDMX 5</t>
        </is>
      </c>
      <c r="U856" t="n">
        <v>419500</v>
      </c>
      <c r="V856" t="inlineStr">
        <is>
          <t>SUBDIRECCION COMERCIAL CDMX 5</t>
        </is>
      </c>
      <c r="W856" t="n">
        <v>134111</v>
      </c>
      <c r="X856" t="inlineStr">
        <is>
          <t>LOMAS</t>
        </is>
      </c>
      <c r="Y856" t="n">
        <v>13</v>
      </c>
      <c r="Z856" t="inlineStr">
        <is>
          <t>FINANCIAMIENTO</t>
        </is>
      </c>
      <c r="AA856" t="n">
        <v>1</v>
      </c>
      <c r="AB856" t="inlineStr">
        <is>
          <t>NEGOCIO EN MARCHA</t>
        </is>
      </c>
      <c r="AC856" t="n">
        <v>1</v>
      </c>
      <c r="AD856" t="inlineStr">
        <is>
          <t>BANCO</t>
        </is>
      </c>
      <c r="AE856" t="n">
        <v>3</v>
      </c>
      <c r="AF856" t="inlineStr">
        <is>
          <t>FRONT</t>
        </is>
      </c>
      <c r="AG856" t="n">
        <v>134111</v>
      </c>
      <c r="AH856" t="inlineStr">
        <is>
          <t>LOMAS</t>
        </is>
      </c>
      <c r="AI856" t="inlineStr">
        <is>
          <t>DPALOMARES@BANCOBASE.COM</t>
        </is>
      </c>
      <c r="AJ856" s="151" t="n">
        <v>43304</v>
      </c>
      <c r="AK856" s="151" t="n"/>
      <c r="AL856" s="151" t="n"/>
    </row>
    <row r="857" hidden="1" s="150">
      <c r="A857" t="inlineStr">
        <is>
          <t>FCAMPOS</t>
        </is>
      </c>
      <c r="B857" t="n">
        <v>153</v>
      </c>
      <c r="C857" t="inlineStr">
        <is>
          <t>FABIOLA AURORA CAMPOS PUEBLA</t>
        </is>
      </c>
      <c r="D857" t="n">
        <v>9553</v>
      </c>
      <c r="E857" t="inlineStr">
        <is>
          <t>ASESOR CAMBIARIO</t>
        </is>
      </c>
      <c r="F857" t="inlineStr">
        <is>
          <t>MEXICO</t>
        </is>
      </c>
      <c r="G857" t="n">
        <v>3058</v>
      </c>
      <c r="H857" t="inlineStr">
        <is>
          <t>VICTOR TREJO VAZQUEZ</t>
        </is>
      </c>
      <c r="I857" t="n">
        <v>9185</v>
      </c>
      <c r="J857" t="inlineStr">
        <is>
          <t>SUBDIRECTOR COMERCIAL</t>
        </is>
      </c>
      <c r="K857" t="n">
        <v>1</v>
      </c>
      <c r="L857" t="inlineStr">
        <is>
          <t>PRESIDENCIA EJECUTIVA DEL CONSEJO</t>
        </is>
      </c>
      <c r="M857" t="n">
        <v>40</v>
      </c>
      <c r="N857" t="inlineStr">
        <is>
          <t>DIRECCION GENERAL BANCO BASE</t>
        </is>
      </c>
      <c r="O857" t="n">
        <v>410</v>
      </c>
      <c r="P857" t="inlineStr">
        <is>
          <t>DIRECCION COMERCIAL</t>
        </is>
      </c>
      <c r="Q857" t="n">
        <v>4190</v>
      </c>
      <c r="R857" t="inlineStr">
        <is>
          <t>DIRECCION COMERCIAL CDMX 1</t>
        </is>
      </c>
      <c r="S857" t="n">
        <v>41950</v>
      </c>
      <c r="T857" t="inlineStr">
        <is>
          <t>SUBDIRECCION COMERCIAL CDMX 5</t>
        </is>
      </c>
      <c r="U857" t="n">
        <v>419500</v>
      </c>
      <c r="V857" t="inlineStr">
        <is>
          <t>SUBDIRECCION COMERCIAL CDMX 5</t>
        </is>
      </c>
      <c r="W857" t="n">
        <v>134111</v>
      </c>
      <c r="X857" t="inlineStr">
        <is>
          <t>LOMAS</t>
        </is>
      </c>
      <c r="Y857" t="n">
        <v>3</v>
      </c>
      <c r="Z857" t="inlineStr">
        <is>
          <t>CAMBIARIO</t>
        </is>
      </c>
      <c r="AA857" t="n">
        <v>1</v>
      </c>
      <c r="AB857" t="inlineStr">
        <is>
          <t>NEGOCIO EN MARCHA</t>
        </is>
      </c>
      <c r="AC857" t="n">
        <v>1</v>
      </c>
      <c r="AD857" t="inlineStr">
        <is>
          <t>BANCO</t>
        </is>
      </c>
      <c r="AE857" t="n">
        <v>3</v>
      </c>
      <c r="AF857" t="inlineStr">
        <is>
          <t>FRONT</t>
        </is>
      </c>
      <c r="AG857" t="n">
        <v>134111</v>
      </c>
      <c r="AH857" t="inlineStr">
        <is>
          <t>LOMAS</t>
        </is>
      </c>
      <c r="AI857" t="inlineStr">
        <is>
          <t>FCAMPOS@BANCOBASE.COM</t>
        </is>
      </c>
      <c r="AJ857" s="151" t="n">
        <v>36617</v>
      </c>
      <c r="AK857" s="151" t="n"/>
      <c r="AL857" s="151" t="n"/>
    </row>
    <row r="858" hidden="1" s="150">
      <c r="A858" t="inlineStr">
        <is>
          <t>JARRIAGA</t>
        </is>
      </c>
      <c r="B858" t="n">
        <v>3147</v>
      </c>
      <c r="C858" t="inlineStr">
        <is>
          <t>JESSICA NAYELI ARRIAGA VELAZQUEZ</t>
        </is>
      </c>
      <c r="D858" t="n">
        <v>8375</v>
      </c>
      <c r="E858" t="inlineStr">
        <is>
          <t>ASESOR CAMBIARIO</t>
        </is>
      </c>
      <c r="F858" t="inlineStr">
        <is>
          <t>MEXICO</t>
        </is>
      </c>
      <c r="G858" t="n">
        <v>3058</v>
      </c>
      <c r="H858" t="inlineStr">
        <is>
          <t>VICTOR TREJO VAZQUEZ</t>
        </is>
      </c>
      <c r="I858" t="n">
        <v>9185</v>
      </c>
      <c r="J858" t="inlineStr">
        <is>
          <t>SUBDIRECTOR COMERCIAL</t>
        </is>
      </c>
      <c r="K858" t="n">
        <v>1</v>
      </c>
      <c r="L858" t="inlineStr">
        <is>
          <t>PRESIDENCIA EJECUTIVA DEL CONSEJO</t>
        </is>
      </c>
      <c r="M858" t="n">
        <v>40</v>
      </c>
      <c r="N858" t="inlineStr">
        <is>
          <t>DIRECCION GENERAL BANCO BASE</t>
        </is>
      </c>
      <c r="O858" t="n">
        <v>410</v>
      </c>
      <c r="P858" t="inlineStr">
        <is>
          <t>DIRECCION COMERCIAL</t>
        </is>
      </c>
      <c r="Q858" t="n">
        <v>4190</v>
      </c>
      <c r="R858" t="inlineStr">
        <is>
          <t>DIRECCION COMERCIAL CDMX 1</t>
        </is>
      </c>
      <c r="S858" t="n">
        <v>41950</v>
      </c>
      <c r="T858" t="inlineStr">
        <is>
          <t>SUBDIRECCION COMERCIAL CDMX 5</t>
        </is>
      </c>
      <c r="U858" t="n">
        <v>419500</v>
      </c>
      <c r="V858" t="inlineStr">
        <is>
          <t>SUBDIRECCION COMERCIAL CDMX 5</t>
        </is>
      </c>
      <c r="W858" t="n">
        <v>134111</v>
      </c>
      <c r="X858" t="inlineStr">
        <is>
          <t>LOMAS</t>
        </is>
      </c>
      <c r="Y858" t="n">
        <v>3</v>
      </c>
      <c r="Z858" t="inlineStr">
        <is>
          <t>CAMBIARIO</t>
        </is>
      </c>
      <c r="AA858" t="n">
        <v>1</v>
      </c>
      <c r="AB858" t="inlineStr">
        <is>
          <t>NEGOCIO EN MARCHA</t>
        </is>
      </c>
      <c r="AC858" t="n">
        <v>1</v>
      </c>
      <c r="AD858" t="inlineStr">
        <is>
          <t>BANCO</t>
        </is>
      </c>
      <c r="AE858" t="n">
        <v>3</v>
      </c>
      <c r="AF858" t="inlineStr">
        <is>
          <t>FRONT</t>
        </is>
      </c>
      <c r="AG858" t="n">
        <v>134111</v>
      </c>
      <c r="AH858" t="inlineStr">
        <is>
          <t>LOMAS</t>
        </is>
      </c>
      <c r="AI858" t="inlineStr">
        <is>
          <t>JARRIAGA@BANCOBASE.COM</t>
        </is>
      </c>
      <c r="AJ858" s="151" t="n">
        <v>45474</v>
      </c>
      <c r="AK858" s="151" t="n"/>
      <c r="AL858" s="151" t="n"/>
    </row>
    <row r="859" hidden="1" s="150">
      <c r="A859" t="inlineStr">
        <is>
          <t>JBALDERAS</t>
        </is>
      </c>
      <c r="B859" t="n">
        <v>1883</v>
      </c>
      <c r="C859" t="inlineStr">
        <is>
          <t>JOSE DANIEL BALDERAS LOPEZ</t>
        </is>
      </c>
      <c r="D859" t="n">
        <v>10315</v>
      </c>
      <c r="E859" t="inlineStr">
        <is>
          <t>ESPECIALISTA DE BANCA TRANSACCIONAL</t>
        </is>
      </c>
      <c r="F859" t="inlineStr">
        <is>
          <t>MEXICO</t>
        </is>
      </c>
      <c r="G859" t="n">
        <v>3058</v>
      </c>
      <c r="H859" t="inlineStr">
        <is>
          <t>VICTOR TREJO VAZQUEZ</t>
        </is>
      </c>
      <c r="I859" t="n">
        <v>9185</v>
      </c>
      <c r="J859" t="inlineStr">
        <is>
          <t>SUBDIRECTOR COMERCIAL</t>
        </is>
      </c>
      <c r="K859" t="n">
        <v>1</v>
      </c>
      <c r="L859" t="inlineStr">
        <is>
          <t>PRESIDENCIA EJECUTIVA DEL CONSEJO</t>
        </is>
      </c>
      <c r="M859" t="n">
        <v>40</v>
      </c>
      <c r="N859" t="inlineStr">
        <is>
          <t>DIRECCION GENERAL BANCO BASE</t>
        </is>
      </c>
      <c r="O859" t="n">
        <v>410</v>
      </c>
      <c r="P859" t="inlineStr">
        <is>
          <t>DIRECCION COMERCIAL</t>
        </is>
      </c>
      <c r="Q859" t="n">
        <v>4190</v>
      </c>
      <c r="R859" t="inlineStr">
        <is>
          <t>DIRECCION COMERCIAL CDMX 1</t>
        </is>
      </c>
      <c r="S859" t="n">
        <v>41950</v>
      </c>
      <c r="T859" t="inlineStr">
        <is>
          <t>SUBDIRECCION COMERCIAL CDMX 5</t>
        </is>
      </c>
      <c r="U859" t="n">
        <v>419500</v>
      </c>
      <c r="V859" t="inlineStr">
        <is>
          <t>SUBDIRECCION COMERCIAL CDMX 5</t>
        </is>
      </c>
      <c r="W859" t="n">
        <v>134111</v>
      </c>
      <c r="X859" t="inlineStr">
        <is>
          <t>LOMAS</t>
        </is>
      </c>
      <c r="Y859" t="n">
        <v>14</v>
      </c>
      <c r="Z859" t="inlineStr">
        <is>
          <t>TRANSACCIONAL</t>
        </is>
      </c>
      <c r="AA859" t="n">
        <v>1</v>
      </c>
      <c r="AB859" t="inlineStr">
        <is>
          <t>NEGOCIO EN MARCHA</t>
        </is>
      </c>
      <c r="AC859" t="n">
        <v>1</v>
      </c>
      <c r="AD859" t="inlineStr">
        <is>
          <t>BANCO</t>
        </is>
      </c>
      <c r="AE859" t="n">
        <v>3</v>
      </c>
      <c r="AF859" t="inlineStr">
        <is>
          <t>FRONT</t>
        </is>
      </c>
      <c r="AG859" t="n">
        <v>134111</v>
      </c>
      <c r="AH859" t="inlineStr">
        <is>
          <t>LOMAS</t>
        </is>
      </c>
      <c r="AI859" t="inlineStr">
        <is>
          <t>JBALDERAS@BANCOBASE.COM</t>
        </is>
      </c>
      <c r="AJ859" s="151" t="n">
        <v>43054</v>
      </c>
      <c r="AK859" s="151" t="n"/>
      <c r="AL859" s="151" t="n"/>
    </row>
    <row r="860" hidden="1" s="150">
      <c r="A860" t="inlineStr">
        <is>
          <t>MCRUZ</t>
        </is>
      </c>
      <c r="B860" t="n">
        <v>3260</v>
      </c>
      <c r="C860" t="inlineStr">
        <is>
          <t>MARLENE LUPITA CRUZ ALVAREZ</t>
        </is>
      </c>
      <c r="D860" t="n">
        <v>9544</v>
      </c>
      <c r="E860" t="inlineStr">
        <is>
          <t>ASESOR CAMBIARIO</t>
        </is>
      </c>
      <c r="F860" t="inlineStr">
        <is>
          <t>MEXICO</t>
        </is>
      </c>
      <c r="G860" t="n">
        <v>3058</v>
      </c>
      <c r="H860" t="inlineStr">
        <is>
          <t>VICTOR TREJO VAZQUEZ</t>
        </is>
      </c>
      <c r="I860" t="n">
        <v>9185</v>
      </c>
      <c r="J860" t="inlineStr">
        <is>
          <t>SUBDIRECTOR COMERCIAL</t>
        </is>
      </c>
      <c r="K860" t="n">
        <v>1</v>
      </c>
      <c r="L860" t="inlineStr">
        <is>
          <t>PRESIDENCIA EJECUTIVA DEL CONSEJO</t>
        </is>
      </c>
      <c r="M860" t="n">
        <v>40</v>
      </c>
      <c r="N860" t="inlineStr">
        <is>
          <t>DIRECCION GENERAL BANCO BASE</t>
        </is>
      </c>
      <c r="O860" t="n">
        <v>410</v>
      </c>
      <c r="P860" t="inlineStr">
        <is>
          <t>DIRECCION COMERCIAL</t>
        </is>
      </c>
      <c r="Q860" t="n">
        <v>4190</v>
      </c>
      <c r="R860" t="inlineStr">
        <is>
          <t>DIRECCION COMERCIAL CDMX 1</t>
        </is>
      </c>
      <c r="S860" t="n">
        <v>41950</v>
      </c>
      <c r="T860" t="inlineStr">
        <is>
          <t>SUBDIRECCION COMERCIAL CDMX 5</t>
        </is>
      </c>
      <c r="U860" t="n">
        <v>419500</v>
      </c>
      <c r="V860" t="inlineStr">
        <is>
          <t>SUBDIRECCION COMERCIAL CDMX 5</t>
        </is>
      </c>
      <c r="W860" t="n">
        <v>134111</v>
      </c>
      <c r="X860" t="inlineStr">
        <is>
          <t>LOMAS</t>
        </is>
      </c>
      <c r="Y860" t="n">
        <v>3</v>
      </c>
      <c r="Z860" t="inlineStr">
        <is>
          <t>CAMBIARIO</t>
        </is>
      </c>
      <c r="AA860" t="n">
        <v>1</v>
      </c>
      <c r="AB860" t="inlineStr">
        <is>
          <t>NEGOCIO EN MARCHA</t>
        </is>
      </c>
      <c r="AC860" t="n">
        <v>1</v>
      </c>
      <c r="AD860" t="inlineStr">
        <is>
          <t>BANCO</t>
        </is>
      </c>
      <c r="AE860" t="n">
        <v>3</v>
      </c>
      <c r="AF860" t="inlineStr">
        <is>
          <t>FRONT</t>
        </is>
      </c>
      <c r="AG860" t="n">
        <v>134111</v>
      </c>
      <c r="AH860" t="inlineStr">
        <is>
          <t>LOMAS</t>
        </is>
      </c>
      <c r="AI860" t="inlineStr">
        <is>
          <t>MCRUZ@BANCOBASE.COM</t>
        </is>
      </c>
      <c r="AJ860" s="151" t="n">
        <v>45600</v>
      </c>
      <c r="AK860" s="151" t="n"/>
      <c r="AL860" s="151" t="n"/>
    </row>
    <row r="861" hidden="1" s="150">
      <c r="A861" t="inlineStr">
        <is>
          <t>RRETIZ</t>
        </is>
      </c>
      <c r="B861" t="n">
        <v>3105</v>
      </c>
      <c r="C861" t="inlineStr">
        <is>
          <t>RODRIGO RETIZ RIVAS</t>
        </is>
      </c>
      <c r="D861" t="n">
        <v>9192</v>
      </c>
      <c r="E861" t="inlineStr">
        <is>
          <t>ASESOR CAMBIARIO</t>
        </is>
      </c>
      <c r="F861" t="inlineStr">
        <is>
          <t>MEXICO</t>
        </is>
      </c>
      <c r="G861" t="n">
        <v>3058</v>
      </c>
      <c r="H861" t="inlineStr">
        <is>
          <t>VICTOR TREJO VAZQUEZ</t>
        </is>
      </c>
      <c r="I861" t="n">
        <v>9185</v>
      </c>
      <c r="J861" t="inlineStr">
        <is>
          <t>SUBDIRECTOR COMERCIAL</t>
        </is>
      </c>
      <c r="K861" t="n">
        <v>1</v>
      </c>
      <c r="L861" t="inlineStr">
        <is>
          <t>PRESIDENCIA EJECUTIVA DEL CONSEJO</t>
        </is>
      </c>
      <c r="M861" t="n">
        <v>40</v>
      </c>
      <c r="N861" t="inlineStr">
        <is>
          <t>DIRECCION GENERAL BANCO BASE</t>
        </is>
      </c>
      <c r="O861" t="n">
        <v>410</v>
      </c>
      <c r="P861" t="inlineStr">
        <is>
          <t>DIRECCION COMERCIAL</t>
        </is>
      </c>
      <c r="Q861" t="n">
        <v>4190</v>
      </c>
      <c r="R861" t="inlineStr">
        <is>
          <t>DIRECCION COMERCIAL CDMX 1</t>
        </is>
      </c>
      <c r="S861" t="n">
        <v>41950</v>
      </c>
      <c r="T861" t="inlineStr">
        <is>
          <t>SUBDIRECCION COMERCIAL CDMX 5</t>
        </is>
      </c>
      <c r="U861" t="n">
        <v>419500</v>
      </c>
      <c r="V861" t="inlineStr">
        <is>
          <t>SUBDIRECCION COMERCIAL CDMX 5</t>
        </is>
      </c>
      <c r="W861" t="n">
        <v>134111</v>
      </c>
      <c r="X861" t="inlineStr">
        <is>
          <t>LOMAS</t>
        </is>
      </c>
      <c r="Y861" t="n">
        <v>3</v>
      </c>
      <c r="Z861" t="inlineStr">
        <is>
          <t>CAMBIARIO</t>
        </is>
      </c>
      <c r="AA861" t="n">
        <v>1</v>
      </c>
      <c r="AB861" t="inlineStr">
        <is>
          <t>NEGOCIO EN MARCHA</t>
        </is>
      </c>
      <c r="AC861" t="n">
        <v>1</v>
      </c>
      <c r="AD861" t="inlineStr">
        <is>
          <t>BANCO</t>
        </is>
      </c>
      <c r="AE861" t="n">
        <v>3</v>
      </c>
      <c r="AF861" t="inlineStr">
        <is>
          <t>FRONT</t>
        </is>
      </c>
      <c r="AG861" t="n">
        <v>134111</v>
      </c>
      <c r="AH861" t="inlineStr">
        <is>
          <t>LOMAS</t>
        </is>
      </c>
      <c r="AI861" t="inlineStr">
        <is>
          <t>RRETIZ@BANCOBASE.COM</t>
        </is>
      </c>
      <c r="AJ861" s="151" t="n">
        <v>45414</v>
      </c>
      <c r="AK861" s="151" t="n"/>
      <c r="AL861" s="151" t="n"/>
    </row>
    <row r="862" hidden="1" s="150">
      <c r="A862" t="inlineStr">
        <is>
          <t>SPONCE</t>
        </is>
      </c>
      <c r="B862" t="n">
        <v>3075</v>
      </c>
      <c r="C862" t="inlineStr">
        <is>
          <t>SALVADOR ALBERTO PONCE CARRILLO</t>
        </is>
      </c>
      <c r="D862" t="n">
        <v>9609</v>
      </c>
      <c r="E862" t="inlineStr">
        <is>
          <t>ASESOR CAMBIARIO</t>
        </is>
      </c>
      <c r="F862" t="inlineStr">
        <is>
          <t>MEXICO</t>
        </is>
      </c>
      <c r="G862" t="n">
        <v>3058</v>
      </c>
      <c r="H862" t="inlineStr">
        <is>
          <t>VICTOR TREJO VAZQUEZ</t>
        </is>
      </c>
      <c r="I862" t="n">
        <v>9185</v>
      </c>
      <c r="J862" t="inlineStr">
        <is>
          <t>SUBDIRECTOR COMERCIAL</t>
        </is>
      </c>
      <c r="K862" t="n">
        <v>1</v>
      </c>
      <c r="L862" t="inlineStr">
        <is>
          <t>PRESIDENCIA EJECUTIVA DEL CONSEJO</t>
        </is>
      </c>
      <c r="M862" t="n">
        <v>40</v>
      </c>
      <c r="N862" t="inlineStr">
        <is>
          <t>DIRECCION GENERAL BANCO BASE</t>
        </is>
      </c>
      <c r="O862" t="n">
        <v>410</v>
      </c>
      <c r="P862" t="inlineStr">
        <is>
          <t>DIRECCION COMERCIAL</t>
        </is>
      </c>
      <c r="Q862" t="n">
        <v>4190</v>
      </c>
      <c r="R862" t="inlineStr">
        <is>
          <t>DIRECCION COMERCIAL CDMX 1</t>
        </is>
      </c>
      <c r="S862" t="n">
        <v>41950</v>
      </c>
      <c r="T862" t="inlineStr">
        <is>
          <t>SUBDIRECCION COMERCIAL CDMX 5</t>
        </is>
      </c>
      <c r="U862" t="n">
        <v>419500</v>
      </c>
      <c r="V862" t="inlineStr">
        <is>
          <t>SUBDIRECCION COMERCIAL CDMX 5</t>
        </is>
      </c>
      <c r="W862" t="n">
        <v>134111</v>
      </c>
      <c r="X862" t="inlineStr">
        <is>
          <t>LOMAS</t>
        </is>
      </c>
      <c r="Y862" t="n">
        <v>3</v>
      </c>
      <c r="Z862" t="inlineStr">
        <is>
          <t>CAMBIARIO</t>
        </is>
      </c>
      <c r="AA862" t="n">
        <v>1</v>
      </c>
      <c r="AB862" t="inlineStr">
        <is>
          <t>NEGOCIO EN MARCHA</t>
        </is>
      </c>
      <c r="AC862" t="n">
        <v>1</v>
      </c>
      <c r="AD862" t="inlineStr">
        <is>
          <t>BANCO</t>
        </is>
      </c>
      <c r="AE862" t="n">
        <v>3</v>
      </c>
      <c r="AF862" t="inlineStr">
        <is>
          <t>FRONT</t>
        </is>
      </c>
      <c r="AG862" t="n">
        <v>134111</v>
      </c>
      <c r="AH862" t="inlineStr">
        <is>
          <t>LOMAS</t>
        </is>
      </c>
      <c r="AI862" t="inlineStr">
        <is>
          <t>SPONCE@BANCOBASE.COM</t>
        </is>
      </c>
      <c r="AJ862" s="151" t="n">
        <v>45386</v>
      </c>
      <c r="AK862" s="151" t="n"/>
      <c r="AL862" s="151" t="n"/>
    </row>
    <row r="863" hidden="1" s="150">
      <c r="A863" t="inlineStr">
        <is>
          <t>KHERNANDEZ</t>
        </is>
      </c>
      <c r="B863" t="n">
        <v>1825</v>
      </c>
      <c r="C863" t="inlineStr">
        <is>
          <t>KAREN GISELL HERNANDEZ PEREZ</t>
        </is>
      </c>
      <c r="D863" t="n">
        <v>9564</v>
      </c>
      <c r="E863" t="inlineStr">
        <is>
          <t>ASISTENTE CAMBIARIO</t>
        </is>
      </c>
      <c r="F863" t="inlineStr">
        <is>
          <t>MEXICO</t>
        </is>
      </c>
      <c r="G863" t="n">
        <v>3058</v>
      </c>
      <c r="H863" t="inlineStr">
        <is>
          <t>VICTOR TREJO VAZQUEZ</t>
        </is>
      </c>
      <c r="I863" t="n">
        <v>9185</v>
      </c>
      <c r="J863" t="inlineStr">
        <is>
          <t>SUBDIRECTOR COMERCIAL</t>
        </is>
      </c>
      <c r="K863" t="n">
        <v>1</v>
      </c>
      <c r="L863" t="inlineStr">
        <is>
          <t>PRESIDENCIA EJECUTIVA DEL CONSEJO</t>
        </is>
      </c>
      <c r="M863" t="n">
        <v>40</v>
      </c>
      <c r="N863" t="inlineStr">
        <is>
          <t>DIRECCION GENERAL BANCO BASE</t>
        </is>
      </c>
      <c r="O863" t="n">
        <v>410</v>
      </c>
      <c r="P863" t="inlineStr">
        <is>
          <t>DIRECCION COMERCIAL</t>
        </is>
      </c>
      <c r="Q863" t="n">
        <v>4190</v>
      </c>
      <c r="R863" t="inlineStr">
        <is>
          <t>DIRECCION COMERCIAL CDMX 1</t>
        </is>
      </c>
      <c r="S863" t="n">
        <v>41950</v>
      </c>
      <c r="T863" t="inlineStr">
        <is>
          <t>SUBDIRECCION COMERCIAL CDMX 5</t>
        </is>
      </c>
      <c r="U863" t="n">
        <v>419500</v>
      </c>
      <c r="V863" t="inlineStr">
        <is>
          <t>SUBDIRECCION COMERCIAL CDMX 5</t>
        </is>
      </c>
      <c r="W863" t="n">
        <v>134111</v>
      </c>
      <c r="X863" t="inlineStr">
        <is>
          <t>LOMAS</t>
        </is>
      </c>
      <c r="Y863" t="n">
        <v>3</v>
      </c>
      <c r="Z863" t="inlineStr">
        <is>
          <t>CAMBIARIO</t>
        </is>
      </c>
      <c r="AA863" t="n">
        <v>1</v>
      </c>
      <c r="AB863" t="inlineStr">
        <is>
          <t>NEGOCIO EN MARCHA</t>
        </is>
      </c>
      <c r="AC863" t="n">
        <v>1</v>
      </c>
      <c r="AD863" t="inlineStr">
        <is>
          <t>BANCO</t>
        </is>
      </c>
      <c r="AE863" t="n">
        <v>2</v>
      </c>
      <c r="AF863" t="inlineStr">
        <is>
          <t>MIDDLE</t>
        </is>
      </c>
      <c r="AG863" t="n">
        <v>134111</v>
      </c>
      <c r="AH863" t="inlineStr">
        <is>
          <t>LOMAS</t>
        </is>
      </c>
      <c r="AI863" t="inlineStr">
        <is>
          <t>KHERNANDEZ@BANCOBASE.COM</t>
        </is>
      </c>
      <c r="AJ863" s="151" t="n">
        <v>42963</v>
      </c>
      <c r="AK863" s="151" t="n"/>
      <c r="AL863" s="151" t="n"/>
    </row>
    <row r="864" hidden="1" s="150">
      <c r="A864" t="inlineStr">
        <is>
          <t>JPINON</t>
        </is>
      </c>
      <c r="B864" t="n">
        <v>3630</v>
      </c>
      <c r="C864" t="inlineStr">
        <is>
          <t>JORGE ANTONIO PIÑON OLGUIN</t>
        </is>
      </c>
      <c r="D864" t="n">
        <v>9383</v>
      </c>
      <c r="E864" t="inlineStr">
        <is>
          <t>ASESOR CAMBIARIO</t>
        </is>
      </c>
      <c r="F864" t="inlineStr">
        <is>
          <t>MEXICO</t>
        </is>
      </c>
      <c r="G864" t="n">
        <v>3058</v>
      </c>
      <c r="H864" t="inlineStr">
        <is>
          <t>VICTOR TREJO VAZQUEZ</t>
        </is>
      </c>
      <c r="I864" t="n">
        <v>9185</v>
      </c>
      <c r="J864" t="inlineStr">
        <is>
          <t>SUBDIRECTOR COMERCIAL</t>
        </is>
      </c>
      <c r="K864" t="n">
        <v>1</v>
      </c>
      <c r="L864" t="inlineStr">
        <is>
          <t>PRESIDENCIA EJECUTIVA DEL CONSEJO</t>
        </is>
      </c>
      <c r="M864" t="n">
        <v>40</v>
      </c>
      <c r="N864" t="inlineStr">
        <is>
          <t>DIRECCION GENERAL BANCO BASE</t>
        </is>
      </c>
      <c r="O864" t="n">
        <v>410</v>
      </c>
      <c r="P864" t="inlineStr">
        <is>
          <t>DIRECCION COMERCIAL</t>
        </is>
      </c>
      <c r="Q864" t="n">
        <v>4190</v>
      </c>
      <c r="R864" t="inlineStr">
        <is>
          <t>DIRECCION COMERCIAL CDMX 1</t>
        </is>
      </c>
      <c r="S864" t="n">
        <v>41950</v>
      </c>
      <c r="T864" t="inlineStr">
        <is>
          <t>SUBDIRECCION COMERCIAL CDMX 5</t>
        </is>
      </c>
      <c r="U864" t="n">
        <v>419500</v>
      </c>
      <c r="V864" t="inlineStr">
        <is>
          <t>SUBDIRECCION COMERCIAL CDMX 5</t>
        </is>
      </c>
      <c r="W864" t="n">
        <v>134111</v>
      </c>
      <c r="X864" t="inlineStr">
        <is>
          <t>LOMAS</t>
        </is>
      </c>
      <c r="Y864" t="n">
        <v>3</v>
      </c>
      <c r="Z864" t="inlineStr">
        <is>
          <t>CAMBIARIO</t>
        </is>
      </c>
      <c r="AA864" t="n">
        <v>1</v>
      </c>
      <c r="AB864" t="inlineStr">
        <is>
          <t>NEGOCIO EN MARCHA</t>
        </is>
      </c>
      <c r="AC864" t="n">
        <v>1</v>
      </c>
      <c r="AD864" t="inlineStr">
        <is>
          <t>BANCO</t>
        </is>
      </c>
      <c r="AE864" t="n">
        <v>3</v>
      </c>
      <c r="AF864" t="inlineStr">
        <is>
          <t>FRONT</t>
        </is>
      </c>
      <c r="AG864" t="n">
        <v>134111</v>
      </c>
      <c r="AH864" t="inlineStr">
        <is>
          <t>LOMAS</t>
        </is>
      </c>
      <c r="AI864" t="inlineStr">
        <is>
          <t>JPINON@BANCOBASE.COM</t>
        </is>
      </c>
      <c r="AJ864" s="151" t="n">
        <v>45946</v>
      </c>
      <c r="AK864" s="151" t="n"/>
      <c r="AL864" s="151" t="n"/>
    </row>
    <row r="865" hidden="1" s="150">
      <c r="A865" t="inlineStr">
        <is>
          <t>SGARCIAA</t>
        </is>
      </c>
      <c r="B865" t="n">
        <v>3416</v>
      </c>
      <c r="C865" t="inlineStr">
        <is>
          <t>SERGIO URIEL GARCIA AGUILAR</t>
        </is>
      </c>
      <c r="D865" t="n">
        <v>9274</v>
      </c>
      <c r="E865" t="inlineStr">
        <is>
          <t>ASESOR CAMBIARIO</t>
        </is>
      </c>
      <c r="F865" t="inlineStr">
        <is>
          <t>MEXICO</t>
        </is>
      </c>
      <c r="G865" t="n">
        <v>3058</v>
      </c>
      <c r="H865" t="inlineStr">
        <is>
          <t>VICTOR TREJO VAZQUEZ</t>
        </is>
      </c>
      <c r="I865" t="n">
        <v>9185</v>
      </c>
      <c r="J865" t="inlineStr">
        <is>
          <t>SUBDIRECTOR COMERCIAL</t>
        </is>
      </c>
      <c r="K865" t="n">
        <v>1</v>
      </c>
      <c r="L865" t="inlineStr">
        <is>
          <t>PRESIDENCIA EJECUTIVA DEL CONSEJO</t>
        </is>
      </c>
      <c r="M865" t="n">
        <v>40</v>
      </c>
      <c r="N865" t="inlineStr">
        <is>
          <t>DIRECCION GENERAL BANCO BASE</t>
        </is>
      </c>
      <c r="O865" t="n">
        <v>410</v>
      </c>
      <c r="P865" t="inlineStr">
        <is>
          <t>DIRECCION COMERCIAL</t>
        </is>
      </c>
      <c r="Q865" t="n">
        <v>4190</v>
      </c>
      <c r="R865" t="inlineStr">
        <is>
          <t>DIRECCION COMERCIAL CDMX 1</t>
        </is>
      </c>
      <c r="S865" t="n">
        <v>41950</v>
      </c>
      <c r="T865" t="inlineStr">
        <is>
          <t>SUBDIRECCION COMERCIAL CDMX 5</t>
        </is>
      </c>
      <c r="U865" t="n">
        <v>419500</v>
      </c>
      <c r="V865" t="inlineStr">
        <is>
          <t>SUBDIRECCION COMERCIAL CDMX 5</t>
        </is>
      </c>
      <c r="W865" t="n">
        <v>134111</v>
      </c>
      <c r="X865" t="inlineStr">
        <is>
          <t>LOMAS</t>
        </is>
      </c>
      <c r="Y865" t="n">
        <v>3</v>
      </c>
      <c r="Z865" t="inlineStr">
        <is>
          <t>CAMBIARIO</t>
        </is>
      </c>
      <c r="AA865" t="n">
        <v>1</v>
      </c>
      <c r="AB865" t="inlineStr">
        <is>
          <t>NEGOCIO EN MARCHA</t>
        </is>
      </c>
      <c r="AC865" t="n">
        <v>1</v>
      </c>
      <c r="AD865" t="inlineStr">
        <is>
          <t>BANCO</t>
        </is>
      </c>
      <c r="AE865" t="n">
        <v>3</v>
      </c>
      <c r="AF865" t="inlineStr">
        <is>
          <t>FRONT</t>
        </is>
      </c>
      <c r="AG865" t="n">
        <v>134111</v>
      </c>
      <c r="AH865" t="inlineStr">
        <is>
          <t>LOMAS</t>
        </is>
      </c>
      <c r="AI865" t="inlineStr">
        <is>
          <t>SGARCIAA@BANCOBASE.COM</t>
        </is>
      </c>
      <c r="AJ865" s="151" t="n">
        <v>45768</v>
      </c>
      <c r="AK865" s="151" t="n"/>
      <c r="AL865" s="151" t="n"/>
    </row>
    <row r="866" hidden="1" s="150">
      <c r="A866" t="inlineStr">
        <is>
          <t>YCUELLAR</t>
        </is>
      </c>
      <c r="B866" t="n">
        <v>3631</v>
      </c>
      <c r="C866" t="inlineStr">
        <is>
          <t>YALITH MICHELL CUELLAR RINCON</t>
        </is>
      </c>
      <c r="D866" t="n">
        <v>9292</v>
      </c>
      <c r="E866" t="inlineStr">
        <is>
          <t>ASESOR CAMBIARIO</t>
        </is>
      </c>
      <c r="F866" t="inlineStr">
        <is>
          <t>MEXICO</t>
        </is>
      </c>
      <c r="G866" t="n">
        <v>3058</v>
      </c>
      <c r="H866" t="inlineStr">
        <is>
          <t>VICTOR TREJO VAZQUEZ</t>
        </is>
      </c>
      <c r="I866" t="n">
        <v>9185</v>
      </c>
      <c r="J866" t="inlineStr">
        <is>
          <t>SUBDIRECTOR COMERCIAL</t>
        </is>
      </c>
      <c r="K866" t="n">
        <v>1</v>
      </c>
      <c r="L866" t="inlineStr">
        <is>
          <t>PRESIDENCIA EJECUTIVA DEL CONSEJO</t>
        </is>
      </c>
      <c r="M866" t="n">
        <v>40</v>
      </c>
      <c r="N866" t="inlineStr">
        <is>
          <t>DIRECCION GENERAL BANCO BASE</t>
        </is>
      </c>
      <c r="O866" t="n">
        <v>410</v>
      </c>
      <c r="P866" t="inlineStr">
        <is>
          <t>DIRECCION COMERCIAL</t>
        </is>
      </c>
      <c r="Q866" t="n">
        <v>4190</v>
      </c>
      <c r="R866" t="inlineStr">
        <is>
          <t>DIRECCION COMERCIAL CDMX 1</t>
        </is>
      </c>
      <c r="S866" t="n">
        <v>41950</v>
      </c>
      <c r="T866" t="inlineStr">
        <is>
          <t>SUBDIRECCION COMERCIAL CDMX 5</t>
        </is>
      </c>
      <c r="U866" t="n">
        <v>419500</v>
      </c>
      <c r="V866" t="inlineStr">
        <is>
          <t>SUBDIRECCION COMERCIAL CDMX 5</t>
        </is>
      </c>
      <c r="W866" t="n">
        <v>134111</v>
      </c>
      <c r="X866" t="inlineStr">
        <is>
          <t>LOMAS</t>
        </is>
      </c>
      <c r="Y866" t="n">
        <v>3</v>
      </c>
      <c r="Z866" t="inlineStr">
        <is>
          <t>CAMBIARIO</t>
        </is>
      </c>
      <c r="AA866" t="n">
        <v>1</v>
      </c>
      <c r="AB866" t="inlineStr">
        <is>
          <t>NEGOCIO EN MARCHA</t>
        </is>
      </c>
      <c r="AC866" t="n">
        <v>1</v>
      </c>
      <c r="AD866" t="inlineStr">
        <is>
          <t>BANCO</t>
        </is>
      </c>
      <c r="AE866" t="n">
        <v>3</v>
      </c>
      <c r="AF866" t="inlineStr">
        <is>
          <t>FRONT</t>
        </is>
      </c>
      <c r="AG866" t="n">
        <v>134111</v>
      </c>
      <c r="AH866" t="inlineStr">
        <is>
          <t>LOMAS</t>
        </is>
      </c>
      <c r="AI866" t="inlineStr">
        <is>
          <t>YCUELLAR@BANCOBASE.COM</t>
        </is>
      </c>
      <c r="AJ866" s="151" t="n">
        <v>45946</v>
      </c>
      <c r="AK866" s="151" t="n"/>
      <c r="AL866" s="151" t="n"/>
    </row>
    <row r="867" hidden="1" s="150">
      <c r="A867" t="inlineStr">
        <is>
          <t>CDOMINGUEC</t>
        </is>
      </c>
      <c r="B867" t="n">
        <v>3891</v>
      </c>
      <c r="C867" t="inlineStr">
        <is>
          <t>CARLOS ALBERTO DOMINGUEZ CHAVEZ</t>
        </is>
      </c>
      <c r="D867" t="n">
        <v>9359</v>
      </c>
      <c r="E867" t="inlineStr">
        <is>
          <t>SUBDIRECTOR COMERCIAL</t>
        </is>
      </c>
      <c r="F867" t="inlineStr">
        <is>
          <t>MEXICO</t>
        </is>
      </c>
      <c r="G867" t="n">
        <v>2360</v>
      </c>
      <c r="H867" t="inlineStr">
        <is>
          <t>JULIAN AMIEVA ALONSO</t>
        </is>
      </c>
      <c r="I867" t="n">
        <v>9650</v>
      </c>
      <c r="J867" t="inlineStr">
        <is>
          <t>DIRECTOR COMERCIAL CIUDAD DE MEXICO</t>
        </is>
      </c>
      <c r="K867" t="n">
        <v>1</v>
      </c>
      <c r="L867" t="inlineStr">
        <is>
          <t>PRESIDENCIA EJECUTIVA DEL CONSEJO</t>
        </is>
      </c>
      <c r="M867" t="n">
        <v>40</v>
      </c>
      <c r="N867" t="inlineStr">
        <is>
          <t>DIRECCION GENERAL BANCO BASE</t>
        </is>
      </c>
      <c r="O867" t="n">
        <v>410</v>
      </c>
      <c r="P867" t="inlineStr">
        <is>
          <t>DIRECCION COMERCIAL</t>
        </is>
      </c>
      <c r="Q867" t="n">
        <v>4190</v>
      </c>
      <c r="R867" t="inlineStr">
        <is>
          <t>DIRECCION COMERCIAL CDMX 1</t>
        </is>
      </c>
      <c r="S867" t="n">
        <v>41930</v>
      </c>
      <c r="T867" t="inlineStr">
        <is>
          <t>SUBDIRECCION COMERCIAL CDMX 3</t>
        </is>
      </c>
      <c r="U867" t="n">
        <v>419300</v>
      </c>
      <c r="V867" t="inlineStr">
        <is>
          <t>SUBDIRECCION COMERCIAL CDMX 3</t>
        </is>
      </c>
      <c r="W867" t="n">
        <v>134111</v>
      </c>
      <c r="X867" t="inlineStr">
        <is>
          <t>LOMAS</t>
        </is>
      </c>
      <c r="Y867" t="n">
        <v>3</v>
      </c>
      <c r="Z867" t="inlineStr">
        <is>
          <t>CAMBIARIO</t>
        </is>
      </c>
      <c r="AA867" t="n">
        <v>1</v>
      </c>
      <c r="AB867" t="inlineStr">
        <is>
          <t>NEGOCIO EN MARCHA</t>
        </is>
      </c>
      <c r="AC867" t="n">
        <v>1</v>
      </c>
      <c r="AD867" t="inlineStr">
        <is>
          <t>BANCO</t>
        </is>
      </c>
      <c r="AE867" t="n">
        <v>3</v>
      </c>
      <c r="AF867" t="inlineStr">
        <is>
          <t>FRONT</t>
        </is>
      </c>
      <c r="AG867" t="n">
        <v>134111</v>
      </c>
      <c r="AH867" t="inlineStr">
        <is>
          <t>LOMAS</t>
        </is>
      </c>
      <c r="AI867" t="inlineStr">
        <is>
          <t>CDOMINGUEC@BANCOBASE.COM</t>
        </is>
      </c>
      <c r="AJ867" s="151" t="n">
        <v>46174</v>
      </c>
      <c r="AK867" s="151" t="n"/>
      <c r="AL867" s="151" t="n"/>
    </row>
    <row r="868" hidden="1" s="150">
      <c r="A868" t="inlineStr">
        <is>
          <t>DCORDERO</t>
        </is>
      </c>
      <c r="B868" t="n">
        <v>3466</v>
      </c>
      <c r="C868" t="inlineStr">
        <is>
          <t>HONNEY DENEB CORDERO OLGUIN</t>
        </is>
      </c>
      <c r="D868" t="n">
        <v>10050</v>
      </c>
      <c r="E868" t="inlineStr">
        <is>
          <t>ASESOR CAMBIARIO</t>
        </is>
      </c>
      <c r="F868" t="inlineStr">
        <is>
          <t>MEXICO</t>
        </is>
      </c>
      <c r="G868" t="n">
        <v>3891</v>
      </c>
      <c r="H868" t="inlineStr">
        <is>
          <t>CARLOS ALBERTO DOMINGUEZ CHAVEZ</t>
        </is>
      </c>
      <c r="I868" t="n">
        <v>9359</v>
      </c>
      <c r="J868" t="inlineStr">
        <is>
          <t>SUBDIRECTOR COMERCIAL</t>
        </is>
      </c>
      <c r="K868" t="n">
        <v>1</v>
      </c>
      <c r="L868" t="inlineStr">
        <is>
          <t>PRESIDENCIA EJECUTIVA DEL CONSEJO</t>
        </is>
      </c>
      <c r="M868" t="n">
        <v>40</v>
      </c>
      <c r="N868" t="inlineStr">
        <is>
          <t>DIRECCION GENERAL BANCO BASE</t>
        </is>
      </c>
      <c r="O868" t="n">
        <v>410</v>
      </c>
      <c r="P868" t="inlineStr">
        <is>
          <t>DIRECCION COMERCIAL</t>
        </is>
      </c>
      <c r="Q868" t="n">
        <v>4190</v>
      </c>
      <c r="R868" t="inlineStr">
        <is>
          <t>DIRECCION COMERCIAL CDMX 1</t>
        </is>
      </c>
      <c r="S868" t="n">
        <v>41930</v>
      </c>
      <c r="T868" t="inlineStr">
        <is>
          <t>SUBDIRECCION COMERCIAL CDMX 3</t>
        </is>
      </c>
      <c r="U868" t="n">
        <v>419300</v>
      </c>
      <c r="V868" t="inlineStr">
        <is>
          <t>SUBDIRECCION COMERCIAL CDMX 3</t>
        </is>
      </c>
      <c r="W868" t="n">
        <v>134111</v>
      </c>
      <c r="X868" t="inlineStr">
        <is>
          <t>LOMAS</t>
        </is>
      </c>
      <c r="Y868" t="n">
        <v>3</v>
      </c>
      <c r="Z868" t="inlineStr">
        <is>
          <t>CAMBIARIO</t>
        </is>
      </c>
      <c r="AA868" t="n">
        <v>1</v>
      </c>
      <c r="AB868" t="inlineStr">
        <is>
          <t>NEGOCIO EN MARCHA</t>
        </is>
      </c>
      <c r="AC868" t="n">
        <v>1</v>
      </c>
      <c r="AD868" t="inlineStr">
        <is>
          <t>BANCO</t>
        </is>
      </c>
      <c r="AE868" t="n">
        <v>3</v>
      </c>
      <c r="AF868" t="inlineStr">
        <is>
          <t>FRONT</t>
        </is>
      </c>
      <c r="AG868" t="n">
        <v>134111</v>
      </c>
      <c r="AH868" t="inlineStr">
        <is>
          <t>LOMAS</t>
        </is>
      </c>
      <c r="AI868" t="inlineStr">
        <is>
          <t>DCORDERO@BANCOBASE.COM</t>
        </is>
      </c>
      <c r="AJ868" s="151" t="n">
        <v>45854</v>
      </c>
      <c r="AK868" s="151" t="n"/>
      <c r="AL868" s="151" t="n"/>
    </row>
    <row r="869" hidden="1" s="150">
      <c r="A869" t="inlineStr">
        <is>
          <t>MMORENORO</t>
        </is>
      </c>
      <c r="B869" t="n">
        <v>3467</v>
      </c>
      <c r="C869" t="inlineStr">
        <is>
          <t>MAURICIO MORENO ROGEL</t>
        </is>
      </c>
      <c r="D869" t="n">
        <v>10138</v>
      </c>
      <c r="E869" t="inlineStr">
        <is>
          <t>ASESOR CAMBIARIO</t>
        </is>
      </c>
      <c r="F869" t="inlineStr">
        <is>
          <t>MEXICO</t>
        </is>
      </c>
      <c r="G869" t="n">
        <v>3891</v>
      </c>
      <c r="H869" t="inlineStr">
        <is>
          <t>CARLOS ALBERTO DOMINGUEZ CHAVEZ</t>
        </is>
      </c>
      <c r="I869" t="n">
        <v>9359</v>
      </c>
      <c r="J869" t="inlineStr">
        <is>
          <t>SUBDIRECTOR COMERCIAL</t>
        </is>
      </c>
      <c r="K869" t="n">
        <v>1</v>
      </c>
      <c r="L869" t="inlineStr">
        <is>
          <t>PRESIDENCIA EJECUTIVA DEL CONSEJO</t>
        </is>
      </c>
      <c r="M869" t="n">
        <v>40</v>
      </c>
      <c r="N869" t="inlineStr">
        <is>
          <t>DIRECCION GENERAL BANCO BASE</t>
        </is>
      </c>
      <c r="O869" t="n">
        <v>410</v>
      </c>
      <c r="P869" t="inlineStr">
        <is>
          <t>DIRECCION COMERCIAL</t>
        </is>
      </c>
      <c r="Q869" t="n">
        <v>4190</v>
      </c>
      <c r="R869" t="inlineStr">
        <is>
          <t>DIRECCION COMERCIAL CDMX 1</t>
        </is>
      </c>
      <c r="S869" t="n">
        <v>41930</v>
      </c>
      <c r="T869" t="inlineStr">
        <is>
          <t>SUBDIRECCION COMERCIAL CDMX 3</t>
        </is>
      </c>
      <c r="U869" t="n">
        <v>419300</v>
      </c>
      <c r="V869" t="inlineStr">
        <is>
          <t>SUBDIRECCION COMERCIAL CDMX 3</t>
        </is>
      </c>
      <c r="W869" t="n">
        <v>134111</v>
      </c>
      <c r="X869" t="inlineStr">
        <is>
          <t>LOMAS</t>
        </is>
      </c>
      <c r="Y869" t="n">
        <v>3</v>
      </c>
      <c r="Z869" t="inlineStr">
        <is>
          <t>CAMBIARIO</t>
        </is>
      </c>
      <c r="AA869" t="n">
        <v>1</v>
      </c>
      <c r="AB869" t="inlineStr">
        <is>
          <t>NEGOCIO EN MARCHA</t>
        </is>
      </c>
      <c r="AC869" t="n">
        <v>1</v>
      </c>
      <c r="AD869" t="inlineStr">
        <is>
          <t>BANCO</t>
        </is>
      </c>
      <c r="AE869" t="n">
        <v>3</v>
      </c>
      <c r="AF869" t="inlineStr">
        <is>
          <t>FRONT</t>
        </is>
      </c>
      <c r="AG869" t="n">
        <v>134111</v>
      </c>
      <c r="AH869" t="inlineStr">
        <is>
          <t>LOMAS</t>
        </is>
      </c>
      <c r="AI869" t="inlineStr">
        <is>
          <t>MMORENORO@BANCOBASE.COM</t>
        </is>
      </c>
      <c r="AJ869" s="151" t="n">
        <v>45839</v>
      </c>
      <c r="AK869" s="151" t="n"/>
      <c r="AL869" s="151" t="n"/>
    </row>
    <row r="870" hidden="1" s="150">
      <c r="A870" t="inlineStr">
        <is>
          <t>MNEGRETEB</t>
        </is>
      </c>
      <c r="B870" t="n">
        <v>3517</v>
      </c>
      <c r="C870" t="inlineStr">
        <is>
          <t>MITZI ESTEFANIA NEGRETE BRIBIESCA</t>
        </is>
      </c>
      <c r="D870" t="n">
        <v>9688</v>
      </c>
      <c r="E870" t="inlineStr">
        <is>
          <t>ASESOR CAMBIARIO</t>
        </is>
      </c>
      <c r="F870" t="inlineStr">
        <is>
          <t>MEXICO</t>
        </is>
      </c>
      <c r="G870" t="n">
        <v>3891</v>
      </c>
      <c r="H870" t="inlineStr">
        <is>
          <t>CARLOS ALBERTO DOMINGUEZ CHAVEZ</t>
        </is>
      </c>
      <c r="I870" t="n">
        <v>9359</v>
      </c>
      <c r="J870" t="inlineStr">
        <is>
          <t>SUBDIRECTOR COMERCIAL</t>
        </is>
      </c>
      <c r="K870" t="n">
        <v>1</v>
      </c>
      <c r="L870" t="inlineStr">
        <is>
          <t>PRESIDENCIA EJECUTIVA DEL CONSEJO</t>
        </is>
      </c>
      <c r="M870" t="n">
        <v>40</v>
      </c>
      <c r="N870" t="inlineStr">
        <is>
          <t>DIRECCION GENERAL BANCO BASE</t>
        </is>
      </c>
      <c r="O870" t="n">
        <v>410</v>
      </c>
      <c r="P870" t="inlineStr">
        <is>
          <t>DIRECCION COMERCIAL</t>
        </is>
      </c>
      <c r="Q870" t="n">
        <v>4190</v>
      </c>
      <c r="R870" t="inlineStr">
        <is>
          <t>DIRECCION COMERCIAL CDMX 1</t>
        </is>
      </c>
      <c r="S870" t="n">
        <v>41930</v>
      </c>
      <c r="T870" t="inlineStr">
        <is>
          <t>SUBDIRECCION COMERCIAL CDMX 3</t>
        </is>
      </c>
      <c r="U870" t="n">
        <v>419300</v>
      </c>
      <c r="V870" t="inlineStr">
        <is>
          <t>SUBDIRECCION COMERCIAL CDMX 3</t>
        </is>
      </c>
      <c r="W870" t="n">
        <v>134111</v>
      </c>
      <c r="X870" t="inlineStr">
        <is>
          <t>LOMAS</t>
        </is>
      </c>
      <c r="Y870" t="n">
        <v>3</v>
      </c>
      <c r="Z870" t="inlineStr">
        <is>
          <t>CAMBIARIO</t>
        </is>
      </c>
      <c r="AA870" t="n">
        <v>1</v>
      </c>
      <c r="AB870" t="inlineStr">
        <is>
          <t>NEGOCIO EN MARCHA</t>
        </is>
      </c>
      <c r="AC870" t="n">
        <v>1</v>
      </c>
      <c r="AD870" t="inlineStr">
        <is>
          <t>BANCO</t>
        </is>
      </c>
      <c r="AE870" t="n">
        <v>3</v>
      </c>
      <c r="AF870" t="inlineStr">
        <is>
          <t>FRONT</t>
        </is>
      </c>
      <c r="AG870" t="n">
        <v>134111</v>
      </c>
      <c r="AH870" t="inlineStr">
        <is>
          <t>LOMAS</t>
        </is>
      </c>
      <c r="AI870" t="inlineStr">
        <is>
          <t>MNEGRETEB@BANCOBASE.COM</t>
        </is>
      </c>
      <c r="AJ870" s="151" t="n">
        <v>45873</v>
      </c>
      <c r="AK870" s="151" t="n"/>
      <c r="AL870" s="151" t="n"/>
    </row>
    <row r="871" hidden="1" s="150">
      <c r="A871" t="inlineStr">
        <is>
          <t>AGORDILLO</t>
        </is>
      </c>
      <c r="B871" t="n">
        <v>3620</v>
      </c>
      <c r="C871" t="inlineStr">
        <is>
          <t>AMARILIS GORDILLO ALTAMIRANO</t>
        </is>
      </c>
      <c r="D871" t="n">
        <v>9169</v>
      </c>
      <c r="E871" t="inlineStr">
        <is>
          <t>ASESOR CAMBIARIO</t>
        </is>
      </c>
      <c r="F871" t="inlineStr">
        <is>
          <t>MEXICO</t>
        </is>
      </c>
      <c r="G871" t="n">
        <v>3891</v>
      </c>
      <c r="H871" t="inlineStr">
        <is>
          <t>CARLOS ALBERTO DOMINGUEZ CHAVEZ</t>
        </is>
      </c>
      <c r="I871" t="n">
        <v>9359</v>
      </c>
      <c r="J871" t="inlineStr">
        <is>
          <t>SUBDIRECTOR COMERCIAL</t>
        </is>
      </c>
      <c r="K871" t="n">
        <v>1</v>
      </c>
      <c r="L871" t="inlineStr">
        <is>
          <t>PRESIDENCIA EJECUTIVA DEL CONSEJO</t>
        </is>
      </c>
      <c r="M871" t="n">
        <v>40</v>
      </c>
      <c r="N871" t="inlineStr">
        <is>
          <t>DIRECCION GENERAL BANCO BASE</t>
        </is>
      </c>
      <c r="O871" t="n">
        <v>410</v>
      </c>
      <c r="P871" t="inlineStr">
        <is>
          <t>DIRECCION COMERCIAL</t>
        </is>
      </c>
      <c r="Q871" t="n">
        <v>4190</v>
      </c>
      <c r="R871" t="inlineStr">
        <is>
          <t>DIRECCION COMERCIAL CDMX 1</t>
        </is>
      </c>
      <c r="S871" t="n">
        <v>41930</v>
      </c>
      <c r="T871" t="inlineStr">
        <is>
          <t>SUBDIRECCION COMERCIAL CDMX 3</t>
        </is>
      </c>
      <c r="U871" t="n">
        <v>419300</v>
      </c>
      <c r="V871" t="inlineStr">
        <is>
          <t>SUBDIRECCION COMERCIAL CDMX 3</t>
        </is>
      </c>
      <c r="W871" t="n">
        <v>134111</v>
      </c>
      <c r="X871" t="inlineStr">
        <is>
          <t>LOMAS</t>
        </is>
      </c>
      <c r="Y871" t="n">
        <v>3</v>
      </c>
      <c r="Z871" t="inlineStr">
        <is>
          <t>CAMBIARIO</t>
        </is>
      </c>
      <c r="AA871" t="n">
        <v>1</v>
      </c>
      <c r="AB871" t="inlineStr">
        <is>
          <t>NEGOCIO EN MARCHA</t>
        </is>
      </c>
      <c r="AC871" t="n">
        <v>1</v>
      </c>
      <c r="AD871" t="inlineStr">
        <is>
          <t>BANCO</t>
        </is>
      </c>
      <c r="AE871" t="n">
        <v>3</v>
      </c>
      <c r="AF871" t="inlineStr">
        <is>
          <t>FRONT</t>
        </is>
      </c>
      <c r="AG871" t="n">
        <v>134111</v>
      </c>
      <c r="AH871" t="inlineStr">
        <is>
          <t>LOMAS</t>
        </is>
      </c>
      <c r="AI871" t="inlineStr">
        <is>
          <t>AGORDILLO@BANCOBASE.COM</t>
        </is>
      </c>
      <c r="AJ871" s="151" t="n">
        <v>45946</v>
      </c>
      <c r="AK871" s="151" t="n"/>
      <c r="AL871" s="151" t="n"/>
    </row>
    <row r="872" hidden="1" s="150">
      <c r="A872" t="inlineStr">
        <is>
          <t>MCRESPON</t>
        </is>
      </c>
      <c r="B872" t="n">
        <v>3621</v>
      </c>
      <c r="C872" t="inlineStr">
        <is>
          <t>MARIA JOSE CRESPO NOGUEZ</t>
        </is>
      </c>
      <c r="D872" t="n">
        <v>9713</v>
      </c>
      <c r="E872" t="inlineStr">
        <is>
          <t>ASESOR CAMBIARIO</t>
        </is>
      </c>
      <c r="F872" t="inlineStr">
        <is>
          <t>MEXICO</t>
        </is>
      </c>
      <c r="G872" t="n">
        <v>3891</v>
      </c>
      <c r="H872" t="inlineStr">
        <is>
          <t>CARLOS ALBERTO DOMINGUEZ CHAVEZ</t>
        </is>
      </c>
      <c r="I872" t="n">
        <v>9359</v>
      </c>
      <c r="J872" t="inlineStr">
        <is>
          <t>SUBDIRECTOR COMERCIAL</t>
        </is>
      </c>
      <c r="K872" t="n">
        <v>1</v>
      </c>
      <c r="L872" t="inlineStr">
        <is>
          <t>PRESIDENCIA EJECUTIVA DEL CONSEJO</t>
        </is>
      </c>
      <c r="M872" t="n">
        <v>40</v>
      </c>
      <c r="N872" t="inlineStr">
        <is>
          <t>DIRECCION GENERAL BANCO BASE</t>
        </is>
      </c>
      <c r="O872" t="n">
        <v>410</v>
      </c>
      <c r="P872" t="inlineStr">
        <is>
          <t>DIRECCION COMERCIAL</t>
        </is>
      </c>
      <c r="Q872" t="n">
        <v>4190</v>
      </c>
      <c r="R872" t="inlineStr">
        <is>
          <t>DIRECCION COMERCIAL CDMX 1</t>
        </is>
      </c>
      <c r="S872" t="n">
        <v>41930</v>
      </c>
      <c r="T872" t="inlineStr">
        <is>
          <t>SUBDIRECCION COMERCIAL CDMX 3</t>
        </is>
      </c>
      <c r="U872" t="n">
        <v>419300</v>
      </c>
      <c r="V872" t="inlineStr">
        <is>
          <t>SUBDIRECCION COMERCIAL CDMX 3</t>
        </is>
      </c>
      <c r="W872" t="n">
        <v>134111</v>
      </c>
      <c r="X872" t="inlineStr">
        <is>
          <t>LOMAS</t>
        </is>
      </c>
      <c r="Y872" t="n">
        <v>3</v>
      </c>
      <c r="Z872" t="inlineStr">
        <is>
          <t>CAMBIARIO</t>
        </is>
      </c>
      <c r="AA872" t="n">
        <v>1</v>
      </c>
      <c r="AB872" t="inlineStr">
        <is>
          <t>NEGOCIO EN MARCHA</t>
        </is>
      </c>
      <c r="AC872" t="n">
        <v>1</v>
      </c>
      <c r="AD872" t="inlineStr">
        <is>
          <t>BANCO</t>
        </is>
      </c>
      <c r="AE872" t="n">
        <v>3</v>
      </c>
      <c r="AF872" t="inlineStr">
        <is>
          <t>FRONT</t>
        </is>
      </c>
      <c r="AG872" t="n">
        <v>134111</v>
      </c>
      <c r="AH872" t="inlineStr">
        <is>
          <t>LOMAS</t>
        </is>
      </c>
      <c r="AI872" t="inlineStr">
        <is>
          <t>MCRESPON@BANCOBASE.COM</t>
        </is>
      </c>
      <c r="AJ872" s="151" t="n">
        <v>45946</v>
      </c>
      <c r="AK872" s="151" t="n"/>
      <c r="AL872" s="151" t="n"/>
    </row>
    <row r="873" hidden="1" s="150">
      <c r="A873" t="inlineStr">
        <is>
          <t>MGARCIAV</t>
        </is>
      </c>
      <c r="B873" t="n">
        <v>3554</v>
      </c>
      <c r="C873" t="inlineStr">
        <is>
          <t>MAYRA ALEJANDRA GARCIA VIVAS</t>
        </is>
      </c>
      <c r="D873" t="n">
        <v>8328</v>
      </c>
      <c r="E873" t="inlineStr">
        <is>
          <t>ASISTENTE CAMBIARIO</t>
        </is>
      </c>
      <c r="F873" t="inlineStr">
        <is>
          <t>MEXICO</t>
        </is>
      </c>
      <c r="G873" t="n">
        <v>3891</v>
      </c>
      <c r="H873" t="inlineStr">
        <is>
          <t>CARLOS ALBERTO DOMINGUEZ CHAVEZ</t>
        </is>
      </c>
      <c r="I873" t="n">
        <v>9359</v>
      </c>
      <c r="J873" t="inlineStr">
        <is>
          <t>SUBDIRECTOR COMERCIAL</t>
        </is>
      </c>
      <c r="K873" t="n">
        <v>1</v>
      </c>
      <c r="L873" t="inlineStr">
        <is>
          <t>PRESIDENCIA EJECUTIVA DEL CONSEJO</t>
        </is>
      </c>
      <c r="M873" t="n">
        <v>40</v>
      </c>
      <c r="N873" t="inlineStr">
        <is>
          <t>DIRECCION GENERAL BANCO BASE</t>
        </is>
      </c>
      <c r="O873" t="n">
        <v>410</v>
      </c>
      <c r="P873" t="inlineStr">
        <is>
          <t>DIRECCION COMERCIAL</t>
        </is>
      </c>
      <c r="Q873" t="n">
        <v>4190</v>
      </c>
      <c r="R873" t="inlineStr">
        <is>
          <t>DIRECCION COMERCIAL CDMX 1</t>
        </is>
      </c>
      <c r="S873" t="n">
        <v>41930</v>
      </c>
      <c r="T873" t="inlineStr">
        <is>
          <t>SUBDIRECCION COMERCIAL CDMX 3</t>
        </is>
      </c>
      <c r="U873" t="n">
        <v>419300</v>
      </c>
      <c r="V873" t="inlineStr">
        <is>
          <t>SUBDIRECCION COMERCIAL CDMX 3</t>
        </is>
      </c>
      <c r="W873" t="n">
        <v>134111</v>
      </c>
      <c r="X873" t="inlineStr">
        <is>
          <t>LOMAS</t>
        </is>
      </c>
      <c r="Y873" t="n">
        <v>3</v>
      </c>
      <c r="Z873" t="inlineStr">
        <is>
          <t>CAMBIARIO</t>
        </is>
      </c>
      <c r="AA873" t="n">
        <v>1</v>
      </c>
      <c r="AB873" t="inlineStr">
        <is>
          <t>NEGOCIO EN MARCHA</t>
        </is>
      </c>
      <c r="AC873" t="n">
        <v>1</v>
      </c>
      <c r="AD873" t="inlineStr">
        <is>
          <t>BANCO</t>
        </is>
      </c>
      <c r="AE873" t="n">
        <v>2</v>
      </c>
      <c r="AF873" t="inlineStr">
        <is>
          <t>MIDDLE</t>
        </is>
      </c>
      <c r="AG873" t="n">
        <v>134111</v>
      </c>
      <c r="AH873" t="inlineStr">
        <is>
          <t>LOMAS</t>
        </is>
      </c>
      <c r="AI873" t="inlineStr">
        <is>
          <t>MGARCIAV@BANCOBASE.COM</t>
        </is>
      </c>
      <c r="AJ873" s="151" t="n">
        <v>45901</v>
      </c>
      <c r="AK873" s="151" t="n"/>
      <c r="AL873" s="151" t="n"/>
    </row>
    <row r="874" hidden="1" s="150">
      <c r="A874" t="inlineStr">
        <is>
          <t>AVELASCO</t>
        </is>
      </c>
      <c r="B874" t="n">
        <v>2743</v>
      </c>
      <c r="C874" t="inlineStr">
        <is>
          <t>ALMA ELENA VELASCO ALCOSER</t>
        </is>
      </c>
      <c r="D874" t="n">
        <v>10175</v>
      </c>
      <c r="E874" t="inlineStr">
        <is>
          <t>ASESOR CAMBIARIO</t>
        </is>
      </c>
      <c r="F874" t="inlineStr">
        <is>
          <t>MEXICO</t>
        </is>
      </c>
      <c r="G874" t="n">
        <v>3891</v>
      </c>
      <c r="H874" t="inlineStr">
        <is>
          <t>CARLOS ALBERTO DOMINGUEZ CHAVEZ</t>
        </is>
      </c>
      <c r="I874" t="n">
        <v>9359</v>
      </c>
      <c r="J874" t="inlineStr">
        <is>
          <t>SUBDIRECTOR COMERCIAL</t>
        </is>
      </c>
      <c r="K874" t="n">
        <v>1</v>
      </c>
      <c r="L874" t="inlineStr">
        <is>
          <t>PRESIDENCIA EJECUTIVA DEL CONSEJO</t>
        </is>
      </c>
      <c r="M874" t="n">
        <v>40</v>
      </c>
      <c r="N874" t="inlineStr">
        <is>
          <t>DIRECCION GENERAL BANCO BASE</t>
        </is>
      </c>
      <c r="O874" t="n">
        <v>410</v>
      </c>
      <c r="P874" t="inlineStr">
        <is>
          <t>DIRECCION COMERCIAL</t>
        </is>
      </c>
      <c r="Q874" t="n">
        <v>4190</v>
      </c>
      <c r="R874" t="inlineStr">
        <is>
          <t>DIRECCION COMERCIAL CDMX 1</t>
        </is>
      </c>
      <c r="S874" t="n">
        <v>41930</v>
      </c>
      <c r="T874" t="inlineStr">
        <is>
          <t>SUBDIRECCION COMERCIAL CDMX 3</t>
        </is>
      </c>
      <c r="U874" t="n">
        <v>419300</v>
      </c>
      <c r="V874" t="inlineStr">
        <is>
          <t>SUBDIRECCION COMERCIAL CDMX 3</t>
        </is>
      </c>
      <c r="W874" t="n">
        <v>134111</v>
      </c>
      <c r="X874" t="inlineStr">
        <is>
          <t>LOMAS</t>
        </is>
      </c>
      <c r="Y874" t="n">
        <v>3</v>
      </c>
      <c r="Z874" t="inlineStr">
        <is>
          <t>CAMBIARIO</t>
        </is>
      </c>
      <c r="AA874" t="n">
        <v>1</v>
      </c>
      <c r="AB874" t="inlineStr">
        <is>
          <t>NEGOCIO EN MARCHA</t>
        </is>
      </c>
      <c r="AC874" t="n">
        <v>1</v>
      </c>
      <c r="AD874" t="inlineStr">
        <is>
          <t>BANCO</t>
        </is>
      </c>
      <c r="AE874" t="n">
        <v>3</v>
      </c>
      <c r="AF874" t="inlineStr">
        <is>
          <t>FRONT</t>
        </is>
      </c>
      <c r="AG874" t="n">
        <v>134111</v>
      </c>
      <c r="AH874" t="inlineStr">
        <is>
          <t>LOMAS</t>
        </is>
      </c>
      <c r="AI874" t="inlineStr">
        <is>
          <t>AVELASCO@BANCOBASE.COM</t>
        </is>
      </c>
      <c r="AJ874" s="151" t="n">
        <v>44837</v>
      </c>
      <c r="AK874" s="151" t="n"/>
      <c r="AL874" s="151" t="n"/>
    </row>
    <row r="875" hidden="1" s="150">
      <c r="A875" t="inlineStr">
        <is>
          <t>EVALLEJO</t>
        </is>
      </c>
      <c r="B875" t="n">
        <v>3644</v>
      </c>
      <c r="C875" t="inlineStr">
        <is>
          <t>ENRIQUE VALLEJO DIAZ</t>
        </is>
      </c>
      <c r="D875" t="n">
        <v>9178</v>
      </c>
      <c r="E875" t="inlineStr">
        <is>
          <t>ASESOR CAMBIARIO</t>
        </is>
      </c>
      <c r="F875" t="inlineStr">
        <is>
          <t>MEXICO</t>
        </is>
      </c>
      <c r="G875" t="n">
        <v>3891</v>
      </c>
      <c r="H875" t="inlineStr">
        <is>
          <t>CARLOS ALBERTO DOMINGUEZ CHAVEZ</t>
        </is>
      </c>
      <c r="I875" t="n">
        <v>9359</v>
      </c>
      <c r="J875" t="inlineStr">
        <is>
          <t>SUBDIRECTOR COMERCIAL</t>
        </is>
      </c>
      <c r="K875" t="n">
        <v>1</v>
      </c>
      <c r="L875" t="inlineStr">
        <is>
          <t>PRESIDENCIA EJECUTIVA DEL CONSEJO</t>
        </is>
      </c>
      <c r="M875" t="n">
        <v>40</v>
      </c>
      <c r="N875" t="inlineStr">
        <is>
          <t>DIRECCION GENERAL BANCO BASE</t>
        </is>
      </c>
      <c r="O875" t="n">
        <v>410</v>
      </c>
      <c r="P875" t="inlineStr">
        <is>
          <t>DIRECCION COMERCIAL</t>
        </is>
      </c>
      <c r="Q875" t="n">
        <v>4190</v>
      </c>
      <c r="R875" t="inlineStr">
        <is>
          <t>DIRECCION COMERCIAL CDMX 1</t>
        </is>
      </c>
      <c r="S875" t="n">
        <v>41930</v>
      </c>
      <c r="T875" t="inlineStr">
        <is>
          <t>SUBDIRECCION COMERCIAL CDMX 3</t>
        </is>
      </c>
      <c r="U875" t="n">
        <v>419300</v>
      </c>
      <c r="V875" t="inlineStr">
        <is>
          <t>SUBDIRECCION COMERCIAL CDMX 3</t>
        </is>
      </c>
      <c r="W875" t="n">
        <v>134111</v>
      </c>
      <c r="X875" t="inlineStr">
        <is>
          <t>LOMAS</t>
        </is>
      </c>
      <c r="Y875" t="n">
        <v>3</v>
      </c>
      <c r="Z875" t="inlineStr">
        <is>
          <t>CAMBIARIO</t>
        </is>
      </c>
      <c r="AA875" t="n">
        <v>1</v>
      </c>
      <c r="AB875" t="inlineStr">
        <is>
          <t>NEGOCIO EN MARCHA</t>
        </is>
      </c>
      <c r="AC875" t="n">
        <v>1</v>
      </c>
      <c r="AD875" t="inlineStr">
        <is>
          <t>BANCO</t>
        </is>
      </c>
      <c r="AE875" t="n">
        <v>3</v>
      </c>
      <c r="AF875" t="inlineStr">
        <is>
          <t>FRONT</t>
        </is>
      </c>
      <c r="AG875" t="n">
        <v>134111</v>
      </c>
      <c r="AH875" t="inlineStr">
        <is>
          <t>LOMAS</t>
        </is>
      </c>
      <c r="AI875" t="inlineStr">
        <is>
          <t>EVALLEJO@BANCOBASE.COM</t>
        </is>
      </c>
      <c r="AJ875" s="151" t="n">
        <v>45946</v>
      </c>
      <c r="AK875" s="151" t="n"/>
      <c r="AL875" s="151" t="n"/>
    </row>
    <row r="876" hidden="1" s="150">
      <c r="A876" t="inlineStr">
        <is>
          <t>AINFANTE</t>
        </is>
      </c>
      <c r="B876" t="n">
        <v>3892</v>
      </c>
      <c r="C876" t="inlineStr">
        <is>
          <t>ALFONSO INFANTE MORALES</t>
        </is>
      </c>
      <c r="D876" t="n">
        <v>8822</v>
      </c>
      <c r="E876" t="inlineStr">
        <is>
          <t>SUBDIRECTOR COMERCIAL</t>
        </is>
      </c>
      <c r="F876" t="inlineStr">
        <is>
          <t>MEXICO</t>
        </is>
      </c>
      <c r="G876" t="n">
        <v>2360</v>
      </c>
      <c r="H876" t="inlineStr">
        <is>
          <t>JULIAN AMIEVA ALONSO</t>
        </is>
      </c>
      <c r="I876" t="n">
        <v>9650</v>
      </c>
      <c r="J876" t="inlineStr">
        <is>
          <t>DIRECTOR COMERCIAL CIUDAD DE MEXICO</t>
        </is>
      </c>
      <c r="K876" t="n">
        <v>1</v>
      </c>
      <c r="L876" t="inlineStr">
        <is>
          <t>PRESIDENCIA EJECUTIVA DEL CONSEJO</t>
        </is>
      </c>
      <c r="M876" t="n">
        <v>40</v>
      </c>
      <c r="N876" t="inlineStr">
        <is>
          <t>DIRECCION GENERAL BANCO BASE</t>
        </is>
      </c>
      <c r="O876" t="n">
        <v>410</v>
      </c>
      <c r="P876" t="inlineStr">
        <is>
          <t>DIRECCION COMERCIAL</t>
        </is>
      </c>
      <c r="Q876" t="n">
        <v>4190</v>
      </c>
      <c r="R876" t="inlineStr">
        <is>
          <t>DIRECCION COMERCIAL CDMX 1</t>
        </is>
      </c>
      <c r="S876" t="n">
        <v>41960</v>
      </c>
      <c r="T876" t="inlineStr">
        <is>
          <t>SUBDIRECCION COMERCIAL CDMX 6</t>
        </is>
      </c>
      <c r="U876" t="n">
        <v>419600</v>
      </c>
      <c r="V876" t="inlineStr">
        <is>
          <t>SUBDIRECCION COMERCIAL CDMX 6</t>
        </is>
      </c>
      <c r="W876" t="n">
        <v>134111</v>
      </c>
      <c r="X876" t="inlineStr">
        <is>
          <t>LOMAS</t>
        </is>
      </c>
      <c r="Y876" t="n">
        <v>3</v>
      </c>
      <c r="Z876" t="inlineStr">
        <is>
          <t>CAMBIARIO</t>
        </is>
      </c>
      <c r="AA876" t="n">
        <v>1</v>
      </c>
      <c r="AB876" t="inlineStr">
        <is>
          <t>NEGOCIO EN MARCHA</t>
        </is>
      </c>
      <c r="AC876" t="n">
        <v>1</v>
      </c>
      <c r="AD876" t="inlineStr">
        <is>
          <t>BANCO</t>
        </is>
      </c>
      <c r="AE876" t="n">
        <v>3</v>
      </c>
      <c r="AF876" t="inlineStr">
        <is>
          <t>FRONT</t>
        </is>
      </c>
      <c r="AG876" t="n">
        <v>134111</v>
      </c>
      <c r="AH876" t="inlineStr">
        <is>
          <t>LOMAS</t>
        </is>
      </c>
      <c r="AI876" t="inlineStr">
        <is>
          <t>AINFANTE@BANCOBASE.COM</t>
        </is>
      </c>
      <c r="AJ876" s="151" t="n">
        <v>46174</v>
      </c>
      <c r="AK876" s="151" t="n"/>
      <c r="AL876" s="151" t="n"/>
    </row>
    <row r="877" hidden="1" s="150">
      <c r="A877" t="inlineStr">
        <is>
          <t>DGARCIAD</t>
        </is>
      </c>
      <c r="B877" t="n">
        <v>3992</v>
      </c>
      <c r="C877" t="inlineStr">
        <is>
          <t>DANIELA GARCIA DE LA PEÑA</t>
        </is>
      </c>
      <c r="D877" t="n">
        <v>8815</v>
      </c>
      <c r="E877" t="inlineStr">
        <is>
          <t>ASESOR CAMBIARIO</t>
        </is>
      </c>
      <c r="F877" t="inlineStr">
        <is>
          <t>MEXICO</t>
        </is>
      </c>
      <c r="G877" t="n">
        <v>3892</v>
      </c>
      <c r="H877" t="inlineStr">
        <is>
          <t>ALFONSO INFANTE MORALES</t>
        </is>
      </c>
      <c r="I877" t="n">
        <v>8822</v>
      </c>
      <c r="J877" t="inlineStr">
        <is>
          <t>SUBDIRECTOR COMERCIAL</t>
        </is>
      </c>
      <c r="K877" t="n">
        <v>1</v>
      </c>
      <c r="L877" t="inlineStr">
        <is>
          <t>PRESIDENCIA EJECUTIVA DEL CONSEJO</t>
        </is>
      </c>
      <c r="M877" t="n">
        <v>40</v>
      </c>
      <c r="N877" t="inlineStr">
        <is>
          <t>DIRECCION GENERAL BANCO BASE</t>
        </is>
      </c>
      <c r="O877" t="n">
        <v>410</v>
      </c>
      <c r="P877" t="inlineStr">
        <is>
          <t>DIRECCION COMERCIAL</t>
        </is>
      </c>
      <c r="Q877" t="n">
        <v>4190</v>
      </c>
      <c r="R877" t="inlineStr">
        <is>
          <t>DIRECCION COMERCIAL CDMX 1</t>
        </is>
      </c>
      <c r="S877" t="n">
        <v>41960</v>
      </c>
      <c r="T877" t="inlineStr">
        <is>
          <t>SUBDIRECCION COMERCIAL CDMX 6</t>
        </is>
      </c>
      <c r="U877" t="n">
        <v>419600</v>
      </c>
      <c r="V877" t="inlineStr">
        <is>
          <t>SUBDIRECCION COMERCIAL CDMX 6</t>
        </is>
      </c>
      <c r="W877" t="n">
        <v>134111</v>
      </c>
      <c r="X877" t="inlineStr">
        <is>
          <t>LOMAS</t>
        </is>
      </c>
      <c r="Y877" t="n">
        <v>3</v>
      </c>
      <c r="Z877" t="inlineStr">
        <is>
          <t>CAMBIARIO</t>
        </is>
      </c>
      <c r="AA877" t="n">
        <v>1</v>
      </c>
      <c r="AB877" t="inlineStr">
        <is>
          <t>NEGOCIO EN MARCHA</t>
        </is>
      </c>
      <c r="AC877" t="n">
        <v>1</v>
      </c>
      <c r="AD877" t="inlineStr">
        <is>
          <t>BANCO</t>
        </is>
      </c>
      <c r="AE877" t="n">
        <v>3</v>
      </c>
      <c r="AF877" t="inlineStr">
        <is>
          <t>FRONT</t>
        </is>
      </c>
      <c r="AG877" t="n">
        <v>134111</v>
      </c>
      <c r="AH877" t="inlineStr">
        <is>
          <t>LOMAS</t>
        </is>
      </c>
      <c r="AI877" t="inlineStr">
        <is>
          <t>DGARCIAD@BANCOBASE.COM</t>
        </is>
      </c>
      <c r="AJ877" s="151" t="n">
        <v>46251</v>
      </c>
      <c r="AK877" s="151" t="n"/>
      <c r="AL877" s="151" t="n"/>
    </row>
    <row r="878" hidden="1" s="150">
      <c r="A878" t="inlineStr">
        <is>
          <t>EGARCIAFL</t>
        </is>
      </c>
      <c r="B878" t="n">
        <v>3960</v>
      </c>
      <c r="C878" t="inlineStr">
        <is>
          <t>EDUARDO GARCIA FLETCHER</t>
        </is>
      </c>
      <c r="D878" t="n">
        <v>8817</v>
      </c>
      <c r="E878" t="inlineStr">
        <is>
          <t>ASESOR CAMBIARIO</t>
        </is>
      </c>
      <c r="F878" t="inlineStr">
        <is>
          <t>MEXICO</t>
        </is>
      </c>
      <c r="G878" t="n">
        <v>3892</v>
      </c>
      <c r="H878" t="inlineStr">
        <is>
          <t>ALFONSO INFANTE MORALES</t>
        </is>
      </c>
      <c r="I878" t="n">
        <v>8822</v>
      </c>
      <c r="J878" t="inlineStr">
        <is>
          <t>SUBDIRECTOR COMERCIAL</t>
        </is>
      </c>
      <c r="K878" t="n">
        <v>1</v>
      </c>
      <c r="L878" t="inlineStr">
        <is>
          <t>PRESIDENCIA EJECUTIVA DEL CONSEJO</t>
        </is>
      </c>
      <c r="M878" t="n">
        <v>40</v>
      </c>
      <c r="N878" t="inlineStr">
        <is>
          <t>DIRECCION GENERAL BANCO BASE</t>
        </is>
      </c>
      <c r="O878" t="n">
        <v>410</v>
      </c>
      <c r="P878" t="inlineStr">
        <is>
          <t>DIRECCION COMERCIAL</t>
        </is>
      </c>
      <c r="Q878" t="n">
        <v>4190</v>
      </c>
      <c r="R878" t="inlineStr">
        <is>
          <t>DIRECCION COMERCIAL CDMX 1</t>
        </is>
      </c>
      <c r="S878" t="n">
        <v>41960</v>
      </c>
      <c r="T878" t="inlineStr">
        <is>
          <t>SUBDIRECCION COMERCIAL CDMX 6</t>
        </is>
      </c>
      <c r="U878" t="n">
        <v>419600</v>
      </c>
      <c r="V878" t="inlineStr">
        <is>
          <t>SUBDIRECCION COMERCIAL CDMX 6</t>
        </is>
      </c>
      <c r="W878" t="n">
        <v>134111</v>
      </c>
      <c r="X878" t="inlineStr">
        <is>
          <t>LOMAS</t>
        </is>
      </c>
      <c r="Y878" t="n">
        <v>3</v>
      </c>
      <c r="Z878" t="inlineStr">
        <is>
          <t>CAMBIARIO</t>
        </is>
      </c>
      <c r="AA878" t="n">
        <v>1</v>
      </c>
      <c r="AB878" t="inlineStr">
        <is>
          <t>NEGOCIO EN MARCHA</t>
        </is>
      </c>
      <c r="AC878" t="n">
        <v>1</v>
      </c>
      <c r="AD878" t="inlineStr">
        <is>
          <t>BANCO</t>
        </is>
      </c>
      <c r="AE878" t="n">
        <v>3</v>
      </c>
      <c r="AF878" t="inlineStr">
        <is>
          <t>FRONT</t>
        </is>
      </c>
      <c r="AG878" t="n">
        <v>134111</v>
      </c>
      <c r="AH878" t="inlineStr">
        <is>
          <t>LOMAS</t>
        </is>
      </c>
      <c r="AI878" t="inlineStr">
        <is>
          <t>EGARCIAFL@BANCOBASE.COM</t>
        </is>
      </c>
      <c r="AJ878" s="151" t="n">
        <v>46237</v>
      </c>
      <c r="AK878" s="151" t="n"/>
      <c r="AL878" s="151" t="n"/>
    </row>
    <row r="879" hidden="1" s="150">
      <c r="A879" t="inlineStr">
        <is>
          <t>SMENDOZAI</t>
        </is>
      </c>
      <c r="B879" t="n">
        <v>3991</v>
      </c>
      <c r="C879" t="inlineStr">
        <is>
          <t>SILVIA ADRIANA MENDOZA INIESTA</t>
        </is>
      </c>
      <c r="D879" t="n">
        <v>8814</v>
      </c>
      <c r="E879" t="inlineStr">
        <is>
          <t>ASESOR CAMBIARIO</t>
        </is>
      </c>
      <c r="F879" t="inlineStr">
        <is>
          <t>MEXICO</t>
        </is>
      </c>
      <c r="G879" t="n">
        <v>3892</v>
      </c>
      <c r="H879" t="inlineStr">
        <is>
          <t>ALFONSO INFANTE MORALES</t>
        </is>
      </c>
      <c r="I879" t="n">
        <v>8822</v>
      </c>
      <c r="J879" t="inlineStr">
        <is>
          <t>SUBDIRECTOR COMERCIAL</t>
        </is>
      </c>
      <c r="K879" t="n">
        <v>1</v>
      </c>
      <c r="L879" t="inlineStr">
        <is>
          <t>PRESIDENCIA EJECUTIVA DEL CONSEJO</t>
        </is>
      </c>
      <c r="M879" t="n">
        <v>40</v>
      </c>
      <c r="N879" t="inlineStr">
        <is>
          <t>DIRECCION GENERAL BANCO BASE</t>
        </is>
      </c>
      <c r="O879" t="n">
        <v>410</v>
      </c>
      <c r="P879" t="inlineStr">
        <is>
          <t>DIRECCION COMERCIAL</t>
        </is>
      </c>
      <c r="Q879" t="n">
        <v>4190</v>
      </c>
      <c r="R879" t="inlineStr">
        <is>
          <t>DIRECCION COMERCIAL CDMX 1</t>
        </is>
      </c>
      <c r="S879" t="n">
        <v>41960</v>
      </c>
      <c r="T879" t="inlineStr">
        <is>
          <t>SUBDIRECCION COMERCIAL CDMX 6</t>
        </is>
      </c>
      <c r="U879" t="n">
        <v>419600</v>
      </c>
      <c r="V879" t="inlineStr">
        <is>
          <t>SUBDIRECCION COMERCIAL CDMX 6</t>
        </is>
      </c>
      <c r="W879" t="n">
        <v>134111</v>
      </c>
      <c r="X879" t="inlineStr">
        <is>
          <t>LOMAS</t>
        </is>
      </c>
      <c r="Y879" t="n">
        <v>3</v>
      </c>
      <c r="Z879" t="inlineStr">
        <is>
          <t>CAMBIARIO</t>
        </is>
      </c>
      <c r="AA879" t="n">
        <v>1</v>
      </c>
      <c r="AB879" t="inlineStr">
        <is>
          <t>NEGOCIO EN MARCHA</t>
        </is>
      </c>
      <c r="AC879" t="n">
        <v>1</v>
      </c>
      <c r="AD879" t="inlineStr">
        <is>
          <t>BANCO</t>
        </is>
      </c>
      <c r="AE879" t="n">
        <v>3</v>
      </c>
      <c r="AF879" t="inlineStr">
        <is>
          <t>FRONT</t>
        </is>
      </c>
      <c r="AG879" t="n">
        <v>134111</v>
      </c>
      <c r="AH879" t="inlineStr">
        <is>
          <t>LOMAS</t>
        </is>
      </c>
      <c r="AI879" t="inlineStr">
        <is>
          <t>SMENDOZAI@BANCOBASE.COM</t>
        </is>
      </c>
      <c r="AJ879" s="151" t="n">
        <v>46251</v>
      </c>
      <c r="AK879" s="151" t="n"/>
      <c r="AL879" s="151" t="n"/>
    </row>
    <row r="880" hidden="1" s="150">
      <c r="A880" t="inlineStr">
        <is>
          <t>BACOSTA</t>
        </is>
      </c>
      <c r="B880" t="n">
        <v>3967</v>
      </c>
      <c r="C880" t="inlineStr">
        <is>
          <t>BEATRIZ VALERIA ACOSTA PEREZ</t>
        </is>
      </c>
      <c r="D880" t="n">
        <v>8821</v>
      </c>
      <c r="E880" t="inlineStr">
        <is>
          <t>ASISTENTE CAMBIARIO</t>
        </is>
      </c>
      <c r="F880" t="inlineStr">
        <is>
          <t>MEXICO</t>
        </is>
      </c>
      <c r="G880" t="n">
        <v>3892</v>
      </c>
      <c r="H880" t="inlineStr">
        <is>
          <t>ALFONSO INFANTE MORALES</t>
        </is>
      </c>
      <c r="I880" t="n">
        <v>8822</v>
      </c>
      <c r="J880" t="inlineStr">
        <is>
          <t>SUBDIRECTOR COMERCIAL</t>
        </is>
      </c>
      <c r="K880" t="n">
        <v>1</v>
      </c>
      <c r="L880" t="inlineStr">
        <is>
          <t>PRESIDENCIA EJECUTIVA DEL CONSEJO</t>
        </is>
      </c>
      <c r="M880" t="n">
        <v>40</v>
      </c>
      <c r="N880" t="inlineStr">
        <is>
          <t>DIRECCION GENERAL BANCO BASE</t>
        </is>
      </c>
      <c r="O880" t="n">
        <v>410</v>
      </c>
      <c r="P880" t="inlineStr">
        <is>
          <t>DIRECCION COMERCIAL</t>
        </is>
      </c>
      <c r="Q880" t="n">
        <v>4190</v>
      </c>
      <c r="R880" t="inlineStr">
        <is>
          <t>DIRECCION COMERCIAL CDMX 1</t>
        </is>
      </c>
      <c r="S880" t="n">
        <v>41960</v>
      </c>
      <c r="T880" t="inlineStr">
        <is>
          <t>SUBDIRECCION COMERCIAL CDMX 6</t>
        </is>
      </c>
      <c r="U880" t="n">
        <v>419600</v>
      </c>
      <c r="V880" t="inlineStr">
        <is>
          <t>SUBDIRECCION COMERCIAL CDMX 6</t>
        </is>
      </c>
      <c r="W880" t="n">
        <v>134111</v>
      </c>
      <c r="X880" t="inlineStr">
        <is>
          <t>LOMAS</t>
        </is>
      </c>
      <c r="Y880" t="n">
        <v>3</v>
      </c>
      <c r="Z880" t="inlineStr">
        <is>
          <t>CAMBIARIO</t>
        </is>
      </c>
      <c r="AA880" t="n">
        <v>1</v>
      </c>
      <c r="AB880" t="inlineStr">
        <is>
          <t>NEGOCIO EN MARCHA</t>
        </is>
      </c>
      <c r="AC880" t="n">
        <v>1</v>
      </c>
      <c r="AD880" t="inlineStr">
        <is>
          <t>BANCO</t>
        </is>
      </c>
      <c r="AE880" t="n">
        <v>3</v>
      </c>
      <c r="AF880" t="inlineStr">
        <is>
          <t>FRONT</t>
        </is>
      </c>
      <c r="AG880" t="n">
        <v>134111</v>
      </c>
      <c r="AH880" t="inlineStr">
        <is>
          <t>LOMAS</t>
        </is>
      </c>
      <c r="AI880" t="inlineStr">
        <is>
          <t>BACOSTA@BANCOBASE.COM</t>
        </is>
      </c>
      <c r="AJ880" s="151" t="n">
        <v>46237</v>
      </c>
      <c r="AK880" s="151" t="n"/>
      <c r="AL880" s="151" t="n"/>
    </row>
    <row r="881" hidden="1" s="150">
      <c r="A881" t="inlineStr">
        <is>
          <t>FPENA</t>
        </is>
      </c>
      <c r="B881" t="inlineStr">
        <is>
          <t>EXT-99314</t>
        </is>
      </c>
      <c r="C881" t="inlineStr">
        <is>
          <t>FERNANDO HOMERO PEÑA ROJAS</t>
        </is>
      </c>
      <c r="D881" t="n">
        <v>9643</v>
      </c>
      <c r="E881" t="inlineStr">
        <is>
          <t>BUSINESS DEVELOPMENT DIRECTOR</t>
        </is>
      </c>
      <c r="F881" t="inlineStr">
        <is>
          <t>CANADA</t>
        </is>
      </c>
      <c r="G881" t="n">
        <v>538</v>
      </c>
      <c r="H881" t="inlineStr">
        <is>
          <t>LUIS NICOLAS EGUIARTE CORONA</t>
        </is>
      </c>
      <c r="I881" t="n">
        <v>8232</v>
      </c>
      <c r="J881" t="inlineStr">
        <is>
          <t>DIRECTOR DE ATRACCION Y VENTAS</t>
        </is>
      </c>
      <c r="K881" t="n">
        <v>1</v>
      </c>
      <c r="L881" t="inlineStr">
        <is>
          <t>PRESIDENCIA EJECUTIVA DEL CONSEJO</t>
        </is>
      </c>
      <c r="M881" t="n">
        <v>40</v>
      </c>
      <c r="N881" t="inlineStr">
        <is>
          <t>DIRECCION GENERAL BANCO BASE</t>
        </is>
      </c>
      <c r="O881" t="n">
        <v>410</v>
      </c>
      <c r="P881" t="inlineStr">
        <is>
          <t>DIRECCION COMERCIAL</t>
        </is>
      </c>
      <c r="Q881" t="n">
        <v>4560</v>
      </c>
      <c r="R881" t="inlineStr">
        <is>
          <t>DIRECCION DE ATRACCION Y VENTAS</t>
        </is>
      </c>
      <c r="S881" t="n">
        <v>45630</v>
      </c>
      <c r="T881" t="inlineStr">
        <is>
          <t>SUBDIRECCION DE INTELIGENCIA Y DESARROLLO COMERCIA</t>
        </is>
      </c>
      <c r="U881" t="n">
        <v>456310</v>
      </c>
      <c r="V881" t="inlineStr">
        <is>
          <t>BUSINESS DEVELOPMENT DIRECTOR CANADA</t>
        </is>
      </c>
      <c r="W881" t="n">
        <v>126106</v>
      </c>
      <c r="X881" t="inlineStr">
        <is>
          <t>CANADA</t>
        </is>
      </c>
      <c r="Y881" t="n">
        <v>3</v>
      </c>
      <c r="Z881" t="inlineStr">
        <is>
          <t>CAMBIARIO</t>
        </is>
      </c>
      <c r="AA881" t="n">
        <v>1</v>
      </c>
      <c r="AB881" t="inlineStr">
        <is>
          <t>NEGOCIO EN MARCHA</t>
        </is>
      </c>
      <c r="AC881" t="n">
        <v>1</v>
      </c>
      <c r="AD881" t="inlineStr">
        <is>
          <t>BANCO</t>
        </is>
      </c>
      <c r="AE881" t="n">
        <v>2</v>
      </c>
      <c r="AF881" t="inlineStr">
        <is>
          <t>MIDDLE</t>
        </is>
      </c>
      <c r="AG881" t="n">
        <v>126106</v>
      </c>
      <c r="AH881" t="inlineStr">
        <is>
          <t>CANADA</t>
        </is>
      </c>
      <c r="AI881" t="inlineStr">
        <is>
          <t>FPENA@BANCOBASE.COM</t>
        </is>
      </c>
      <c r="AJ881" s="151" t="n">
        <v>18264</v>
      </c>
      <c r="AK881" s="151" t="n"/>
      <c r="AL881" s="151" t="n"/>
    </row>
    <row r="882" hidden="1" s="150">
      <c r="A882" t="inlineStr">
        <is>
          <t>DPINEDA</t>
        </is>
      </c>
      <c r="B882" t="n">
        <v>2400</v>
      </c>
      <c r="C882" t="inlineStr">
        <is>
          <t>DANIELA PINEDA RAMOS</t>
        </is>
      </c>
      <c r="D882" t="n">
        <v>10398</v>
      </c>
      <c r="E882" t="inlineStr">
        <is>
          <t>BUSINESS DEVELOPMENT LEADER</t>
        </is>
      </c>
      <c r="F882" t="inlineStr">
        <is>
          <t>MONTERREY</t>
        </is>
      </c>
      <c r="G882" t="n">
        <v>538</v>
      </c>
      <c r="H882" t="inlineStr">
        <is>
          <t>LUIS NICOLAS EGUIARTE CORONA</t>
        </is>
      </c>
      <c r="I882" t="n">
        <v>8232</v>
      </c>
      <c r="J882" t="inlineStr">
        <is>
          <t>DIRECTOR DE ATRACCION Y VENTAS</t>
        </is>
      </c>
      <c r="K882" t="n">
        <v>1</v>
      </c>
      <c r="L882" t="inlineStr">
        <is>
          <t>PRESIDENCIA EJECUTIVA DEL CONSEJO</t>
        </is>
      </c>
      <c r="M882" t="n">
        <v>40</v>
      </c>
      <c r="N882" t="inlineStr">
        <is>
          <t>DIRECCION GENERAL BANCO BASE</t>
        </is>
      </c>
      <c r="O882" t="n">
        <v>410</v>
      </c>
      <c r="P882" t="inlineStr">
        <is>
          <t>DIRECCION COMERCIAL</t>
        </is>
      </c>
      <c r="Q882" t="n">
        <v>4560</v>
      </c>
      <c r="R882" t="inlineStr">
        <is>
          <t>DIRECCION DE ATRACCION Y VENTAS</t>
        </is>
      </c>
      <c r="S882" t="n">
        <v>45630</v>
      </c>
      <c r="T882" t="inlineStr">
        <is>
          <t>SUBDIRECCION DE INTELIGENCIA Y DESARROLLO COMERCIA</t>
        </is>
      </c>
      <c r="U882" t="n">
        <v>456320</v>
      </c>
      <c r="V882" t="inlineStr">
        <is>
          <t>BUSINESS DEVELOPMENT DIRECTOR MTY</t>
        </is>
      </c>
      <c r="W882" t="n">
        <v>126102</v>
      </c>
      <c r="X882" t="inlineStr">
        <is>
          <t>VALLE ORIENTE</t>
        </is>
      </c>
      <c r="Y882" t="n">
        <v>3</v>
      </c>
      <c r="Z882" t="inlineStr">
        <is>
          <t>CAMBIARIO</t>
        </is>
      </c>
      <c r="AA882" t="n">
        <v>1</v>
      </c>
      <c r="AB882" t="inlineStr">
        <is>
          <t>NEGOCIO EN MARCHA</t>
        </is>
      </c>
      <c r="AC882" t="n">
        <v>1</v>
      </c>
      <c r="AD882" t="inlineStr">
        <is>
          <t>BANCO</t>
        </is>
      </c>
      <c r="AE882" t="n">
        <v>2</v>
      </c>
      <c r="AF882" t="inlineStr">
        <is>
          <t>MIDDLE</t>
        </is>
      </c>
      <c r="AG882" t="n">
        <v>126102</v>
      </c>
      <c r="AH882" t="inlineStr">
        <is>
          <t>MONTERREY</t>
        </is>
      </c>
      <c r="AI882" t="inlineStr">
        <is>
          <t>DPINEDA@BANCOBASE.COM</t>
        </is>
      </c>
      <c r="AJ882" s="151" t="n">
        <v>43900</v>
      </c>
      <c r="AK882" s="151" t="n"/>
      <c r="AL882" s="151" t="n"/>
    </row>
    <row r="883" hidden="1" s="150">
      <c r="A883" t="inlineStr">
        <is>
          <t>LMADERO</t>
        </is>
      </c>
      <c r="B883" t="n">
        <v>3169</v>
      </c>
      <c r="C883" t="inlineStr">
        <is>
          <t>LIZBETH MADERO ANDALON</t>
        </is>
      </c>
      <c r="D883" t="n">
        <v>8400</v>
      </c>
      <c r="E883" t="inlineStr">
        <is>
          <t>BUSINESS DEVELOPMENT</t>
        </is>
      </c>
      <c r="F883" t="inlineStr">
        <is>
          <t>TIJUANA</t>
        </is>
      </c>
      <c r="G883" t="n">
        <v>2400</v>
      </c>
      <c r="H883" t="inlineStr">
        <is>
          <t>DANIELA PINEDA RAMOS</t>
        </is>
      </c>
      <c r="I883" t="n">
        <v>10398</v>
      </c>
      <c r="J883" t="inlineStr">
        <is>
          <t>BUSINESS DEVELOPMENT LEADER</t>
        </is>
      </c>
      <c r="K883" t="n">
        <v>1</v>
      </c>
      <c r="L883" t="inlineStr">
        <is>
          <t>PRESIDENCIA EJECUTIVA DEL CONSEJO</t>
        </is>
      </c>
      <c r="M883" t="n">
        <v>40</v>
      </c>
      <c r="N883" t="inlineStr">
        <is>
          <t>DIRECCION GENERAL BANCO BASE</t>
        </is>
      </c>
      <c r="O883" t="n">
        <v>410</v>
      </c>
      <c r="P883" t="inlineStr">
        <is>
          <t>DIRECCION COMERCIAL</t>
        </is>
      </c>
      <c r="Q883" t="n">
        <v>4560</v>
      </c>
      <c r="R883" t="inlineStr">
        <is>
          <t>DIRECCION DE ATRACCION Y VENTAS</t>
        </is>
      </c>
      <c r="S883" t="n">
        <v>45630</v>
      </c>
      <c r="T883" t="inlineStr">
        <is>
          <t>SUBDIRECCION DE INTELIGENCIA Y DESARROLLO COMERCIA</t>
        </is>
      </c>
      <c r="U883" t="n">
        <v>456330</v>
      </c>
      <c r="V883" t="inlineStr">
        <is>
          <t>BUSINESS DEVELOPMENT DIRECTOR</t>
        </is>
      </c>
      <c r="W883" t="n">
        <v>126114</v>
      </c>
      <c r="X883" t="inlineStr">
        <is>
          <t>TIJUANA</t>
        </is>
      </c>
      <c r="Y883" t="n">
        <v>3</v>
      </c>
      <c r="Z883" t="inlineStr">
        <is>
          <t>CAMBIARIO</t>
        </is>
      </c>
      <c r="AA883" t="n">
        <v>1</v>
      </c>
      <c r="AB883" t="inlineStr">
        <is>
          <t>NEGOCIO EN MARCHA</t>
        </is>
      </c>
      <c r="AC883" t="n">
        <v>1</v>
      </c>
      <c r="AD883" t="inlineStr">
        <is>
          <t>BANCO</t>
        </is>
      </c>
      <c r="AE883" t="n">
        <v>1</v>
      </c>
      <c r="AF883" t="inlineStr">
        <is>
          <t>BACK</t>
        </is>
      </c>
      <c r="AG883" t="n">
        <v>126114</v>
      </c>
      <c r="AH883" t="inlineStr">
        <is>
          <t>TIJUANA</t>
        </is>
      </c>
      <c r="AI883" t="inlineStr">
        <is>
          <t>LMADERO@BANCOBASE.COM</t>
        </is>
      </c>
      <c r="AJ883" s="151" t="n">
        <v>45505</v>
      </c>
      <c r="AK883" s="151" t="n"/>
      <c r="AL883" s="151" t="n"/>
    </row>
    <row r="884" hidden="1" s="150">
      <c r="A884" t="inlineStr">
        <is>
          <t>GGUERRAV</t>
        </is>
      </c>
      <c r="B884" t="n">
        <v>3559</v>
      </c>
      <c r="C884" t="inlineStr">
        <is>
          <t>GILBERTO GUERRA VILLARREAL</t>
        </is>
      </c>
      <c r="D884" t="n">
        <v>8284</v>
      </c>
      <c r="E884" t="inlineStr">
        <is>
          <t>BUSINESS DEVELOPMENT</t>
        </is>
      </c>
      <c r="F884" t="inlineStr">
        <is>
          <t>MEXICO</t>
        </is>
      </c>
      <c r="G884" t="n">
        <v>2400</v>
      </c>
      <c r="H884" t="inlineStr">
        <is>
          <t>DANIELA PINEDA RAMOS</t>
        </is>
      </c>
      <c r="I884" t="n">
        <v>10398</v>
      </c>
      <c r="J884" t="inlineStr">
        <is>
          <t>BUSINESS DEVELOPMENT LEADER</t>
        </is>
      </c>
      <c r="K884" t="n">
        <v>1</v>
      </c>
      <c r="L884" t="inlineStr">
        <is>
          <t>PRESIDENCIA EJECUTIVA DEL CONSEJO</t>
        </is>
      </c>
      <c r="M884" t="n">
        <v>40</v>
      </c>
      <c r="N884" t="inlineStr">
        <is>
          <t>DIRECCION GENERAL BANCO BASE</t>
        </is>
      </c>
      <c r="O884" t="n">
        <v>410</v>
      </c>
      <c r="P884" t="inlineStr">
        <is>
          <t>DIRECCION COMERCIAL</t>
        </is>
      </c>
      <c r="Q884" t="n">
        <v>4560</v>
      </c>
      <c r="R884" t="inlineStr">
        <is>
          <t>DIRECCION DE ATRACCION Y VENTAS</t>
        </is>
      </c>
      <c r="S884" t="n">
        <v>45630</v>
      </c>
      <c r="T884" t="inlineStr">
        <is>
          <t>SUBDIRECCION DE INTELIGENCIA Y DESARROLLO COMERCIA</t>
        </is>
      </c>
      <c r="U884" t="n">
        <v>456330</v>
      </c>
      <c r="V884" t="inlineStr">
        <is>
          <t>BUSINESS DEVELOPMENT DIRECTOR</t>
        </is>
      </c>
      <c r="W884" t="n">
        <v>134111</v>
      </c>
      <c r="X884" t="inlineStr">
        <is>
          <t>LOMAS</t>
        </is>
      </c>
      <c r="Y884" t="n">
        <v>3</v>
      </c>
      <c r="Z884" t="inlineStr">
        <is>
          <t>CAMBIARIO</t>
        </is>
      </c>
      <c r="AA884" t="n">
        <v>1</v>
      </c>
      <c r="AB884" t="inlineStr">
        <is>
          <t>NEGOCIO EN MARCHA</t>
        </is>
      </c>
      <c r="AC884" t="n">
        <v>1</v>
      </c>
      <c r="AD884" t="inlineStr">
        <is>
          <t>BANCO</t>
        </is>
      </c>
      <c r="AE884" t="n">
        <v>1</v>
      </c>
      <c r="AF884" t="inlineStr">
        <is>
          <t>BACK</t>
        </is>
      </c>
      <c r="AG884" t="n">
        <v>134111</v>
      </c>
      <c r="AH884" t="inlineStr">
        <is>
          <t>LOMAS</t>
        </is>
      </c>
      <c r="AI884" t="inlineStr">
        <is>
          <t>GGUERRAV@BANCOBASE.COM</t>
        </is>
      </c>
      <c r="AJ884" s="151" t="n">
        <v>45908</v>
      </c>
      <c r="AK884" s="151" t="n"/>
      <c r="AL884" s="151" t="n"/>
    </row>
    <row r="885" hidden="1" s="150">
      <c r="A885" t="inlineStr">
        <is>
          <t>JHINOJOSA</t>
        </is>
      </c>
      <c r="B885" t="n">
        <v>1706</v>
      </c>
      <c r="C885" t="inlineStr">
        <is>
          <t>JUAN FERNANDO HINOJOSA CHAPA</t>
        </is>
      </c>
      <c r="D885" t="n">
        <v>91</v>
      </c>
      <c r="E885" t="inlineStr">
        <is>
          <t>DIRECTOR COMERCIAL GUADALAJARA</t>
        </is>
      </c>
      <c r="F885" t="inlineStr">
        <is>
          <t>GUADALAJARA</t>
        </is>
      </c>
      <c r="G885" t="n">
        <v>538</v>
      </c>
      <c r="H885" t="inlineStr">
        <is>
          <t>LUIS NICOLAS EGUIARTE CORONA</t>
        </is>
      </c>
      <c r="I885" t="n">
        <v>8232</v>
      </c>
      <c r="J885" t="inlineStr">
        <is>
          <t>DIRECTOR DE ATRACCION Y VENTAS</t>
        </is>
      </c>
      <c r="K885" t="n">
        <v>1</v>
      </c>
      <c r="L885" t="inlineStr">
        <is>
          <t>PRESIDENCIA EJECUTIVA DEL CONSEJO</t>
        </is>
      </c>
      <c r="M885" t="n">
        <v>40</v>
      </c>
      <c r="N885" t="inlineStr">
        <is>
          <t>DIRECCION GENERAL BANCO BASE</t>
        </is>
      </c>
      <c r="O885" t="n">
        <v>410</v>
      </c>
      <c r="P885" t="inlineStr">
        <is>
          <t>DIRECCION COMERCIAL</t>
        </is>
      </c>
      <c r="Q885" t="n">
        <v>4570</v>
      </c>
      <c r="R885" t="inlineStr">
        <is>
          <t>DIRECCION COMERCIAL GUADALAJARA</t>
        </is>
      </c>
      <c r="S885" t="n">
        <v>45700</v>
      </c>
      <c r="T885" t="inlineStr">
        <is>
          <t>DIRECCION COMERCIAL GUADALAJARA</t>
        </is>
      </c>
      <c r="U885" t="n">
        <v>457000</v>
      </c>
      <c r="V885" t="inlineStr">
        <is>
          <t>DIRECCION COMERCIAL GUADALAJARA</t>
        </is>
      </c>
      <c r="W885" t="n">
        <v>126107</v>
      </c>
      <c r="X885" t="inlineStr">
        <is>
          <t>GUADALAJARA</t>
        </is>
      </c>
      <c r="Y885" t="n">
        <v>3</v>
      </c>
      <c r="Z885" t="inlineStr">
        <is>
          <t>CAMBIARIO</t>
        </is>
      </c>
      <c r="AA885" t="n">
        <v>1</v>
      </c>
      <c r="AB885" t="inlineStr">
        <is>
          <t>NEGOCIO EN MARCHA</t>
        </is>
      </c>
      <c r="AC885" t="n">
        <v>1</v>
      </c>
      <c r="AD885" t="inlineStr">
        <is>
          <t>BANCO</t>
        </is>
      </c>
      <c r="AE885" t="n">
        <v>3</v>
      </c>
      <c r="AF885" t="inlineStr">
        <is>
          <t>FRONT</t>
        </is>
      </c>
      <c r="AG885" t="n">
        <v>126107</v>
      </c>
      <c r="AH885" t="inlineStr">
        <is>
          <t>GUADALAJARA</t>
        </is>
      </c>
      <c r="AI885" t="inlineStr">
        <is>
          <t>JHINOJOSA@BANCOBASE.COM</t>
        </is>
      </c>
      <c r="AJ885" s="151" t="n">
        <v>42774</v>
      </c>
      <c r="AK885" s="151" t="n"/>
      <c r="AL885" s="151" t="n"/>
    </row>
    <row r="886" hidden="1" s="150">
      <c r="A886" t="inlineStr">
        <is>
          <t>LPERTIERRA</t>
        </is>
      </c>
      <c r="B886" t="n">
        <v>437</v>
      </c>
      <c r="C886" t="inlineStr">
        <is>
          <t>LUIS RODRIGO PERTIERRA TOPETE</t>
        </is>
      </c>
      <c r="D886" t="n">
        <v>9453</v>
      </c>
      <c r="E886" t="inlineStr">
        <is>
          <t>SUBDIRECTOR COMERCIAL</t>
        </is>
      </c>
      <c r="F886" t="inlineStr">
        <is>
          <t>GUADALAJARA</t>
        </is>
      </c>
      <c r="G886" t="n">
        <v>1706</v>
      </c>
      <c r="H886" t="inlineStr">
        <is>
          <t>JUAN FERNANDO HINOJOSA CHAPA</t>
        </is>
      </c>
      <c r="I886" t="n">
        <v>91</v>
      </c>
      <c r="J886" t="inlineStr">
        <is>
          <t>DIRECTOR COMERCIAL GUADALAJARA</t>
        </is>
      </c>
      <c r="K886" t="n">
        <v>1</v>
      </c>
      <c r="L886" t="inlineStr">
        <is>
          <t>PRESIDENCIA EJECUTIVA DEL CONSEJO</t>
        </is>
      </c>
      <c r="M886" t="n">
        <v>40</v>
      </c>
      <c r="N886" t="inlineStr">
        <is>
          <t>DIRECCION GENERAL BANCO BASE</t>
        </is>
      </c>
      <c r="O886" t="n">
        <v>410</v>
      </c>
      <c r="P886" t="inlineStr">
        <is>
          <t>DIRECCION COMERCIAL</t>
        </is>
      </c>
      <c r="Q886" t="n">
        <v>4570</v>
      </c>
      <c r="R886" t="inlineStr">
        <is>
          <t>DIRECCION COMERCIAL GUADALAJARA</t>
        </is>
      </c>
      <c r="S886" t="n">
        <v>41640</v>
      </c>
      <c r="T886" t="inlineStr">
        <is>
          <t>SUBDIRECCION COMERCIAL GUADALAJARA 4</t>
        </is>
      </c>
      <c r="U886" t="n">
        <v>416400</v>
      </c>
      <c r="V886" t="inlineStr">
        <is>
          <t>SUBDIRECCION COMERCIAL GUADALAJARA 4</t>
        </is>
      </c>
      <c r="W886" t="n">
        <v>126107</v>
      </c>
      <c r="X886" t="inlineStr">
        <is>
          <t>GUADALAJARA</t>
        </is>
      </c>
      <c r="Y886" t="n">
        <v>3</v>
      </c>
      <c r="Z886" t="inlineStr">
        <is>
          <t>CAMBIARIO</t>
        </is>
      </c>
      <c r="AA886" t="n">
        <v>1</v>
      </c>
      <c r="AB886" t="inlineStr">
        <is>
          <t>NEGOCIO EN MARCHA</t>
        </is>
      </c>
      <c r="AC886" t="n">
        <v>1</v>
      </c>
      <c r="AD886" t="inlineStr">
        <is>
          <t>BANCO</t>
        </is>
      </c>
      <c r="AE886" t="n">
        <v>3</v>
      </c>
      <c r="AF886" t="inlineStr">
        <is>
          <t>FRONT</t>
        </is>
      </c>
      <c r="AG886" t="n">
        <v>126107</v>
      </c>
      <c r="AH886" t="inlineStr">
        <is>
          <t>GUADALAJARA</t>
        </is>
      </c>
      <c r="AI886" t="inlineStr">
        <is>
          <t>LPERTIERRA@BANCOBASE.COM</t>
        </is>
      </c>
      <c r="AJ886" s="151" t="n">
        <v>39448</v>
      </c>
      <c r="AK886" s="151" t="n"/>
      <c r="AL886" s="151" t="n"/>
    </row>
    <row r="887" hidden="1" s="150">
      <c r="A887" t="inlineStr">
        <is>
          <t>CCONTRERAS</t>
        </is>
      </c>
      <c r="B887" t="n">
        <v>157</v>
      </c>
      <c r="C887" t="inlineStr">
        <is>
          <t>CLAUDIA CONTRERAS NOVOA</t>
        </is>
      </c>
      <c r="D887" t="n">
        <v>6068</v>
      </c>
      <c r="E887" t="inlineStr">
        <is>
          <t>ASESOR CAMBIARIO</t>
        </is>
      </c>
      <c r="F887" t="inlineStr">
        <is>
          <t>GUADALAJARA</t>
        </is>
      </c>
      <c r="G887" t="n">
        <v>437</v>
      </c>
      <c r="H887" t="inlineStr">
        <is>
          <t>LUIS RODRIGO PERTIERRA TOPETE</t>
        </is>
      </c>
      <c r="I887" t="n">
        <v>9453</v>
      </c>
      <c r="J887" t="inlineStr">
        <is>
          <t>SUBDIRECTOR COMERCIAL</t>
        </is>
      </c>
      <c r="K887" t="n">
        <v>1</v>
      </c>
      <c r="L887" t="inlineStr">
        <is>
          <t>PRESIDENCIA EJECUTIVA DEL CONSEJO</t>
        </is>
      </c>
      <c r="M887" t="n">
        <v>40</v>
      </c>
      <c r="N887" t="inlineStr">
        <is>
          <t>DIRECCION GENERAL BANCO BASE</t>
        </is>
      </c>
      <c r="O887" t="n">
        <v>410</v>
      </c>
      <c r="P887" t="inlineStr">
        <is>
          <t>DIRECCION COMERCIAL</t>
        </is>
      </c>
      <c r="Q887" t="n">
        <v>4570</v>
      </c>
      <c r="R887" t="inlineStr">
        <is>
          <t>DIRECCION COMERCIAL GUADALAJARA</t>
        </is>
      </c>
      <c r="S887" t="n">
        <v>41640</v>
      </c>
      <c r="T887" t="inlineStr">
        <is>
          <t>SUBDIRECCION COMERCIAL GUADALAJARA 4</t>
        </is>
      </c>
      <c r="U887" t="n">
        <v>416400</v>
      </c>
      <c r="V887" t="inlineStr">
        <is>
          <t>SUBDIRECCION COMERCIAL GUADALAJARA 4</t>
        </is>
      </c>
      <c r="W887" t="n">
        <v>126107</v>
      </c>
      <c r="X887" t="inlineStr">
        <is>
          <t>GUADALAJARA</t>
        </is>
      </c>
      <c r="Y887" t="n">
        <v>3</v>
      </c>
      <c r="Z887" t="inlineStr">
        <is>
          <t>CAMBIARIO</t>
        </is>
      </c>
      <c r="AA887" t="n">
        <v>1</v>
      </c>
      <c r="AB887" t="inlineStr">
        <is>
          <t>NEGOCIO EN MARCHA</t>
        </is>
      </c>
      <c r="AC887" t="n">
        <v>1</v>
      </c>
      <c r="AD887" t="inlineStr">
        <is>
          <t>BANCO</t>
        </is>
      </c>
      <c r="AE887" t="n">
        <v>3</v>
      </c>
      <c r="AF887" t="inlineStr">
        <is>
          <t>FRONT</t>
        </is>
      </c>
      <c r="AG887" t="n">
        <v>126107</v>
      </c>
      <c r="AH887" t="inlineStr">
        <is>
          <t>GUADALAJARA</t>
        </is>
      </c>
      <c r="AI887" t="inlineStr">
        <is>
          <t>CCONTRERAS@BANCOBASE.COM</t>
        </is>
      </c>
      <c r="AJ887" s="151" t="n">
        <v>36678</v>
      </c>
      <c r="AK887" s="151" t="n"/>
      <c r="AL887" s="151" t="n"/>
    </row>
    <row r="888" hidden="1" s="150">
      <c r="A888" t="inlineStr">
        <is>
          <t>EINIGUEZ</t>
        </is>
      </c>
      <c r="B888" t="n">
        <v>1571</v>
      </c>
      <c r="C888" t="inlineStr">
        <is>
          <t>ERIKA IÑIGUEZ HUIZAR</t>
        </is>
      </c>
      <c r="D888" t="n">
        <v>8066</v>
      </c>
      <c r="E888" t="inlineStr">
        <is>
          <t>ASESOR CAMBIARIO</t>
        </is>
      </c>
      <c r="F888" t="inlineStr">
        <is>
          <t>GUADALAJARA</t>
        </is>
      </c>
      <c r="G888" t="n">
        <v>437</v>
      </c>
      <c r="H888" t="inlineStr">
        <is>
          <t>LUIS RODRIGO PERTIERRA TOPETE</t>
        </is>
      </c>
      <c r="I888" t="n">
        <v>9453</v>
      </c>
      <c r="J888" t="inlineStr">
        <is>
          <t>SUBDIRECTOR COMERCIAL</t>
        </is>
      </c>
      <c r="K888" t="n">
        <v>1</v>
      </c>
      <c r="L888" t="inlineStr">
        <is>
          <t>PRESIDENCIA EJECUTIVA DEL CONSEJO</t>
        </is>
      </c>
      <c r="M888" t="n">
        <v>40</v>
      </c>
      <c r="N888" t="inlineStr">
        <is>
          <t>DIRECCION GENERAL BANCO BASE</t>
        </is>
      </c>
      <c r="O888" t="n">
        <v>410</v>
      </c>
      <c r="P888" t="inlineStr">
        <is>
          <t>DIRECCION COMERCIAL</t>
        </is>
      </c>
      <c r="Q888" t="n">
        <v>4570</v>
      </c>
      <c r="R888" t="inlineStr">
        <is>
          <t>DIRECCION COMERCIAL GUADALAJARA</t>
        </is>
      </c>
      <c r="S888" t="n">
        <v>41640</v>
      </c>
      <c r="T888" t="inlineStr">
        <is>
          <t>SUBDIRECCION COMERCIAL GUADALAJARA 4</t>
        </is>
      </c>
      <c r="U888" t="n">
        <v>416400</v>
      </c>
      <c r="V888" t="inlineStr">
        <is>
          <t>SUBDIRECCION COMERCIAL GUADALAJARA 4</t>
        </is>
      </c>
      <c r="W888" t="n">
        <v>126107</v>
      </c>
      <c r="X888" t="inlineStr">
        <is>
          <t>GUADALAJARA</t>
        </is>
      </c>
      <c r="Y888" t="n">
        <v>3</v>
      </c>
      <c r="Z888" t="inlineStr">
        <is>
          <t>CAMBIARIO</t>
        </is>
      </c>
      <c r="AA888" t="n">
        <v>1</v>
      </c>
      <c r="AB888" t="inlineStr">
        <is>
          <t>NEGOCIO EN MARCHA</t>
        </is>
      </c>
      <c r="AC888" t="n">
        <v>1</v>
      </c>
      <c r="AD888" t="inlineStr">
        <is>
          <t>BANCO</t>
        </is>
      </c>
      <c r="AE888" t="n">
        <v>3</v>
      </c>
      <c r="AF888" t="inlineStr">
        <is>
          <t>FRONT</t>
        </is>
      </c>
      <c r="AG888" t="n">
        <v>126107</v>
      </c>
      <c r="AH888" t="inlineStr">
        <is>
          <t>GUADALAJARA</t>
        </is>
      </c>
      <c r="AI888" t="inlineStr">
        <is>
          <t>EINIGUEZ@BANCOBASE.COM</t>
        </is>
      </c>
      <c r="AJ888" s="151" t="n">
        <v>42522</v>
      </c>
      <c r="AK888" s="151" t="n"/>
      <c r="AL888" s="151" t="n"/>
    </row>
    <row r="889" hidden="1" s="150">
      <c r="A889" t="inlineStr">
        <is>
          <t>EGONZALEZL</t>
        </is>
      </c>
      <c r="B889" t="n">
        <v>1945</v>
      </c>
      <c r="C889" t="inlineStr">
        <is>
          <t>ELIZABETH GONZALEZ LOPEZ</t>
        </is>
      </c>
      <c r="D889" t="n">
        <v>9577</v>
      </c>
      <c r="E889" t="inlineStr">
        <is>
          <t>ASESOR CAMBIARIO</t>
        </is>
      </c>
      <c r="F889" t="inlineStr">
        <is>
          <t>GUADALAJARA</t>
        </is>
      </c>
      <c r="G889" t="n">
        <v>437</v>
      </c>
      <c r="H889" t="inlineStr">
        <is>
          <t>LUIS RODRIGO PERTIERRA TOPETE</t>
        </is>
      </c>
      <c r="I889" t="n">
        <v>9453</v>
      </c>
      <c r="J889" t="inlineStr">
        <is>
          <t>SUBDIRECTOR COMERCIAL</t>
        </is>
      </c>
      <c r="K889" t="n">
        <v>1</v>
      </c>
      <c r="L889" t="inlineStr">
        <is>
          <t>PRESIDENCIA EJECUTIVA DEL CONSEJO</t>
        </is>
      </c>
      <c r="M889" t="n">
        <v>40</v>
      </c>
      <c r="N889" t="inlineStr">
        <is>
          <t>DIRECCION GENERAL BANCO BASE</t>
        </is>
      </c>
      <c r="O889" t="n">
        <v>410</v>
      </c>
      <c r="P889" t="inlineStr">
        <is>
          <t>DIRECCION COMERCIAL</t>
        </is>
      </c>
      <c r="Q889" t="n">
        <v>4570</v>
      </c>
      <c r="R889" t="inlineStr">
        <is>
          <t>DIRECCION COMERCIAL GUADALAJARA</t>
        </is>
      </c>
      <c r="S889" t="n">
        <v>41640</v>
      </c>
      <c r="T889" t="inlineStr">
        <is>
          <t>SUBDIRECCION COMERCIAL GUADALAJARA 4</t>
        </is>
      </c>
      <c r="U889" t="n">
        <v>416400</v>
      </c>
      <c r="V889" t="inlineStr">
        <is>
          <t>SUBDIRECCION COMERCIAL GUADALAJARA 4</t>
        </is>
      </c>
      <c r="W889" t="n">
        <v>126107</v>
      </c>
      <c r="X889" t="inlineStr">
        <is>
          <t>GUADALAJARA</t>
        </is>
      </c>
      <c r="Y889" t="n">
        <v>3</v>
      </c>
      <c r="Z889" t="inlineStr">
        <is>
          <t>CAMBIARIO</t>
        </is>
      </c>
      <c r="AA889" t="n">
        <v>1</v>
      </c>
      <c r="AB889" t="inlineStr">
        <is>
          <t>NEGOCIO EN MARCHA</t>
        </is>
      </c>
      <c r="AC889" t="n">
        <v>1</v>
      </c>
      <c r="AD889" t="inlineStr">
        <is>
          <t>BANCO</t>
        </is>
      </c>
      <c r="AE889" t="n">
        <v>3</v>
      </c>
      <c r="AF889" t="inlineStr">
        <is>
          <t>FRONT</t>
        </is>
      </c>
      <c r="AG889" t="n">
        <v>126107</v>
      </c>
      <c r="AH889" t="inlineStr">
        <is>
          <t>GUADALAJARA</t>
        </is>
      </c>
      <c r="AI889" t="inlineStr">
        <is>
          <t>EGONZALEZL@BANCOBASE.COM</t>
        </is>
      </c>
      <c r="AJ889" s="151" t="n">
        <v>43147</v>
      </c>
      <c r="AK889" s="151" t="n"/>
      <c r="AL889" s="151" t="n"/>
    </row>
    <row r="890" hidden="1" s="150">
      <c r="A890" t="inlineStr">
        <is>
          <t>HGARCIAH</t>
        </is>
      </c>
      <c r="B890" t="n">
        <v>1743</v>
      </c>
      <c r="C890" t="inlineStr">
        <is>
          <t>HUGO SALVADOR GARCIA HERNANDEZ</t>
        </is>
      </c>
      <c r="D890" t="n">
        <v>8039</v>
      </c>
      <c r="E890" t="inlineStr">
        <is>
          <t>ASESOR CAMBIARIO</t>
        </is>
      </c>
      <c r="F890" t="inlineStr">
        <is>
          <t>GUADALAJARA</t>
        </is>
      </c>
      <c r="G890" t="n">
        <v>437</v>
      </c>
      <c r="H890" t="inlineStr">
        <is>
          <t>LUIS RODRIGO PERTIERRA TOPETE</t>
        </is>
      </c>
      <c r="I890" t="n">
        <v>9453</v>
      </c>
      <c r="J890" t="inlineStr">
        <is>
          <t>SUBDIRECTOR COMERCIAL</t>
        </is>
      </c>
      <c r="K890" t="n">
        <v>1</v>
      </c>
      <c r="L890" t="inlineStr">
        <is>
          <t>PRESIDENCIA EJECUTIVA DEL CONSEJO</t>
        </is>
      </c>
      <c r="M890" t="n">
        <v>40</v>
      </c>
      <c r="N890" t="inlineStr">
        <is>
          <t>DIRECCION GENERAL BANCO BASE</t>
        </is>
      </c>
      <c r="O890" t="n">
        <v>410</v>
      </c>
      <c r="P890" t="inlineStr">
        <is>
          <t>DIRECCION COMERCIAL</t>
        </is>
      </c>
      <c r="Q890" t="n">
        <v>4570</v>
      </c>
      <c r="R890" t="inlineStr">
        <is>
          <t>DIRECCION COMERCIAL GUADALAJARA</t>
        </is>
      </c>
      <c r="S890" t="n">
        <v>41640</v>
      </c>
      <c r="T890" t="inlineStr">
        <is>
          <t>SUBDIRECCION COMERCIAL GUADALAJARA 4</t>
        </is>
      </c>
      <c r="U890" t="n">
        <v>416400</v>
      </c>
      <c r="V890" t="inlineStr">
        <is>
          <t>SUBDIRECCION COMERCIAL GUADALAJARA 4</t>
        </is>
      </c>
      <c r="W890" t="n">
        <v>126107</v>
      </c>
      <c r="X890" t="inlineStr">
        <is>
          <t>GUADALAJARA</t>
        </is>
      </c>
      <c r="Y890" t="n">
        <v>3</v>
      </c>
      <c r="Z890" t="inlineStr">
        <is>
          <t>CAMBIARIO</t>
        </is>
      </c>
      <c r="AA890" t="n">
        <v>1</v>
      </c>
      <c r="AB890" t="inlineStr">
        <is>
          <t>NEGOCIO EN MARCHA</t>
        </is>
      </c>
      <c r="AC890" t="n">
        <v>1</v>
      </c>
      <c r="AD890" t="inlineStr">
        <is>
          <t>BANCO</t>
        </is>
      </c>
      <c r="AE890" t="n">
        <v>3</v>
      </c>
      <c r="AF890" t="inlineStr">
        <is>
          <t>FRONT</t>
        </is>
      </c>
      <c r="AG890" t="n">
        <v>126107</v>
      </c>
      <c r="AH890" t="inlineStr">
        <is>
          <t>GUADALAJARA</t>
        </is>
      </c>
      <c r="AI890" t="inlineStr">
        <is>
          <t>HGARCIAH@BANCOBASE.COM</t>
        </is>
      </c>
      <c r="AJ890" s="151" t="n">
        <v>42828</v>
      </c>
      <c r="AK890" s="151" t="n"/>
      <c r="AL890" s="151" t="n"/>
    </row>
    <row r="891" hidden="1" s="150">
      <c r="A891" t="inlineStr">
        <is>
          <t>MRODRIGURA</t>
        </is>
      </c>
      <c r="B891" t="n">
        <v>3042</v>
      </c>
      <c r="C891" t="inlineStr">
        <is>
          <t>MARTIN ALONSO RODRIGUEZ RANGEL</t>
        </is>
      </c>
      <c r="D891" t="n">
        <v>9995</v>
      </c>
      <c r="E891" t="inlineStr">
        <is>
          <t>ASESOR CAMBIARIO</t>
        </is>
      </c>
      <c r="F891" t="inlineStr">
        <is>
          <t>GUADALAJARA</t>
        </is>
      </c>
      <c r="G891" t="n">
        <v>437</v>
      </c>
      <c r="H891" t="inlineStr">
        <is>
          <t>LUIS RODRIGO PERTIERRA TOPETE</t>
        </is>
      </c>
      <c r="I891" t="n">
        <v>9453</v>
      </c>
      <c r="J891" t="inlineStr">
        <is>
          <t>SUBDIRECTOR COMERCIAL</t>
        </is>
      </c>
      <c r="K891" t="n">
        <v>1</v>
      </c>
      <c r="L891" t="inlineStr">
        <is>
          <t>PRESIDENCIA EJECUTIVA DEL CONSEJO</t>
        </is>
      </c>
      <c r="M891" t="n">
        <v>40</v>
      </c>
      <c r="N891" t="inlineStr">
        <is>
          <t>DIRECCION GENERAL BANCO BASE</t>
        </is>
      </c>
      <c r="O891" t="n">
        <v>410</v>
      </c>
      <c r="P891" t="inlineStr">
        <is>
          <t>DIRECCION COMERCIAL</t>
        </is>
      </c>
      <c r="Q891" t="n">
        <v>4570</v>
      </c>
      <c r="R891" t="inlineStr">
        <is>
          <t>DIRECCION COMERCIAL GUADALAJARA</t>
        </is>
      </c>
      <c r="S891" t="n">
        <v>41640</v>
      </c>
      <c r="T891" t="inlineStr">
        <is>
          <t>SUBDIRECCION COMERCIAL GUADALAJARA 4</t>
        </is>
      </c>
      <c r="U891" t="n">
        <v>416400</v>
      </c>
      <c r="V891" t="inlineStr">
        <is>
          <t>SUBDIRECCION COMERCIAL GUADALAJARA 4</t>
        </is>
      </c>
      <c r="W891" t="n">
        <v>126107</v>
      </c>
      <c r="X891" t="inlineStr">
        <is>
          <t>GUADALAJARA</t>
        </is>
      </c>
      <c r="Y891" t="n">
        <v>3</v>
      </c>
      <c r="Z891" t="inlineStr">
        <is>
          <t>CAMBIARIO</t>
        </is>
      </c>
      <c r="AA891" t="n">
        <v>1</v>
      </c>
      <c r="AB891" t="inlineStr">
        <is>
          <t>NEGOCIO EN MARCHA</t>
        </is>
      </c>
      <c r="AC891" t="n">
        <v>1</v>
      </c>
      <c r="AD891" t="inlineStr">
        <is>
          <t>BANCO</t>
        </is>
      </c>
      <c r="AE891" t="n">
        <v>3</v>
      </c>
      <c r="AF891" t="inlineStr">
        <is>
          <t>FRONT</t>
        </is>
      </c>
      <c r="AG891" t="n">
        <v>126107</v>
      </c>
      <c r="AH891" t="inlineStr">
        <is>
          <t>GUADALAJARA</t>
        </is>
      </c>
      <c r="AI891" t="inlineStr">
        <is>
          <t>MRODRIGURA@BANCOBASE.COM</t>
        </is>
      </c>
      <c r="AJ891" s="151" t="n">
        <v>45338</v>
      </c>
      <c r="AK891" s="151" t="n"/>
      <c r="AL891" s="151" t="n"/>
    </row>
    <row r="892" hidden="1" s="150">
      <c r="A892" t="inlineStr">
        <is>
          <t>SACEVES</t>
        </is>
      </c>
      <c r="B892" t="n">
        <v>2711</v>
      </c>
      <c r="C892" t="inlineStr">
        <is>
          <t>SANDRA NOEMI ACEVES MORENO</t>
        </is>
      </c>
      <c r="D892" t="n">
        <v>8283</v>
      </c>
      <c r="E892" t="inlineStr">
        <is>
          <t>ASESOR CAMBIARIO</t>
        </is>
      </c>
      <c r="F892" t="inlineStr">
        <is>
          <t>GUADALAJARA</t>
        </is>
      </c>
      <c r="G892" t="n">
        <v>437</v>
      </c>
      <c r="H892" t="inlineStr">
        <is>
          <t>LUIS RODRIGO PERTIERRA TOPETE</t>
        </is>
      </c>
      <c r="I892" t="n">
        <v>9453</v>
      </c>
      <c r="J892" t="inlineStr">
        <is>
          <t>SUBDIRECTOR COMERCIAL</t>
        </is>
      </c>
      <c r="K892" t="n">
        <v>1</v>
      </c>
      <c r="L892" t="inlineStr">
        <is>
          <t>PRESIDENCIA EJECUTIVA DEL CONSEJO</t>
        </is>
      </c>
      <c r="M892" t="n">
        <v>40</v>
      </c>
      <c r="N892" t="inlineStr">
        <is>
          <t>DIRECCION GENERAL BANCO BASE</t>
        </is>
      </c>
      <c r="O892" t="n">
        <v>410</v>
      </c>
      <c r="P892" t="inlineStr">
        <is>
          <t>DIRECCION COMERCIAL</t>
        </is>
      </c>
      <c r="Q892" t="n">
        <v>4570</v>
      </c>
      <c r="R892" t="inlineStr">
        <is>
          <t>DIRECCION COMERCIAL GUADALAJARA</t>
        </is>
      </c>
      <c r="S892" t="n">
        <v>41640</v>
      </c>
      <c r="T892" t="inlineStr">
        <is>
          <t>SUBDIRECCION COMERCIAL GUADALAJARA 4</t>
        </is>
      </c>
      <c r="U892" t="n">
        <v>416400</v>
      </c>
      <c r="V892" t="inlineStr">
        <is>
          <t>SUBDIRECCION COMERCIAL GUADALAJARA 4</t>
        </is>
      </c>
      <c r="W892" t="n">
        <v>126107</v>
      </c>
      <c r="X892" t="inlineStr">
        <is>
          <t>GUADALAJARA</t>
        </is>
      </c>
      <c r="Y892" t="n">
        <v>3</v>
      </c>
      <c r="Z892" t="inlineStr">
        <is>
          <t>CAMBIARIO</t>
        </is>
      </c>
      <c r="AA892" t="n">
        <v>1</v>
      </c>
      <c r="AB892" t="inlineStr">
        <is>
          <t>NEGOCIO EN MARCHA</t>
        </is>
      </c>
      <c r="AC892" t="n">
        <v>1</v>
      </c>
      <c r="AD892" t="inlineStr">
        <is>
          <t>BANCO</t>
        </is>
      </c>
      <c r="AE892" t="n">
        <v>3</v>
      </c>
      <c r="AF892" t="inlineStr">
        <is>
          <t>FRONT</t>
        </is>
      </c>
      <c r="AG892" t="n">
        <v>126107</v>
      </c>
      <c r="AH892" t="inlineStr">
        <is>
          <t>GUADALAJARA</t>
        </is>
      </c>
      <c r="AI892" t="inlineStr">
        <is>
          <t>SACEVES@BANCOBASE.COM</t>
        </is>
      </c>
      <c r="AJ892" s="151" t="n">
        <v>44774</v>
      </c>
      <c r="AK892" s="151" t="n"/>
      <c r="AL892" s="151" t="n"/>
    </row>
    <row r="893" hidden="1" s="150">
      <c r="A893" t="inlineStr">
        <is>
          <t>JBAEZ</t>
        </is>
      </c>
      <c r="B893" t="n">
        <v>3662</v>
      </c>
      <c r="C893" t="inlineStr">
        <is>
          <t>JULIETA BAEZ GARCIA</t>
        </is>
      </c>
      <c r="D893" t="n">
        <v>8303</v>
      </c>
      <c r="E893" t="inlineStr">
        <is>
          <t>ASESOR CAMBIARIO</t>
        </is>
      </c>
      <c r="F893" t="inlineStr">
        <is>
          <t>GUADALAJARA</t>
        </is>
      </c>
      <c r="G893" t="n">
        <v>437</v>
      </c>
      <c r="H893" t="inlineStr">
        <is>
          <t>LUIS RODRIGO PERTIERRA TOPETE</t>
        </is>
      </c>
      <c r="I893" t="n">
        <v>9453</v>
      </c>
      <c r="J893" t="inlineStr">
        <is>
          <t>SUBDIRECTOR COMERCIAL</t>
        </is>
      </c>
      <c r="K893" t="n">
        <v>1</v>
      </c>
      <c r="L893" t="inlineStr">
        <is>
          <t>PRESIDENCIA EJECUTIVA DEL CONSEJO</t>
        </is>
      </c>
      <c r="M893" t="n">
        <v>40</v>
      </c>
      <c r="N893" t="inlineStr">
        <is>
          <t>DIRECCION GENERAL BANCO BASE</t>
        </is>
      </c>
      <c r="O893" t="n">
        <v>410</v>
      </c>
      <c r="P893" t="inlineStr">
        <is>
          <t>DIRECCION COMERCIAL</t>
        </is>
      </c>
      <c r="Q893" t="n">
        <v>4570</v>
      </c>
      <c r="R893" t="inlineStr">
        <is>
          <t>DIRECCION COMERCIAL GUADALAJARA</t>
        </is>
      </c>
      <c r="S893" t="n">
        <v>41640</v>
      </c>
      <c r="T893" t="inlineStr">
        <is>
          <t>SUBDIRECCION COMERCIAL GUADALAJARA 4</t>
        </is>
      </c>
      <c r="U893" t="n">
        <v>416400</v>
      </c>
      <c r="V893" t="inlineStr">
        <is>
          <t>SUBDIRECCION COMERCIAL GUADALAJARA 4</t>
        </is>
      </c>
      <c r="W893" t="n">
        <v>126107</v>
      </c>
      <c r="X893" t="inlineStr">
        <is>
          <t>GUADALAJARA</t>
        </is>
      </c>
      <c r="Y893" t="n">
        <v>3</v>
      </c>
      <c r="Z893" t="inlineStr">
        <is>
          <t>CAMBIARIO</t>
        </is>
      </c>
      <c r="AA893" t="n">
        <v>1</v>
      </c>
      <c r="AB893" t="inlineStr">
        <is>
          <t>NEGOCIO EN MARCHA</t>
        </is>
      </c>
      <c r="AC893" t="n">
        <v>1</v>
      </c>
      <c r="AD893" t="inlineStr">
        <is>
          <t>BANCO</t>
        </is>
      </c>
      <c r="AE893" t="n">
        <v>3</v>
      </c>
      <c r="AF893" t="inlineStr">
        <is>
          <t>FRONT</t>
        </is>
      </c>
      <c r="AG893" t="n">
        <v>126107</v>
      </c>
      <c r="AH893" t="inlineStr">
        <is>
          <t>GUADALAJARA</t>
        </is>
      </c>
      <c r="AI893" t="inlineStr">
        <is>
          <t>JBAEZ@BANCOBASE.COM</t>
        </is>
      </c>
      <c r="AJ893" s="151" t="n">
        <v>45964</v>
      </c>
      <c r="AK893" s="151" t="n"/>
      <c r="AL893" s="151" t="n"/>
    </row>
    <row r="894" hidden="1" s="150">
      <c r="A894" t="inlineStr">
        <is>
          <t>GPADILLA</t>
        </is>
      </c>
      <c r="B894" t="n">
        <v>1684</v>
      </c>
      <c r="C894" t="inlineStr">
        <is>
          <t>GLORIA ELIZABETH PADILLA CORONADO</t>
        </is>
      </c>
      <c r="D894" t="n">
        <v>9252</v>
      </c>
      <c r="E894" t="inlineStr">
        <is>
          <t>ESPECIALISTA DE FINANCIAMIENTO</t>
        </is>
      </c>
      <c r="F894" t="inlineStr">
        <is>
          <t>GUADALAJARA</t>
        </is>
      </c>
      <c r="G894" t="n">
        <v>437</v>
      </c>
      <c r="H894" t="inlineStr">
        <is>
          <t>LUIS RODRIGO PERTIERRA TOPETE</t>
        </is>
      </c>
      <c r="I894" t="n">
        <v>9453</v>
      </c>
      <c r="J894" t="inlineStr">
        <is>
          <t>SUBDIRECTOR COMERCIAL</t>
        </is>
      </c>
      <c r="K894" t="n">
        <v>1</v>
      </c>
      <c r="L894" t="inlineStr">
        <is>
          <t>PRESIDENCIA EJECUTIVA DEL CONSEJO</t>
        </is>
      </c>
      <c r="M894" t="n">
        <v>40</v>
      </c>
      <c r="N894" t="inlineStr">
        <is>
          <t>DIRECCION GENERAL BANCO BASE</t>
        </is>
      </c>
      <c r="O894" t="n">
        <v>410</v>
      </c>
      <c r="P894" t="inlineStr">
        <is>
          <t>DIRECCION COMERCIAL</t>
        </is>
      </c>
      <c r="Q894" t="n">
        <v>4570</v>
      </c>
      <c r="R894" t="inlineStr">
        <is>
          <t>DIRECCION COMERCIAL GUADALAJARA</t>
        </is>
      </c>
      <c r="S894" t="n">
        <v>41640</v>
      </c>
      <c r="T894" t="inlineStr">
        <is>
          <t>SUBDIRECCION COMERCIAL GUADALAJARA 4</t>
        </is>
      </c>
      <c r="U894" t="n">
        <v>416400</v>
      </c>
      <c r="V894" t="inlineStr">
        <is>
          <t>SUBDIRECCION COMERCIAL GUADALAJARA 4</t>
        </is>
      </c>
      <c r="W894" t="n">
        <v>126107</v>
      </c>
      <c r="X894" t="inlineStr">
        <is>
          <t>GUADALAJARA</t>
        </is>
      </c>
      <c r="Y894" t="n">
        <v>13</v>
      </c>
      <c r="Z894" t="inlineStr">
        <is>
          <t>FINANCIAMIENTO</t>
        </is>
      </c>
      <c r="AA894" t="n">
        <v>1</v>
      </c>
      <c r="AB894" t="inlineStr">
        <is>
          <t>NEGOCIO EN MARCHA</t>
        </is>
      </c>
      <c r="AC894" t="n">
        <v>1</v>
      </c>
      <c r="AD894" t="inlineStr">
        <is>
          <t>BANCO</t>
        </is>
      </c>
      <c r="AE894" t="n">
        <v>3</v>
      </c>
      <c r="AF894" t="inlineStr">
        <is>
          <t>FRONT</t>
        </is>
      </c>
      <c r="AG894" t="n">
        <v>126107</v>
      </c>
      <c r="AH894" t="inlineStr">
        <is>
          <t>GUADALAJARA</t>
        </is>
      </c>
      <c r="AI894" t="inlineStr">
        <is>
          <t>GPADILLA@BANCOBASE.COM</t>
        </is>
      </c>
      <c r="AJ894" s="151" t="n">
        <v>42738</v>
      </c>
      <c r="AK894" s="151" t="n"/>
      <c r="AL894" s="151" t="n"/>
    </row>
    <row r="895" hidden="1" s="150">
      <c r="A895" t="inlineStr">
        <is>
          <t>VPEREZ</t>
        </is>
      </c>
      <c r="B895" t="n">
        <v>3816</v>
      </c>
      <c r="C895" t="inlineStr">
        <is>
          <t>VALERIA DE JESUS PEREZ LOPEZ</t>
        </is>
      </c>
      <c r="D895" t="n">
        <v>10183</v>
      </c>
      <c r="E895" t="inlineStr">
        <is>
          <t>ESPECIALISTA DE BANCA TRANSACCIONAL</t>
        </is>
      </c>
      <c r="F895" t="inlineStr">
        <is>
          <t>GUADALAJARA</t>
        </is>
      </c>
      <c r="G895" t="n">
        <v>437</v>
      </c>
      <c r="H895" t="inlineStr">
        <is>
          <t>LUIS RODRIGO PERTIERRA TOPETE</t>
        </is>
      </c>
      <c r="I895" t="n">
        <v>9453</v>
      </c>
      <c r="J895" t="inlineStr">
        <is>
          <t>SUBDIRECTOR COMERCIAL</t>
        </is>
      </c>
      <c r="K895" t="n">
        <v>1</v>
      </c>
      <c r="L895" t="inlineStr">
        <is>
          <t>PRESIDENCIA EJECUTIVA DEL CONSEJO</t>
        </is>
      </c>
      <c r="M895" t="n">
        <v>40</v>
      </c>
      <c r="N895" t="inlineStr">
        <is>
          <t>DIRECCION GENERAL BANCO BASE</t>
        </is>
      </c>
      <c r="O895" t="n">
        <v>410</v>
      </c>
      <c r="P895" t="inlineStr">
        <is>
          <t>DIRECCION COMERCIAL</t>
        </is>
      </c>
      <c r="Q895" t="n">
        <v>4570</v>
      </c>
      <c r="R895" t="inlineStr">
        <is>
          <t>DIRECCION COMERCIAL GUADALAJARA</t>
        </is>
      </c>
      <c r="S895" t="n">
        <v>41640</v>
      </c>
      <c r="T895" t="inlineStr">
        <is>
          <t>SUBDIRECCION COMERCIAL GUADALAJARA 4</t>
        </is>
      </c>
      <c r="U895" t="n">
        <v>416400</v>
      </c>
      <c r="V895" t="inlineStr">
        <is>
          <t>SUBDIRECCION COMERCIAL GUADALAJARA 4</t>
        </is>
      </c>
      <c r="W895" t="n">
        <v>126107</v>
      </c>
      <c r="X895" t="inlineStr">
        <is>
          <t>GUADALAJARA</t>
        </is>
      </c>
      <c r="Y895" t="n">
        <v>14</v>
      </c>
      <c r="Z895" t="inlineStr">
        <is>
          <t>TRANSACCIONAL</t>
        </is>
      </c>
      <c r="AA895" t="n">
        <v>1</v>
      </c>
      <c r="AB895" t="inlineStr">
        <is>
          <t>NEGOCIO EN MARCHA</t>
        </is>
      </c>
      <c r="AC895" t="n">
        <v>1</v>
      </c>
      <c r="AD895" t="inlineStr">
        <is>
          <t>BANCO</t>
        </is>
      </c>
      <c r="AE895" t="n">
        <v>3</v>
      </c>
      <c r="AF895" t="inlineStr">
        <is>
          <t>FRONT</t>
        </is>
      </c>
      <c r="AG895" t="n">
        <v>126107</v>
      </c>
      <c r="AH895" t="inlineStr">
        <is>
          <t>GUADALAJARA</t>
        </is>
      </c>
      <c r="AI895" t="inlineStr">
        <is>
          <t>VPEREZ@BANCOBASE.COM</t>
        </is>
      </c>
      <c r="AJ895" s="151" t="n">
        <v>46128</v>
      </c>
      <c r="AK895" s="151" t="n"/>
      <c r="AL895" s="151" t="n"/>
    </row>
    <row r="896" hidden="1" s="150">
      <c r="A896" t="inlineStr">
        <is>
          <t>ALUGOE</t>
        </is>
      </c>
      <c r="B896" t="n">
        <v>2412</v>
      </c>
      <c r="C896" t="inlineStr">
        <is>
          <t>ANA MARCELA LUGO ESPARZA</t>
        </is>
      </c>
      <c r="D896" t="n">
        <v>8916</v>
      </c>
      <c r="E896" t="inlineStr">
        <is>
          <t>ESPECIALISTA DE FINANCIAMIENTO</t>
        </is>
      </c>
      <c r="F896" t="inlineStr">
        <is>
          <t>GUADALAJARA</t>
        </is>
      </c>
      <c r="G896" t="n">
        <v>437</v>
      </c>
      <c r="H896" t="inlineStr">
        <is>
          <t>LUIS RODRIGO PERTIERRA TOPETE</t>
        </is>
      </c>
      <c r="I896" t="n">
        <v>9453</v>
      </c>
      <c r="J896" t="inlineStr">
        <is>
          <t>SUBDIRECTOR COMERCIAL</t>
        </is>
      </c>
      <c r="K896" t="n">
        <v>1</v>
      </c>
      <c r="L896" t="inlineStr">
        <is>
          <t>PRESIDENCIA EJECUTIVA DEL CONSEJO</t>
        </is>
      </c>
      <c r="M896" t="n">
        <v>40</v>
      </c>
      <c r="N896" t="inlineStr">
        <is>
          <t>DIRECCION GENERAL BANCO BASE</t>
        </is>
      </c>
      <c r="O896" t="n">
        <v>410</v>
      </c>
      <c r="P896" t="inlineStr">
        <is>
          <t>DIRECCION COMERCIAL</t>
        </is>
      </c>
      <c r="Q896" t="n">
        <v>4570</v>
      </c>
      <c r="R896" t="inlineStr">
        <is>
          <t>DIRECCION COMERCIAL GUADALAJARA</t>
        </is>
      </c>
      <c r="S896" t="n">
        <v>41640</v>
      </c>
      <c r="T896" t="inlineStr">
        <is>
          <t>SUBDIRECCION COMERCIAL GUADALAJARA 4</t>
        </is>
      </c>
      <c r="U896" t="n">
        <v>416400</v>
      </c>
      <c r="V896" t="inlineStr">
        <is>
          <t>SUBDIRECCION COMERCIAL GUADALAJARA 4</t>
        </is>
      </c>
      <c r="W896" t="n">
        <v>126107</v>
      </c>
      <c r="X896" t="inlineStr">
        <is>
          <t>GUADALAJARA</t>
        </is>
      </c>
      <c r="Y896" t="n">
        <v>13</v>
      </c>
      <c r="Z896" t="inlineStr">
        <is>
          <t>FINANCIAMIENTO</t>
        </is>
      </c>
      <c r="AA896" t="n">
        <v>1</v>
      </c>
      <c r="AB896" t="inlineStr">
        <is>
          <t>NEGOCIO EN MARCHA</t>
        </is>
      </c>
      <c r="AC896" t="n">
        <v>1</v>
      </c>
      <c r="AD896" t="inlineStr">
        <is>
          <t>BANCO</t>
        </is>
      </c>
      <c r="AE896" t="n">
        <v>3</v>
      </c>
      <c r="AF896" t="inlineStr">
        <is>
          <t>FRONT</t>
        </is>
      </c>
      <c r="AG896" t="n">
        <v>126107</v>
      </c>
      <c r="AH896" t="inlineStr">
        <is>
          <t>GUADALAJARA</t>
        </is>
      </c>
      <c r="AI896" t="inlineStr">
        <is>
          <t>ALUGOE@BANCOBASE.COM</t>
        </is>
      </c>
      <c r="AJ896" s="151" t="n">
        <v>43990</v>
      </c>
      <c r="AK896" s="151" t="n"/>
      <c r="AL896" s="151" t="n"/>
    </row>
    <row r="897" hidden="1" s="150">
      <c r="A897" t="inlineStr">
        <is>
          <t>MVAZQUEZRU</t>
        </is>
      </c>
      <c r="B897" t="n">
        <v>2594</v>
      </c>
      <c r="C897" t="inlineStr">
        <is>
          <t>MARIA LUCERO VAZQUEZ RUBIO</t>
        </is>
      </c>
      <c r="D897" t="n">
        <v>8329</v>
      </c>
      <c r="E897" t="inlineStr">
        <is>
          <t>ASISTENTE CAMBIARIO</t>
        </is>
      </c>
      <c r="F897" t="inlineStr">
        <is>
          <t>GUADALAJARA</t>
        </is>
      </c>
      <c r="G897" t="n">
        <v>437</v>
      </c>
      <c r="H897" t="inlineStr">
        <is>
          <t>LUIS RODRIGO PERTIERRA TOPETE</t>
        </is>
      </c>
      <c r="I897" t="n">
        <v>9453</v>
      </c>
      <c r="J897" t="inlineStr">
        <is>
          <t>SUBDIRECTOR COMERCIAL</t>
        </is>
      </c>
      <c r="K897" t="n">
        <v>1</v>
      </c>
      <c r="L897" t="inlineStr">
        <is>
          <t>PRESIDENCIA EJECUTIVA DEL CONSEJO</t>
        </is>
      </c>
      <c r="M897" t="n">
        <v>40</v>
      </c>
      <c r="N897" t="inlineStr">
        <is>
          <t>DIRECCION GENERAL BANCO BASE</t>
        </is>
      </c>
      <c r="O897" t="n">
        <v>410</v>
      </c>
      <c r="P897" t="inlineStr">
        <is>
          <t>DIRECCION COMERCIAL</t>
        </is>
      </c>
      <c r="Q897" t="n">
        <v>4570</v>
      </c>
      <c r="R897" t="inlineStr">
        <is>
          <t>DIRECCION COMERCIAL GUADALAJARA</t>
        </is>
      </c>
      <c r="S897" t="n">
        <v>41640</v>
      </c>
      <c r="T897" t="inlineStr">
        <is>
          <t>SUBDIRECCION COMERCIAL GUADALAJARA 4</t>
        </is>
      </c>
      <c r="U897" t="n">
        <v>416400</v>
      </c>
      <c r="V897" t="inlineStr">
        <is>
          <t>SUBDIRECCION COMERCIAL GUADALAJARA 4</t>
        </is>
      </c>
      <c r="W897" t="n">
        <v>126107</v>
      </c>
      <c r="X897" t="inlineStr">
        <is>
          <t>GUADALAJARA</t>
        </is>
      </c>
      <c r="Y897" t="n">
        <v>3</v>
      </c>
      <c r="Z897" t="inlineStr">
        <is>
          <t>CAMBIARIO</t>
        </is>
      </c>
      <c r="AA897" t="n">
        <v>1</v>
      </c>
      <c r="AB897" t="inlineStr">
        <is>
          <t>NEGOCIO EN MARCHA</t>
        </is>
      </c>
      <c r="AC897" t="n">
        <v>1</v>
      </c>
      <c r="AD897" t="inlineStr">
        <is>
          <t>BANCO</t>
        </is>
      </c>
      <c r="AE897" t="n">
        <v>2</v>
      </c>
      <c r="AF897" t="inlineStr">
        <is>
          <t>MIDDLE</t>
        </is>
      </c>
      <c r="AG897" t="n">
        <v>126107</v>
      </c>
      <c r="AH897" t="inlineStr">
        <is>
          <t>GUADALAJARA</t>
        </is>
      </c>
      <c r="AI897" t="inlineStr">
        <is>
          <t>MVAZQUEZRU@BANCOBASE.COM</t>
        </is>
      </c>
      <c r="AJ897" s="151" t="n">
        <v>44546</v>
      </c>
      <c r="AK897" s="151" t="n"/>
      <c r="AL897" s="151" t="n"/>
    </row>
    <row r="898" hidden="1" s="150">
      <c r="A898" t="inlineStr">
        <is>
          <t>CVARGASA</t>
        </is>
      </c>
      <c r="B898" t="n">
        <v>1103</v>
      </c>
      <c r="C898" t="inlineStr">
        <is>
          <t>CAROLINA LETICIA VARGAS ALVAREZ</t>
        </is>
      </c>
      <c r="D898" t="n">
        <v>9318</v>
      </c>
      <c r="E898" t="inlineStr">
        <is>
          <t>EJECUTIVO DE SOPORTE</t>
        </is>
      </c>
      <c r="F898" t="inlineStr">
        <is>
          <t>GUADALAJARA</t>
        </is>
      </c>
      <c r="G898" t="n">
        <v>437</v>
      </c>
      <c r="H898" t="inlineStr">
        <is>
          <t>LUIS RODRIGO PERTIERRA TOPETE</t>
        </is>
      </c>
      <c r="I898" t="n">
        <v>9453</v>
      </c>
      <c r="J898" t="inlineStr">
        <is>
          <t>SUBDIRECTOR COMERCIAL</t>
        </is>
      </c>
      <c r="K898" t="n">
        <v>1</v>
      </c>
      <c r="L898" t="inlineStr">
        <is>
          <t>PRESIDENCIA EJECUTIVA DEL CONSEJO</t>
        </is>
      </c>
      <c r="M898" t="n">
        <v>40</v>
      </c>
      <c r="N898" t="inlineStr">
        <is>
          <t>DIRECCION GENERAL BANCO BASE</t>
        </is>
      </c>
      <c r="O898" t="n">
        <v>410</v>
      </c>
      <c r="P898" t="inlineStr">
        <is>
          <t>DIRECCION COMERCIAL</t>
        </is>
      </c>
      <c r="Q898" t="n">
        <v>4570</v>
      </c>
      <c r="R898" t="inlineStr">
        <is>
          <t>DIRECCION COMERCIAL GUADALAJARA</t>
        </is>
      </c>
      <c r="S898" t="n">
        <v>41640</v>
      </c>
      <c r="T898" t="inlineStr">
        <is>
          <t>SUBDIRECCION COMERCIAL GUADALAJARA 4</t>
        </is>
      </c>
      <c r="U898" t="n">
        <v>416400</v>
      </c>
      <c r="V898" t="inlineStr">
        <is>
          <t>SUBDIRECCION COMERCIAL GUADALAJARA 4</t>
        </is>
      </c>
      <c r="W898" t="n">
        <v>126107</v>
      </c>
      <c r="X898" t="inlineStr">
        <is>
          <t>GUADALAJARA</t>
        </is>
      </c>
      <c r="Y898" t="n">
        <v>17</v>
      </c>
      <c r="Z898" t="inlineStr">
        <is>
          <t>SOPORTE</t>
        </is>
      </c>
      <c r="AA898" t="n">
        <v>1</v>
      </c>
      <c r="AB898" t="inlineStr">
        <is>
          <t>NEGOCIO EN MARCHA</t>
        </is>
      </c>
      <c r="AC898" t="n">
        <v>1</v>
      </c>
      <c r="AD898" t="inlineStr">
        <is>
          <t>BANCO</t>
        </is>
      </c>
      <c r="AE898" t="n">
        <v>2</v>
      </c>
      <c r="AF898" t="inlineStr">
        <is>
          <t>MIDDLE</t>
        </is>
      </c>
      <c r="AG898" t="n">
        <v>126107</v>
      </c>
      <c r="AH898" t="inlineStr">
        <is>
          <t>GUADALAJARA</t>
        </is>
      </c>
      <c r="AI898" t="inlineStr">
        <is>
          <t>CVARGASA@BANCOBASE.COM</t>
        </is>
      </c>
      <c r="AJ898" s="151" t="n">
        <v>41645</v>
      </c>
      <c r="AK898" s="151" t="n"/>
      <c r="AL898" s="151" t="n"/>
    </row>
    <row r="899" hidden="1" s="150">
      <c r="A899" t="inlineStr">
        <is>
          <t>DNUNO</t>
        </is>
      </c>
      <c r="B899" t="n">
        <v>2394</v>
      </c>
      <c r="C899" t="inlineStr">
        <is>
          <t>DANIELA NUÑO ESTRADA</t>
        </is>
      </c>
      <c r="D899" t="n">
        <v>8279</v>
      </c>
      <c r="E899" t="inlineStr">
        <is>
          <t>ASISTENTE CAMBIARIO</t>
        </is>
      </c>
      <c r="F899" t="inlineStr">
        <is>
          <t>GUADALAJARA</t>
        </is>
      </c>
      <c r="G899" t="n">
        <v>437</v>
      </c>
      <c r="H899" t="inlineStr">
        <is>
          <t>LUIS RODRIGO PERTIERRA TOPETE</t>
        </is>
      </c>
      <c r="I899" t="n">
        <v>9453</v>
      </c>
      <c r="J899" t="inlineStr">
        <is>
          <t>SUBDIRECTOR COMERCIAL</t>
        </is>
      </c>
      <c r="K899" t="n">
        <v>1</v>
      </c>
      <c r="L899" t="inlineStr">
        <is>
          <t>PRESIDENCIA EJECUTIVA DEL CONSEJO</t>
        </is>
      </c>
      <c r="M899" t="n">
        <v>40</v>
      </c>
      <c r="N899" t="inlineStr">
        <is>
          <t>DIRECCION GENERAL BANCO BASE</t>
        </is>
      </c>
      <c r="O899" t="n">
        <v>410</v>
      </c>
      <c r="P899" t="inlineStr">
        <is>
          <t>DIRECCION COMERCIAL</t>
        </is>
      </c>
      <c r="Q899" t="n">
        <v>4570</v>
      </c>
      <c r="R899" t="inlineStr">
        <is>
          <t>DIRECCION COMERCIAL GUADALAJARA</t>
        </is>
      </c>
      <c r="S899" t="n">
        <v>41640</v>
      </c>
      <c r="T899" t="inlineStr">
        <is>
          <t>SUBDIRECCION COMERCIAL GUADALAJARA 4</t>
        </is>
      </c>
      <c r="U899" t="n">
        <v>416400</v>
      </c>
      <c r="V899" t="inlineStr">
        <is>
          <t>SUBDIRECCION COMERCIAL GUADALAJARA 4</t>
        </is>
      </c>
      <c r="W899" t="n">
        <v>126107</v>
      </c>
      <c r="X899" t="inlineStr">
        <is>
          <t>GUADALAJARA</t>
        </is>
      </c>
      <c r="Y899" t="n">
        <v>3</v>
      </c>
      <c r="Z899" t="inlineStr">
        <is>
          <t>CAMBIARIO</t>
        </is>
      </c>
      <c r="AA899" t="n">
        <v>1</v>
      </c>
      <c r="AB899" t="inlineStr">
        <is>
          <t>NEGOCIO EN MARCHA</t>
        </is>
      </c>
      <c r="AC899" t="n">
        <v>1</v>
      </c>
      <c r="AD899" t="inlineStr">
        <is>
          <t>BANCO</t>
        </is>
      </c>
      <c r="AE899" t="n">
        <v>2</v>
      </c>
      <c r="AF899" t="inlineStr">
        <is>
          <t>MIDDLE</t>
        </is>
      </c>
      <c r="AG899" t="n">
        <v>126107</v>
      </c>
      <c r="AH899" t="inlineStr">
        <is>
          <t>GUADALAJARA</t>
        </is>
      </c>
      <c r="AI899" t="inlineStr">
        <is>
          <t>DNUNO@BANCOBASE.COM</t>
        </is>
      </c>
      <c r="AJ899" s="151" t="n">
        <v>44546</v>
      </c>
      <c r="AK899" s="151" t="n"/>
      <c r="AL899" s="151" t="n"/>
    </row>
    <row r="900" hidden="1" s="150">
      <c r="A900" t="inlineStr">
        <is>
          <t>LLEDESMA</t>
        </is>
      </c>
      <c r="B900" t="n">
        <v>3843</v>
      </c>
      <c r="C900" t="inlineStr">
        <is>
          <t>LEONARDO LEDESMA JIMENEZ</t>
        </is>
      </c>
      <c r="D900" t="n">
        <v>8925</v>
      </c>
      <c r="E900" t="inlineStr">
        <is>
          <t>ASISTENTE CAMBIARIO</t>
        </is>
      </c>
      <c r="F900" t="inlineStr">
        <is>
          <t>GUADALAJARA</t>
        </is>
      </c>
      <c r="G900" t="n">
        <v>437</v>
      </c>
      <c r="H900" t="inlineStr">
        <is>
          <t>LUIS RODRIGO PERTIERRA TOPETE</t>
        </is>
      </c>
      <c r="I900" t="n">
        <v>9453</v>
      </c>
      <c r="J900" t="inlineStr">
        <is>
          <t>SUBDIRECTOR COMERCIAL</t>
        </is>
      </c>
      <c r="K900" t="n">
        <v>1</v>
      </c>
      <c r="L900" t="inlineStr">
        <is>
          <t>PRESIDENCIA EJECUTIVA DEL CONSEJO</t>
        </is>
      </c>
      <c r="M900" t="n">
        <v>40</v>
      </c>
      <c r="N900" t="inlineStr">
        <is>
          <t>DIRECCION GENERAL BANCO BASE</t>
        </is>
      </c>
      <c r="O900" t="n">
        <v>410</v>
      </c>
      <c r="P900" t="inlineStr">
        <is>
          <t>DIRECCION COMERCIAL</t>
        </is>
      </c>
      <c r="Q900" t="n">
        <v>4570</v>
      </c>
      <c r="R900" t="inlineStr">
        <is>
          <t>DIRECCION COMERCIAL GUADALAJARA</t>
        </is>
      </c>
      <c r="S900" t="n">
        <v>41640</v>
      </c>
      <c r="T900" t="inlineStr">
        <is>
          <t>SUBDIRECCION COMERCIAL GUADALAJARA 4</t>
        </is>
      </c>
      <c r="U900" t="n">
        <v>416400</v>
      </c>
      <c r="V900" t="inlineStr">
        <is>
          <t>SUBDIRECCION COMERCIAL GUADALAJARA 4</t>
        </is>
      </c>
      <c r="W900" t="n">
        <v>126107</v>
      </c>
      <c r="X900" t="inlineStr">
        <is>
          <t>GUADALAJARA</t>
        </is>
      </c>
      <c r="Y900" t="n">
        <v>3</v>
      </c>
      <c r="Z900" t="inlineStr">
        <is>
          <t>CAMBIARIO</t>
        </is>
      </c>
      <c r="AA900" t="n">
        <v>1</v>
      </c>
      <c r="AB900" t="inlineStr">
        <is>
          <t>NEGOCIO EN MARCHA</t>
        </is>
      </c>
      <c r="AC900" t="n">
        <v>1</v>
      </c>
      <c r="AD900" t="inlineStr">
        <is>
          <t>BANCO</t>
        </is>
      </c>
      <c r="AE900" t="n">
        <v>2</v>
      </c>
      <c r="AF900" t="inlineStr">
        <is>
          <t>MIDDLE</t>
        </is>
      </c>
      <c r="AG900" t="n">
        <v>126107</v>
      </c>
      <c r="AH900" t="inlineStr">
        <is>
          <t>GUADALAJARA</t>
        </is>
      </c>
      <c r="AI900" t="inlineStr">
        <is>
          <t>LLEDESMA@BANCOBASE.COM</t>
        </is>
      </c>
      <c r="AJ900" s="151" t="n">
        <v>46146</v>
      </c>
      <c r="AK900" s="151" t="n"/>
      <c r="AL900" s="151" t="n"/>
    </row>
    <row r="901" hidden="1" s="150">
      <c r="A901" t="inlineStr">
        <is>
          <t>JTORRICO</t>
        </is>
      </c>
      <c r="B901" t="n">
        <v>298</v>
      </c>
      <c r="C901" t="inlineStr">
        <is>
          <t>NORMA JANETTE TORRICO SANCHEZ</t>
        </is>
      </c>
      <c r="D901" t="n">
        <v>9591</v>
      </c>
      <c r="E901" t="inlineStr">
        <is>
          <t>GERENTE DE PROMOCION</t>
        </is>
      </c>
      <c r="F901" t="inlineStr">
        <is>
          <t>GUADALAJARA</t>
        </is>
      </c>
      <c r="G901" t="n">
        <v>437</v>
      </c>
      <c r="H901" t="inlineStr">
        <is>
          <t>LUIS RODRIGO PERTIERRA TOPETE</t>
        </is>
      </c>
      <c r="I901" t="n">
        <v>9453</v>
      </c>
      <c r="J901" t="inlineStr">
        <is>
          <t>SUBDIRECTOR COMERCIAL</t>
        </is>
      </c>
      <c r="K901" t="n">
        <v>1</v>
      </c>
      <c r="L901" t="inlineStr">
        <is>
          <t>PRESIDENCIA EJECUTIVA DEL CONSEJO</t>
        </is>
      </c>
      <c r="M901" t="n">
        <v>40</v>
      </c>
      <c r="N901" t="inlineStr">
        <is>
          <t>DIRECCION GENERAL BANCO BASE</t>
        </is>
      </c>
      <c r="O901" t="n">
        <v>410</v>
      </c>
      <c r="P901" t="inlineStr">
        <is>
          <t>DIRECCION COMERCIAL</t>
        </is>
      </c>
      <c r="Q901" t="n">
        <v>4570</v>
      </c>
      <c r="R901" t="inlineStr">
        <is>
          <t>DIRECCION COMERCIAL GUADALAJARA</t>
        </is>
      </c>
      <c r="S901" t="n">
        <v>41640</v>
      </c>
      <c r="T901" t="inlineStr">
        <is>
          <t>SUBDIRECCION COMERCIAL GUADALAJARA 4</t>
        </is>
      </c>
      <c r="U901" t="n">
        <v>416400</v>
      </c>
      <c r="V901" t="inlineStr">
        <is>
          <t>SUBDIRECCION COMERCIAL GUADALAJARA 4</t>
        </is>
      </c>
      <c r="W901" t="n">
        <v>126107</v>
      </c>
      <c r="X901" t="inlineStr">
        <is>
          <t>GUADALAJARA</t>
        </is>
      </c>
      <c r="Y901" t="n">
        <v>3</v>
      </c>
      <c r="Z901" t="inlineStr">
        <is>
          <t>CAMBIARIO</t>
        </is>
      </c>
      <c r="AA901" t="n">
        <v>1</v>
      </c>
      <c r="AB901" t="inlineStr">
        <is>
          <t>NEGOCIO EN MARCHA</t>
        </is>
      </c>
      <c r="AC901" t="n">
        <v>1</v>
      </c>
      <c r="AD901" t="inlineStr">
        <is>
          <t>BANCO</t>
        </is>
      </c>
      <c r="AE901" t="n">
        <v>3</v>
      </c>
      <c r="AF901" t="inlineStr">
        <is>
          <t>FRONT</t>
        </is>
      </c>
      <c r="AG901" t="n">
        <v>126107</v>
      </c>
      <c r="AH901" t="inlineStr">
        <is>
          <t>GUADALAJARA</t>
        </is>
      </c>
      <c r="AI901" t="inlineStr">
        <is>
          <t>JTORRICO@BANCOBASE.COM</t>
        </is>
      </c>
      <c r="AJ901" s="151" t="n">
        <v>38596</v>
      </c>
      <c r="AK901" s="151" t="n"/>
      <c r="AL901" s="151" t="n"/>
    </row>
    <row r="902" hidden="1" s="150">
      <c r="A902" t="inlineStr">
        <is>
          <t>IRAMOS</t>
        </is>
      </c>
      <c r="B902" t="n">
        <v>2154</v>
      </c>
      <c r="C902" t="inlineStr">
        <is>
          <t>ANABEL IVETTE RAMOS MALDONADO</t>
        </is>
      </c>
      <c r="D902" t="n">
        <v>4000</v>
      </c>
      <c r="E902" t="inlineStr">
        <is>
          <t>ASISTENTE CAMBIARIO</t>
        </is>
      </c>
      <c r="F902" t="inlineStr">
        <is>
          <t>GUADALAJARA</t>
        </is>
      </c>
      <c r="G902" t="n">
        <v>298</v>
      </c>
      <c r="H902" t="inlineStr">
        <is>
          <t>NORMA JANETTE TORRICO SANCHEZ</t>
        </is>
      </c>
      <c r="I902" t="n">
        <v>9591</v>
      </c>
      <c r="J902" t="inlineStr">
        <is>
          <t>GERENTE DE PROMOCION</t>
        </is>
      </c>
      <c r="K902" t="n">
        <v>1</v>
      </c>
      <c r="L902" t="inlineStr">
        <is>
          <t>PRESIDENCIA EJECUTIVA DEL CONSEJO</t>
        </is>
      </c>
      <c r="M902" t="n">
        <v>40</v>
      </c>
      <c r="N902" t="inlineStr">
        <is>
          <t>DIRECCION GENERAL BANCO BASE</t>
        </is>
      </c>
      <c r="O902" t="n">
        <v>410</v>
      </c>
      <c r="P902" t="inlineStr">
        <is>
          <t>DIRECCION COMERCIAL</t>
        </is>
      </c>
      <c r="Q902" t="n">
        <v>4570</v>
      </c>
      <c r="R902" t="inlineStr">
        <is>
          <t>DIRECCION COMERCIAL GUADALAJARA</t>
        </is>
      </c>
      <c r="S902" t="n">
        <v>41640</v>
      </c>
      <c r="T902" t="inlineStr">
        <is>
          <t>SUBDIRECCION COMERCIAL GUADALAJARA 4</t>
        </is>
      </c>
      <c r="U902" t="n">
        <v>416400</v>
      </c>
      <c r="V902" t="inlineStr">
        <is>
          <t>SUBDIRECCION COMERCIAL GUADALAJARA 4</t>
        </is>
      </c>
      <c r="W902" t="n">
        <v>126107</v>
      </c>
      <c r="X902" t="inlineStr">
        <is>
          <t>GUADALAJARA</t>
        </is>
      </c>
      <c r="Y902" t="n">
        <v>3</v>
      </c>
      <c r="Z902" t="inlineStr">
        <is>
          <t>CAMBIARIO</t>
        </is>
      </c>
      <c r="AA902" t="n">
        <v>1</v>
      </c>
      <c r="AB902" t="inlineStr">
        <is>
          <t>NEGOCIO EN MARCHA</t>
        </is>
      </c>
      <c r="AC902" t="n">
        <v>1</v>
      </c>
      <c r="AD902" t="inlineStr">
        <is>
          <t>BANCO</t>
        </is>
      </c>
      <c r="AE902" t="n">
        <v>2</v>
      </c>
      <c r="AF902" t="inlineStr">
        <is>
          <t>MIDDLE</t>
        </is>
      </c>
      <c r="AG902" t="n">
        <v>126107</v>
      </c>
      <c r="AH902" t="inlineStr">
        <is>
          <t>GUADALAJARA</t>
        </is>
      </c>
      <c r="AI902" t="inlineStr">
        <is>
          <t>IRAMOS@BANCOBASE.COM</t>
        </is>
      </c>
      <c r="AJ902" s="151" t="n">
        <v>43437</v>
      </c>
      <c r="AK902" s="151" t="n"/>
      <c r="AL902" s="151" t="n"/>
    </row>
    <row r="903" hidden="1" s="150">
      <c r="A903" t="inlineStr">
        <is>
          <t>RROSALES</t>
        </is>
      </c>
      <c r="B903" t="n">
        <v>769</v>
      </c>
      <c r="C903" t="inlineStr">
        <is>
          <t>ROSA AIDA ROSALES LOPEZ</t>
        </is>
      </c>
      <c r="D903" t="n">
        <v>9304</v>
      </c>
      <c r="E903" t="inlineStr">
        <is>
          <t>SUBDIRECTOR COMERCIAL</t>
        </is>
      </c>
      <c r="F903" t="inlineStr">
        <is>
          <t>GUADALAJARA</t>
        </is>
      </c>
      <c r="G903" t="n">
        <v>1706</v>
      </c>
      <c r="H903" t="inlineStr">
        <is>
          <t>JUAN FERNANDO HINOJOSA CHAPA</t>
        </is>
      </c>
      <c r="I903" t="n">
        <v>91</v>
      </c>
      <c r="J903" t="inlineStr">
        <is>
          <t>DIRECTOR COMERCIAL GUADALAJARA</t>
        </is>
      </c>
      <c r="K903" t="n">
        <v>1</v>
      </c>
      <c r="L903" t="inlineStr">
        <is>
          <t>PRESIDENCIA EJECUTIVA DEL CONSEJO</t>
        </is>
      </c>
      <c r="M903" t="n">
        <v>40</v>
      </c>
      <c r="N903" t="inlineStr">
        <is>
          <t>DIRECCION GENERAL BANCO BASE</t>
        </is>
      </c>
      <c r="O903" t="n">
        <v>410</v>
      </c>
      <c r="P903" t="inlineStr">
        <is>
          <t>DIRECCION COMERCIAL</t>
        </is>
      </c>
      <c r="Q903" t="n">
        <v>4570</v>
      </c>
      <c r="R903" t="inlineStr">
        <is>
          <t>DIRECCION COMERCIAL GUADALAJARA</t>
        </is>
      </c>
      <c r="S903" t="n">
        <v>41650</v>
      </c>
      <c r="T903" t="inlineStr">
        <is>
          <t>SUBDIRECCION COMERCIAL GUADALAJARA 5</t>
        </is>
      </c>
      <c r="U903" t="n">
        <v>416500</v>
      </c>
      <c r="V903" t="inlineStr">
        <is>
          <t>SUBDIRECCION COMERCIAL GUADALAJARA 5</t>
        </is>
      </c>
      <c r="W903" t="n">
        <v>126107</v>
      </c>
      <c r="X903" t="inlineStr">
        <is>
          <t>GUADALAJARA</t>
        </is>
      </c>
      <c r="Y903" t="n">
        <v>3</v>
      </c>
      <c r="Z903" t="inlineStr">
        <is>
          <t>CAMBIARIO</t>
        </is>
      </c>
      <c r="AA903" t="n">
        <v>1</v>
      </c>
      <c r="AB903" t="inlineStr">
        <is>
          <t>NEGOCIO EN MARCHA</t>
        </is>
      </c>
      <c r="AC903" t="n">
        <v>1</v>
      </c>
      <c r="AD903" t="inlineStr">
        <is>
          <t>BANCO</t>
        </is>
      </c>
      <c r="AE903" t="n">
        <v>3</v>
      </c>
      <c r="AF903" t="inlineStr">
        <is>
          <t>FRONT</t>
        </is>
      </c>
      <c r="AG903" t="n">
        <v>126107</v>
      </c>
      <c r="AH903" t="inlineStr">
        <is>
          <t>GUADALAJARA</t>
        </is>
      </c>
      <c r="AI903" t="inlineStr">
        <is>
          <t>RROSALES@BANCOBASE.COM</t>
        </is>
      </c>
      <c r="AJ903" s="151" t="n">
        <v>40756</v>
      </c>
      <c r="AK903" s="151" t="n"/>
      <c r="AL903" s="151" t="n"/>
    </row>
    <row r="904" hidden="1" s="150">
      <c r="A904" t="inlineStr">
        <is>
          <t>CMONCIVAIS</t>
        </is>
      </c>
      <c r="B904" t="n">
        <v>215</v>
      </c>
      <c r="C904" t="inlineStr">
        <is>
          <t>SILVIA CRISTINA MONCIVAIS MIJARES</t>
        </is>
      </c>
      <c r="D904" t="n">
        <v>9671</v>
      </c>
      <c r="E904" t="inlineStr">
        <is>
          <t>GERENTE DE PROMOCION</t>
        </is>
      </c>
      <c r="F904" t="inlineStr">
        <is>
          <t>GUADALAJARA</t>
        </is>
      </c>
      <c r="G904" t="n">
        <v>769</v>
      </c>
      <c r="H904" t="inlineStr">
        <is>
          <t>ROSA AIDA ROSALES LOPEZ</t>
        </is>
      </c>
      <c r="I904" t="n">
        <v>9304</v>
      </c>
      <c r="J904" t="inlineStr">
        <is>
          <t>SUBDIRECTOR COMERCIAL</t>
        </is>
      </c>
      <c r="K904" t="n">
        <v>1</v>
      </c>
      <c r="L904" t="inlineStr">
        <is>
          <t>PRESIDENCIA EJECUTIVA DEL CONSEJO</t>
        </is>
      </c>
      <c r="M904" t="n">
        <v>40</v>
      </c>
      <c r="N904" t="inlineStr">
        <is>
          <t>DIRECCION GENERAL BANCO BASE</t>
        </is>
      </c>
      <c r="O904" t="n">
        <v>410</v>
      </c>
      <c r="P904" t="inlineStr">
        <is>
          <t>DIRECCION COMERCIAL</t>
        </is>
      </c>
      <c r="Q904" t="n">
        <v>4570</v>
      </c>
      <c r="R904" t="inlineStr">
        <is>
          <t>DIRECCION COMERCIAL GUADALAJARA</t>
        </is>
      </c>
      <c r="S904" t="n">
        <v>41650</v>
      </c>
      <c r="T904" t="inlineStr">
        <is>
          <t>SUBDIRECCION COMERCIAL GUADALAJARA 5</t>
        </is>
      </c>
      <c r="U904" t="n">
        <v>416500</v>
      </c>
      <c r="V904" t="inlineStr">
        <is>
          <t>SUBDIRECCION COMERCIAL GUADALAJARA 5</t>
        </is>
      </c>
      <c r="W904" t="n">
        <v>126107</v>
      </c>
      <c r="X904" t="inlineStr">
        <is>
          <t>GUADALAJARA</t>
        </is>
      </c>
      <c r="Y904" t="n">
        <v>3</v>
      </c>
      <c r="Z904" t="inlineStr">
        <is>
          <t>CAMBIARIO</t>
        </is>
      </c>
      <c r="AA904" t="n">
        <v>1</v>
      </c>
      <c r="AB904" t="inlineStr">
        <is>
          <t>NEGOCIO EN MARCHA</t>
        </is>
      </c>
      <c r="AC904" t="n">
        <v>1</v>
      </c>
      <c r="AD904" t="inlineStr">
        <is>
          <t>BANCO</t>
        </is>
      </c>
      <c r="AE904" t="n">
        <v>3</v>
      </c>
      <c r="AF904" t="inlineStr">
        <is>
          <t>FRONT</t>
        </is>
      </c>
      <c r="AG904" t="n">
        <v>126107</v>
      </c>
      <c r="AH904" t="inlineStr">
        <is>
          <t>GUADALAJARA</t>
        </is>
      </c>
      <c r="AI904" t="inlineStr">
        <is>
          <t>CMONCIVAIS@BANCOBASE.COM</t>
        </is>
      </c>
      <c r="AJ904" s="151" t="n">
        <v>37530</v>
      </c>
      <c r="AK904" s="151" t="n"/>
      <c r="AL904" s="151" t="n"/>
    </row>
    <row r="905" hidden="1" s="150">
      <c r="A905" t="inlineStr">
        <is>
          <t>AELIZALDE</t>
        </is>
      </c>
      <c r="B905" t="n">
        <v>297</v>
      </c>
      <c r="C905" t="inlineStr">
        <is>
          <t>ADRIANA ELIZALDE GAXIOLA</t>
        </is>
      </c>
      <c r="D905" t="n">
        <v>6069</v>
      </c>
      <c r="E905" t="inlineStr">
        <is>
          <t>ASESOR CAMBIARIO</t>
        </is>
      </c>
      <c r="F905" t="inlineStr">
        <is>
          <t>GUADALAJARA</t>
        </is>
      </c>
      <c r="G905" t="n">
        <v>769</v>
      </c>
      <c r="H905" t="inlineStr">
        <is>
          <t>ROSA AIDA ROSALES LOPEZ</t>
        </is>
      </c>
      <c r="I905" t="n">
        <v>9304</v>
      </c>
      <c r="J905" t="inlineStr">
        <is>
          <t>SUBDIRECTOR COMERCIAL</t>
        </is>
      </c>
      <c r="K905" t="n">
        <v>1</v>
      </c>
      <c r="L905" t="inlineStr">
        <is>
          <t>PRESIDENCIA EJECUTIVA DEL CONSEJO</t>
        </is>
      </c>
      <c r="M905" t="n">
        <v>40</v>
      </c>
      <c r="N905" t="inlineStr">
        <is>
          <t>DIRECCION GENERAL BANCO BASE</t>
        </is>
      </c>
      <c r="O905" t="n">
        <v>410</v>
      </c>
      <c r="P905" t="inlineStr">
        <is>
          <t>DIRECCION COMERCIAL</t>
        </is>
      </c>
      <c r="Q905" t="n">
        <v>4570</v>
      </c>
      <c r="R905" t="inlineStr">
        <is>
          <t>DIRECCION COMERCIAL GUADALAJARA</t>
        </is>
      </c>
      <c r="S905" t="n">
        <v>41650</v>
      </c>
      <c r="T905" t="inlineStr">
        <is>
          <t>SUBDIRECCION COMERCIAL GUADALAJARA 5</t>
        </is>
      </c>
      <c r="U905" t="n">
        <v>416500</v>
      </c>
      <c r="V905" t="inlineStr">
        <is>
          <t>SUBDIRECCION COMERCIAL GUADALAJARA 5</t>
        </is>
      </c>
      <c r="W905" t="n">
        <v>126107</v>
      </c>
      <c r="X905" t="inlineStr">
        <is>
          <t>GUADALAJARA</t>
        </is>
      </c>
      <c r="Y905" t="n">
        <v>3</v>
      </c>
      <c r="Z905" t="inlineStr">
        <is>
          <t>CAMBIARIO</t>
        </is>
      </c>
      <c r="AA905" t="n">
        <v>1</v>
      </c>
      <c r="AB905" t="inlineStr">
        <is>
          <t>NEGOCIO EN MARCHA</t>
        </is>
      </c>
      <c r="AC905" t="n">
        <v>1</v>
      </c>
      <c r="AD905" t="inlineStr">
        <is>
          <t>BANCO</t>
        </is>
      </c>
      <c r="AE905" t="n">
        <v>3</v>
      </c>
      <c r="AF905" t="inlineStr">
        <is>
          <t>FRONT</t>
        </is>
      </c>
      <c r="AG905" t="n">
        <v>126107</v>
      </c>
      <c r="AH905" t="inlineStr">
        <is>
          <t>GUADALAJARA</t>
        </is>
      </c>
      <c r="AI905" t="inlineStr">
        <is>
          <t>AELIZALDE@BANCOBASE.COM</t>
        </is>
      </c>
      <c r="AJ905" s="151" t="n">
        <v>38596</v>
      </c>
      <c r="AK905" s="151" t="n"/>
      <c r="AL905" s="151" t="n"/>
    </row>
    <row r="906" hidden="1" s="150">
      <c r="A906" t="inlineStr">
        <is>
          <t>CFLORESD</t>
        </is>
      </c>
      <c r="B906" t="n">
        <v>3374</v>
      </c>
      <c r="C906" t="inlineStr">
        <is>
          <t>CLAUDIA JEANETTE FLORES DAMAS</t>
        </is>
      </c>
      <c r="D906" t="n">
        <v>9303</v>
      </c>
      <c r="E906" t="inlineStr">
        <is>
          <t>ASESOR CAMBIARIO</t>
        </is>
      </c>
      <c r="F906" t="inlineStr">
        <is>
          <t>GUADALAJARA</t>
        </is>
      </c>
      <c r="G906" t="n">
        <v>769</v>
      </c>
      <c r="H906" t="inlineStr">
        <is>
          <t>ROSA AIDA ROSALES LOPEZ</t>
        </is>
      </c>
      <c r="I906" t="n">
        <v>9304</v>
      </c>
      <c r="J906" t="inlineStr">
        <is>
          <t>SUBDIRECTOR COMERCIAL</t>
        </is>
      </c>
      <c r="K906" t="n">
        <v>1</v>
      </c>
      <c r="L906" t="inlineStr">
        <is>
          <t>PRESIDENCIA EJECUTIVA DEL CONSEJO</t>
        </is>
      </c>
      <c r="M906" t="n">
        <v>40</v>
      </c>
      <c r="N906" t="inlineStr">
        <is>
          <t>DIRECCION GENERAL BANCO BASE</t>
        </is>
      </c>
      <c r="O906" t="n">
        <v>410</v>
      </c>
      <c r="P906" t="inlineStr">
        <is>
          <t>DIRECCION COMERCIAL</t>
        </is>
      </c>
      <c r="Q906" t="n">
        <v>4570</v>
      </c>
      <c r="R906" t="inlineStr">
        <is>
          <t>DIRECCION COMERCIAL GUADALAJARA</t>
        </is>
      </c>
      <c r="S906" t="n">
        <v>41650</v>
      </c>
      <c r="T906" t="inlineStr">
        <is>
          <t>SUBDIRECCION COMERCIAL GUADALAJARA 5</t>
        </is>
      </c>
      <c r="U906" t="n">
        <v>416500</v>
      </c>
      <c r="V906" t="inlineStr">
        <is>
          <t>SUBDIRECCION COMERCIAL GUADALAJARA 5</t>
        </is>
      </c>
      <c r="W906" t="n">
        <v>126107</v>
      </c>
      <c r="X906" t="inlineStr">
        <is>
          <t>GUADALAJARA</t>
        </is>
      </c>
      <c r="Y906" t="n">
        <v>3</v>
      </c>
      <c r="Z906" t="inlineStr">
        <is>
          <t>CAMBIARIO</t>
        </is>
      </c>
      <c r="AA906" t="n">
        <v>1</v>
      </c>
      <c r="AB906" t="inlineStr">
        <is>
          <t>NEGOCIO EN MARCHA</t>
        </is>
      </c>
      <c r="AC906" t="n">
        <v>1</v>
      </c>
      <c r="AD906" t="inlineStr">
        <is>
          <t>BANCO</t>
        </is>
      </c>
      <c r="AE906" t="n">
        <v>3</v>
      </c>
      <c r="AF906" t="inlineStr">
        <is>
          <t>FRONT</t>
        </is>
      </c>
      <c r="AG906" t="n">
        <v>126107</v>
      </c>
      <c r="AH906" t="inlineStr">
        <is>
          <t>GUADALAJARA</t>
        </is>
      </c>
      <c r="AI906" t="inlineStr">
        <is>
          <t>CFLORESD@BANCOBASE.COM</t>
        </is>
      </c>
      <c r="AJ906" s="151" t="n">
        <v>45734</v>
      </c>
      <c r="AK906" s="151" t="n"/>
      <c r="AL906" s="151" t="n"/>
    </row>
    <row r="907" hidden="1" s="150">
      <c r="A907" t="inlineStr">
        <is>
          <t>JESTRADA</t>
        </is>
      </c>
      <c r="B907" t="n">
        <v>3107</v>
      </c>
      <c r="C907" t="inlineStr">
        <is>
          <t>JOSE ADRIAN ESTRADA CUELLAR</t>
        </is>
      </c>
      <c r="D907" t="n">
        <v>9039</v>
      </c>
      <c r="E907" t="inlineStr">
        <is>
          <t>ASESOR CAMBIARIO</t>
        </is>
      </c>
      <c r="F907" t="inlineStr">
        <is>
          <t>GUADALAJARA</t>
        </is>
      </c>
      <c r="G907" t="n">
        <v>769</v>
      </c>
      <c r="H907" t="inlineStr">
        <is>
          <t>ROSA AIDA ROSALES LOPEZ</t>
        </is>
      </c>
      <c r="I907" t="n">
        <v>9304</v>
      </c>
      <c r="J907" t="inlineStr">
        <is>
          <t>SUBDIRECTOR COMERCIAL</t>
        </is>
      </c>
      <c r="K907" t="n">
        <v>1</v>
      </c>
      <c r="L907" t="inlineStr">
        <is>
          <t>PRESIDENCIA EJECUTIVA DEL CONSEJO</t>
        </is>
      </c>
      <c r="M907" t="n">
        <v>40</v>
      </c>
      <c r="N907" t="inlineStr">
        <is>
          <t>DIRECCION GENERAL BANCO BASE</t>
        </is>
      </c>
      <c r="O907" t="n">
        <v>410</v>
      </c>
      <c r="P907" t="inlineStr">
        <is>
          <t>DIRECCION COMERCIAL</t>
        </is>
      </c>
      <c r="Q907" t="n">
        <v>4570</v>
      </c>
      <c r="R907" t="inlineStr">
        <is>
          <t>DIRECCION COMERCIAL GUADALAJARA</t>
        </is>
      </c>
      <c r="S907" t="n">
        <v>41650</v>
      </c>
      <c r="T907" t="inlineStr">
        <is>
          <t>SUBDIRECCION COMERCIAL GUADALAJARA 5</t>
        </is>
      </c>
      <c r="U907" t="n">
        <v>416500</v>
      </c>
      <c r="V907" t="inlineStr">
        <is>
          <t>SUBDIRECCION COMERCIAL GUADALAJARA 5</t>
        </is>
      </c>
      <c r="W907" t="n">
        <v>126107</v>
      </c>
      <c r="X907" t="inlineStr">
        <is>
          <t>GUADALAJARA</t>
        </is>
      </c>
      <c r="Y907" t="n">
        <v>3</v>
      </c>
      <c r="Z907" t="inlineStr">
        <is>
          <t>CAMBIARIO</t>
        </is>
      </c>
      <c r="AA907" t="n">
        <v>1</v>
      </c>
      <c r="AB907" t="inlineStr">
        <is>
          <t>NEGOCIO EN MARCHA</t>
        </is>
      </c>
      <c r="AC907" t="n">
        <v>1</v>
      </c>
      <c r="AD907" t="inlineStr">
        <is>
          <t>BANCO</t>
        </is>
      </c>
      <c r="AE907" t="n">
        <v>3</v>
      </c>
      <c r="AF907" t="inlineStr">
        <is>
          <t>FRONT</t>
        </is>
      </c>
      <c r="AG907" t="n">
        <v>126107</v>
      </c>
      <c r="AH907" t="inlineStr">
        <is>
          <t>GUADALAJARA</t>
        </is>
      </c>
      <c r="AI907" t="inlineStr">
        <is>
          <t>JESTRADA@BANCOBASE.COM</t>
        </is>
      </c>
      <c r="AJ907" s="151" t="n">
        <v>45414</v>
      </c>
      <c r="AK907" s="151" t="n"/>
      <c r="AL907" s="151" t="n"/>
    </row>
    <row r="908" hidden="1" s="150">
      <c r="A908" t="inlineStr">
        <is>
          <t>JZEPEDA</t>
        </is>
      </c>
      <c r="B908" t="n">
        <v>1700</v>
      </c>
      <c r="C908" t="inlineStr">
        <is>
          <t>JUAN DIEGO ZEPEDA BRISEÑO</t>
        </is>
      </c>
      <c r="D908" t="n">
        <v>9939</v>
      </c>
      <c r="E908" t="inlineStr">
        <is>
          <t>ASESOR CAMBIARIO</t>
        </is>
      </c>
      <c r="F908" t="inlineStr">
        <is>
          <t>GUADALAJARA</t>
        </is>
      </c>
      <c r="G908" t="n">
        <v>769</v>
      </c>
      <c r="H908" t="inlineStr">
        <is>
          <t>ROSA AIDA ROSALES LOPEZ</t>
        </is>
      </c>
      <c r="I908" t="n">
        <v>9304</v>
      </c>
      <c r="J908" t="inlineStr">
        <is>
          <t>SUBDIRECTOR COMERCIAL</t>
        </is>
      </c>
      <c r="K908" t="n">
        <v>1</v>
      </c>
      <c r="L908" t="inlineStr">
        <is>
          <t>PRESIDENCIA EJECUTIVA DEL CONSEJO</t>
        </is>
      </c>
      <c r="M908" t="n">
        <v>40</v>
      </c>
      <c r="N908" t="inlineStr">
        <is>
          <t>DIRECCION GENERAL BANCO BASE</t>
        </is>
      </c>
      <c r="O908" t="n">
        <v>410</v>
      </c>
      <c r="P908" t="inlineStr">
        <is>
          <t>DIRECCION COMERCIAL</t>
        </is>
      </c>
      <c r="Q908" t="n">
        <v>4570</v>
      </c>
      <c r="R908" t="inlineStr">
        <is>
          <t>DIRECCION COMERCIAL GUADALAJARA</t>
        </is>
      </c>
      <c r="S908" t="n">
        <v>41650</v>
      </c>
      <c r="T908" t="inlineStr">
        <is>
          <t>SUBDIRECCION COMERCIAL GUADALAJARA 5</t>
        </is>
      </c>
      <c r="U908" t="n">
        <v>416500</v>
      </c>
      <c r="V908" t="inlineStr">
        <is>
          <t>SUBDIRECCION COMERCIAL GUADALAJARA 5</t>
        </is>
      </c>
      <c r="W908" t="n">
        <v>126107</v>
      </c>
      <c r="X908" t="inlineStr">
        <is>
          <t>GUADALAJARA</t>
        </is>
      </c>
      <c r="Y908" t="n">
        <v>3</v>
      </c>
      <c r="Z908" t="inlineStr">
        <is>
          <t>CAMBIARIO</t>
        </is>
      </c>
      <c r="AA908" t="n">
        <v>1</v>
      </c>
      <c r="AB908" t="inlineStr">
        <is>
          <t>NEGOCIO EN MARCHA</t>
        </is>
      </c>
      <c r="AC908" t="n">
        <v>1</v>
      </c>
      <c r="AD908" t="inlineStr">
        <is>
          <t>BANCO</t>
        </is>
      </c>
      <c r="AE908" t="n">
        <v>3</v>
      </c>
      <c r="AF908" t="inlineStr">
        <is>
          <t>FRONT</t>
        </is>
      </c>
      <c r="AG908" t="n">
        <v>126107</v>
      </c>
      <c r="AH908" t="inlineStr">
        <is>
          <t>GUADALAJARA</t>
        </is>
      </c>
      <c r="AI908" t="inlineStr">
        <is>
          <t>JZEPEDA@BANCOBASE.COM</t>
        </is>
      </c>
      <c r="AJ908" s="151" t="n">
        <v>42767</v>
      </c>
      <c r="AK908" s="151" t="n"/>
      <c r="AL908" s="151" t="n"/>
    </row>
    <row r="909" hidden="1" s="150">
      <c r="A909" t="inlineStr">
        <is>
          <t>JRODRIGUMA</t>
        </is>
      </c>
      <c r="B909" t="n">
        <v>3549</v>
      </c>
      <c r="C909" t="inlineStr">
        <is>
          <t>JUAN CARLOS RODRIGUEZ MAYORGA</t>
        </is>
      </c>
      <c r="D909" t="n">
        <v>8626</v>
      </c>
      <c r="E909" t="inlineStr">
        <is>
          <t>ASESOR CAMBIARIO</t>
        </is>
      </c>
      <c r="F909" t="inlineStr">
        <is>
          <t>GUADALAJARA</t>
        </is>
      </c>
      <c r="G909" t="n">
        <v>769</v>
      </c>
      <c r="H909" t="inlineStr">
        <is>
          <t>ROSA AIDA ROSALES LOPEZ</t>
        </is>
      </c>
      <c r="I909" t="n">
        <v>9304</v>
      </c>
      <c r="J909" t="inlineStr">
        <is>
          <t>SUBDIRECTOR COMERCIAL</t>
        </is>
      </c>
      <c r="K909" t="n">
        <v>1</v>
      </c>
      <c r="L909" t="inlineStr">
        <is>
          <t>PRESIDENCIA EJECUTIVA DEL CONSEJO</t>
        </is>
      </c>
      <c r="M909" t="n">
        <v>40</v>
      </c>
      <c r="N909" t="inlineStr">
        <is>
          <t>DIRECCION GENERAL BANCO BASE</t>
        </is>
      </c>
      <c r="O909" t="n">
        <v>410</v>
      </c>
      <c r="P909" t="inlineStr">
        <is>
          <t>DIRECCION COMERCIAL</t>
        </is>
      </c>
      <c r="Q909" t="n">
        <v>4570</v>
      </c>
      <c r="R909" t="inlineStr">
        <is>
          <t>DIRECCION COMERCIAL GUADALAJARA</t>
        </is>
      </c>
      <c r="S909" t="n">
        <v>41650</v>
      </c>
      <c r="T909" t="inlineStr">
        <is>
          <t>SUBDIRECCION COMERCIAL GUADALAJARA 5</t>
        </is>
      </c>
      <c r="U909" t="n">
        <v>416500</v>
      </c>
      <c r="V909" t="inlineStr">
        <is>
          <t>SUBDIRECCION COMERCIAL GUADALAJARA 5</t>
        </is>
      </c>
      <c r="W909" t="n">
        <v>126107</v>
      </c>
      <c r="X909" t="inlineStr">
        <is>
          <t>GUADALAJARA</t>
        </is>
      </c>
      <c r="Y909" t="n">
        <v>3</v>
      </c>
      <c r="Z909" t="inlineStr">
        <is>
          <t>CAMBIARIO</t>
        </is>
      </c>
      <c r="AA909" t="n">
        <v>1</v>
      </c>
      <c r="AB909" t="inlineStr">
        <is>
          <t>NEGOCIO EN MARCHA</t>
        </is>
      </c>
      <c r="AC909" t="n">
        <v>1</v>
      </c>
      <c r="AD909" t="inlineStr">
        <is>
          <t>BANCO</t>
        </is>
      </c>
      <c r="AE909" t="n">
        <v>3</v>
      </c>
      <c r="AF909" t="inlineStr">
        <is>
          <t>FRONT</t>
        </is>
      </c>
      <c r="AG909" t="n">
        <v>126107</v>
      </c>
      <c r="AH909" t="inlineStr">
        <is>
          <t>GUADALAJARA</t>
        </is>
      </c>
      <c r="AI909" t="inlineStr">
        <is>
          <t>JRODRIGUMA@BANCOBASE.COM</t>
        </is>
      </c>
      <c r="AJ909" s="151" t="n">
        <v>45901</v>
      </c>
      <c r="AK909" s="151" t="n"/>
      <c r="AL909" s="151" t="n"/>
    </row>
    <row r="910" hidden="1" s="150">
      <c r="A910" t="inlineStr">
        <is>
          <t>DROMEROR</t>
        </is>
      </c>
      <c r="B910" t="n">
        <v>2198</v>
      </c>
      <c r="C910" t="inlineStr">
        <is>
          <t>DANIEL ROMERO RENTERIA</t>
        </is>
      </c>
      <c r="D910" t="n">
        <v>9580</v>
      </c>
      <c r="E910" t="inlineStr">
        <is>
          <t>ASESOR CAMBIARIO</t>
        </is>
      </c>
      <c r="F910" t="inlineStr">
        <is>
          <t>GUADALAJARA</t>
        </is>
      </c>
      <c r="G910" t="n">
        <v>769</v>
      </c>
      <c r="H910" t="inlineStr">
        <is>
          <t>ROSA AIDA ROSALES LOPEZ</t>
        </is>
      </c>
      <c r="I910" t="n">
        <v>9304</v>
      </c>
      <c r="J910" t="inlineStr">
        <is>
          <t>SUBDIRECTOR COMERCIAL</t>
        </is>
      </c>
      <c r="K910" t="n">
        <v>1</v>
      </c>
      <c r="L910" t="inlineStr">
        <is>
          <t>PRESIDENCIA EJECUTIVA DEL CONSEJO</t>
        </is>
      </c>
      <c r="M910" t="n">
        <v>40</v>
      </c>
      <c r="N910" t="inlineStr">
        <is>
          <t>DIRECCION GENERAL BANCO BASE</t>
        </is>
      </c>
      <c r="O910" t="n">
        <v>410</v>
      </c>
      <c r="P910" t="inlineStr">
        <is>
          <t>DIRECCION COMERCIAL</t>
        </is>
      </c>
      <c r="Q910" t="n">
        <v>4570</v>
      </c>
      <c r="R910" t="inlineStr">
        <is>
          <t>DIRECCION COMERCIAL GUADALAJARA</t>
        </is>
      </c>
      <c r="S910" t="n">
        <v>41650</v>
      </c>
      <c r="T910" t="inlineStr">
        <is>
          <t>SUBDIRECCION COMERCIAL GUADALAJARA 5</t>
        </is>
      </c>
      <c r="U910" t="n">
        <v>416500</v>
      </c>
      <c r="V910" t="inlineStr">
        <is>
          <t>SUBDIRECCION COMERCIAL GUADALAJARA 5</t>
        </is>
      </c>
      <c r="W910" t="n">
        <v>126107</v>
      </c>
      <c r="X910" t="inlineStr">
        <is>
          <t>GUADALAJARA</t>
        </is>
      </c>
      <c r="Y910" t="n">
        <v>3</v>
      </c>
      <c r="Z910" t="inlineStr">
        <is>
          <t>CAMBIARIO</t>
        </is>
      </c>
      <c r="AA910" t="n">
        <v>1</v>
      </c>
      <c r="AB910" t="inlineStr">
        <is>
          <t>NEGOCIO EN MARCHA</t>
        </is>
      </c>
      <c r="AC910" t="n">
        <v>1</v>
      </c>
      <c r="AD910" t="inlineStr">
        <is>
          <t>BANCO</t>
        </is>
      </c>
      <c r="AE910" t="n">
        <v>3</v>
      </c>
      <c r="AF910" t="inlineStr">
        <is>
          <t>FRONT</t>
        </is>
      </c>
      <c r="AG910" t="n">
        <v>126107</v>
      </c>
      <c r="AH910" t="inlineStr">
        <is>
          <t>GUADALAJARA</t>
        </is>
      </c>
      <c r="AI910" t="inlineStr">
        <is>
          <t>DROMEROR@BANCOBASE.COM</t>
        </is>
      </c>
      <c r="AJ910" s="151" t="n">
        <v>43528</v>
      </c>
      <c r="AK910" s="151" t="n"/>
      <c r="AL910" s="151" t="n"/>
    </row>
    <row r="911" hidden="1" s="150">
      <c r="A911" t="inlineStr">
        <is>
          <t>DGARCIAG</t>
        </is>
      </c>
      <c r="B911" t="n">
        <v>3410</v>
      </c>
      <c r="C911" t="inlineStr">
        <is>
          <t>VICTOR DANIEL GARCIA GUERRERO</t>
        </is>
      </c>
      <c r="D911" t="n">
        <v>10412</v>
      </c>
      <c r="E911" t="inlineStr">
        <is>
          <t>ASESOR CAMBIARIO</t>
        </is>
      </c>
      <c r="F911" t="inlineStr">
        <is>
          <t>GUADALAJARA</t>
        </is>
      </c>
      <c r="G911" t="n">
        <v>769</v>
      </c>
      <c r="H911" t="inlineStr">
        <is>
          <t>ROSA AIDA ROSALES LOPEZ</t>
        </is>
      </c>
      <c r="I911" t="n">
        <v>9304</v>
      </c>
      <c r="J911" t="inlineStr">
        <is>
          <t>SUBDIRECTOR COMERCIAL</t>
        </is>
      </c>
      <c r="K911" t="n">
        <v>1</v>
      </c>
      <c r="L911" t="inlineStr">
        <is>
          <t>PRESIDENCIA EJECUTIVA DEL CONSEJO</t>
        </is>
      </c>
      <c r="M911" t="n">
        <v>40</v>
      </c>
      <c r="N911" t="inlineStr">
        <is>
          <t>DIRECCION GENERAL BANCO BASE</t>
        </is>
      </c>
      <c r="O911" t="n">
        <v>410</v>
      </c>
      <c r="P911" t="inlineStr">
        <is>
          <t>DIRECCION COMERCIAL</t>
        </is>
      </c>
      <c r="Q911" t="n">
        <v>4570</v>
      </c>
      <c r="R911" t="inlineStr">
        <is>
          <t>DIRECCION COMERCIAL GUADALAJARA</t>
        </is>
      </c>
      <c r="S911" t="n">
        <v>41650</v>
      </c>
      <c r="T911" t="inlineStr">
        <is>
          <t>SUBDIRECCION COMERCIAL GUADALAJARA 5</t>
        </is>
      </c>
      <c r="U911" t="n">
        <v>416500</v>
      </c>
      <c r="V911" t="inlineStr">
        <is>
          <t>SUBDIRECCION COMERCIAL GUADALAJARA 5</t>
        </is>
      </c>
      <c r="W911" t="n">
        <v>126107</v>
      </c>
      <c r="X911" t="inlineStr">
        <is>
          <t>GUADALAJARA</t>
        </is>
      </c>
      <c r="Y911" t="n">
        <v>3</v>
      </c>
      <c r="Z911" t="inlineStr">
        <is>
          <t>CAMBIARIO</t>
        </is>
      </c>
      <c r="AA911" t="n">
        <v>1</v>
      </c>
      <c r="AB911" t="inlineStr">
        <is>
          <t>NEGOCIO EN MARCHA</t>
        </is>
      </c>
      <c r="AC911" t="n">
        <v>1</v>
      </c>
      <c r="AD911" t="inlineStr">
        <is>
          <t>BANCO</t>
        </is>
      </c>
      <c r="AE911" t="n">
        <v>3</v>
      </c>
      <c r="AF911" t="inlineStr">
        <is>
          <t>FRONT</t>
        </is>
      </c>
      <c r="AG911" t="n">
        <v>126107</v>
      </c>
      <c r="AH911" t="inlineStr">
        <is>
          <t>GUADALAJARA</t>
        </is>
      </c>
      <c r="AI911" t="inlineStr">
        <is>
          <t>DGARCIAG@BANCOBASE.COM</t>
        </is>
      </c>
      <c r="AJ911" s="151" t="n">
        <v>45768</v>
      </c>
      <c r="AK911" s="151" t="n"/>
      <c r="AL911" s="151" t="n"/>
    </row>
    <row r="912" hidden="1" s="150">
      <c r="A912" t="inlineStr">
        <is>
          <t>OPALOMARES</t>
        </is>
      </c>
      <c r="B912" t="n">
        <v>3407</v>
      </c>
      <c r="C912" t="inlineStr">
        <is>
          <t>OREANA ELIZABETH PALOMARES ALCARAZ</t>
        </is>
      </c>
      <c r="D912" t="n">
        <v>9942</v>
      </c>
      <c r="E912" t="inlineStr">
        <is>
          <t>EJECUTIVO DE SOPORTE</t>
        </is>
      </c>
      <c r="F912" t="inlineStr">
        <is>
          <t>GUADALAJARA</t>
        </is>
      </c>
      <c r="G912" t="n">
        <v>769</v>
      </c>
      <c r="H912" t="inlineStr">
        <is>
          <t>ROSA AIDA ROSALES LOPEZ</t>
        </is>
      </c>
      <c r="I912" t="n">
        <v>9304</v>
      </c>
      <c r="J912" t="inlineStr">
        <is>
          <t>SUBDIRECTOR COMERCIAL</t>
        </is>
      </c>
      <c r="K912" t="n">
        <v>1</v>
      </c>
      <c r="L912" t="inlineStr">
        <is>
          <t>PRESIDENCIA EJECUTIVA DEL CONSEJO</t>
        </is>
      </c>
      <c r="M912" t="n">
        <v>40</v>
      </c>
      <c r="N912" t="inlineStr">
        <is>
          <t>DIRECCION GENERAL BANCO BASE</t>
        </is>
      </c>
      <c r="O912" t="n">
        <v>410</v>
      </c>
      <c r="P912" t="inlineStr">
        <is>
          <t>DIRECCION COMERCIAL</t>
        </is>
      </c>
      <c r="Q912" t="n">
        <v>4570</v>
      </c>
      <c r="R912" t="inlineStr">
        <is>
          <t>DIRECCION COMERCIAL GUADALAJARA</t>
        </is>
      </c>
      <c r="S912" t="n">
        <v>41650</v>
      </c>
      <c r="T912" t="inlineStr">
        <is>
          <t>SUBDIRECCION COMERCIAL GUADALAJARA 5</t>
        </is>
      </c>
      <c r="U912" t="n">
        <v>416500</v>
      </c>
      <c r="V912" t="inlineStr">
        <is>
          <t>SUBDIRECCION COMERCIAL GUADALAJARA 5</t>
        </is>
      </c>
      <c r="W912" t="n">
        <v>126107</v>
      </c>
      <c r="X912" t="inlineStr">
        <is>
          <t>GUADALAJARA</t>
        </is>
      </c>
      <c r="Y912" t="n">
        <v>17</v>
      </c>
      <c r="Z912" t="inlineStr">
        <is>
          <t>SOPORTE</t>
        </is>
      </c>
      <c r="AA912" t="n">
        <v>1</v>
      </c>
      <c r="AB912" t="inlineStr">
        <is>
          <t>NEGOCIO EN MARCHA</t>
        </is>
      </c>
      <c r="AC912" t="n">
        <v>1</v>
      </c>
      <c r="AD912" t="inlineStr">
        <is>
          <t>BANCO</t>
        </is>
      </c>
      <c r="AE912" t="n">
        <v>2</v>
      </c>
      <c r="AF912" t="inlineStr">
        <is>
          <t>MIDDLE</t>
        </is>
      </c>
      <c r="AG912" t="n">
        <v>126107</v>
      </c>
      <c r="AH912" t="inlineStr">
        <is>
          <t>GUADALAJARA</t>
        </is>
      </c>
      <c r="AI912" t="inlineStr">
        <is>
          <t>OPALOMARES@BANCOBASE.COM</t>
        </is>
      </c>
      <c r="AJ912" s="151" t="n">
        <v>45768</v>
      </c>
      <c r="AK912" s="151" t="n"/>
      <c r="AL912" s="151" t="n"/>
    </row>
    <row r="913" hidden="1" s="150">
      <c r="A913" t="inlineStr">
        <is>
          <t>JPEREZA</t>
        </is>
      </c>
      <c r="B913" t="n">
        <v>2046</v>
      </c>
      <c r="C913" t="inlineStr">
        <is>
          <t>JOSE LUIS PEREZ AGUILAR</t>
        </is>
      </c>
      <c r="D913" t="n">
        <v>9777</v>
      </c>
      <c r="E913" t="inlineStr">
        <is>
          <t>ESPECIALISTA DE FINANCIAMIENTO</t>
        </is>
      </c>
      <c r="F913" t="inlineStr">
        <is>
          <t>GUADALAJARA</t>
        </is>
      </c>
      <c r="G913" t="n">
        <v>769</v>
      </c>
      <c r="H913" t="inlineStr">
        <is>
          <t>ROSA AIDA ROSALES LOPEZ</t>
        </is>
      </c>
      <c r="I913" t="n">
        <v>9304</v>
      </c>
      <c r="J913" t="inlineStr">
        <is>
          <t>SUBDIRECTOR COMERCIAL</t>
        </is>
      </c>
      <c r="K913" t="n">
        <v>1</v>
      </c>
      <c r="L913" t="inlineStr">
        <is>
          <t>PRESIDENCIA EJECUTIVA DEL CONSEJO</t>
        </is>
      </c>
      <c r="M913" t="n">
        <v>40</v>
      </c>
      <c r="N913" t="inlineStr">
        <is>
          <t>DIRECCION GENERAL BANCO BASE</t>
        </is>
      </c>
      <c r="O913" t="n">
        <v>410</v>
      </c>
      <c r="P913" t="inlineStr">
        <is>
          <t>DIRECCION COMERCIAL</t>
        </is>
      </c>
      <c r="Q913" t="n">
        <v>4570</v>
      </c>
      <c r="R913" t="inlineStr">
        <is>
          <t>DIRECCION COMERCIAL GUADALAJARA</t>
        </is>
      </c>
      <c r="S913" t="n">
        <v>41650</v>
      </c>
      <c r="T913" t="inlineStr">
        <is>
          <t>SUBDIRECCION COMERCIAL GUADALAJARA 5</t>
        </is>
      </c>
      <c r="U913" t="n">
        <v>416500</v>
      </c>
      <c r="V913" t="inlineStr">
        <is>
          <t>SUBDIRECCION COMERCIAL GUADALAJARA 5</t>
        </is>
      </c>
      <c r="W913" t="n">
        <v>126107</v>
      </c>
      <c r="X913" t="inlineStr">
        <is>
          <t>GUADALAJARA</t>
        </is>
      </c>
      <c r="Y913" t="n">
        <v>13</v>
      </c>
      <c r="Z913" t="inlineStr">
        <is>
          <t>FINANCIAMIENTO</t>
        </is>
      </c>
      <c r="AA913" t="n">
        <v>1</v>
      </c>
      <c r="AB913" t="inlineStr">
        <is>
          <t>NEGOCIO EN MARCHA</t>
        </is>
      </c>
      <c r="AC913" t="n">
        <v>1</v>
      </c>
      <c r="AD913" t="inlineStr">
        <is>
          <t>BANCO</t>
        </is>
      </c>
      <c r="AE913" t="n">
        <v>3</v>
      </c>
      <c r="AF913" t="inlineStr">
        <is>
          <t>FRONT</t>
        </is>
      </c>
      <c r="AG913" t="n">
        <v>126107</v>
      </c>
      <c r="AH913" t="inlineStr">
        <is>
          <t>GUADALAJARA</t>
        </is>
      </c>
      <c r="AI913" t="inlineStr">
        <is>
          <t>JPEREZA@BANCOBASE.COM</t>
        </is>
      </c>
      <c r="AJ913" s="151" t="n">
        <v>43283</v>
      </c>
      <c r="AK913" s="151" t="n"/>
      <c r="AL913" s="151" t="n"/>
    </row>
    <row r="914" hidden="1" s="150">
      <c r="A914" t="inlineStr">
        <is>
          <t>DHERNANDEM</t>
        </is>
      </c>
      <c r="B914" t="n">
        <v>1652</v>
      </c>
      <c r="C914" t="inlineStr">
        <is>
          <t>DANIEL ALEJANDRO HERNANDEZ MAGAÑA</t>
        </is>
      </c>
      <c r="D914" t="n">
        <v>6070</v>
      </c>
      <c r="E914" t="inlineStr">
        <is>
          <t>ESPECIALISTA DE FINANCIAMIENTO</t>
        </is>
      </c>
      <c r="F914" t="inlineStr">
        <is>
          <t>GUADALAJARA</t>
        </is>
      </c>
      <c r="G914" t="n">
        <v>769</v>
      </c>
      <c r="H914" t="inlineStr">
        <is>
          <t>ROSA AIDA ROSALES LOPEZ</t>
        </is>
      </c>
      <c r="I914" t="n">
        <v>9304</v>
      </c>
      <c r="J914" t="inlineStr">
        <is>
          <t>SUBDIRECTOR COMERCIAL</t>
        </is>
      </c>
      <c r="K914" t="n">
        <v>1</v>
      </c>
      <c r="L914" t="inlineStr">
        <is>
          <t>PRESIDENCIA EJECUTIVA DEL CONSEJO</t>
        </is>
      </c>
      <c r="M914" t="n">
        <v>40</v>
      </c>
      <c r="N914" t="inlineStr">
        <is>
          <t>DIRECCION GENERAL BANCO BASE</t>
        </is>
      </c>
      <c r="O914" t="n">
        <v>410</v>
      </c>
      <c r="P914" t="inlineStr">
        <is>
          <t>DIRECCION COMERCIAL</t>
        </is>
      </c>
      <c r="Q914" t="n">
        <v>4570</v>
      </c>
      <c r="R914" t="inlineStr">
        <is>
          <t>DIRECCION COMERCIAL GUADALAJARA</t>
        </is>
      </c>
      <c r="S914" t="n">
        <v>41650</v>
      </c>
      <c r="T914" t="inlineStr">
        <is>
          <t>SUBDIRECCION COMERCIAL GUADALAJARA 5</t>
        </is>
      </c>
      <c r="U914" t="n">
        <v>416500</v>
      </c>
      <c r="V914" t="inlineStr">
        <is>
          <t>SUBDIRECCION COMERCIAL GUADALAJARA 5</t>
        </is>
      </c>
      <c r="W914" t="n">
        <v>126107</v>
      </c>
      <c r="X914" t="inlineStr">
        <is>
          <t>GUADALAJARA</t>
        </is>
      </c>
      <c r="Y914" t="n">
        <v>13</v>
      </c>
      <c r="Z914" t="inlineStr">
        <is>
          <t>FINANCIAMIENTO</t>
        </is>
      </c>
      <c r="AA914" t="n">
        <v>1</v>
      </c>
      <c r="AB914" t="inlineStr">
        <is>
          <t>NEGOCIO EN MARCHA</t>
        </is>
      </c>
      <c r="AC914" t="n">
        <v>1</v>
      </c>
      <c r="AD914" t="inlineStr">
        <is>
          <t>BANCO</t>
        </is>
      </c>
      <c r="AE914" t="n">
        <v>3</v>
      </c>
      <c r="AF914" t="inlineStr">
        <is>
          <t>FRONT</t>
        </is>
      </c>
      <c r="AG914" t="n">
        <v>126107</v>
      </c>
      <c r="AH914" t="inlineStr">
        <is>
          <t>GUADALAJARA</t>
        </is>
      </c>
      <c r="AI914" t="inlineStr">
        <is>
          <t>DHERNANDEM@BANCOBASE.COM</t>
        </is>
      </c>
      <c r="AJ914" s="151" t="n">
        <v>42681</v>
      </c>
      <c r="AK914" s="151" t="n"/>
      <c r="AL914" s="151" t="n"/>
    </row>
    <row r="915" hidden="1" s="150">
      <c r="A915" t="inlineStr">
        <is>
          <t>PMARTINEZT</t>
        </is>
      </c>
      <c r="B915" t="n">
        <v>2149</v>
      </c>
      <c r="C915" t="inlineStr">
        <is>
          <t>PATRICIA MONSERRAT MARTINEZ TORRES</t>
        </is>
      </c>
      <c r="D915" t="n">
        <v>9138</v>
      </c>
      <c r="E915" t="inlineStr">
        <is>
          <t>ESPECIALISTA DE BANCA TRANSACCIONAL</t>
        </is>
      </c>
      <c r="F915" t="inlineStr">
        <is>
          <t>GUADALAJARA</t>
        </is>
      </c>
      <c r="G915" t="n">
        <v>769</v>
      </c>
      <c r="H915" t="inlineStr">
        <is>
          <t>ROSA AIDA ROSALES LOPEZ</t>
        </is>
      </c>
      <c r="I915" t="n">
        <v>9304</v>
      </c>
      <c r="J915" t="inlineStr">
        <is>
          <t>SUBDIRECTOR COMERCIAL</t>
        </is>
      </c>
      <c r="K915" t="n">
        <v>1</v>
      </c>
      <c r="L915" t="inlineStr">
        <is>
          <t>PRESIDENCIA EJECUTIVA DEL CONSEJO</t>
        </is>
      </c>
      <c r="M915" t="n">
        <v>40</v>
      </c>
      <c r="N915" t="inlineStr">
        <is>
          <t>DIRECCION GENERAL BANCO BASE</t>
        </is>
      </c>
      <c r="O915" t="n">
        <v>410</v>
      </c>
      <c r="P915" t="inlineStr">
        <is>
          <t>DIRECCION COMERCIAL</t>
        </is>
      </c>
      <c r="Q915" t="n">
        <v>4570</v>
      </c>
      <c r="R915" t="inlineStr">
        <is>
          <t>DIRECCION COMERCIAL GUADALAJARA</t>
        </is>
      </c>
      <c r="S915" t="n">
        <v>41650</v>
      </c>
      <c r="T915" t="inlineStr">
        <is>
          <t>SUBDIRECCION COMERCIAL GUADALAJARA 5</t>
        </is>
      </c>
      <c r="U915" t="n">
        <v>416500</v>
      </c>
      <c r="V915" t="inlineStr">
        <is>
          <t>SUBDIRECCION COMERCIAL GUADALAJARA 5</t>
        </is>
      </c>
      <c r="W915" t="n">
        <v>126107</v>
      </c>
      <c r="X915" t="inlineStr">
        <is>
          <t>GUADALAJARA</t>
        </is>
      </c>
      <c r="Y915" t="n">
        <v>14</v>
      </c>
      <c r="Z915" t="inlineStr">
        <is>
          <t>TRANSACCIONAL</t>
        </is>
      </c>
      <c r="AA915" t="n">
        <v>1</v>
      </c>
      <c r="AB915" t="inlineStr">
        <is>
          <t>NEGOCIO EN MARCHA</t>
        </is>
      </c>
      <c r="AC915" t="n">
        <v>1</v>
      </c>
      <c r="AD915" t="inlineStr">
        <is>
          <t>BANCO</t>
        </is>
      </c>
      <c r="AE915" t="n">
        <v>3</v>
      </c>
      <c r="AF915" t="inlineStr">
        <is>
          <t>FRONT</t>
        </is>
      </c>
      <c r="AG915" t="n">
        <v>126107</v>
      </c>
      <c r="AH915" t="inlineStr">
        <is>
          <t>GUADALAJARA</t>
        </is>
      </c>
      <c r="AI915" t="inlineStr">
        <is>
          <t>PMARTINEZT@BANCOBASE.COM</t>
        </is>
      </c>
      <c r="AJ915" s="151" t="n">
        <v>43425</v>
      </c>
      <c r="AK915" s="151" t="n"/>
      <c r="AL915" s="151" t="n"/>
    </row>
    <row r="916" hidden="1" s="150">
      <c r="A916" t="inlineStr">
        <is>
          <t>KGONZALEZH</t>
        </is>
      </c>
      <c r="B916" t="n">
        <v>3047</v>
      </c>
      <c r="C916" t="inlineStr">
        <is>
          <t>KARINA MARIBEL GONZALEZ HERNANDEZ</t>
        </is>
      </c>
      <c r="D916" t="n">
        <v>9218</v>
      </c>
      <c r="E916" t="inlineStr">
        <is>
          <t>ASISTENTE CAMBIARIO</t>
        </is>
      </c>
      <c r="F916" t="inlineStr">
        <is>
          <t>GUADALAJARA</t>
        </is>
      </c>
      <c r="G916" t="n">
        <v>769</v>
      </c>
      <c r="H916" t="inlineStr">
        <is>
          <t>ROSA AIDA ROSALES LOPEZ</t>
        </is>
      </c>
      <c r="I916" t="n">
        <v>9304</v>
      </c>
      <c r="J916" t="inlineStr">
        <is>
          <t>SUBDIRECTOR COMERCIAL</t>
        </is>
      </c>
      <c r="K916" t="n">
        <v>1</v>
      </c>
      <c r="L916" t="inlineStr">
        <is>
          <t>PRESIDENCIA EJECUTIVA DEL CONSEJO</t>
        </is>
      </c>
      <c r="M916" t="n">
        <v>40</v>
      </c>
      <c r="N916" t="inlineStr">
        <is>
          <t>DIRECCION GENERAL BANCO BASE</t>
        </is>
      </c>
      <c r="O916" t="n">
        <v>410</v>
      </c>
      <c r="P916" t="inlineStr">
        <is>
          <t>DIRECCION COMERCIAL</t>
        </is>
      </c>
      <c r="Q916" t="n">
        <v>4570</v>
      </c>
      <c r="R916" t="inlineStr">
        <is>
          <t>DIRECCION COMERCIAL GUADALAJARA</t>
        </is>
      </c>
      <c r="S916" t="n">
        <v>41650</v>
      </c>
      <c r="T916" t="inlineStr">
        <is>
          <t>SUBDIRECCION COMERCIAL GUADALAJARA 5</t>
        </is>
      </c>
      <c r="U916" t="n">
        <v>416500</v>
      </c>
      <c r="V916" t="inlineStr">
        <is>
          <t>SUBDIRECCION COMERCIAL GUADALAJARA 5</t>
        </is>
      </c>
      <c r="W916" t="n">
        <v>126107</v>
      </c>
      <c r="X916" t="inlineStr">
        <is>
          <t>GUADALAJARA</t>
        </is>
      </c>
      <c r="Y916" t="n">
        <v>3</v>
      </c>
      <c r="Z916" t="inlineStr">
        <is>
          <t>CAMBIARIO</t>
        </is>
      </c>
      <c r="AA916" t="n">
        <v>1</v>
      </c>
      <c r="AB916" t="inlineStr">
        <is>
          <t>NEGOCIO EN MARCHA</t>
        </is>
      </c>
      <c r="AC916" t="n">
        <v>1</v>
      </c>
      <c r="AD916" t="inlineStr">
        <is>
          <t>BANCO</t>
        </is>
      </c>
      <c r="AE916" t="n">
        <v>2</v>
      </c>
      <c r="AF916" t="inlineStr">
        <is>
          <t>MIDDLE</t>
        </is>
      </c>
      <c r="AG916" t="n">
        <v>126107</v>
      </c>
      <c r="AH916" t="inlineStr">
        <is>
          <t>GUADALAJARA</t>
        </is>
      </c>
      <c r="AI916" t="inlineStr">
        <is>
          <t>KGONZALEZH@BANCOBASE.COM</t>
        </is>
      </c>
      <c r="AJ916" s="151" t="n">
        <v>45352</v>
      </c>
      <c r="AK916" s="151" t="n"/>
      <c r="AL916" s="151" t="n"/>
    </row>
    <row r="917" hidden="1" s="150">
      <c r="A917" t="inlineStr">
        <is>
          <t>PGUTIERREZ</t>
        </is>
      </c>
      <c r="B917" t="n">
        <v>3552</v>
      </c>
      <c r="C917" t="inlineStr">
        <is>
          <t>PRISCILLA GUADALUPE GUTIERREZ GONZALEZ</t>
        </is>
      </c>
      <c r="D917" t="n">
        <v>8768</v>
      </c>
      <c r="E917" t="inlineStr">
        <is>
          <t>ASISTENTE CAMBIARIO</t>
        </is>
      </c>
      <c r="F917" t="inlineStr">
        <is>
          <t>GUADALAJARA</t>
        </is>
      </c>
      <c r="G917" t="n">
        <v>769</v>
      </c>
      <c r="H917" t="inlineStr">
        <is>
          <t>ROSA AIDA ROSALES LOPEZ</t>
        </is>
      </c>
      <c r="I917" t="n">
        <v>9304</v>
      </c>
      <c r="J917" t="inlineStr">
        <is>
          <t>SUBDIRECTOR COMERCIAL</t>
        </is>
      </c>
      <c r="K917" t="n">
        <v>1</v>
      </c>
      <c r="L917" t="inlineStr">
        <is>
          <t>PRESIDENCIA EJECUTIVA DEL CONSEJO</t>
        </is>
      </c>
      <c r="M917" t="n">
        <v>40</v>
      </c>
      <c r="N917" t="inlineStr">
        <is>
          <t>DIRECCION GENERAL BANCO BASE</t>
        </is>
      </c>
      <c r="O917" t="n">
        <v>410</v>
      </c>
      <c r="P917" t="inlineStr">
        <is>
          <t>DIRECCION COMERCIAL</t>
        </is>
      </c>
      <c r="Q917" t="n">
        <v>4570</v>
      </c>
      <c r="R917" t="inlineStr">
        <is>
          <t>DIRECCION COMERCIAL GUADALAJARA</t>
        </is>
      </c>
      <c r="S917" t="n">
        <v>41650</v>
      </c>
      <c r="T917" t="inlineStr">
        <is>
          <t>SUBDIRECCION COMERCIAL GUADALAJARA 5</t>
        </is>
      </c>
      <c r="U917" t="n">
        <v>416500</v>
      </c>
      <c r="V917" t="inlineStr">
        <is>
          <t>SUBDIRECCION COMERCIAL GUADALAJARA 5</t>
        </is>
      </c>
      <c r="W917" t="n">
        <v>126107</v>
      </c>
      <c r="X917" t="inlineStr">
        <is>
          <t>GUADALAJARA</t>
        </is>
      </c>
      <c r="Y917" t="n">
        <v>3</v>
      </c>
      <c r="Z917" t="inlineStr">
        <is>
          <t>CAMBIARIO</t>
        </is>
      </c>
      <c r="AA917" t="n">
        <v>1</v>
      </c>
      <c r="AB917" t="inlineStr">
        <is>
          <t>NEGOCIO EN MARCHA</t>
        </is>
      </c>
      <c r="AC917" t="n">
        <v>1</v>
      </c>
      <c r="AD917" t="inlineStr">
        <is>
          <t>BANCO</t>
        </is>
      </c>
      <c r="AE917" t="n">
        <v>2</v>
      </c>
      <c r="AF917" t="inlineStr">
        <is>
          <t>MIDDLE</t>
        </is>
      </c>
      <c r="AG917" t="n">
        <v>126107</v>
      </c>
      <c r="AH917" t="inlineStr">
        <is>
          <t>GUADALAJARA</t>
        </is>
      </c>
      <c r="AI917" t="inlineStr">
        <is>
          <t>PGUTIERREZ@BANCOBASE.COM</t>
        </is>
      </c>
      <c r="AJ917" s="151" t="n">
        <v>45901</v>
      </c>
      <c r="AK917" s="151" t="n"/>
      <c r="AL917" s="151" t="n"/>
    </row>
    <row r="918" hidden="1" s="150">
      <c r="A918" t="inlineStr">
        <is>
          <t>EROJAS</t>
        </is>
      </c>
      <c r="B918" t="n">
        <v>2822</v>
      </c>
      <c r="C918" t="inlineStr">
        <is>
          <t>ESTIBALIZ GRACIELA ROJAS MENDOZA</t>
        </is>
      </c>
      <c r="D918" t="n">
        <v>8097</v>
      </c>
      <c r="E918" t="inlineStr">
        <is>
          <t>ASISTENTE CAMBIARIO</t>
        </is>
      </c>
      <c r="F918" t="inlineStr">
        <is>
          <t>GUADALAJARA</t>
        </is>
      </c>
      <c r="G918" t="n">
        <v>769</v>
      </c>
      <c r="H918" t="inlineStr">
        <is>
          <t>ROSA AIDA ROSALES LOPEZ</t>
        </is>
      </c>
      <c r="I918" t="n">
        <v>9304</v>
      </c>
      <c r="J918" t="inlineStr">
        <is>
          <t>SUBDIRECTOR COMERCIAL</t>
        </is>
      </c>
      <c r="K918" t="n">
        <v>1</v>
      </c>
      <c r="L918" t="inlineStr">
        <is>
          <t>PRESIDENCIA EJECUTIVA DEL CONSEJO</t>
        </is>
      </c>
      <c r="M918" t="n">
        <v>40</v>
      </c>
      <c r="N918" t="inlineStr">
        <is>
          <t>DIRECCION GENERAL BANCO BASE</t>
        </is>
      </c>
      <c r="O918" t="n">
        <v>410</v>
      </c>
      <c r="P918" t="inlineStr">
        <is>
          <t>DIRECCION COMERCIAL</t>
        </is>
      </c>
      <c r="Q918" t="n">
        <v>4570</v>
      </c>
      <c r="R918" t="inlineStr">
        <is>
          <t>DIRECCION COMERCIAL GUADALAJARA</t>
        </is>
      </c>
      <c r="S918" t="n">
        <v>41650</v>
      </c>
      <c r="T918" t="inlineStr">
        <is>
          <t>SUBDIRECCION COMERCIAL GUADALAJARA 5</t>
        </is>
      </c>
      <c r="U918" t="n">
        <v>416500</v>
      </c>
      <c r="V918" t="inlineStr">
        <is>
          <t>SUBDIRECCION COMERCIAL GUADALAJARA 5</t>
        </is>
      </c>
      <c r="W918" t="n">
        <v>126107</v>
      </c>
      <c r="X918" t="inlineStr">
        <is>
          <t>GUADALAJARA</t>
        </is>
      </c>
      <c r="Y918" t="n">
        <v>3</v>
      </c>
      <c r="Z918" t="inlineStr">
        <is>
          <t>CAMBIARIO</t>
        </is>
      </c>
      <c r="AA918" t="n">
        <v>1</v>
      </c>
      <c r="AB918" t="inlineStr">
        <is>
          <t>NEGOCIO EN MARCHA</t>
        </is>
      </c>
      <c r="AC918" t="n">
        <v>1</v>
      </c>
      <c r="AD918" t="inlineStr">
        <is>
          <t>BANCO</t>
        </is>
      </c>
      <c r="AE918" t="n">
        <v>2</v>
      </c>
      <c r="AF918" t="inlineStr">
        <is>
          <t>MIDDLE</t>
        </is>
      </c>
      <c r="AG918" t="n">
        <v>126107</v>
      </c>
      <c r="AH918" t="inlineStr">
        <is>
          <t>GUADALAJARA</t>
        </is>
      </c>
      <c r="AI918" t="inlineStr">
        <is>
          <t>EROJAS@BANCOBASE.COM</t>
        </is>
      </c>
      <c r="AJ918" s="151" t="n">
        <v>44958</v>
      </c>
      <c r="AK918" s="151" t="n"/>
      <c r="AL918" s="151" t="n"/>
    </row>
    <row r="919" hidden="1" s="150">
      <c r="A919" t="inlineStr">
        <is>
          <t>AVAZQUEZR</t>
        </is>
      </c>
      <c r="B919" t="n">
        <v>2195</v>
      </c>
      <c r="C919" t="inlineStr">
        <is>
          <t>ANA GABRIELA VAZQUEZ ROMAN</t>
        </is>
      </c>
      <c r="D919" t="n">
        <v>9582</v>
      </c>
      <c r="E919" t="inlineStr">
        <is>
          <t>ASISTENTE CAMBIARIO</t>
        </is>
      </c>
      <c r="F919" t="inlineStr">
        <is>
          <t>GUADALAJARA</t>
        </is>
      </c>
      <c r="G919" t="n">
        <v>769</v>
      </c>
      <c r="H919" t="inlineStr">
        <is>
          <t>ROSA AIDA ROSALES LOPEZ</t>
        </is>
      </c>
      <c r="I919" t="n">
        <v>9304</v>
      </c>
      <c r="J919" t="inlineStr">
        <is>
          <t>SUBDIRECTOR COMERCIAL</t>
        </is>
      </c>
      <c r="K919" t="n">
        <v>1</v>
      </c>
      <c r="L919" t="inlineStr">
        <is>
          <t>PRESIDENCIA EJECUTIVA DEL CONSEJO</t>
        </is>
      </c>
      <c r="M919" t="n">
        <v>40</v>
      </c>
      <c r="N919" t="inlineStr">
        <is>
          <t>DIRECCION GENERAL BANCO BASE</t>
        </is>
      </c>
      <c r="O919" t="n">
        <v>410</v>
      </c>
      <c r="P919" t="inlineStr">
        <is>
          <t>DIRECCION COMERCIAL</t>
        </is>
      </c>
      <c r="Q919" t="n">
        <v>4570</v>
      </c>
      <c r="R919" t="inlineStr">
        <is>
          <t>DIRECCION COMERCIAL GUADALAJARA</t>
        </is>
      </c>
      <c r="S919" t="n">
        <v>41650</v>
      </c>
      <c r="T919" t="inlineStr">
        <is>
          <t>SUBDIRECCION COMERCIAL GUADALAJARA 5</t>
        </is>
      </c>
      <c r="U919" t="n">
        <v>416500</v>
      </c>
      <c r="V919" t="inlineStr">
        <is>
          <t>SUBDIRECCION COMERCIAL GUADALAJARA 5</t>
        </is>
      </c>
      <c r="W919" t="n">
        <v>126107</v>
      </c>
      <c r="X919" t="inlineStr">
        <is>
          <t>GUADALAJARA</t>
        </is>
      </c>
      <c r="Y919" t="n">
        <v>3</v>
      </c>
      <c r="Z919" t="inlineStr">
        <is>
          <t>CAMBIARIO</t>
        </is>
      </c>
      <c r="AA919" t="n">
        <v>1</v>
      </c>
      <c r="AB919" t="inlineStr">
        <is>
          <t>NEGOCIO EN MARCHA</t>
        </is>
      </c>
      <c r="AC919" t="n">
        <v>1</v>
      </c>
      <c r="AD919" t="inlineStr">
        <is>
          <t>BANCO</t>
        </is>
      </c>
      <c r="AE919" t="n">
        <v>2</v>
      </c>
      <c r="AF919" t="inlineStr">
        <is>
          <t>MIDDLE</t>
        </is>
      </c>
      <c r="AG919" t="n">
        <v>126107</v>
      </c>
      <c r="AH919" t="inlineStr">
        <is>
          <t>GUADALAJARA</t>
        </is>
      </c>
      <c r="AI919" t="inlineStr">
        <is>
          <t>AVAZQUEZR@BANCOBASE.COM</t>
        </is>
      </c>
      <c r="AJ919" s="151" t="n">
        <v>43528</v>
      </c>
      <c r="AK919" s="151" t="n"/>
      <c r="AL919" s="151" t="n"/>
    </row>
    <row r="920" hidden="1" s="150">
      <c r="A920" t="inlineStr">
        <is>
          <t>JCORTESG</t>
        </is>
      </c>
      <c r="B920" t="n">
        <v>3953</v>
      </c>
      <c r="C920" t="inlineStr">
        <is>
          <t>JOSE ANTONIO CORTES GIL</t>
        </is>
      </c>
      <c r="D920" t="n">
        <v>10042</v>
      </c>
      <c r="E920" t="inlineStr">
        <is>
          <t>SUBDIRECTOR COMERCIAL</t>
        </is>
      </c>
      <c r="F920" t="inlineStr">
        <is>
          <t>GUADALAJARA</t>
        </is>
      </c>
      <c r="G920" t="n">
        <v>1706</v>
      </c>
      <c r="H920" t="inlineStr">
        <is>
          <t>JUAN FERNANDO HINOJOSA CHAPA</t>
        </is>
      </c>
      <c r="I920" t="n">
        <v>91</v>
      </c>
      <c r="J920" t="inlineStr">
        <is>
          <t>DIRECTOR COMERCIAL GUADALAJARA</t>
        </is>
      </c>
      <c r="K920" t="n">
        <v>1</v>
      </c>
      <c r="L920" t="inlineStr">
        <is>
          <t>PRESIDENCIA EJECUTIVA DEL CONSEJO</t>
        </is>
      </c>
      <c r="M920" t="n">
        <v>40</v>
      </c>
      <c r="N920" t="inlineStr">
        <is>
          <t>DIRECCION GENERAL BANCO BASE</t>
        </is>
      </c>
      <c r="O920" t="n">
        <v>410</v>
      </c>
      <c r="P920" t="inlineStr">
        <is>
          <t>DIRECCION COMERCIAL</t>
        </is>
      </c>
      <c r="Q920" t="n">
        <v>4570</v>
      </c>
      <c r="R920" t="inlineStr">
        <is>
          <t>DIRECCION COMERCIAL GUADALAJARA</t>
        </is>
      </c>
      <c r="S920" t="n">
        <v>41610</v>
      </c>
      <c r="T920" t="inlineStr">
        <is>
          <t>SUBDIRECCION COMERCIAL GUADALAJARA 1</t>
        </is>
      </c>
      <c r="U920" t="n">
        <v>416100</v>
      </c>
      <c r="V920" t="inlineStr">
        <is>
          <t>SUBDIRECCION COMERCIAL GUADALAJARA 1</t>
        </is>
      </c>
      <c r="W920" t="n">
        <v>126107</v>
      </c>
      <c r="X920" t="inlineStr">
        <is>
          <t>GUADALAJARA</t>
        </is>
      </c>
      <c r="Y920" t="n">
        <v>3</v>
      </c>
      <c r="Z920" t="inlineStr">
        <is>
          <t>CAMBIARIO</t>
        </is>
      </c>
      <c r="AA920" t="n">
        <v>1</v>
      </c>
      <c r="AB920" t="inlineStr">
        <is>
          <t>NEGOCIO EN MARCHA</t>
        </is>
      </c>
      <c r="AC920" t="n">
        <v>1</v>
      </c>
      <c r="AD920" t="inlineStr">
        <is>
          <t>BANCO</t>
        </is>
      </c>
      <c r="AE920" t="n">
        <v>3</v>
      </c>
      <c r="AF920" t="inlineStr">
        <is>
          <t>FRONT</t>
        </is>
      </c>
      <c r="AG920" t="n">
        <v>126107</v>
      </c>
      <c r="AH920" t="inlineStr">
        <is>
          <t>GUADALAJARA</t>
        </is>
      </c>
      <c r="AI920" t="inlineStr">
        <is>
          <t>JCORTESG@BANCOBASE.COM</t>
        </is>
      </c>
      <c r="AJ920" s="151" t="n">
        <v>46223</v>
      </c>
      <c r="AK920" s="151" t="n"/>
      <c r="AL920" s="151" t="n"/>
    </row>
    <row r="921" hidden="1" s="150">
      <c r="A921" t="inlineStr">
        <is>
          <t>ECONTRERAS</t>
        </is>
      </c>
      <c r="B921" t="n">
        <v>155</v>
      </c>
      <c r="C921" t="inlineStr">
        <is>
          <t>EMMA GUADALUPE CONTRERAS NOVOA</t>
        </is>
      </c>
      <c r="D921" t="n">
        <v>6024</v>
      </c>
      <c r="E921" t="inlineStr">
        <is>
          <t>GERENTE DE PROMOCION</t>
        </is>
      </c>
      <c r="F921" t="inlineStr">
        <is>
          <t>GUADALAJARA</t>
        </is>
      </c>
      <c r="G921" t="n">
        <v>3953</v>
      </c>
      <c r="H921" t="inlineStr">
        <is>
          <t>JOSE ANTONIO CORTES GIL</t>
        </is>
      </c>
      <c r="I921" t="n">
        <v>10042</v>
      </c>
      <c r="J921" t="inlineStr">
        <is>
          <t>SUBDIRECTOR COMERCIAL</t>
        </is>
      </c>
      <c r="K921" t="n">
        <v>1</v>
      </c>
      <c r="L921" t="inlineStr">
        <is>
          <t>PRESIDENCIA EJECUTIVA DEL CONSEJO</t>
        </is>
      </c>
      <c r="M921" t="n">
        <v>40</v>
      </c>
      <c r="N921" t="inlineStr">
        <is>
          <t>DIRECCION GENERAL BANCO BASE</t>
        </is>
      </c>
      <c r="O921" t="n">
        <v>410</v>
      </c>
      <c r="P921" t="inlineStr">
        <is>
          <t>DIRECCION COMERCIAL</t>
        </is>
      </c>
      <c r="Q921" t="n">
        <v>4570</v>
      </c>
      <c r="R921" t="inlineStr">
        <is>
          <t>DIRECCION COMERCIAL GUADALAJARA</t>
        </is>
      </c>
      <c r="S921" t="n">
        <v>41610</v>
      </c>
      <c r="T921" t="inlineStr">
        <is>
          <t>SUBDIRECCION COMERCIAL GUADALAJARA 1</t>
        </is>
      </c>
      <c r="U921" t="n">
        <v>416100</v>
      </c>
      <c r="V921" t="inlineStr">
        <is>
          <t>SUBDIRECCION COMERCIAL GUADALAJARA 1</t>
        </is>
      </c>
      <c r="W921" t="n">
        <v>126107</v>
      </c>
      <c r="X921" t="inlineStr">
        <is>
          <t>GUADALAJARA</t>
        </is>
      </c>
      <c r="Y921" t="n">
        <v>3</v>
      </c>
      <c r="Z921" t="inlineStr">
        <is>
          <t>CAMBIARIO</t>
        </is>
      </c>
      <c r="AA921" t="n">
        <v>1</v>
      </c>
      <c r="AB921" t="inlineStr">
        <is>
          <t>NEGOCIO EN MARCHA</t>
        </is>
      </c>
      <c r="AC921" t="n">
        <v>1</v>
      </c>
      <c r="AD921" t="inlineStr">
        <is>
          <t>BANCO</t>
        </is>
      </c>
      <c r="AE921" t="n">
        <v>3</v>
      </c>
      <c r="AF921" t="inlineStr">
        <is>
          <t>FRONT</t>
        </is>
      </c>
      <c r="AG921" t="n">
        <v>126107</v>
      </c>
      <c r="AH921" t="inlineStr">
        <is>
          <t>GUADALAJARA</t>
        </is>
      </c>
      <c r="AI921" t="inlineStr">
        <is>
          <t>ECONTRERAS@BANCOBASE.COM</t>
        </is>
      </c>
      <c r="AJ921" s="151" t="n">
        <v>36678</v>
      </c>
      <c r="AK921" s="151" t="n"/>
      <c r="AL921" s="151" t="n"/>
    </row>
    <row r="922" hidden="1" s="150">
      <c r="A922" t="inlineStr">
        <is>
          <t>GMARQUEZ</t>
        </is>
      </c>
      <c r="B922" t="n">
        <v>188</v>
      </c>
      <c r="C922" t="inlineStr">
        <is>
          <t>ANA GABRIELA MARQUEZ MARTIN DEL CAMPO</t>
        </is>
      </c>
      <c r="D922" t="n">
        <v>9282</v>
      </c>
      <c r="E922" t="inlineStr">
        <is>
          <t>ASISTENTE CAMBIARIO</t>
        </is>
      </c>
      <c r="F922" t="inlineStr">
        <is>
          <t>GUADALAJARA</t>
        </is>
      </c>
      <c r="G922" t="n">
        <v>155</v>
      </c>
      <c r="H922" t="inlineStr">
        <is>
          <t>EMMA GUADALUPE CONTRERAS NOVOA</t>
        </is>
      </c>
      <c r="I922" t="n">
        <v>6024</v>
      </c>
      <c r="J922" t="inlineStr">
        <is>
          <t>GERENTE DE PROMOCION</t>
        </is>
      </c>
      <c r="K922" t="n">
        <v>1</v>
      </c>
      <c r="L922" t="inlineStr">
        <is>
          <t>PRESIDENCIA EJECUTIVA DEL CONSEJO</t>
        </is>
      </c>
      <c r="M922" t="n">
        <v>40</v>
      </c>
      <c r="N922" t="inlineStr">
        <is>
          <t>DIRECCION GENERAL BANCO BASE</t>
        </is>
      </c>
      <c r="O922" t="n">
        <v>410</v>
      </c>
      <c r="P922" t="inlineStr">
        <is>
          <t>DIRECCION COMERCIAL</t>
        </is>
      </c>
      <c r="Q922" t="n">
        <v>4570</v>
      </c>
      <c r="R922" t="inlineStr">
        <is>
          <t>DIRECCION COMERCIAL GUADALAJARA</t>
        </is>
      </c>
      <c r="S922" t="n">
        <v>41610</v>
      </c>
      <c r="T922" t="inlineStr">
        <is>
          <t>SUBDIRECCION COMERCIAL GUADALAJARA 1</t>
        </is>
      </c>
      <c r="U922" t="n">
        <v>416100</v>
      </c>
      <c r="V922" t="inlineStr">
        <is>
          <t>SUBDIRECCION COMERCIAL GUADALAJARA 1</t>
        </is>
      </c>
      <c r="W922" t="n">
        <v>126107</v>
      </c>
      <c r="X922" t="inlineStr">
        <is>
          <t>GUADALAJARA</t>
        </is>
      </c>
      <c r="Y922" t="n">
        <v>3</v>
      </c>
      <c r="Z922" t="inlineStr">
        <is>
          <t>CAMBIARIO</t>
        </is>
      </c>
      <c r="AA922" t="n">
        <v>1</v>
      </c>
      <c r="AB922" t="inlineStr">
        <is>
          <t>NEGOCIO EN MARCHA</t>
        </is>
      </c>
      <c r="AC922" t="n">
        <v>1</v>
      </c>
      <c r="AD922" t="inlineStr">
        <is>
          <t>BANCO</t>
        </is>
      </c>
      <c r="AE922" t="n">
        <v>2</v>
      </c>
      <c r="AF922" t="inlineStr">
        <is>
          <t>MIDDLE</t>
        </is>
      </c>
      <c r="AG922" t="n">
        <v>126107</v>
      </c>
      <c r="AH922" t="inlineStr">
        <is>
          <t>GUADALAJARA</t>
        </is>
      </c>
      <c r="AI922" t="inlineStr">
        <is>
          <t>GMARQUEZ@BANCOBASE.COM</t>
        </is>
      </c>
      <c r="AJ922" s="151" t="n">
        <v>37061</v>
      </c>
      <c r="AK922" s="151" t="n"/>
      <c r="AL922" s="151" t="n"/>
    </row>
    <row r="923" hidden="1" s="150">
      <c r="A923" t="inlineStr">
        <is>
          <t>CALVAREZ</t>
        </is>
      </c>
      <c r="B923" t="n">
        <v>2974</v>
      </c>
      <c r="C923" t="inlineStr">
        <is>
          <t>CARLOS ALBERTO ALVAREZ  RAZO</t>
        </is>
      </c>
      <c r="D923" t="n">
        <v>8105</v>
      </c>
      <c r="E923" t="inlineStr">
        <is>
          <t>ASESOR CAMBIARIO</t>
        </is>
      </c>
      <c r="F923" t="inlineStr">
        <is>
          <t>GUADALAJARA</t>
        </is>
      </c>
      <c r="G923" t="n">
        <v>3953</v>
      </c>
      <c r="H923" t="inlineStr">
        <is>
          <t>JOSE ANTONIO CORTES GIL</t>
        </is>
      </c>
      <c r="I923" t="n">
        <v>10042</v>
      </c>
      <c r="J923" t="inlineStr">
        <is>
          <t>SUBDIRECTOR COMERCIAL</t>
        </is>
      </c>
      <c r="K923" t="n">
        <v>1</v>
      </c>
      <c r="L923" t="inlineStr">
        <is>
          <t>PRESIDENCIA EJECUTIVA DEL CONSEJO</t>
        </is>
      </c>
      <c r="M923" t="n">
        <v>40</v>
      </c>
      <c r="N923" t="inlineStr">
        <is>
          <t>DIRECCION GENERAL BANCO BASE</t>
        </is>
      </c>
      <c r="O923" t="n">
        <v>410</v>
      </c>
      <c r="P923" t="inlineStr">
        <is>
          <t>DIRECCION COMERCIAL</t>
        </is>
      </c>
      <c r="Q923" t="n">
        <v>4570</v>
      </c>
      <c r="R923" t="inlineStr">
        <is>
          <t>DIRECCION COMERCIAL GUADALAJARA</t>
        </is>
      </c>
      <c r="S923" t="n">
        <v>41610</v>
      </c>
      <c r="T923" t="inlineStr">
        <is>
          <t>SUBDIRECCION COMERCIAL GUADALAJARA 1</t>
        </is>
      </c>
      <c r="U923" t="n">
        <v>416100</v>
      </c>
      <c r="V923" t="inlineStr">
        <is>
          <t>SUBDIRECCION COMERCIAL GUADALAJARA 1</t>
        </is>
      </c>
      <c r="W923" t="n">
        <v>126107</v>
      </c>
      <c r="X923" t="inlineStr">
        <is>
          <t>GUADALAJARA</t>
        </is>
      </c>
      <c r="Y923" t="n">
        <v>3</v>
      </c>
      <c r="Z923" t="inlineStr">
        <is>
          <t>CAMBIARIO</t>
        </is>
      </c>
      <c r="AA923" t="n">
        <v>1</v>
      </c>
      <c r="AB923" t="inlineStr">
        <is>
          <t>NEGOCIO EN MARCHA</t>
        </is>
      </c>
      <c r="AC923" t="n">
        <v>1</v>
      </c>
      <c r="AD923" t="inlineStr">
        <is>
          <t>BANCO</t>
        </is>
      </c>
      <c r="AE923" t="n">
        <v>3</v>
      </c>
      <c r="AF923" t="inlineStr">
        <is>
          <t>FRONT</t>
        </is>
      </c>
      <c r="AG923" t="n">
        <v>126107</v>
      </c>
      <c r="AH923" t="inlineStr">
        <is>
          <t>GUADALAJARA</t>
        </is>
      </c>
      <c r="AI923" t="inlineStr">
        <is>
          <t>CALVAREZ@BANCOBASE.COM</t>
        </is>
      </c>
      <c r="AJ923" s="151" t="n">
        <v>45201</v>
      </c>
      <c r="AK923" s="151" t="n"/>
      <c r="AL923" s="151" t="n"/>
    </row>
    <row r="924" hidden="1" s="150">
      <c r="A924" t="inlineStr">
        <is>
          <t>CVILLASENO</t>
        </is>
      </c>
      <c r="B924" t="n">
        <v>2509</v>
      </c>
      <c r="C924" t="inlineStr">
        <is>
          <t>CARLOS GABRIEL VILLASEÑOR OCHOA</t>
        </is>
      </c>
      <c r="D924" t="n">
        <v>9775</v>
      </c>
      <c r="E924" t="inlineStr">
        <is>
          <t>ASESOR CAMBIARIO</t>
        </is>
      </c>
      <c r="F924" t="inlineStr">
        <is>
          <t>GUADALAJARA</t>
        </is>
      </c>
      <c r="G924" t="n">
        <v>3953</v>
      </c>
      <c r="H924" t="inlineStr">
        <is>
          <t>JOSE ANTONIO CORTES GIL</t>
        </is>
      </c>
      <c r="I924" t="n">
        <v>10042</v>
      </c>
      <c r="J924" t="inlineStr">
        <is>
          <t>SUBDIRECTOR COMERCIAL</t>
        </is>
      </c>
      <c r="K924" t="n">
        <v>1</v>
      </c>
      <c r="L924" t="inlineStr">
        <is>
          <t>PRESIDENCIA EJECUTIVA DEL CONSEJO</t>
        </is>
      </c>
      <c r="M924" t="n">
        <v>40</v>
      </c>
      <c r="N924" t="inlineStr">
        <is>
          <t>DIRECCION GENERAL BANCO BASE</t>
        </is>
      </c>
      <c r="O924" t="n">
        <v>410</v>
      </c>
      <c r="P924" t="inlineStr">
        <is>
          <t>DIRECCION COMERCIAL</t>
        </is>
      </c>
      <c r="Q924" t="n">
        <v>4570</v>
      </c>
      <c r="R924" t="inlineStr">
        <is>
          <t>DIRECCION COMERCIAL GUADALAJARA</t>
        </is>
      </c>
      <c r="S924" t="n">
        <v>41610</v>
      </c>
      <c r="T924" t="inlineStr">
        <is>
          <t>SUBDIRECCION COMERCIAL GUADALAJARA 1</t>
        </is>
      </c>
      <c r="U924" t="n">
        <v>416100</v>
      </c>
      <c r="V924" t="inlineStr">
        <is>
          <t>SUBDIRECCION COMERCIAL GUADALAJARA 1</t>
        </is>
      </c>
      <c r="W924" t="n">
        <v>126107</v>
      </c>
      <c r="X924" t="inlineStr">
        <is>
          <t>GUADALAJARA</t>
        </is>
      </c>
      <c r="Y924" t="n">
        <v>3</v>
      </c>
      <c r="Z924" t="inlineStr">
        <is>
          <t>CAMBIARIO</t>
        </is>
      </c>
      <c r="AA924" t="n">
        <v>1</v>
      </c>
      <c r="AB924" t="inlineStr">
        <is>
          <t>NEGOCIO EN MARCHA</t>
        </is>
      </c>
      <c r="AC924" t="n">
        <v>1</v>
      </c>
      <c r="AD924" t="inlineStr">
        <is>
          <t>BANCO</t>
        </is>
      </c>
      <c r="AE924" t="n">
        <v>3</v>
      </c>
      <c r="AF924" t="inlineStr">
        <is>
          <t>FRONT</t>
        </is>
      </c>
      <c r="AG924" t="n">
        <v>126107</v>
      </c>
      <c r="AH924" t="inlineStr">
        <is>
          <t>GUADALAJARA</t>
        </is>
      </c>
      <c r="AI924" t="inlineStr">
        <is>
          <t>CVILLASENO@BANCOBASE.COM</t>
        </is>
      </c>
      <c r="AJ924" s="151" t="n">
        <v>44354</v>
      </c>
      <c r="AK924" s="151" t="n"/>
      <c r="AL924" s="151" t="n"/>
    </row>
    <row r="925" hidden="1" s="150">
      <c r="A925" t="inlineStr">
        <is>
          <t>PESTRADA</t>
        </is>
      </c>
      <c r="B925" t="n">
        <v>3095</v>
      </c>
      <c r="C925" t="inlineStr">
        <is>
          <t>PATRICIA ELIZABETH ESTRADA MUÑOZ</t>
        </is>
      </c>
      <c r="D925" t="n">
        <v>9865</v>
      </c>
      <c r="E925" t="inlineStr">
        <is>
          <t>ASESOR CAMBIARIO</t>
        </is>
      </c>
      <c r="F925" t="inlineStr">
        <is>
          <t>GUADALAJARA</t>
        </is>
      </c>
      <c r="G925" t="n">
        <v>3953</v>
      </c>
      <c r="H925" t="inlineStr">
        <is>
          <t>JOSE ANTONIO CORTES GIL</t>
        </is>
      </c>
      <c r="I925" t="n">
        <v>10042</v>
      </c>
      <c r="J925" t="inlineStr">
        <is>
          <t>SUBDIRECTOR COMERCIAL</t>
        </is>
      </c>
      <c r="K925" t="n">
        <v>1</v>
      </c>
      <c r="L925" t="inlineStr">
        <is>
          <t>PRESIDENCIA EJECUTIVA DEL CONSEJO</t>
        </is>
      </c>
      <c r="M925" t="n">
        <v>40</v>
      </c>
      <c r="N925" t="inlineStr">
        <is>
          <t>DIRECCION GENERAL BANCO BASE</t>
        </is>
      </c>
      <c r="O925" t="n">
        <v>410</v>
      </c>
      <c r="P925" t="inlineStr">
        <is>
          <t>DIRECCION COMERCIAL</t>
        </is>
      </c>
      <c r="Q925" t="n">
        <v>4570</v>
      </c>
      <c r="R925" t="inlineStr">
        <is>
          <t>DIRECCION COMERCIAL GUADALAJARA</t>
        </is>
      </c>
      <c r="S925" t="n">
        <v>41610</v>
      </c>
      <c r="T925" t="inlineStr">
        <is>
          <t>SUBDIRECCION COMERCIAL GUADALAJARA 1</t>
        </is>
      </c>
      <c r="U925" t="n">
        <v>416100</v>
      </c>
      <c r="V925" t="inlineStr">
        <is>
          <t>SUBDIRECCION COMERCIAL GUADALAJARA 1</t>
        </is>
      </c>
      <c r="W925" t="n">
        <v>126107</v>
      </c>
      <c r="X925" t="inlineStr">
        <is>
          <t>GUADALAJARA</t>
        </is>
      </c>
      <c r="Y925" t="n">
        <v>3</v>
      </c>
      <c r="Z925" t="inlineStr">
        <is>
          <t>CAMBIARIO</t>
        </is>
      </c>
      <c r="AA925" t="n">
        <v>1</v>
      </c>
      <c r="AB925" t="inlineStr">
        <is>
          <t>NEGOCIO EN MARCHA</t>
        </is>
      </c>
      <c r="AC925" t="n">
        <v>1</v>
      </c>
      <c r="AD925" t="inlineStr">
        <is>
          <t>BANCO</t>
        </is>
      </c>
      <c r="AE925" t="n">
        <v>3</v>
      </c>
      <c r="AF925" t="inlineStr">
        <is>
          <t>FRONT</t>
        </is>
      </c>
      <c r="AG925" t="n">
        <v>126107</v>
      </c>
      <c r="AH925" t="inlineStr">
        <is>
          <t>GUADALAJARA</t>
        </is>
      </c>
      <c r="AI925" t="inlineStr">
        <is>
          <t>PESTRADA@BANCOBASE.COM</t>
        </is>
      </c>
      <c r="AJ925" s="151" t="n">
        <v>45398</v>
      </c>
      <c r="AK925" s="151" t="n"/>
      <c r="AL925" s="151" t="n"/>
    </row>
    <row r="926" hidden="1" s="150">
      <c r="A926" t="inlineStr">
        <is>
          <t>RGONZALEZM</t>
        </is>
      </c>
      <c r="B926" t="n">
        <v>3414</v>
      </c>
      <c r="C926" t="inlineStr">
        <is>
          <t>RICARDO GONZALEZ MARTINEZ</t>
        </is>
      </c>
      <c r="D926" t="n">
        <v>6067</v>
      </c>
      <c r="E926" t="inlineStr">
        <is>
          <t>ASESOR CAMBIARIO</t>
        </is>
      </c>
      <c r="F926" t="inlineStr">
        <is>
          <t>GUADALAJARA</t>
        </is>
      </c>
      <c r="G926" t="n">
        <v>3953</v>
      </c>
      <c r="H926" t="inlineStr">
        <is>
          <t>JOSE ANTONIO CORTES GIL</t>
        </is>
      </c>
      <c r="I926" t="n">
        <v>10042</v>
      </c>
      <c r="J926" t="inlineStr">
        <is>
          <t>SUBDIRECTOR COMERCIAL</t>
        </is>
      </c>
      <c r="K926" t="n">
        <v>1</v>
      </c>
      <c r="L926" t="inlineStr">
        <is>
          <t>PRESIDENCIA EJECUTIVA DEL CONSEJO</t>
        </is>
      </c>
      <c r="M926" t="n">
        <v>40</v>
      </c>
      <c r="N926" t="inlineStr">
        <is>
          <t>DIRECCION GENERAL BANCO BASE</t>
        </is>
      </c>
      <c r="O926" t="n">
        <v>410</v>
      </c>
      <c r="P926" t="inlineStr">
        <is>
          <t>DIRECCION COMERCIAL</t>
        </is>
      </c>
      <c r="Q926" t="n">
        <v>4570</v>
      </c>
      <c r="R926" t="inlineStr">
        <is>
          <t>DIRECCION COMERCIAL GUADALAJARA</t>
        </is>
      </c>
      <c r="S926" t="n">
        <v>41610</v>
      </c>
      <c r="T926" t="inlineStr">
        <is>
          <t>SUBDIRECCION COMERCIAL GUADALAJARA 1</t>
        </is>
      </c>
      <c r="U926" t="n">
        <v>416100</v>
      </c>
      <c r="V926" t="inlineStr">
        <is>
          <t>SUBDIRECCION COMERCIAL GUADALAJARA 1</t>
        </is>
      </c>
      <c r="W926" t="n">
        <v>126107</v>
      </c>
      <c r="X926" t="inlineStr">
        <is>
          <t>GUADALAJARA</t>
        </is>
      </c>
      <c r="Y926" t="n">
        <v>3</v>
      </c>
      <c r="Z926" t="inlineStr">
        <is>
          <t>CAMBIARIO</t>
        </is>
      </c>
      <c r="AA926" t="n">
        <v>1</v>
      </c>
      <c r="AB926" t="inlineStr">
        <is>
          <t>NEGOCIO EN MARCHA</t>
        </is>
      </c>
      <c r="AC926" t="n">
        <v>1</v>
      </c>
      <c r="AD926" t="inlineStr">
        <is>
          <t>BANCO</t>
        </is>
      </c>
      <c r="AE926" t="n">
        <v>3</v>
      </c>
      <c r="AF926" t="inlineStr">
        <is>
          <t>FRONT</t>
        </is>
      </c>
      <c r="AG926" t="n">
        <v>126107</v>
      </c>
      <c r="AH926" t="inlineStr">
        <is>
          <t>GUADALAJARA</t>
        </is>
      </c>
      <c r="AI926" t="inlineStr">
        <is>
          <t>RGONZALEZM@BANCOBASE.COM</t>
        </is>
      </c>
      <c r="AJ926" s="151" t="n">
        <v>45768</v>
      </c>
      <c r="AK926" s="151" t="n"/>
      <c r="AL926" s="151" t="n"/>
    </row>
    <row r="927" hidden="1" s="150">
      <c r="A927" t="inlineStr">
        <is>
          <t>LVILLALOBZ</t>
        </is>
      </c>
      <c r="B927" t="n">
        <v>3665</v>
      </c>
      <c r="C927" t="inlineStr">
        <is>
          <t>LUIS MAURICIO VILLALOBOS ZEA</t>
        </is>
      </c>
      <c r="D927" t="n">
        <v>9689</v>
      </c>
      <c r="E927" t="inlineStr">
        <is>
          <t>ASESOR CAMBIARIO</t>
        </is>
      </c>
      <c r="F927" t="inlineStr">
        <is>
          <t>GUADALAJARA</t>
        </is>
      </c>
      <c r="G927" t="n">
        <v>3953</v>
      </c>
      <c r="H927" t="inlineStr">
        <is>
          <t>JOSE ANTONIO CORTES GIL</t>
        </is>
      </c>
      <c r="I927" t="n">
        <v>10042</v>
      </c>
      <c r="J927" t="inlineStr">
        <is>
          <t>SUBDIRECTOR COMERCIAL</t>
        </is>
      </c>
      <c r="K927" t="n">
        <v>1</v>
      </c>
      <c r="L927" t="inlineStr">
        <is>
          <t>PRESIDENCIA EJECUTIVA DEL CONSEJO</t>
        </is>
      </c>
      <c r="M927" t="n">
        <v>40</v>
      </c>
      <c r="N927" t="inlineStr">
        <is>
          <t>DIRECCION GENERAL BANCO BASE</t>
        </is>
      </c>
      <c r="O927" t="n">
        <v>410</v>
      </c>
      <c r="P927" t="inlineStr">
        <is>
          <t>DIRECCION COMERCIAL</t>
        </is>
      </c>
      <c r="Q927" t="n">
        <v>4570</v>
      </c>
      <c r="R927" t="inlineStr">
        <is>
          <t>DIRECCION COMERCIAL GUADALAJARA</t>
        </is>
      </c>
      <c r="S927" t="n">
        <v>41610</v>
      </c>
      <c r="T927" t="inlineStr">
        <is>
          <t>SUBDIRECCION COMERCIAL GUADALAJARA 1</t>
        </is>
      </c>
      <c r="U927" t="n">
        <v>416100</v>
      </c>
      <c r="V927" t="inlineStr">
        <is>
          <t>SUBDIRECCION COMERCIAL GUADALAJARA 1</t>
        </is>
      </c>
      <c r="W927" t="n">
        <v>126107</v>
      </c>
      <c r="X927" t="inlineStr">
        <is>
          <t>GUADALAJARA</t>
        </is>
      </c>
      <c r="Y927" t="n">
        <v>3</v>
      </c>
      <c r="Z927" t="inlineStr">
        <is>
          <t>CAMBIARIO</t>
        </is>
      </c>
      <c r="AA927" t="n">
        <v>1</v>
      </c>
      <c r="AB927" t="inlineStr">
        <is>
          <t>NEGOCIO EN MARCHA</t>
        </is>
      </c>
      <c r="AC927" t="n">
        <v>1</v>
      </c>
      <c r="AD927" t="inlineStr">
        <is>
          <t>BANCO</t>
        </is>
      </c>
      <c r="AE927" t="n">
        <v>3</v>
      </c>
      <c r="AF927" t="inlineStr">
        <is>
          <t>FRONT</t>
        </is>
      </c>
      <c r="AG927" t="n">
        <v>126107</v>
      </c>
      <c r="AH927" t="inlineStr">
        <is>
          <t>GUADALAJARA</t>
        </is>
      </c>
      <c r="AI927" t="inlineStr">
        <is>
          <t>LVILLALOBZ@BANCOBASE.COM</t>
        </is>
      </c>
      <c r="AJ927" s="151" t="n">
        <v>45964</v>
      </c>
      <c r="AK927" s="151" t="n"/>
      <c r="AL927" s="151" t="n"/>
    </row>
    <row r="928" hidden="1" s="150">
      <c r="A928" t="inlineStr">
        <is>
          <t>LGGONZALEZ</t>
        </is>
      </c>
      <c r="B928" t="n">
        <v>1787</v>
      </c>
      <c r="C928" t="inlineStr">
        <is>
          <t>LAURA GONZALEZ GONZALEZ</t>
        </is>
      </c>
      <c r="D928" t="n">
        <v>10022</v>
      </c>
      <c r="E928" t="inlineStr">
        <is>
          <t>ESPECIALISTA DE BANCA TRANSACCIONAL</t>
        </is>
      </c>
      <c r="F928" t="inlineStr">
        <is>
          <t>GUADALAJARA</t>
        </is>
      </c>
      <c r="G928" t="n">
        <v>3953</v>
      </c>
      <c r="H928" t="inlineStr">
        <is>
          <t>JOSE ANTONIO CORTES GIL</t>
        </is>
      </c>
      <c r="I928" t="n">
        <v>10042</v>
      </c>
      <c r="J928" t="inlineStr">
        <is>
          <t>SUBDIRECTOR COMERCIAL</t>
        </is>
      </c>
      <c r="K928" t="n">
        <v>1</v>
      </c>
      <c r="L928" t="inlineStr">
        <is>
          <t>PRESIDENCIA EJECUTIVA DEL CONSEJO</t>
        </is>
      </c>
      <c r="M928" t="n">
        <v>40</v>
      </c>
      <c r="N928" t="inlineStr">
        <is>
          <t>DIRECCION GENERAL BANCO BASE</t>
        </is>
      </c>
      <c r="O928" t="n">
        <v>410</v>
      </c>
      <c r="P928" t="inlineStr">
        <is>
          <t>DIRECCION COMERCIAL</t>
        </is>
      </c>
      <c r="Q928" t="n">
        <v>4570</v>
      </c>
      <c r="R928" t="inlineStr">
        <is>
          <t>DIRECCION COMERCIAL GUADALAJARA</t>
        </is>
      </c>
      <c r="S928" t="n">
        <v>41610</v>
      </c>
      <c r="T928" t="inlineStr">
        <is>
          <t>SUBDIRECCION COMERCIAL GUADALAJARA 1</t>
        </is>
      </c>
      <c r="U928" t="n">
        <v>416100</v>
      </c>
      <c r="V928" t="inlineStr">
        <is>
          <t>SUBDIRECCION COMERCIAL GUADALAJARA 1</t>
        </is>
      </c>
      <c r="W928" t="n">
        <v>126107</v>
      </c>
      <c r="X928" t="inlineStr">
        <is>
          <t>GUADALAJARA</t>
        </is>
      </c>
      <c r="Y928" t="n">
        <v>14</v>
      </c>
      <c r="Z928" t="inlineStr">
        <is>
          <t>TRANSACCIONAL</t>
        </is>
      </c>
      <c r="AA928" t="n">
        <v>1</v>
      </c>
      <c r="AB928" t="inlineStr">
        <is>
          <t>NEGOCIO EN MARCHA</t>
        </is>
      </c>
      <c r="AC928" t="n">
        <v>1</v>
      </c>
      <c r="AD928" t="inlineStr">
        <is>
          <t>BANCO</t>
        </is>
      </c>
      <c r="AE928" t="n">
        <v>3</v>
      </c>
      <c r="AF928" t="inlineStr">
        <is>
          <t>FRONT</t>
        </is>
      </c>
      <c r="AG928" t="n">
        <v>126107</v>
      </c>
      <c r="AH928" t="inlineStr">
        <is>
          <t>GUADALAJARA</t>
        </is>
      </c>
      <c r="AI928" t="inlineStr">
        <is>
          <t>LGGONZALEZ@BANCOBASE.COM</t>
        </is>
      </c>
      <c r="AJ928" s="151" t="n">
        <v>42919</v>
      </c>
      <c r="AK928" s="151" t="n"/>
      <c r="AL928" s="151" t="n"/>
    </row>
    <row r="929" hidden="1" s="150">
      <c r="A929" t="inlineStr">
        <is>
          <t>RLAZARO</t>
        </is>
      </c>
      <c r="B929" t="n">
        <v>2849</v>
      </c>
      <c r="C929" t="inlineStr">
        <is>
          <t>ROSENDO LAZARO GONZALEZ</t>
        </is>
      </c>
      <c r="D929" t="n">
        <v>8290</v>
      </c>
      <c r="E929" t="inlineStr">
        <is>
          <t>ESPECIALISTA DE FINANCIAMIENTO</t>
        </is>
      </c>
      <c r="F929" t="inlineStr">
        <is>
          <t>GUADALAJARA</t>
        </is>
      </c>
      <c r="G929" t="n">
        <v>3953</v>
      </c>
      <c r="H929" t="inlineStr">
        <is>
          <t>JOSE ANTONIO CORTES GIL</t>
        </is>
      </c>
      <c r="I929" t="n">
        <v>10042</v>
      </c>
      <c r="J929" t="inlineStr">
        <is>
          <t>SUBDIRECTOR COMERCIAL</t>
        </is>
      </c>
      <c r="K929" t="n">
        <v>1</v>
      </c>
      <c r="L929" t="inlineStr">
        <is>
          <t>PRESIDENCIA EJECUTIVA DEL CONSEJO</t>
        </is>
      </c>
      <c r="M929" t="n">
        <v>40</v>
      </c>
      <c r="N929" t="inlineStr">
        <is>
          <t>DIRECCION GENERAL BANCO BASE</t>
        </is>
      </c>
      <c r="O929" t="n">
        <v>410</v>
      </c>
      <c r="P929" t="inlineStr">
        <is>
          <t>DIRECCION COMERCIAL</t>
        </is>
      </c>
      <c r="Q929" t="n">
        <v>4570</v>
      </c>
      <c r="R929" t="inlineStr">
        <is>
          <t>DIRECCION COMERCIAL GUADALAJARA</t>
        </is>
      </c>
      <c r="S929" t="n">
        <v>41610</v>
      </c>
      <c r="T929" t="inlineStr">
        <is>
          <t>SUBDIRECCION COMERCIAL GUADALAJARA 1</t>
        </is>
      </c>
      <c r="U929" t="n">
        <v>416100</v>
      </c>
      <c r="V929" t="inlineStr">
        <is>
          <t>SUBDIRECCION COMERCIAL GUADALAJARA 1</t>
        </is>
      </c>
      <c r="W929" t="n">
        <v>126107</v>
      </c>
      <c r="X929" t="inlineStr">
        <is>
          <t>GUADALAJARA</t>
        </is>
      </c>
      <c r="Y929" t="n">
        <v>13</v>
      </c>
      <c r="Z929" t="inlineStr">
        <is>
          <t>FINANCIAMIENTO</t>
        </is>
      </c>
      <c r="AA929" t="n">
        <v>1</v>
      </c>
      <c r="AB929" t="inlineStr">
        <is>
          <t>NEGOCIO EN MARCHA</t>
        </is>
      </c>
      <c r="AC929" t="n">
        <v>1</v>
      </c>
      <c r="AD929" t="inlineStr">
        <is>
          <t>BANCO</t>
        </is>
      </c>
      <c r="AE929" t="n">
        <v>3</v>
      </c>
      <c r="AF929" t="inlineStr">
        <is>
          <t>FRONT</t>
        </is>
      </c>
      <c r="AG929" t="n">
        <v>126107</v>
      </c>
      <c r="AH929" t="inlineStr">
        <is>
          <t>GUADALAJARA</t>
        </is>
      </c>
      <c r="AI929" t="inlineStr">
        <is>
          <t>RLAZARO@BANCOBASE.COM</t>
        </is>
      </c>
      <c r="AJ929" s="151" t="n">
        <v>44986</v>
      </c>
      <c r="AK929" s="151" t="n"/>
      <c r="AL929" s="151" t="n"/>
    </row>
    <row r="930" hidden="1" s="150">
      <c r="A930" t="inlineStr">
        <is>
          <t>NLOZANOM</t>
        </is>
      </c>
      <c r="B930" t="n">
        <v>3586</v>
      </c>
      <c r="C930" t="inlineStr">
        <is>
          <t>NEYRA YURIDIA LOZANO MARTINEZ</t>
        </is>
      </c>
      <c r="D930" t="n">
        <v>9281</v>
      </c>
      <c r="E930" t="inlineStr">
        <is>
          <t>ASISTENTE CAMBIARIO</t>
        </is>
      </c>
      <c r="F930" t="inlineStr">
        <is>
          <t>GUADALAJARA</t>
        </is>
      </c>
      <c r="G930" t="n">
        <v>3953</v>
      </c>
      <c r="H930" t="inlineStr">
        <is>
          <t>JOSE ANTONIO CORTES GIL</t>
        </is>
      </c>
      <c r="I930" t="n">
        <v>10042</v>
      </c>
      <c r="J930" t="inlineStr">
        <is>
          <t>SUBDIRECTOR COMERCIAL</t>
        </is>
      </c>
      <c r="K930" t="n">
        <v>1</v>
      </c>
      <c r="L930" t="inlineStr">
        <is>
          <t>PRESIDENCIA EJECUTIVA DEL CONSEJO</t>
        </is>
      </c>
      <c r="M930" t="n">
        <v>40</v>
      </c>
      <c r="N930" t="inlineStr">
        <is>
          <t>DIRECCION GENERAL BANCO BASE</t>
        </is>
      </c>
      <c r="O930" t="n">
        <v>410</v>
      </c>
      <c r="P930" t="inlineStr">
        <is>
          <t>DIRECCION COMERCIAL</t>
        </is>
      </c>
      <c r="Q930" t="n">
        <v>4570</v>
      </c>
      <c r="R930" t="inlineStr">
        <is>
          <t>DIRECCION COMERCIAL GUADALAJARA</t>
        </is>
      </c>
      <c r="S930" t="n">
        <v>41610</v>
      </c>
      <c r="T930" t="inlineStr">
        <is>
          <t>SUBDIRECCION COMERCIAL GUADALAJARA 1</t>
        </is>
      </c>
      <c r="U930" t="n">
        <v>416100</v>
      </c>
      <c r="V930" t="inlineStr">
        <is>
          <t>SUBDIRECCION COMERCIAL GUADALAJARA 1</t>
        </is>
      </c>
      <c r="W930" t="n">
        <v>126107</v>
      </c>
      <c r="X930" t="inlineStr">
        <is>
          <t>GUADALAJARA</t>
        </is>
      </c>
      <c r="Y930" t="n">
        <v>3</v>
      </c>
      <c r="Z930" t="inlineStr">
        <is>
          <t>CAMBIARIO</t>
        </is>
      </c>
      <c r="AA930" t="n">
        <v>1</v>
      </c>
      <c r="AB930" t="inlineStr">
        <is>
          <t>NEGOCIO EN MARCHA</t>
        </is>
      </c>
      <c r="AC930" t="n">
        <v>1</v>
      </c>
      <c r="AD930" t="inlineStr">
        <is>
          <t>BANCO</t>
        </is>
      </c>
      <c r="AE930" t="n">
        <v>2</v>
      </c>
      <c r="AF930" t="inlineStr">
        <is>
          <t>MIDDLE</t>
        </is>
      </c>
      <c r="AG930" t="n">
        <v>126107</v>
      </c>
      <c r="AH930" t="inlineStr">
        <is>
          <t>GUADALAJARA</t>
        </is>
      </c>
      <c r="AI930" t="inlineStr">
        <is>
          <t>NLOZANOM@BANCOBASE.COM</t>
        </is>
      </c>
      <c r="AJ930" s="151" t="n">
        <v>45917</v>
      </c>
      <c r="AK930" s="151" t="n"/>
      <c r="AL930" s="151" t="n"/>
    </row>
    <row r="931" hidden="1" s="150">
      <c r="A931" t="inlineStr">
        <is>
          <t>APLASCENCI</t>
        </is>
      </c>
      <c r="B931" t="n">
        <v>3728</v>
      </c>
      <c r="C931" t="inlineStr">
        <is>
          <t>AGUSTIN PLASCENCIA GARCIA</t>
        </is>
      </c>
      <c r="D931" t="n">
        <v>9776</v>
      </c>
      <c r="E931" t="inlineStr">
        <is>
          <t>ASESOR CAMBIARIO</t>
        </is>
      </c>
      <c r="F931" t="inlineStr">
        <is>
          <t>GUADALAJARA</t>
        </is>
      </c>
      <c r="G931" t="n">
        <v>3953</v>
      </c>
      <c r="H931" t="inlineStr">
        <is>
          <t>JOSE ANTONIO CORTES GIL</t>
        </is>
      </c>
      <c r="I931" t="n">
        <v>10042</v>
      </c>
      <c r="J931" t="inlineStr">
        <is>
          <t>SUBDIRECTOR COMERCIAL</t>
        </is>
      </c>
      <c r="K931" t="n">
        <v>1</v>
      </c>
      <c r="L931" t="inlineStr">
        <is>
          <t>PRESIDENCIA EJECUTIVA DEL CONSEJO</t>
        </is>
      </c>
      <c r="M931" t="n">
        <v>40</v>
      </c>
      <c r="N931" t="inlineStr">
        <is>
          <t>DIRECCION GENERAL BANCO BASE</t>
        </is>
      </c>
      <c r="O931" t="n">
        <v>410</v>
      </c>
      <c r="P931" t="inlineStr">
        <is>
          <t>DIRECCION COMERCIAL</t>
        </is>
      </c>
      <c r="Q931" t="n">
        <v>4570</v>
      </c>
      <c r="R931" t="inlineStr">
        <is>
          <t>DIRECCION COMERCIAL GUADALAJARA</t>
        </is>
      </c>
      <c r="S931" t="n">
        <v>41610</v>
      </c>
      <c r="T931" t="inlineStr">
        <is>
          <t>SUBDIRECCION COMERCIAL GUADALAJARA 1</t>
        </is>
      </c>
      <c r="U931" t="n">
        <v>416100</v>
      </c>
      <c r="V931" t="inlineStr">
        <is>
          <t>SUBDIRECCION COMERCIAL GUADALAJARA 1</t>
        </is>
      </c>
      <c r="W931" t="n">
        <v>126107</v>
      </c>
      <c r="X931" t="inlineStr">
        <is>
          <t>GUADALAJARA</t>
        </is>
      </c>
      <c r="Y931" t="n">
        <v>3</v>
      </c>
      <c r="Z931" t="inlineStr">
        <is>
          <t>CAMBIARIO</t>
        </is>
      </c>
      <c r="AA931" t="n">
        <v>1</v>
      </c>
      <c r="AB931" t="inlineStr">
        <is>
          <t>NEGOCIO EN MARCHA</t>
        </is>
      </c>
      <c r="AC931" t="n">
        <v>1</v>
      </c>
      <c r="AD931" t="inlineStr">
        <is>
          <t>BANCO</t>
        </is>
      </c>
      <c r="AE931" t="n">
        <v>3</v>
      </c>
      <c r="AF931" t="inlineStr">
        <is>
          <t>FRONT</t>
        </is>
      </c>
      <c r="AG931" t="n">
        <v>126107</v>
      </c>
      <c r="AH931" t="inlineStr">
        <is>
          <t>GUADALAJARA</t>
        </is>
      </c>
      <c r="AI931" t="inlineStr">
        <is>
          <t>APLASCENCI@BANCOBASE.COM</t>
        </is>
      </c>
      <c r="AJ931" s="151" t="n">
        <v>46027</v>
      </c>
      <c r="AK931" s="151" t="n"/>
      <c r="AL931" s="151" t="n"/>
    </row>
    <row r="932" hidden="1" s="150">
      <c r="A932" t="inlineStr">
        <is>
          <t>AMARTINA</t>
        </is>
      </c>
      <c r="B932" t="n">
        <v>3864</v>
      </c>
      <c r="C932" t="inlineStr">
        <is>
          <t>ADRIANA MARTIN ANDRADE</t>
        </is>
      </c>
      <c r="D932" t="n">
        <v>9863</v>
      </c>
      <c r="E932" t="inlineStr">
        <is>
          <t>ASESOR CAMBIARIO</t>
        </is>
      </c>
      <c r="F932" t="inlineStr">
        <is>
          <t>GUADALAJARA</t>
        </is>
      </c>
      <c r="G932" t="n">
        <v>3953</v>
      </c>
      <c r="H932" t="inlineStr">
        <is>
          <t>JOSE ANTONIO CORTES GIL</t>
        </is>
      </c>
      <c r="I932" t="n">
        <v>10042</v>
      </c>
      <c r="J932" t="inlineStr">
        <is>
          <t>SUBDIRECTOR COMERCIAL</t>
        </is>
      </c>
      <c r="K932" t="n">
        <v>1</v>
      </c>
      <c r="L932" t="inlineStr">
        <is>
          <t>PRESIDENCIA EJECUTIVA DEL CONSEJO</t>
        </is>
      </c>
      <c r="M932" t="n">
        <v>40</v>
      </c>
      <c r="N932" t="inlineStr">
        <is>
          <t>DIRECCION GENERAL BANCO BASE</t>
        </is>
      </c>
      <c r="O932" t="n">
        <v>410</v>
      </c>
      <c r="P932" t="inlineStr">
        <is>
          <t>DIRECCION COMERCIAL</t>
        </is>
      </c>
      <c r="Q932" t="n">
        <v>4570</v>
      </c>
      <c r="R932" t="inlineStr">
        <is>
          <t>DIRECCION COMERCIAL GUADALAJARA</t>
        </is>
      </c>
      <c r="S932" t="n">
        <v>41610</v>
      </c>
      <c r="T932" t="inlineStr">
        <is>
          <t>SUBDIRECCION COMERCIAL GUADALAJARA 1</t>
        </is>
      </c>
      <c r="U932" t="n">
        <v>416100</v>
      </c>
      <c r="V932" t="inlineStr">
        <is>
          <t>SUBDIRECCION COMERCIAL GUADALAJARA 1</t>
        </is>
      </c>
      <c r="W932" t="n">
        <v>126107</v>
      </c>
      <c r="X932" t="inlineStr">
        <is>
          <t>GUADALAJARA</t>
        </is>
      </c>
      <c r="Y932" t="n">
        <v>3</v>
      </c>
      <c r="Z932" t="inlineStr">
        <is>
          <t>CAMBIARIO</t>
        </is>
      </c>
      <c r="AA932" t="n">
        <v>1</v>
      </c>
      <c r="AB932" t="inlineStr">
        <is>
          <t>NEGOCIO EN MARCHA</t>
        </is>
      </c>
      <c r="AC932" t="n">
        <v>1</v>
      </c>
      <c r="AD932" t="inlineStr">
        <is>
          <t>BANCO</t>
        </is>
      </c>
      <c r="AE932" t="n">
        <v>3</v>
      </c>
      <c r="AF932" t="inlineStr">
        <is>
          <t>FRONT</t>
        </is>
      </c>
      <c r="AG932" t="n">
        <v>126107</v>
      </c>
      <c r="AH932" t="inlineStr">
        <is>
          <t>GUADALAJARA</t>
        </is>
      </c>
      <c r="AI932" t="inlineStr">
        <is>
          <t>AMARTINA@BANCOBASE.COM</t>
        </is>
      </c>
      <c r="AJ932" s="151" t="n">
        <v>46160</v>
      </c>
      <c r="AK932" s="151" t="n"/>
      <c r="AL932" s="151" t="n"/>
    </row>
    <row r="933" hidden="1" s="150">
      <c r="A933" t="inlineStr">
        <is>
          <t>ARODRIGUHE</t>
        </is>
      </c>
      <c r="B933" t="n">
        <v>3656</v>
      </c>
      <c r="C933" t="inlineStr">
        <is>
          <t>ALMA ROSA RODRIGUEZ HERNANDEZ</t>
        </is>
      </c>
      <c r="D933" t="n">
        <v>5055</v>
      </c>
      <c r="E933" t="inlineStr">
        <is>
          <t>ASISTENTE CAMBIARIO</t>
        </is>
      </c>
      <c r="F933" t="inlineStr">
        <is>
          <t>GUADALAJARA</t>
        </is>
      </c>
      <c r="G933" t="n">
        <v>3953</v>
      </c>
      <c r="H933" t="inlineStr">
        <is>
          <t>JOSE ANTONIO CORTES GIL</t>
        </is>
      </c>
      <c r="I933" t="n">
        <v>10042</v>
      </c>
      <c r="J933" t="inlineStr">
        <is>
          <t>SUBDIRECTOR COMERCIAL</t>
        </is>
      </c>
      <c r="K933" t="n">
        <v>1</v>
      </c>
      <c r="L933" t="inlineStr">
        <is>
          <t>PRESIDENCIA EJECUTIVA DEL CONSEJO</t>
        </is>
      </c>
      <c r="M933" t="n">
        <v>40</v>
      </c>
      <c r="N933" t="inlineStr">
        <is>
          <t>DIRECCION GENERAL BANCO BASE</t>
        </is>
      </c>
      <c r="O933" t="n">
        <v>410</v>
      </c>
      <c r="P933" t="inlineStr">
        <is>
          <t>DIRECCION COMERCIAL</t>
        </is>
      </c>
      <c r="Q933" t="n">
        <v>4570</v>
      </c>
      <c r="R933" t="inlineStr">
        <is>
          <t>DIRECCION COMERCIAL GUADALAJARA</t>
        </is>
      </c>
      <c r="S933" t="n">
        <v>41610</v>
      </c>
      <c r="T933" t="inlineStr">
        <is>
          <t>SUBDIRECCION COMERCIAL GUADALAJARA 1</t>
        </is>
      </c>
      <c r="U933" t="n">
        <v>416100</v>
      </c>
      <c r="V933" t="inlineStr">
        <is>
          <t>SUBDIRECCION COMERCIAL GUADALAJARA 1</t>
        </is>
      </c>
      <c r="W933" t="n">
        <v>126107</v>
      </c>
      <c r="X933" t="inlineStr">
        <is>
          <t>GUADALAJARA</t>
        </is>
      </c>
      <c r="Y933" t="n">
        <v>3</v>
      </c>
      <c r="Z933" t="inlineStr">
        <is>
          <t>CAMBIARIO</t>
        </is>
      </c>
      <c r="AA933" t="n">
        <v>1</v>
      </c>
      <c r="AB933" t="inlineStr">
        <is>
          <t>NEGOCIO EN MARCHA</t>
        </is>
      </c>
      <c r="AC933" t="n">
        <v>1</v>
      </c>
      <c r="AD933" t="inlineStr">
        <is>
          <t>BANCO</t>
        </is>
      </c>
      <c r="AE933" t="n">
        <v>2</v>
      </c>
      <c r="AF933" t="inlineStr">
        <is>
          <t>MIDDLE</t>
        </is>
      </c>
      <c r="AG933" t="n">
        <v>126107</v>
      </c>
      <c r="AH933" t="inlineStr">
        <is>
          <t>GUADALAJARA</t>
        </is>
      </c>
      <c r="AI933" t="inlineStr">
        <is>
          <t>ARODRIGUHE@BANCOBASE.COM</t>
        </is>
      </c>
      <c r="AJ933" s="151" t="n">
        <v>45964</v>
      </c>
      <c r="AK933" s="151" t="n"/>
      <c r="AL933" s="151" t="n"/>
    </row>
    <row r="934" hidden="1" s="150">
      <c r="A934" t="inlineStr">
        <is>
          <t>HVAZQUEZA</t>
        </is>
      </c>
      <c r="B934" t="n">
        <v>3550</v>
      </c>
      <c r="C934" t="inlineStr">
        <is>
          <t>HUGO GUILLERMO VAZQUEZ AVILA</t>
        </is>
      </c>
      <c r="D934" t="n">
        <v>6082</v>
      </c>
      <c r="E934" t="inlineStr">
        <is>
          <t>SUBDIRECTOR COMERCIAL</t>
        </is>
      </c>
      <c r="F934" t="inlineStr">
        <is>
          <t>GUADALAJARA</t>
        </is>
      </c>
      <c r="G934" t="n">
        <v>1706</v>
      </c>
      <c r="H934" t="inlineStr">
        <is>
          <t>JUAN FERNANDO HINOJOSA CHAPA</t>
        </is>
      </c>
      <c r="I934" t="n">
        <v>91</v>
      </c>
      <c r="J934" t="inlineStr">
        <is>
          <t>DIRECTOR COMERCIAL GUADALAJARA</t>
        </is>
      </c>
      <c r="K934" t="n">
        <v>1</v>
      </c>
      <c r="L934" t="inlineStr">
        <is>
          <t>PRESIDENCIA EJECUTIVA DEL CONSEJO</t>
        </is>
      </c>
      <c r="M934" t="n">
        <v>40</v>
      </c>
      <c r="N934" t="inlineStr">
        <is>
          <t>DIRECCION GENERAL BANCO BASE</t>
        </is>
      </c>
      <c r="O934" t="n">
        <v>410</v>
      </c>
      <c r="P934" t="inlineStr">
        <is>
          <t>DIRECCION COMERCIAL</t>
        </is>
      </c>
      <c r="Q934" t="n">
        <v>4570</v>
      </c>
      <c r="R934" t="inlineStr">
        <is>
          <t>DIRECCION COMERCIAL GUADALAJARA</t>
        </is>
      </c>
      <c r="S934" t="n">
        <v>41630</v>
      </c>
      <c r="T934" t="inlineStr">
        <is>
          <t>SUBDIRECCION COMERCIAL GUADALAJARA 3</t>
        </is>
      </c>
      <c r="U934" t="n">
        <v>416300</v>
      </c>
      <c r="V934" t="inlineStr">
        <is>
          <t>SUBDIRECCION COMERCIAL GUADALAJARA 3</t>
        </is>
      </c>
      <c r="W934" t="n">
        <v>126107</v>
      </c>
      <c r="X934" t="inlineStr">
        <is>
          <t>GUADALAJARA</t>
        </is>
      </c>
      <c r="Y934" t="n">
        <v>3</v>
      </c>
      <c r="Z934" t="inlineStr">
        <is>
          <t>CAMBIARIO</t>
        </is>
      </c>
      <c r="AA934" t="n">
        <v>1</v>
      </c>
      <c r="AB934" t="inlineStr">
        <is>
          <t>NEGOCIO EN MARCHA</t>
        </is>
      </c>
      <c r="AC934" t="n">
        <v>1</v>
      </c>
      <c r="AD934" t="inlineStr">
        <is>
          <t>BANCO</t>
        </is>
      </c>
      <c r="AE934" t="n">
        <v>3</v>
      </c>
      <c r="AF934" t="inlineStr">
        <is>
          <t>FRONT</t>
        </is>
      </c>
      <c r="AG934" t="n">
        <v>126107</v>
      </c>
      <c r="AH934" t="inlineStr">
        <is>
          <t>GUADALAJARA</t>
        </is>
      </c>
      <c r="AI934" t="inlineStr">
        <is>
          <t>HVAZQUEZA@BANCOBASE.COM</t>
        </is>
      </c>
      <c r="AJ934" s="151" t="n">
        <v>45901</v>
      </c>
      <c r="AK934" s="151" t="n"/>
      <c r="AL934" s="151" t="n"/>
    </row>
    <row r="935" hidden="1" s="150">
      <c r="A935" t="inlineStr">
        <is>
          <t>ACASTALLAN</t>
        </is>
      </c>
      <c r="B935" t="n">
        <v>3248</v>
      </c>
      <c r="C935" t="inlineStr">
        <is>
          <t>ANGEL ALBERTO CASTELLANOS CONTRERAS</t>
        </is>
      </c>
      <c r="D935" t="n">
        <v>9712</v>
      </c>
      <c r="E935" t="inlineStr">
        <is>
          <t>ASESOR CAMBIARIO</t>
        </is>
      </c>
      <c r="F935" t="inlineStr">
        <is>
          <t>GUADALAJARA</t>
        </is>
      </c>
      <c r="G935" t="n">
        <v>3550</v>
      </c>
      <c r="H935" t="inlineStr">
        <is>
          <t>HUGO GUILLERMO VAZQUEZ AVILA</t>
        </is>
      </c>
      <c r="I935" t="n">
        <v>6082</v>
      </c>
      <c r="J935" t="inlineStr">
        <is>
          <t>SUBDIRECTOR COMERCIAL</t>
        </is>
      </c>
      <c r="K935" t="n">
        <v>1</v>
      </c>
      <c r="L935" t="inlineStr">
        <is>
          <t>PRESIDENCIA EJECUTIVA DEL CONSEJO</t>
        </is>
      </c>
      <c r="M935" t="n">
        <v>40</v>
      </c>
      <c r="N935" t="inlineStr">
        <is>
          <t>DIRECCION GENERAL BANCO BASE</t>
        </is>
      </c>
      <c r="O935" t="n">
        <v>410</v>
      </c>
      <c r="P935" t="inlineStr">
        <is>
          <t>DIRECCION COMERCIAL</t>
        </is>
      </c>
      <c r="Q935" t="n">
        <v>4570</v>
      </c>
      <c r="R935" t="inlineStr">
        <is>
          <t>DIRECCION COMERCIAL GUADALAJARA</t>
        </is>
      </c>
      <c r="S935" t="n">
        <v>41630</v>
      </c>
      <c r="T935" t="inlineStr">
        <is>
          <t>SUBDIRECCION COMERCIAL GUADALAJARA 3</t>
        </is>
      </c>
      <c r="U935" t="n">
        <v>416300</v>
      </c>
      <c r="V935" t="inlineStr">
        <is>
          <t>SUBDIRECCION COMERCIAL GUADALAJARA 3</t>
        </is>
      </c>
      <c r="W935" t="n">
        <v>126107</v>
      </c>
      <c r="X935" t="inlineStr">
        <is>
          <t>GUADALAJARA</t>
        </is>
      </c>
      <c r="Y935" t="n">
        <v>3</v>
      </c>
      <c r="Z935" t="inlineStr">
        <is>
          <t>CAMBIARIO</t>
        </is>
      </c>
      <c r="AA935" t="n">
        <v>1</v>
      </c>
      <c r="AB935" t="inlineStr">
        <is>
          <t>NEGOCIO EN MARCHA</t>
        </is>
      </c>
      <c r="AC935" t="n">
        <v>1</v>
      </c>
      <c r="AD935" t="inlineStr">
        <is>
          <t>BANCO</t>
        </is>
      </c>
      <c r="AE935" t="n">
        <v>3</v>
      </c>
      <c r="AF935" t="inlineStr">
        <is>
          <t>FRONT</t>
        </is>
      </c>
      <c r="AG935" t="n">
        <v>126107</v>
      </c>
      <c r="AH935" t="inlineStr">
        <is>
          <t>GUADALAJARA</t>
        </is>
      </c>
      <c r="AI935" t="inlineStr">
        <is>
          <t>ACASTALLAN@BANCOBASE.COM</t>
        </is>
      </c>
      <c r="AJ935" s="151" t="n">
        <v>45581</v>
      </c>
      <c r="AK935" s="151" t="n"/>
      <c r="AL935" s="151" t="n"/>
    </row>
    <row r="936" hidden="1" s="150">
      <c r="A936" t="inlineStr">
        <is>
          <t>CALMEIDA</t>
        </is>
      </c>
      <c r="B936" t="n">
        <v>1505</v>
      </c>
      <c r="C936" t="inlineStr">
        <is>
          <t>CARLOS ALMEIDA ATRISTAIN</t>
        </is>
      </c>
      <c r="D936" t="n">
        <v>9182</v>
      </c>
      <c r="E936" t="inlineStr">
        <is>
          <t>ASESOR CAMBIARIO</t>
        </is>
      </c>
      <c r="F936" t="inlineStr">
        <is>
          <t>GUADALAJARA</t>
        </is>
      </c>
      <c r="G936" t="n">
        <v>3550</v>
      </c>
      <c r="H936" t="inlineStr">
        <is>
          <t>HUGO GUILLERMO VAZQUEZ AVILA</t>
        </is>
      </c>
      <c r="I936" t="n">
        <v>6082</v>
      </c>
      <c r="J936" t="inlineStr">
        <is>
          <t>SUBDIRECTOR COMERCIAL</t>
        </is>
      </c>
      <c r="K936" t="n">
        <v>1</v>
      </c>
      <c r="L936" t="inlineStr">
        <is>
          <t>PRESIDENCIA EJECUTIVA DEL CONSEJO</t>
        </is>
      </c>
      <c r="M936" t="n">
        <v>40</v>
      </c>
      <c r="N936" t="inlineStr">
        <is>
          <t>DIRECCION GENERAL BANCO BASE</t>
        </is>
      </c>
      <c r="O936" t="n">
        <v>410</v>
      </c>
      <c r="P936" t="inlineStr">
        <is>
          <t>DIRECCION COMERCIAL</t>
        </is>
      </c>
      <c r="Q936" t="n">
        <v>4570</v>
      </c>
      <c r="R936" t="inlineStr">
        <is>
          <t>DIRECCION COMERCIAL GUADALAJARA</t>
        </is>
      </c>
      <c r="S936" t="n">
        <v>41630</v>
      </c>
      <c r="T936" t="inlineStr">
        <is>
          <t>SUBDIRECCION COMERCIAL GUADALAJARA 3</t>
        </is>
      </c>
      <c r="U936" t="n">
        <v>416300</v>
      </c>
      <c r="V936" t="inlineStr">
        <is>
          <t>SUBDIRECCION COMERCIAL GUADALAJARA 3</t>
        </is>
      </c>
      <c r="W936" t="n">
        <v>126107</v>
      </c>
      <c r="X936" t="inlineStr">
        <is>
          <t>GUADALAJARA</t>
        </is>
      </c>
      <c r="Y936" t="n">
        <v>3</v>
      </c>
      <c r="Z936" t="inlineStr">
        <is>
          <t>CAMBIARIO</t>
        </is>
      </c>
      <c r="AA936" t="n">
        <v>1</v>
      </c>
      <c r="AB936" t="inlineStr">
        <is>
          <t>NEGOCIO EN MARCHA</t>
        </is>
      </c>
      <c r="AC936" t="n">
        <v>1</v>
      </c>
      <c r="AD936" t="inlineStr">
        <is>
          <t>BANCO</t>
        </is>
      </c>
      <c r="AE936" t="n">
        <v>3</v>
      </c>
      <c r="AF936" t="inlineStr">
        <is>
          <t>FRONT</t>
        </is>
      </c>
      <c r="AG936" t="n">
        <v>126107</v>
      </c>
      <c r="AH936" t="inlineStr">
        <is>
          <t>GUADALAJARA</t>
        </is>
      </c>
      <c r="AI936" t="inlineStr">
        <is>
          <t>CALMEIDA@BANCOBASE.COM</t>
        </is>
      </c>
      <c r="AJ936" s="151" t="n">
        <v>42430</v>
      </c>
      <c r="AK936" s="151" t="n"/>
      <c r="AL936" s="151" t="n"/>
    </row>
    <row r="937" hidden="1" s="150">
      <c r="A937" t="inlineStr">
        <is>
          <t>CROMEROL</t>
        </is>
      </c>
      <c r="B937" t="n">
        <v>3986</v>
      </c>
      <c r="C937" t="inlineStr">
        <is>
          <t>CONRADO ROMERO LEYVA</t>
        </is>
      </c>
      <c r="D937" t="n">
        <v>9578</v>
      </c>
      <c r="E937" t="inlineStr">
        <is>
          <t>ASESOR CAMBIARIO</t>
        </is>
      </c>
      <c r="F937" t="inlineStr">
        <is>
          <t>GUADALAJARA</t>
        </is>
      </c>
      <c r="G937" t="n">
        <v>3550</v>
      </c>
      <c r="H937" t="inlineStr">
        <is>
          <t>HUGO GUILLERMO VAZQUEZ AVILA</t>
        </is>
      </c>
      <c r="I937" t="n">
        <v>6082</v>
      </c>
      <c r="J937" t="inlineStr">
        <is>
          <t>SUBDIRECTOR COMERCIAL</t>
        </is>
      </c>
      <c r="K937" t="n">
        <v>1</v>
      </c>
      <c r="L937" t="inlineStr">
        <is>
          <t>PRESIDENCIA EJECUTIVA DEL CONSEJO</t>
        </is>
      </c>
      <c r="M937" t="n">
        <v>40</v>
      </c>
      <c r="N937" t="inlineStr">
        <is>
          <t>DIRECCION GENERAL BANCO BASE</t>
        </is>
      </c>
      <c r="O937" t="n">
        <v>410</v>
      </c>
      <c r="P937" t="inlineStr">
        <is>
          <t>DIRECCION COMERCIAL</t>
        </is>
      </c>
      <c r="Q937" t="n">
        <v>4570</v>
      </c>
      <c r="R937" t="inlineStr">
        <is>
          <t>DIRECCION COMERCIAL GUADALAJARA</t>
        </is>
      </c>
      <c r="S937" t="n">
        <v>41630</v>
      </c>
      <c r="T937" t="inlineStr">
        <is>
          <t>SUBDIRECCION COMERCIAL GUADALAJARA 3</t>
        </is>
      </c>
      <c r="U937" t="n">
        <v>416300</v>
      </c>
      <c r="V937" t="inlineStr">
        <is>
          <t>SUBDIRECCION COMERCIAL GUADALAJARA 3</t>
        </is>
      </c>
      <c r="W937" t="n">
        <v>126107</v>
      </c>
      <c r="X937" t="inlineStr">
        <is>
          <t>GUADALAJARA</t>
        </is>
      </c>
      <c r="Y937" t="n">
        <v>3</v>
      </c>
      <c r="Z937" t="inlineStr">
        <is>
          <t>CAMBIARIO</t>
        </is>
      </c>
      <c r="AA937" t="n">
        <v>1</v>
      </c>
      <c r="AB937" t="inlineStr">
        <is>
          <t>NEGOCIO EN MARCHA</t>
        </is>
      </c>
      <c r="AC937" t="n">
        <v>1</v>
      </c>
      <c r="AD937" t="inlineStr">
        <is>
          <t>BANCO</t>
        </is>
      </c>
      <c r="AE937" t="n">
        <v>3</v>
      </c>
      <c r="AF937" t="inlineStr">
        <is>
          <t>FRONT</t>
        </is>
      </c>
      <c r="AG937" t="n">
        <v>126107</v>
      </c>
      <c r="AH937" t="inlineStr">
        <is>
          <t>GUADALAJARA</t>
        </is>
      </c>
      <c r="AI937" t="inlineStr">
        <is>
          <t>CROMEROL@BANCOBASE.COM</t>
        </is>
      </c>
      <c r="AJ937" s="151" t="n">
        <v>46251</v>
      </c>
      <c r="AK937" s="151" t="n"/>
      <c r="AL937" s="151" t="n"/>
    </row>
    <row r="938" hidden="1" s="150">
      <c r="A938" t="inlineStr">
        <is>
          <t>EBARRAGAN</t>
        </is>
      </c>
      <c r="B938" t="n">
        <v>3122</v>
      </c>
      <c r="C938" t="inlineStr">
        <is>
          <t>ESMERALDA DANIELA BARRAGAN ALVAREZ</t>
        </is>
      </c>
      <c r="D938" t="n">
        <v>10285</v>
      </c>
      <c r="E938" t="inlineStr">
        <is>
          <t>ASESOR CAMBIARIO</t>
        </is>
      </c>
      <c r="F938" t="inlineStr">
        <is>
          <t>GUADALAJARA</t>
        </is>
      </c>
      <c r="G938" t="n">
        <v>3550</v>
      </c>
      <c r="H938" t="inlineStr">
        <is>
          <t>HUGO GUILLERMO VAZQUEZ AVILA</t>
        </is>
      </c>
      <c r="I938" t="n">
        <v>6082</v>
      </c>
      <c r="J938" t="inlineStr">
        <is>
          <t>SUBDIRECTOR COMERCIAL</t>
        </is>
      </c>
      <c r="K938" t="n">
        <v>1</v>
      </c>
      <c r="L938" t="inlineStr">
        <is>
          <t>PRESIDENCIA EJECUTIVA DEL CONSEJO</t>
        </is>
      </c>
      <c r="M938" t="n">
        <v>40</v>
      </c>
      <c r="N938" t="inlineStr">
        <is>
          <t>DIRECCION GENERAL BANCO BASE</t>
        </is>
      </c>
      <c r="O938" t="n">
        <v>410</v>
      </c>
      <c r="P938" t="inlineStr">
        <is>
          <t>DIRECCION COMERCIAL</t>
        </is>
      </c>
      <c r="Q938" t="n">
        <v>4570</v>
      </c>
      <c r="R938" t="inlineStr">
        <is>
          <t>DIRECCION COMERCIAL GUADALAJARA</t>
        </is>
      </c>
      <c r="S938" t="n">
        <v>41630</v>
      </c>
      <c r="T938" t="inlineStr">
        <is>
          <t>SUBDIRECCION COMERCIAL GUADALAJARA 3</t>
        </is>
      </c>
      <c r="U938" t="n">
        <v>416300</v>
      </c>
      <c r="V938" t="inlineStr">
        <is>
          <t>SUBDIRECCION COMERCIAL GUADALAJARA 3</t>
        </is>
      </c>
      <c r="W938" t="n">
        <v>126107</v>
      </c>
      <c r="X938" t="inlineStr">
        <is>
          <t>GUADALAJARA</t>
        </is>
      </c>
      <c r="Y938" t="n">
        <v>3</v>
      </c>
      <c r="Z938" t="inlineStr">
        <is>
          <t>CAMBIARIO</t>
        </is>
      </c>
      <c r="AA938" t="n">
        <v>1</v>
      </c>
      <c r="AB938" t="inlineStr">
        <is>
          <t>NEGOCIO EN MARCHA</t>
        </is>
      </c>
      <c r="AC938" t="n">
        <v>1</v>
      </c>
      <c r="AD938" t="inlineStr">
        <is>
          <t>BANCO</t>
        </is>
      </c>
      <c r="AE938" t="n">
        <v>3</v>
      </c>
      <c r="AF938" t="inlineStr">
        <is>
          <t>FRONT</t>
        </is>
      </c>
      <c r="AG938" t="n">
        <v>126107</v>
      </c>
      <c r="AH938" t="inlineStr">
        <is>
          <t>GUADALAJARA</t>
        </is>
      </c>
      <c r="AI938" t="inlineStr">
        <is>
          <t>EBARRAGAN@BANCOBASE.COM</t>
        </is>
      </c>
      <c r="AJ938" s="151" t="n">
        <v>45428</v>
      </c>
      <c r="AK938" s="151" t="n"/>
      <c r="AL938" s="151" t="n"/>
    </row>
    <row r="939" hidden="1" s="150">
      <c r="A939" t="inlineStr">
        <is>
          <t>PLOPEZ</t>
        </is>
      </c>
      <c r="B939" t="n">
        <v>712</v>
      </c>
      <c r="C939" t="inlineStr">
        <is>
          <t>PAULINA LOPEZ RODRIGUEZ</t>
        </is>
      </c>
      <c r="D939" t="n">
        <v>9087</v>
      </c>
      <c r="E939" t="inlineStr">
        <is>
          <t>ASESOR CAMBIARIO</t>
        </is>
      </c>
      <c r="F939" t="inlineStr">
        <is>
          <t>GUADALAJARA</t>
        </is>
      </c>
      <c r="G939" t="n">
        <v>3550</v>
      </c>
      <c r="H939" t="inlineStr">
        <is>
          <t>HUGO GUILLERMO VAZQUEZ AVILA</t>
        </is>
      </c>
      <c r="I939" t="n">
        <v>6082</v>
      </c>
      <c r="J939" t="inlineStr">
        <is>
          <t>SUBDIRECTOR COMERCIAL</t>
        </is>
      </c>
      <c r="K939" t="n">
        <v>1</v>
      </c>
      <c r="L939" t="inlineStr">
        <is>
          <t>PRESIDENCIA EJECUTIVA DEL CONSEJO</t>
        </is>
      </c>
      <c r="M939" t="n">
        <v>40</v>
      </c>
      <c r="N939" t="inlineStr">
        <is>
          <t>DIRECCION GENERAL BANCO BASE</t>
        </is>
      </c>
      <c r="O939" t="n">
        <v>410</v>
      </c>
      <c r="P939" t="inlineStr">
        <is>
          <t>DIRECCION COMERCIAL</t>
        </is>
      </c>
      <c r="Q939" t="n">
        <v>4570</v>
      </c>
      <c r="R939" t="inlineStr">
        <is>
          <t>DIRECCION COMERCIAL GUADALAJARA</t>
        </is>
      </c>
      <c r="S939" t="n">
        <v>41630</v>
      </c>
      <c r="T939" t="inlineStr">
        <is>
          <t>SUBDIRECCION COMERCIAL GUADALAJARA 3</t>
        </is>
      </c>
      <c r="U939" t="n">
        <v>416300</v>
      </c>
      <c r="V939" t="inlineStr">
        <is>
          <t>SUBDIRECCION COMERCIAL GUADALAJARA 3</t>
        </is>
      </c>
      <c r="W939" t="n">
        <v>126107</v>
      </c>
      <c r="X939" t="inlineStr">
        <is>
          <t>GUADALAJARA</t>
        </is>
      </c>
      <c r="Y939" t="n">
        <v>3</v>
      </c>
      <c r="Z939" t="inlineStr">
        <is>
          <t>CAMBIARIO</t>
        </is>
      </c>
      <c r="AA939" t="n">
        <v>1</v>
      </c>
      <c r="AB939" t="inlineStr">
        <is>
          <t>NEGOCIO EN MARCHA</t>
        </is>
      </c>
      <c r="AC939" t="n">
        <v>1</v>
      </c>
      <c r="AD939" t="inlineStr">
        <is>
          <t>BANCO</t>
        </is>
      </c>
      <c r="AE939" t="n">
        <v>3</v>
      </c>
      <c r="AF939" t="inlineStr">
        <is>
          <t>FRONT</t>
        </is>
      </c>
      <c r="AG939" t="n">
        <v>126107</v>
      </c>
      <c r="AH939" t="inlineStr">
        <is>
          <t>GUADALAJARA</t>
        </is>
      </c>
      <c r="AI939" t="inlineStr">
        <is>
          <t>PLOPEZ@BANCOBASE.COM</t>
        </is>
      </c>
      <c r="AJ939" s="151" t="n">
        <v>40603</v>
      </c>
      <c r="AK939" s="151" t="n"/>
      <c r="AL939" s="151" t="n"/>
    </row>
    <row r="940" hidden="1" s="150">
      <c r="A940" t="inlineStr">
        <is>
          <t>MGOMEF</t>
        </is>
      </c>
      <c r="B940" t="n">
        <v>3391</v>
      </c>
      <c r="C940" t="inlineStr">
        <is>
          <t>MANUEL ALEJANDRO GOMEZ FLORES</t>
        </is>
      </c>
      <c r="D940" t="n">
        <v>8073</v>
      </c>
      <c r="E940" t="inlineStr">
        <is>
          <t>ASESOR CAMBIARIO</t>
        </is>
      </c>
      <c r="F940" t="inlineStr">
        <is>
          <t>GUADALAJARA</t>
        </is>
      </c>
      <c r="G940" t="n">
        <v>3550</v>
      </c>
      <c r="H940" t="inlineStr">
        <is>
          <t>HUGO GUILLERMO VAZQUEZ AVILA</t>
        </is>
      </c>
      <c r="I940" t="n">
        <v>6082</v>
      </c>
      <c r="J940" t="inlineStr">
        <is>
          <t>SUBDIRECTOR COMERCIAL</t>
        </is>
      </c>
      <c r="K940" t="n">
        <v>1</v>
      </c>
      <c r="L940" t="inlineStr">
        <is>
          <t>PRESIDENCIA EJECUTIVA DEL CONSEJO</t>
        </is>
      </c>
      <c r="M940" t="n">
        <v>40</v>
      </c>
      <c r="N940" t="inlineStr">
        <is>
          <t>DIRECCION GENERAL BANCO BASE</t>
        </is>
      </c>
      <c r="O940" t="n">
        <v>410</v>
      </c>
      <c r="P940" t="inlineStr">
        <is>
          <t>DIRECCION COMERCIAL</t>
        </is>
      </c>
      <c r="Q940" t="n">
        <v>4570</v>
      </c>
      <c r="R940" t="inlineStr">
        <is>
          <t>DIRECCION COMERCIAL GUADALAJARA</t>
        </is>
      </c>
      <c r="S940" t="n">
        <v>41630</v>
      </c>
      <c r="T940" t="inlineStr">
        <is>
          <t>SUBDIRECCION COMERCIAL GUADALAJARA 3</t>
        </is>
      </c>
      <c r="U940" t="n">
        <v>416300</v>
      </c>
      <c r="V940" t="inlineStr">
        <is>
          <t>SUBDIRECCION COMERCIAL GUADALAJARA 3</t>
        </is>
      </c>
      <c r="W940" t="n">
        <v>126107</v>
      </c>
      <c r="X940" t="inlineStr">
        <is>
          <t>GUADALAJARA</t>
        </is>
      </c>
      <c r="Y940" t="n">
        <v>3</v>
      </c>
      <c r="Z940" t="inlineStr">
        <is>
          <t>CAMBIARIO</t>
        </is>
      </c>
      <c r="AA940" t="n">
        <v>1</v>
      </c>
      <c r="AB940" t="inlineStr">
        <is>
          <t>NEGOCIO EN MARCHA</t>
        </is>
      </c>
      <c r="AC940" t="n">
        <v>1</v>
      </c>
      <c r="AD940" t="inlineStr">
        <is>
          <t>BANCO</t>
        </is>
      </c>
      <c r="AE940" t="n">
        <v>3</v>
      </c>
      <c r="AF940" t="inlineStr">
        <is>
          <t>FRONT</t>
        </is>
      </c>
      <c r="AG940" t="n">
        <v>126107</v>
      </c>
      <c r="AH940" t="inlineStr">
        <is>
          <t>GUADALAJARA</t>
        </is>
      </c>
      <c r="AI940" t="inlineStr">
        <is>
          <t>MGOMEF@BANCOBASE.COM</t>
        </is>
      </c>
      <c r="AJ940" s="151" t="n">
        <v>45768</v>
      </c>
      <c r="AK940" s="151" t="n"/>
      <c r="AL940" s="151" t="n"/>
    </row>
    <row r="941" hidden="1" s="150">
      <c r="A941" t="inlineStr">
        <is>
          <t>CGARCIAGAR</t>
        </is>
      </c>
      <c r="B941" t="n">
        <v>3633</v>
      </c>
      <c r="C941" t="inlineStr">
        <is>
          <t>COHINTA ARCELIA GARCIA GARAVITO</t>
        </is>
      </c>
      <c r="D941" t="n">
        <v>8618</v>
      </c>
      <c r="E941" t="inlineStr">
        <is>
          <t>ASESOR CAMBIARIO</t>
        </is>
      </c>
      <c r="F941" t="inlineStr">
        <is>
          <t>GUADALAJARA</t>
        </is>
      </c>
      <c r="G941" t="n">
        <v>3550</v>
      </c>
      <c r="H941" t="inlineStr">
        <is>
          <t>HUGO GUILLERMO VAZQUEZ AVILA</t>
        </is>
      </c>
      <c r="I941" t="n">
        <v>6082</v>
      </c>
      <c r="J941" t="inlineStr">
        <is>
          <t>SUBDIRECTOR COMERCIAL</t>
        </is>
      </c>
      <c r="K941" t="n">
        <v>1</v>
      </c>
      <c r="L941" t="inlineStr">
        <is>
          <t>PRESIDENCIA EJECUTIVA DEL CONSEJO</t>
        </is>
      </c>
      <c r="M941" t="n">
        <v>40</v>
      </c>
      <c r="N941" t="inlineStr">
        <is>
          <t>DIRECCION GENERAL BANCO BASE</t>
        </is>
      </c>
      <c r="O941" t="n">
        <v>410</v>
      </c>
      <c r="P941" t="inlineStr">
        <is>
          <t>DIRECCION COMERCIAL</t>
        </is>
      </c>
      <c r="Q941" t="n">
        <v>4570</v>
      </c>
      <c r="R941" t="inlineStr">
        <is>
          <t>DIRECCION COMERCIAL GUADALAJARA</t>
        </is>
      </c>
      <c r="S941" t="n">
        <v>41630</v>
      </c>
      <c r="T941" t="inlineStr">
        <is>
          <t>SUBDIRECCION COMERCIAL GUADALAJARA 3</t>
        </is>
      </c>
      <c r="U941" t="n">
        <v>416300</v>
      </c>
      <c r="V941" t="inlineStr">
        <is>
          <t>SUBDIRECCION COMERCIAL GUADALAJARA 3</t>
        </is>
      </c>
      <c r="W941" t="n">
        <v>126107</v>
      </c>
      <c r="X941" t="inlineStr">
        <is>
          <t>GUADALAJARA</t>
        </is>
      </c>
      <c r="Y941" t="n">
        <v>3</v>
      </c>
      <c r="Z941" t="inlineStr">
        <is>
          <t>CAMBIARIO</t>
        </is>
      </c>
      <c r="AA941" t="n">
        <v>1</v>
      </c>
      <c r="AB941" t="inlineStr">
        <is>
          <t>NEGOCIO EN MARCHA</t>
        </is>
      </c>
      <c r="AC941" t="n">
        <v>1</v>
      </c>
      <c r="AD941" t="inlineStr">
        <is>
          <t>BANCO</t>
        </is>
      </c>
      <c r="AE941" t="n">
        <v>3</v>
      </c>
      <c r="AF941" t="inlineStr">
        <is>
          <t>FRONT</t>
        </is>
      </c>
      <c r="AG941" t="n">
        <v>126107</v>
      </c>
      <c r="AH941" t="inlineStr">
        <is>
          <t>GUADALAJARA</t>
        </is>
      </c>
      <c r="AI941" t="inlineStr">
        <is>
          <t>CGARCIAGAR@BANCOBASE.COM</t>
        </is>
      </c>
      <c r="AJ941" s="151" t="n">
        <v>45946</v>
      </c>
      <c r="AK941" s="151" t="n"/>
      <c r="AL941" s="151" t="n"/>
    </row>
    <row r="942" hidden="1" s="150">
      <c r="A942" t="inlineStr">
        <is>
          <t>AESPINOZA</t>
        </is>
      </c>
      <c r="B942" t="n">
        <v>2881</v>
      </c>
      <c r="C942" t="inlineStr">
        <is>
          <t>ANA GABRIELA ESPINOZA SANDOVAL</t>
        </is>
      </c>
      <c r="D942" t="n">
        <v>9714</v>
      </c>
      <c r="E942" t="inlineStr">
        <is>
          <t>ESPECIALISTA DE BANCA TRANSACCIONAL</t>
        </is>
      </c>
      <c r="F942" t="inlineStr">
        <is>
          <t>GUADALAJARA</t>
        </is>
      </c>
      <c r="G942" t="n">
        <v>3550</v>
      </c>
      <c r="H942" t="inlineStr">
        <is>
          <t>HUGO GUILLERMO VAZQUEZ AVILA</t>
        </is>
      </c>
      <c r="I942" t="n">
        <v>6082</v>
      </c>
      <c r="J942" t="inlineStr">
        <is>
          <t>SUBDIRECTOR COMERCIAL</t>
        </is>
      </c>
      <c r="K942" t="n">
        <v>1</v>
      </c>
      <c r="L942" t="inlineStr">
        <is>
          <t>PRESIDENCIA EJECUTIVA DEL CONSEJO</t>
        </is>
      </c>
      <c r="M942" t="n">
        <v>40</v>
      </c>
      <c r="N942" t="inlineStr">
        <is>
          <t>DIRECCION GENERAL BANCO BASE</t>
        </is>
      </c>
      <c r="O942" t="n">
        <v>410</v>
      </c>
      <c r="P942" t="inlineStr">
        <is>
          <t>DIRECCION COMERCIAL</t>
        </is>
      </c>
      <c r="Q942" t="n">
        <v>4570</v>
      </c>
      <c r="R942" t="inlineStr">
        <is>
          <t>DIRECCION COMERCIAL GUADALAJARA</t>
        </is>
      </c>
      <c r="S942" t="n">
        <v>41630</v>
      </c>
      <c r="T942" t="inlineStr">
        <is>
          <t>SUBDIRECCION COMERCIAL GUADALAJARA 3</t>
        </is>
      </c>
      <c r="U942" t="n">
        <v>416300</v>
      </c>
      <c r="V942" t="inlineStr">
        <is>
          <t>SUBDIRECCION COMERCIAL GUADALAJARA 3</t>
        </is>
      </c>
      <c r="W942" t="n">
        <v>126107</v>
      </c>
      <c r="X942" t="inlineStr">
        <is>
          <t>GUADALAJARA</t>
        </is>
      </c>
      <c r="Y942" t="n">
        <v>14</v>
      </c>
      <c r="Z942" t="inlineStr">
        <is>
          <t>TRANSACCIONAL</t>
        </is>
      </c>
      <c r="AA942" t="n">
        <v>1</v>
      </c>
      <c r="AB942" t="inlineStr">
        <is>
          <t>NEGOCIO EN MARCHA</t>
        </is>
      </c>
      <c r="AC942" t="n">
        <v>1</v>
      </c>
      <c r="AD942" t="inlineStr">
        <is>
          <t>BANCO</t>
        </is>
      </c>
      <c r="AE942" t="n">
        <v>3</v>
      </c>
      <c r="AF942" t="inlineStr">
        <is>
          <t>FRONT</t>
        </is>
      </c>
      <c r="AG942" t="n">
        <v>126107</v>
      </c>
      <c r="AH942" t="inlineStr">
        <is>
          <t>GUADALAJARA</t>
        </is>
      </c>
      <c r="AI942" t="inlineStr">
        <is>
          <t>AESPINOZA@BANCOBASE.COM</t>
        </is>
      </c>
      <c r="AJ942" s="151" t="n">
        <v>45033</v>
      </c>
      <c r="AK942" s="151" t="n"/>
      <c r="AL942" s="151" t="n"/>
    </row>
    <row r="943" hidden="1" s="150">
      <c r="A943" t="inlineStr">
        <is>
          <t>VORTIZ</t>
        </is>
      </c>
      <c r="B943" t="n">
        <v>2928</v>
      </c>
      <c r="C943" t="inlineStr">
        <is>
          <t>VALERIA ORTIZ QUINTERO</t>
        </is>
      </c>
      <c r="D943" t="n">
        <v>10084</v>
      </c>
      <c r="E943" t="inlineStr">
        <is>
          <t>ASISTENTE CAMBIARIO</t>
        </is>
      </c>
      <c r="F943" t="inlineStr">
        <is>
          <t>GUADALAJARA</t>
        </is>
      </c>
      <c r="G943" t="n">
        <v>3550</v>
      </c>
      <c r="H943" t="inlineStr">
        <is>
          <t>HUGO GUILLERMO VAZQUEZ AVILA</t>
        </is>
      </c>
      <c r="I943" t="n">
        <v>6082</v>
      </c>
      <c r="J943" t="inlineStr">
        <is>
          <t>SUBDIRECTOR COMERCIAL</t>
        </is>
      </c>
      <c r="K943" t="n">
        <v>1</v>
      </c>
      <c r="L943" t="inlineStr">
        <is>
          <t>PRESIDENCIA EJECUTIVA DEL CONSEJO</t>
        </is>
      </c>
      <c r="M943" t="n">
        <v>40</v>
      </c>
      <c r="N943" t="inlineStr">
        <is>
          <t>DIRECCION GENERAL BANCO BASE</t>
        </is>
      </c>
      <c r="O943" t="n">
        <v>410</v>
      </c>
      <c r="P943" t="inlineStr">
        <is>
          <t>DIRECCION COMERCIAL</t>
        </is>
      </c>
      <c r="Q943" t="n">
        <v>4570</v>
      </c>
      <c r="R943" t="inlineStr">
        <is>
          <t>DIRECCION COMERCIAL GUADALAJARA</t>
        </is>
      </c>
      <c r="S943" t="n">
        <v>41630</v>
      </c>
      <c r="T943" t="inlineStr">
        <is>
          <t>SUBDIRECCION COMERCIAL GUADALAJARA 3</t>
        </is>
      </c>
      <c r="U943" t="n">
        <v>416300</v>
      </c>
      <c r="V943" t="inlineStr">
        <is>
          <t>SUBDIRECCION COMERCIAL GUADALAJARA 3</t>
        </is>
      </c>
      <c r="W943" t="n">
        <v>126107</v>
      </c>
      <c r="X943" t="inlineStr">
        <is>
          <t>GUADALAJARA</t>
        </is>
      </c>
      <c r="Y943" t="n">
        <v>3</v>
      </c>
      <c r="Z943" t="inlineStr">
        <is>
          <t>CAMBIARIO</t>
        </is>
      </c>
      <c r="AA943" t="n">
        <v>1</v>
      </c>
      <c r="AB943" t="inlineStr">
        <is>
          <t>NEGOCIO EN MARCHA</t>
        </is>
      </c>
      <c r="AC943" t="n">
        <v>1</v>
      </c>
      <c r="AD943" t="inlineStr">
        <is>
          <t>BANCO</t>
        </is>
      </c>
      <c r="AE943" t="n">
        <v>2</v>
      </c>
      <c r="AF943" t="inlineStr">
        <is>
          <t>MIDDLE</t>
        </is>
      </c>
      <c r="AG943" t="n">
        <v>126107</v>
      </c>
      <c r="AH943" t="inlineStr">
        <is>
          <t>GUADALAJARA</t>
        </is>
      </c>
      <c r="AI943" t="inlineStr">
        <is>
          <t>VORTIZ@BANCOBASE.COM</t>
        </is>
      </c>
      <c r="AJ943" s="151" t="n">
        <v>45124</v>
      </c>
      <c r="AK943" s="151" t="n"/>
      <c r="AL943" s="151" t="n"/>
    </row>
    <row r="944" hidden="1" s="150">
      <c r="A944" t="inlineStr">
        <is>
          <t>LCARDENAS</t>
        </is>
      </c>
      <c r="B944" t="n">
        <v>1373</v>
      </c>
      <c r="C944" t="inlineStr">
        <is>
          <t>NALLELY LIZBETH CARDENAS CANTU</t>
        </is>
      </c>
      <c r="D944" t="n">
        <v>6038</v>
      </c>
      <c r="E944" t="inlineStr">
        <is>
          <t>ESPECIALISTA DE FINANCIAMIENTO</t>
        </is>
      </c>
      <c r="F944" t="inlineStr">
        <is>
          <t>GUADALAJARA</t>
        </is>
      </c>
      <c r="G944" t="n">
        <v>3550</v>
      </c>
      <c r="H944" t="inlineStr">
        <is>
          <t>HUGO GUILLERMO VAZQUEZ AVILA</t>
        </is>
      </c>
      <c r="I944" t="n">
        <v>6082</v>
      </c>
      <c r="J944" t="inlineStr">
        <is>
          <t>SUBDIRECTOR COMERCIAL</t>
        </is>
      </c>
      <c r="K944" t="n">
        <v>1</v>
      </c>
      <c r="L944" t="inlineStr">
        <is>
          <t>PRESIDENCIA EJECUTIVA DEL CONSEJO</t>
        </is>
      </c>
      <c r="M944" t="n">
        <v>40</v>
      </c>
      <c r="N944" t="inlineStr">
        <is>
          <t>DIRECCION GENERAL BANCO BASE</t>
        </is>
      </c>
      <c r="O944" t="n">
        <v>410</v>
      </c>
      <c r="P944" t="inlineStr">
        <is>
          <t>DIRECCION COMERCIAL</t>
        </is>
      </c>
      <c r="Q944" t="n">
        <v>4570</v>
      </c>
      <c r="R944" t="inlineStr">
        <is>
          <t>DIRECCION COMERCIAL GUADALAJARA</t>
        </is>
      </c>
      <c r="S944" t="n">
        <v>41630</v>
      </c>
      <c r="T944" t="inlineStr">
        <is>
          <t>SUBDIRECCION COMERCIAL GUADALAJARA 3</t>
        </is>
      </c>
      <c r="U944" t="n">
        <v>416300</v>
      </c>
      <c r="V944" t="inlineStr">
        <is>
          <t>SUBDIRECCION COMERCIAL GUADALAJARA 3</t>
        </is>
      </c>
      <c r="W944" t="n">
        <v>126107</v>
      </c>
      <c r="X944" t="inlineStr">
        <is>
          <t>GUADALAJARA</t>
        </is>
      </c>
      <c r="Y944" t="n">
        <v>13</v>
      </c>
      <c r="Z944" t="inlineStr">
        <is>
          <t>FINANCIAMIENTO</t>
        </is>
      </c>
      <c r="AA944" t="n">
        <v>1</v>
      </c>
      <c r="AB944" t="inlineStr">
        <is>
          <t>NEGOCIO EN MARCHA</t>
        </is>
      </c>
      <c r="AC944" t="n">
        <v>1</v>
      </c>
      <c r="AD944" t="inlineStr">
        <is>
          <t>BANCO</t>
        </is>
      </c>
      <c r="AE944" t="n">
        <v>3</v>
      </c>
      <c r="AF944" t="inlineStr">
        <is>
          <t>FRONT</t>
        </is>
      </c>
      <c r="AG944" t="n">
        <v>126107</v>
      </c>
      <c r="AH944" t="inlineStr">
        <is>
          <t>GUADALAJARA</t>
        </is>
      </c>
      <c r="AI944" t="inlineStr">
        <is>
          <t>LCARDENAS@BANCOBASE.COM</t>
        </is>
      </c>
      <c r="AJ944" s="151" t="n">
        <v>42278</v>
      </c>
      <c r="AK944" s="151" t="n"/>
      <c r="AL944" s="151" t="n"/>
    </row>
    <row r="945" hidden="1" s="150">
      <c r="A945" t="inlineStr">
        <is>
          <t>BGARCIAP</t>
        </is>
      </c>
      <c r="B945" t="n">
        <v>3639</v>
      </c>
      <c r="C945" t="inlineStr">
        <is>
          <t>BRAULIO HUMBERTO GARCIA PEREZ</t>
        </is>
      </c>
      <c r="D945" t="n">
        <v>8619</v>
      </c>
      <c r="E945" t="inlineStr">
        <is>
          <t>ASESOR CAMBIARIO</t>
        </is>
      </c>
      <c r="F945" t="inlineStr">
        <is>
          <t>GUADALAJARA</t>
        </is>
      </c>
      <c r="G945" t="n">
        <v>3550</v>
      </c>
      <c r="H945" t="inlineStr">
        <is>
          <t>HUGO GUILLERMO VAZQUEZ AVILA</t>
        </is>
      </c>
      <c r="I945" t="n">
        <v>6082</v>
      </c>
      <c r="J945" t="inlineStr">
        <is>
          <t>SUBDIRECTOR COMERCIAL</t>
        </is>
      </c>
      <c r="K945" t="n">
        <v>1</v>
      </c>
      <c r="L945" t="inlineStr">
        <is>
          <t>PRESIDENCIA EJECUTIVA DEL CONSEJO</t>
        </is>
      </c>
      <c r="M945" t="n">
        <v>40</v>
      </c>
      <c r="N945" t="inlineStr">
        <is>
          <t>DIRECCION GENERAL BANCO BASE</t>
        </is>
      </c>
      <c r="O945" t="n">
        <v>410</v>
      </c>
      <c r="P945" t="inlineStr">
        <is>
          <t>DIRECCION COMERCIAL</t>
        </is>
      </c>
      <c r="Q945" t="n">
        <v>4570</v>
      </c>
      <c r="R945" t="inlineStr">
        <is>
          <t>DIRECCION COMERCIAL GUADALAJARA</t>
        </is>
      </c>
      <c r="S945" t="n">
        <v>41630</v>
      </c>
      <c r="T945" t="inlineStr">
        <is>
          <t>SUBDIRECCION COMERCIAL GUADALAJARA 3</t>
        </is>
      </c>
      <c r="U945" t="n">
        <v>416300</v>
      </c>
      <c r="V945" t="inlineStr">
        <is>
          <t>SUBDIRECCION COMERCIAL GUADALAJARA 3</t>
        </is>
      </c>
      <c r="W945" t="n">
        <v>126107</v>
      </c>
      <c r="X945" t="inlineStr">
        <is>
          <t>GUADALAJARA</t>
        </is>
      </c>
      <c r="Y945" t="n">
        <v>3</v>
      </c>
      <c r="Z945" t="inlineStr">
        <is>
          <t>CAMBIARIO</t>
        </is>
      </c>
      <c r="AA945" t="n">
        <v>1</v>
      </c>
      <c r="AB945" t="inlineStr">
        <is>
          <t>NEGOCIO EN MARCHA</t>
        </is>
      </c>
      <c r="AC945" t="n">
        <v>1</v>
      </c>
      <c r="AD945" t="inlineStr">
        <is>
          <t>BANCO</t>
        </is>
      </c>
      <c r="AE945" t="n">
        <v>3</v>
      </c>
      <c r="AF945" t="inlineStr">
        <is>
          <t>FRONT</t>
        </is>
      </c>
      <c r="AG945" t="n">
        <v>126107</v>
      </c>
      <c r="AH945" t="inlineStr">
        <is>
          <t>GUADALAJARA</t>
        </is>
      </c>
      <c r="AI945" t="inlineStr">
        <is>
          <t>BGARCIAP@BANCOBASE.COM</t>
        </is>
      </c>
      <c r="AJ945" s="151" t="n">
        <v>45946</v>
      </c>
      <c r="AK945" s="151" t="n"/>
      <c r="AL945" s="151" t="n"/>
    </row>
    <row r="946" hidden="1" s="150">
      <c r="A946" t="inlineStr">
        <is>
          <t>EVARGASS</t>
        </is>
      </c>
      <c r="B946" t="n">
        <v>3551</v>
      </c>
      <c r="C946" t="inlineStr">
        <is>
          <t>ERNESTO VARGAS SANCHEZ</t>
        </is>
      </c>
      <c r="D946" t="n">
        <v>8767</v>
      </c>
      <c r="E946" t="inlineStr">
        <is>
          <t>ASISTENTE CAMBIARIO</t>
        </is>
      </c>
      <c r="F946" t="inlineStr">
        <is>
          <t>GUADALAJARA</t>
        </is>
      </c>
      <c r="G946" t="n">
        <v>3550</v>
      </c>
      <c r="H946" t="inlineStr">
        <is>
          <t>HUGO GUILLERMO VAZQUEZ AVILA</t>
        </is>
      </c>
      <c r="I946" t="n">
        <v>6082</v>
      </c>
      <c r="J946" t="inlineStr">
        <is>
          <t>SUBDIRECTOR COMERCIAL</t>
        </is>
      </c>
      <c r="K946" t="n">
        <v>1</v>
      </c>
      <c r="L946" t="inlineStr">
        <is>
          <t>PRESIDENCIA EJECUTIVA DEL CONSEJO</t>
        </is>
      </c>
      <c r="M946" t="n">
        <v>40</v>
      </c>
      <c r="N946" t="inlineStr">
        <is>
          <t>DIRECCION GENERAL BANCO BASE</t>
        </is>
      </c>
      <c r="O946" t="n">
        <v>410</v>
      </c>
      <c r="P946" t="inlineStr">
        <is>
          <t>DIRECCION COMERCIAL</t>
        </is>
      </c>
      <c r="Q946" t="n">
        <v>4570</v>
      </c>
      <c r="R946" t="inlineStr">
        <is>
          <t>DIRECCION COMERCIAL GUADALAJARA</t>
        </is>
      </c>
      <c r="S946" t="n">
        <v>41630</v>
      </c>
      <c r="T946" t="inlineStr">
        <is>
          <t>SUBDIRECCION COMERCIAL GUADALAJARA 3</t>
        </is>
      </c>
      <c r="U946" t="n">
        <v>416300</v>
      </c>
      <c r="V946" t="inlineStr">
        <is>
          <t>SUBDIRECCION COMERCIAL GUADALAJARA 3</t>
        </is>
      </c>
      <c r="W946" t="n">
        <v>126107</v>
      </c>
      <c r="X946" t="inlineStr">
        <is>
          <t>GUADALAJARA</t>
        </is>
      </c>
      <c r="Y946" t="n">
        <v>3</v>
      </c>
      <c r="Z946" t="inlineStr">
        <is>
          <t>CAMBIARIO</t>
        </is>
      </c>
      <c r="AA946" t="n">
        <v>1</v>
      </c>
      <c r="AB946" t="inlineStr">
        <is>
          <t>NEGOCIO EN MARCHA</t>
        </is>
      </c>
      <c r="AC946" t="n">
        <v>1</v>
      </c>
      <c r="AD946" t="inlineStr">
        <is>
          <t>BANCO</t>
        </is>
      </c>
      <c r="AE946" t="n">
        <v>2</v>
      </c>
      <c r="AF946" t="inlineStr">
        <is>
          <t>MIDDLE</t>
        </is>
      </c>
      <c r="AG946" t="n">
        <v>126107</v>
      </c>
      <c r="AH946" t="inlineStr">
        <is>
          <t>GUADALAJARA</t>
        </is>
      </c>
      <c r="AI946" t="inlineStr">
        <is>
          <t>EVARGASS@BANCOBASE.COM</t>
        </is>
      </c>
      <c r="AJ946" s="151" t="n">
        <v>45901</v>
      </c>
      <c r="AK946" s="151" t="n"/>
      <c r="AL946" s="151" t="n"/>
    </row>
    <row r="947" hidden="1" s="150">
      <c r="A947" t="inlineStr">
        <is>
          <t>CLASTIRI</t>
        </is>
      </c>
      <c r="B947" t="n">
        <v>1978</v>
      </c>
      <c r="C947" t="inlineStr">
        <is>
          <t>CHRISTIAN LASTIRI BRAMBILA</t>
        </is>
      </c>
      <c r="D947" t="n">
        <v>8805</v>
      </c>
      <c r="E947" t="inlineStr">
        <is>
          <t>SUBDIRECTOR COMERCIAL</t>
        </is>
      </c>
      <c r="F947" t="inlineStr">
        <is>
          <t>GUADALAJARA</t>
        </is>
      </c>
      <c r="G947" t="n">
        <v>1706</v>
      </c>
      <c r="H947" t="inlineStr">
        <is>
          <t>JUAN FERNANDO HINOJOSA CHAPA</t>
        </is>
      </c>
      <c r="I947" t="n">
        <v>91</v>
      </c>
      <c r="J947" t="inlineStr">
        <is>
          <t>DIRECTOR COMERCIAL GUADALAJARA</t>
        </is>
      </c>
      <c r="K947" t="n">
        <v>1</v>
      </c>
      <c r="L947" t="inlineStr">
        <is>
          <t>PRESIDENCIA EJECUTIVA DEL CONSEJO</t>
        </is>
      </c>
      <c r="M947" t="n">
        <v>40</v>
      </c>
      <c r="N947" t="inlineStr">
        <is>
          <t>DIRECCION GENERAL BANCO BASE</t>
        </is>
      </c>
      <c r="O947" t="n">
        <v>410</v>
      </c>
      <c r="P947" t="inlineStr">
        <is>
          <t>DIRECCION COMERCIAL</t>
        </is>
      </c>
      <c r="Q947" t="n">
        <v>4570</v>
      </c>
      <c r="R947" t="inlineStr">
        <is>
          <t>DIRECCION COMERCIAL GUADALAJARA</t>
        </is>
      </c>
      <c r="S947" t="n">
        <v>41660</v>
      </c>
      <c r="T947" t="inlineStr">
        <is>
          <t>SUBDIRECCION COMERCIAL GUADALAJARA 6</t>
        </is>
      </c>
      <c r="U947" t="n">
        <v>416600</v>
      </c>
      <c r="V947" t="inlineStr">
        <is>
          <t>SUBDIRECCION COMERCIAL GUADALAJARA 6</t>
        </is>
      </c>
      <c r="W947" t="n">
        <v>126107</v>
      </c>
      <c r="X947" t="inlineStr">
        <is>
          <t>GUADALAJARA</t>
        </is>
      </c>
      <c r="Y947" t="n">
        <v>3</v>
      </c>
      <c r="Z947" t="inlineStr">
        <is>
          <t>CAMBIARIO</t>
        </is>
      </c>
      <c r="AA947" t="n">
        <v>1</v>
      </c>
      <c r="AB947" t="inlineStr">
        <is>
          <t>NEGOCIO EN MARCHA</t>
        </is>
      </c>
      <c r="AC947" t="n">
        <v>1</v>
      </c>
      <c r="AD947" t="inlineStr">
        <is>
          <t>BANCO</t>
        </is>
      </c>
      <c r="AE947" t="n">
        <v>3</v>
      </c>
      <c r="AF947" t="inlineStr">
        <is>
          <t>FRONT</t>
        </is>
      </c>
      <c r="AG947" t="n">
        <v>126107</v>
      </c>
      <c r="AH947" t="inlineStr">
        <is>
          <t>GUADALAJARA</t>
        </is>
      </c>
      <c r="AI947" t="inlineStr">
        <is>
          <t>CLASTIRI@BANCOBASE.COM</t>
        </is>
      </c>
      <c r="AJ947" s="151" t="n">
        <v>43192</v>
      </c>
      <c r="AK947" s="151" t="n"/>
      <c r="AL947" s="151" t="n"/>
    </row>
    <row r="948" hidden="1" s="150">
      <c r="A948" t="inlineStr">
        <is>
          <t>EDELATORRE</t>
        </is>
      </c>
      <c r="B948" t="n">
        <v>3846</v>
      </c>
      <c r="C948" t="inlineStr">
        <is>
          <t>EDGAR ALEJANDRO DE LA TORRE GOMEZ</t>
        </is>
      </c>
      <c r="D948" t="n">
        <v>8797</v>
      </c>
      <c r="E948" t="inlineStr">
        <is>
          <t>ASESOR CAMBIARIO</t>
        </is>
      </c>
      <c r="F948" t="inlineStr">
        <is>
          <t>GUADALAJARA</t>
        </is>
      </c>
      <c r="G948" t="n">
        <v>1978</v>
      </c>
      <c r="H948" t="inlineStr">
        <is>
          <t>CHRISTIAN LASTIRI BRAMBILA</t>
        </is>
      </c>
      <c r="I948" t="n">
        <v>8805</v>
      </c>
      <c r="J948" t="inlineStr">
        <is>
          <t>SUBDIRECTOR COMERCIAL</t>
        </is>
      </c>
      <c r="K948" t="n">
        <v>1</v>
      </c>
      <c r="L948" t="inlineStr">
        <is>
          <t>PRESIDENCIA EJECUTIVA DEL CONSEJO</t>
        </is>
      </c>
      <c r="M948" t="n">
        <v>40</v>
      </c>
      <c r="N948" t="inlineStr">
        <is>
          <t>DIRECCION GENERAL BANCO BASE</t>
        </is>
      </c>
      <c r="O948" t="n">
        <v>410</v>
      </c>
      <c r="P948" t="inlineStr">
        <is>
          <t>DIRECCION COMERCIAL</t>
        </is>
      </c>
      <c r="Q948" t="n">
        <v>4570</v>
      </c>
      <c r="R948" t="inlineStr">
        <is>
          <t>DIRECCION COMERCIAL GUADALAJARA</t>
        </is>
      </c>
      <c r="S948" t="n">
        <v>41660</v>
      </c>
      <c r="T948" t="inlineStr">
        <is>
          <t>SUBDIRECCION COMERCIAL GUADALAJARA 6</t>
        </is>
      </c>
      <c r="U948" t="n">
        <v>416600</v>
      </c>
      <c r="V948" t="inlineStr">
        <is>
          <t>SUBDIRECCION COMERCIAL GUADALAJARA 6</t>
        </is>
      </c>
      <c r="W948" t="n">
        <v>126107</v>
      </c>
      <c r="X948" t="inlineStr">
        <is>
          <t>GUADALAJARA</t>
        </is>
      </c>
      <c r="Y948" t="n">
        <v>3</v>
      </c>
      <c r="Z948" t="inlineStr">
        <is>
          <t>CAMBIARIO</t>
        </is>
      </c>
      <c r="AA948" t="n">
        <v>1</v>
      </c>
      <c r="AB948" t="inlineStr">
        <is>
          <t>NEGOCIO EN MARCHA</t>
        </is>
      </c>
      <c r="AC948" t="n">
        <v>1</v>
      </c>
      <c r="AD948" t="inlineStr">
        <is>
          <t>BANCO</t>
        </is>
      </c>
      <c r="AE948" t="n">
        <v>3</v>
      </c>
      <c r="AF948" t="inlineStr">
        <is>
          <t>FRONT</t>
        </is>
      </c>
      <c r="AG948" t="n">
        <v>126107</v>
      </c>
      <c r="AH948" t="inlineStr">
        <is>
          <t>GUADALAJARA</t>
        </is>
      </c>
      <c r="AI948" t="inlineStr">
        <is>
          <t>EDELATORRE@BANCOBASE.COM</t>
        </is>
      </c>
      <c r="AJ948" s="151" t="n">
        <v>46146</v>
      </c>
      <c r="AK948" s="151" t="n"/>
      <c r="AL948" s="151" t="n"/>
    </row>
    <row r="949" hidden="1" s="150">
      <c r="A949" t="inlineStr">
        <is>
          <t>GRAMIREZ</t>
        </is>
      </c>
      <c r="B949" t="n">
        <v>3842</v>
      </c>
      <c r="C949" t="inlineStr">
        <is>
          <t>GABRIELA ABELINA RAMIREZ REYES</t>
        </is>
      </c>
      <c r="D949" t="n">
        <v>8796</v>
      </c>
      <c r="E949" t="inlineStr">
        <is>
          <t>ASESOR CAMBIARIO</t>
        </is>
      </c>
      <c r="F949" t="inlineStr">
        <is>
          <t>GUADALAJARA</t>
        </is>
      </c>
      <c r="G949" t="n">
        <v>1978</v>
      </c>
      <c r="H949" t="inlineStr">
        <is>
          <t>CHRISTIAN LASTIRI BRAMBILA</t>
        </is>
      </c>
      <c r="I949" t="n">
        <v>8805</v>
      </c>
      <c r="J949" t="inlineStr">
        <is>
          <t>SUBDIRECTOR COMERCIAL</t>
        </is>
      </c>
      <c r="K949" t="n">
        <v>1</v>
      </c>
      <c r="L949" t="inlineStr">
        <is>
          <t>PRESIDENCIA EJECUTIVA DEL CONSEJO</t>
        </is>
      </c>
      <c r="M949" t="n">
        <v>40</v>
      </c>
      <c r="N949" t="inlineStr">
        <is>
          <t>DIRECCION GENERAL BANCO BASE</t>
        </is>
      </c>
      <c r="O949" t="n">
        <v>410</v>
      </c>
      <c r="P949" t="inlineStr">
        <is>
          <t>DIRECCION COMERCIAL</t>
        </is>
      </c>
      <c r="Q949" t="n">
        <v>4570</v>
      </c>
      <c r="R949" t="inlineStr">
        <is>
          <t>DIRECCION COMERCIAL GUADALAJARA</t>
        </is>
      </c>
      <c r="S949" t="n">
        <v>41660</v>
      </c>
      <c r="T949" t="inlineStr">
        <is>
          <t>SUBDIRECCION COMERCIAL GUADALAJARA 6</t>
        </is>
      </c>
      <c r="U949" t="n">
        <v>416600</v>
      </c>
      <c r="V949" t="inlineStr">
        <is>
          <t>SUBDIRECCION COMERCIAL GUADALAJARA 6</t>
        </is>
      </c>
      <c r="W949" t="n">
        <v>126107</v>
      </c>
      <c r="X949" t="inlineStr">
        <is>
          <t>GUADALAJARA</t>
        </is>
      </c>
      <c r="Y949" t="n">
        <v>3</v>
      </c>
      <c r="Z949" t="inlineStr">
        <is>
          <t>CAMBIARIO</t>
        </is>
      </c>
      <c r="AA949" t="n">
        <v>1</v>
      </c>
      <c r="AB949" t="inlineStr">
        <is>
          <t>NEGOCIO EN MARCHA</t>
        </is>
      </c>
      <c r="AC949" t="n">
        <v>1</v>
      </c>
      <c r="AD949" t="inlineStr">
        <is>
          <t>BANCO</t>
        </is>
      </c>
      <c r="AE949" t="n">
        <v>3</v>
      </c>
      <c r="AF949" t="inlineStr">
        <is>
          <t>FRONT</t>
        </is>
      </c>
      <c r="AG949" t="n">
        <v>126107</v>
      </c>
      <c r="AH949" t="inlineStr">
        <is>
          <t>GUADALAJARA</t>
        </is>
      </c>
      <c r="AI949" t="inlineStr">
        <is>
          <t>GRAMIREZ@BANCOBASE.COM</t>
        </is>
      </c>
      <c r="AJ949" s="151" t="n">
        <v>46146</v>
      </c>
      <c r="AK949" s="151" t="n"/>
      <c r="AL949" s="151" t="n"/>
    </row>
    <row r="950" hidden="1" s="150">
      <c r="A950" t="inlineStr">
        <is>
          <t>JCHAN</t>
        </is>
      </c>
      <c r="B950" t="n">
        <v>2762</v>
      </c>
      <c r="C950" t="inlineStr">
        <is>
          <t>JUAN CARLOS CHAN FELIX</t>
        </is>
      </c>
      <c r="D950" t="n">
        <v>8795</v>
      </c>
      <c r="E950" t="inlineStr">
        <is>
          <t>ASESOR CAMBIARIO</t>
        </is>
      </c>
      <c r="F950" t="inlineStr">
        <is>
          <t>GUADALAJARA</t>
        </is>
      </c>
      <c r="G950" t="n">
        <v>1978</v>
      </c>
      <c r="H950" t="inlineStr">
        <is>
          <t>CHRISTIAN LASTIRI BRAMBILA</t>
        </is>
      </c>
      <c r="I950" t="n">
        <v>8805</v>
      </c>
      <c r="J950" t="inlineStr">
        <is>
          <t>SUBDIRECTOR COMERCIAL</t>
        </is>
      </c>
      <c r="K950" t="n">
        <v>1</v>
      </c>
      <c r="L950" t="inlineStr">
        <is>
          <t>PRESIDENCIA EJECUTIVA DEL CONSEJO</t>
        </is>
      </c>
      <c r="M950" t="n">
        <v>40</v>
      </c>
      <c r="N950" t="inlineStr">
        <is>
          <t>DIRECCION GENERAL BANCO BASE</t>
        </is>
      </c>
      <c r="O950" t="n">
        <v>410</v>
      </c>
      <c r="P950" t="inlineStr">
        <is>
          <t>DIRECCION COMERCIAL</t>
        </is>
      </c>
      <c r="Q950" t="n">
        <v>4570</v>
      </c>
      <c r="R950" t="inlineStr">
        <is>
          <t>DIRECCION COMERCIAL GUADALAJARA</t>
        </is>
      </c>
      <c r="S950" t="n">
        <v>41660</v>
      </c>
      <c r="T950" t="inlineStr">
        <is>
          <t>SUBDIRECCION COMERCIAL GUADALAJARA 6</t>
        </is>
      </c>
      <c r="U950" t="n">
        <v>416600</v>
      </c>
      <c r="V950" t="inlineStr">
        <is>
          <t>SUBDIRECCION COMERCIAL GUADALAJARA 6</t>
        </is>
      </c>
      <c r="W950" t="n">
        <v>126107</v>
      </c>
      <c r="X950" t="inlineStr">
        <is>
          <t>GUADALAJARA</t>
        </is>
      </c>
      <c r="Y950" t="n">
        <v>3</v>
      </c>
      <c r="Z950" t="inlineStr">
        <is>
          <t>CAMBIARIO</t>
        </is>
      </c>
      <c r="AA950" t="n">
        <v>1</v>
      </c>
      <c r="AB950" t="inlineStr">
        <is>
          <t>NEGOCIO EN MARCHA</t>
        </is>
      </c>
      <c r="AC950" t="n">
        <v>1</v>
      </c>
      <c r="AD950" t="inlineStr">
        <is>
          <t>BANCO</t>
        </is>
      </c>
      <c r="AE950" t="n">
        <v>3</v>
      </c>
      <c r="AF950" t="inlineStr">
        <is>
          <t>FRONT</t>
        </is>
      </c>
      <c r="AG950" t="n">
        <v>126107</v>
      </c>
      <c r="AH950" t="inlineStr">
        <is>
          <t>GUADALAJARA</t>
        </is>
      </c>
      <c r="AI950" t="inlineStr">
        <is>
          <t>JCHAN@BANCOBASE.COM</t>
        </is>
      </c>
      <c r="AJ950" s="151" t="n">
        <v>44866</v>
      </c>
      <c r="AK950" s="151" t="n"/>
      <c r="AL950" s="151" t="n"/>
    </row>
    <row r="951" hidden="1" s="150">
      <c r="A951" t="inlineStr">
        <is>
          <t>HMENDOZAF</t>
        </is>
      </c>
      <c r="B951" t="n">
        <v>3857</v>
      </c>
      <c r="C951" t="inlineStr">
        <is>
          <t>HANNEA MENDOZA FELIX</t>
        </is>
      </c>
      <c r="D951" t="n">
        <v>8803</v>
      </c>
      <c r="E951" t="inlineStr">
        <is>
          <t>ASISTENTE CAMBIARIO</t>
        </is>
      </c>
      <c r="F951" t="inlineStr">
        <is>
          <t>GUADALAJARA</t>
        </is>
      </c>
      <c r="G951" t="n">
        <v>1978</v>
      </c>
      <c r="H951" t="inlineStr">
        <is>
          <t>CHRISTIAN LASTIRI BRAMBILA</t>
        </is>
      </c>
      <c r="I951" t="n">
        <v>8805</v>
      </c>
      <c r="J951" t="inlineStr">
        <is>
          <t>SUBDIRECTOR COMERCIAL</t>
        </is>
      </c>
      <c r="K951" t="n">
        <v>1</v>
      </c>
      <c r="L951" t="inlineStr">
        <is>
          <t>PRESIDENCIA EJECUTIVA DEL CONSEJO</t>
        </is>
      </c>
      <c r="M951" t="n">
        <v>40</v>
      </c>
      <c r="N951" t="inlineStr">
        <is>
          <t>DIRECCION GENERAL BANCO BASE</t>
        </is>
      </c>
      <c r="O951" t="n">
        <v>410</v>
      </c>
      <c r="P951" t="inlineStr">
        <is>
          <t>DIRECCION COMERCIAL</t>
        </is>
      </c>
      <c r="Q951" t="n">
        <v>4570</v>
      </c>
      <c r="R951" t="inlineStr">
        <is>
          <t>DIRECCION COMERCIAL GUADALAJARA</t>
        </is>
      </c>
      <c r="S951" t="n">
        <v>41660</v>
      </c>
      <c r="T951" t="inlineStr">
        <is>
          <t>SUBDIRECCION COMERCIAL GUADALAJARA 6</t>
        </is>
      </c>
      <c r="U951" t="n">
        <v>416600</v>
      </c>
      <c r="V951" t="inlineStr">
        <is>
          <t>SUBDIRECCION COMERCIAL GUADALAJARA 6</t>
        </is>
      </c>
      <c r="W951" t="n">
        <v>126107</v>
      </c>
      <c r="X951" t="inlineStr">
        <is>
          <t>GUADALAJARA</t>
        </is>
      </c>
      <c r="Y951" t="n">
        <v>3</v>
      </c>
      <c r="Z951" t="inlineStr">
        <is>
          <t>CAMBIARIO</t>
        </is>
      </c>
      <c r="AA951" t="n">
        <v>1</v>
      </c>
      <c r="AB951" t="inlineStr">
        <is>
          <t>NEGOCIO EN MARCHA</t>
        </is>
      </c>
      <c r="AC951" t="n">
        <v>1</v>
      </c>
      <c r="AD951" t="inlineStr">
        <is>
          <t>BANCO</t>
        </is>
      </c>
      <c r="AE951" t="n">
        <v>2</v>
      </c>
      <c r="AF951" t="inlineStr">
        <is>
          <t>MIDDLE</t>
        </is>
      </c>
      <c r="AG951" t="n">
        <v>126107</v>
      </c>
      <c r="AH951" t="inlineStr">
        <is>
          <t>GUADALAJARA</t>
        </is>
      </c>
      <c r="AI951" t="inlineStr">
        <is>
          <t>HMENDOZAF@BANCOBASE.COM</t>
        </is>
      </c>
      <c r="AJ951" s="151" t="n">
        <v>46146</v>
      </c>
      <c r="AK951" s="151" t="n"/>
      <c r="AL951" s="151" t="n"/>
    </row>
    <row r="952" hidden="1" s="150">
      <c r="A952" t="inlineStr">
        <is>
          <t>ACHAVEZN</t>
        </is>
      </c>
      <c r="B952" t="n">
        <v>3863</v>
      </c>
      <c r="C952" t="inlineStr">
        <is>
          <t>ALONDRA CHAVEZ NEGRETE</t>
        </is>
      </c>
      <c r="D952" t="n">
        <v>8804</v>
      </c>
      <c r="E952" t="inlineStr">
        <is>
          <t>ESPECIALISTA DE BANCA TRANSACCIONAL</t>
        </is>
      </c>
      <c r="F952" t="inlineStr">
        <is>
          <t>GUADALAJARA</t>
        </is>
      </c>
      <c r="G952" t="n">
        <v>1978</v>
      </c>
      <c r="H952" t="inlineStr">
        <is>
          <t>CHRISTIAN LASTIRI BRAMBILA</t>
        </is>
      </c>
      <c r="I952" t="n">
        <v>8805</v>
      </c>
      <c r="J952" t="inlineStr">
        <is>
          <t>SUBDIRECTOR COMERCIAL</t>
        </is>
      </c>
      <c r="K952" t="n">
        <v>1</v>
      </c>
      <c r="L952" t="inlineStr">
        <is>
          <t>PRESIDENCIA EJECUTIVA DEL CONSEJO</t>
        </is>
      </c>
      <c r="M952" t="n">
        <v>40</v>
      </c>
      <c r="N952" t="inlineStr">
        <is>
          <t>DIRECCION GENERAL BANCO BASE</t>
        </is>
      </c>
      <c r="O952" t="n">
        <v>410</v>
      </c>
      <c r="P952" t="inlineStr">
        <is>
          <t>DIRECCION COMERCIAL</t>
        </is>
      </c>
      <c r="Q952" t="n">
        <v>4570</v>
      </c>
      <c r="R952" t="inlineStr">
        <is>
          <t>DIRECCION COMERCIAL GUADALAJARA</t>
        </is>
      </c>
      <c r="S952" t="n">
        <v>41660</v>
      </c>
      <c r="T952" t="inlineStr">
        <is>
          <t>SUBDIRECCION COMERCIAL GUADALAJARA 6</t>
        </is>
      </c>
      <c r="U952" t="n">
        <v>416600</v>
      </c>
      <c r="V952" t="inlineStr">
        <is>
          <t>SUBDIRECCION COMERCIAL GUADALAJARA 6</t>
        </is>
      </c>
      <c r="W952" t="n">
        <v>126107</v>
      </c>
      <c r="X952" t="inlineStr">
        <is>
          <t>GUADALAJARA</t>
        </is>
      </c>
      <c r="Y952" t="n">
        <v>14</v>
      </c>
      <c r="Z952" t="inlineStr">
        <is>
          <t>TRANSACCIONAL</t>
        </is>
      </c>
      <c r="AA952" t="n">
        <v>1</v>
      </c>
      <c r="AB952" t="inlineStr">
        <is>
          <t>NEGOCIO EN MARCHA</t>
        </is>
      </c>
      <c r="AC952" t="n">
        <v>1</v>
      </c>
      <c r="AD952" t="inlineStr">
        <is>
          <t>BANCO</t>
        </is>
      </c>
      <c r="AE952" t="n">
        <v>3</v>
      </c>
      <c r="AF952" t="inlineStr">
        <is>
          <t>FRONT</t>
        </is>
      </c>
      <c r="AG952" t="n">
        <v>126107</v>
      </c>
      <c r="AH952" t="inlineStr">
        <is>
          <t>GUADALAJARA</t>
        </is>
      </c>
      <c r="AI952" t="inlineStr">
        <is>
          <t>ACHAVEZN@BANCOBASE.COM</t>
        </is>
      </c>
      <c r="AJ952" s="151" t="n">
        <v>46160</v>
      </c>
      <c r="AK952" s="151" t="n"/>
      <c r="AL952" s="151" t="n"/>
    </row>
    <row r="953" hidden="1" s="150">
      <c r="A953" t="inlineStr">
        <is>
          <t>HPRADO</t>
        </is>
      </c>
      <c r="B953" t="n">
        <v>3957</v>
      </c>
      <c r="C953" t="inlineStr">
        <is>
          <t>HECTOR PRADO TAMAYO</t>
        </is>
      </c>
      <c r="D953" t="n">
        <v>8800</v>
      </c>
      <c r="E953" t="inlineStr">
        <is>
          <t>ASESOR CAMBIARIO</t>
        </is>
      </c>
      <c r="F953" t="inlineStr">
        <is>
          <t>GUADALAJARA</t>
        </is>
      </c>
      <c r="G953" t="n">
        <v>1978</v>
      </c>
      <c r="H953" t="inlineStr">
        <is>
          <t>CHRISTIAN LASTIRI BRAMBILA</t>
        </is>
      </c>
      <c r="I953" t="n">
        <v>8805</v>
      </c>
      <c r="J953" t="inlineStr">
        <is>
          <t>SUBDIRECTOR COMERCIAL</t>
        </is>
      </c>
      <c r="K953" t="n">
        <v>1</v>
      </c>
      <c r="L953" t="inlineStr">
        <is>
          <t>PRESIDENCIA EJECUTIVA DEL CONSEJO</t>
        </is>
      </c>
      <c r="M953" t="n">
        <v>40</v>
      </c>
      <c r="N953" t="inlineStr">
        <is>
          <t>DIRECCION GENERAL BANCO BASE</t>
        </is>
      </c>
      <c r="O953" t="n">
        <v>410</v>
      </c>
      <c r="P953" t="inlineStr">
        <is>
          <t>DIRECCION COMERCIAL</t>
        </is>
      </c>
      <c r="Q953" t="n">
        <v>4570</v>
      </c>
      <c r="R953" t="inlineStr">
        <is>
          <t>DIRECCION COMERCIAL GUADALAJARA</t>
        </is>
      </c>
      <c r="S953" t="n">
        <v>41660</v>
      </c>
      <c r="T953" t="inlineStr">
        <is>
          <t>SUBDIRECCION COMERCIAL GUADALAJARA 6</t>
        </is>
      </c>
      <c r="U953" t="n">
        <v>416600</v>
      </c>
      <c r="V953" t="inlineStr">
        <is>
          <t>SUBDIRECCION COMERCIAL GUADALAJARA 6</t>
        </is>
      </c>
      <c r="W953" t="n">
        <v>126107</v>
      </c>
      <c r="X953" t="inlineStr">
        <is>
          <t>GUADALAJARA</t>
        </is>
      </c>
      <c r="Y953" t="n">
        <v>3</v>
      </c>
      <c r="Z953" t="inlineStr">
        <is>
          <t>CAMBIARIO</t>
        </is>
      </c>
      <c r="AA953" t="n">
        <v>1</v>
      </c>
      <c r="AB953" t="inlineStr">
        <is>
          <t>NEGOCIO EN MARCHA</t>
        </is>
      </c>
      <c r="AC953" t="n">
        <v>1</v>
      </c>
      <c r="AD953" t="inlineStr">
        <is>
          <t>BANCO</t>
        </is>
      </c>
      <c r="AE953" t="n">
        <v>3</v>
      </c>
      <c r="AF953" t="inlineStr">
        <is>
          <t>FRONT</t>
        </is>
      </c>
      <c r="AG953" t="n">
        <v>126107</v>
      </c>
      <c r="AH953" t="inlineStr">
        <is>
          <t>GUADALAJARA</t>
        </is>
      </c>
      <c r="AI953" t="inlineStr">
        <is>
          <t>HPRADO@BANCOBASE.COM</t>
        </is>
      </c>
      <c r="AJ953" s="151" t="n">
        <v>46237</v>
      </c>
      <c r="AK953" s="151" t="n"/>
      <c r="AL953" s="151" t="n"/>
    </row>
    <row r="954" hidden="1" s="150">
      <c r="A954" t="inlineStr">
        <is>
          <t>IIRABURO</t>
        </is>
      </c>
      <c r="B954" t="n">
        <v>3939</v>
      </c>
      <c r="C954" t="inlineStr">
        <is>
          <t>IVANA IRABURO CRUZ</t>
        </is>
      </c>
      <c r="D954" t="n">
        <v>8798</v>
      </c>
      <c r="E954" t="inlineStr">
        <is>
          <t>ASESOR CAMBIARIO</t>
        </is>
      </c>
      <c r="F954" t="inlineStr">
        <is>
          <t>GUADALAJARA</t>
        </is>
      </c>
      <c r="G954" t="n">
        <v>1978</v>
      </c>
      <c r="H954" t="inlineStr">
        <is>
          <t>CHRISTIAN LASTIRI BRAMBILA</t>
        </is>
      </c>
      <c r="I954" t="n">
        <v>8805</v>
      </c>
      <c r="J954" t="inlineStr">
        <is>
          <t>SUBDIRECTOR COMERCIAL</t>
        </is>
      </c>
      <c r="K954" t="n">
        <v>1</v>
      </c>
      <c r="L954" t="inlineStr">
        <is>
          <t>PRESIDENCIA EJECUTIVA DEL CONSEJO</t>
        </is>
      </c>
      <c r="M954" t="n">
        <v>40</v>
      </c>
      <c r="N954" t="inlineStr">
        <is>
          <t>DIRECCION GENERAL BANCO BASE</t>
        </is>
      </c>
      <c r="O954" t="n">
        <v>410</v>
      </c>
      <c r="P954" t="inlineStr">
        <is>
          <t>DIRECCION COMERCIAL</t>
        </is>
      </c>
      <c r="Q954" t="n">
        <v>4570</v>
      </c>
      <c r="R954" t="inlineStr">
        <is>
          <t>DIRECCION COMERCIAL GUADALAJARA</t>
        </is>
      </c>
      <c r="S954" t="n">
        <v>41660</v>
      </c>
      <c r="T954" t="inlineStr">
        <is>
          <t>SUBDIRECCION COMERCIAL GUADALAJARA 6</t>
        </is>
      </c>
      <c r="U954" t="n">
        <v>416600</v>
      </c>
      <c r="V954" t="inlineStr">
        <is>
          <t>SUBDIRECCION COMERCIAL GUADALAJARA 6</t>
        </is>
      </c>
      <c r="W954" t="n">
        <v>126107</v>
      </c>
      <c r="X954" t="inlineStr">
        <is>
          <t>GUADALAJARA</t>
        </is>
      </c>
      <c r="Y954" t="n">
        <v>3</v>
      </c>
      <c r="Z954" t="inlineStr">
        <is>
          <t>CAMBIARIO</t>
        </is>
      </c>
      <c r="AA954" t="n">
        <v>1</v>
      </c>
      <c r="AB954" t="inlineStr">
        <is>
          <t>NEGOCIO EN MARCHA</t>
        </is>
      </c>
      <c r="AC954" t="n">
        <v>1</v>
      </c>
      <c r="AD954" t="inlineStr">
        <is>
          <t>BANCO</t>
        </is>
      </c>
      <c r="AE954" t="n">
        <v>3</v>
      </c>
      <c r="AF954" t="inlineStr">
        <is>
          <t>FRONT</t>
        </is>
      </c>
      <c r="AG954" t="n">
        <v>126107</v>
      </c>
      <c r="AH954" t="inlineStr">
        <is>
          <t>GUADALAJARA</t>
        </is>
      </c>
      <c r="AI954" t="inlineStr">
        <is>
          <t>IIRABURO@BANCOBASE.COM</t>
        </is>
      </c>
      <c r="AJ954" s="151" t="n">
        <v>46219</v>
      </c>
      <c r="AK954" s="151" t="n"/>
      <c r="AL954" s="151" t="n"/>
    </row>
    <row r="955" hidden="1" s="150">
      <c r="A955" t="inlineStr">
        <is>
          <t>JTENORIO</t>
        </is>
      </c>
      <c r="B955" t="n">
        <v>3956</v>
      </c>
      <c r="C955" t="inlineStr">
        <is>
          <t>JUAN RAMON TENORIO GOMEZ</t>
        </is>
      </c>
      <c r="D955" t="n">
        <v>8799</v>
      </c>
      <c r="E955" t="inlineStr">
        <is>
          <t>ASESOR CAMBIARIO</t>
        </is>
      </c>
      <c r="F955" t="inlineStr">
        <is>
          <t>GUADALAJARA</t>
        </is>
      </c>
      <c r="G955" t="n">
        <v>1978</v>
      </c>
      <c r="H955" t="inlineStr">
        <is>
          <t>CHRISTIAN LASTIRI BRAMBILA</t>
        </is>
      </c>
      <c r="I955" t="n">
        <v>8805</v>
      </c>
      <c r="J955" t="inlineStr">
        <is>
          <t>SUBDIRECTOR COMERCIAL</t>
        </is>
      </c>
      <c r="K955" t="n">
        <v>1</v>
      </c>
      <c r="L955" t="inlineStr">
        <is>
          <t>PRESIDENCIA EJECUTIVA DEL CONSEJO</t>
        </is>
      </c>
      <c r="M955" t="n">
        <v>40</v>
      </c>
      <c r="N955" t="inlineStr">
        <is>
          <t>DIRECCION GENERAL BANCO BASE</t>
        </is>
      </c>
      <c r="O955" t="n">
        <v>410</v>
      </c>
      <c r="P955" t="inlineStr">
        <is>
          <t>DIRECCION COMERCIAL</t>
        </is>
      </c>
      <c r="Q955" t="n">
        <v>4570</v>
      </c>
      <c r="R955" t="inlineStr">
        <is>
          <t>DIRECCION COMERCIAL GUADALAJARA</t>
        </is>
      </c>
      <c r="S955" t="n">
        <v>41660</v>
      </c>
      <c r="T955" t="inlineStr">
        <is>
          <t>SUBDIRECCION COMERCIAL GUADALAJARA 6</t>
        </is>
      </c>
      <c r="U955" t="n">
        <v>416600</v>
      </c>
      <c r="V955" t="inlineStr">
        <is>
          <t>SUBDIRECCION COMERCIAL GUADALAJARA 6</t>
        </is>
      </c>
      <c r="W955" t="n">
        <v>126107</v>
      </c>
      <c r="X955" t="inlineStr">
        <is>
          <t>GUADALAJARA</t>
        </is>
      </c>
      <c r="Y955" t="n">
        <v>3</v>
      </c>
      <c r="Z955" t="inlineStr">
        <is>
          <t>CAMBIARIO</t>
        </is>
      </c>
      <c r="AA955" t="n">
        <v>1</v>
      </c>
      <c r="AB955" t="inlineStr">
        <is>
          <t>NEGOCIO EN MARCHA</t>
        </is>
      </c>
      <c r="AC955" t="n">
        <v>1</v>
      </c>
      <c r="AD955" t="inlineStr">
        <is>
          <t>BANCO</t>
        </is>
      </c>
      <c r="AE955" t="n">
        <v>3</v>
      </c>
      <c r="AF955" t="inlineStr">
        <is>
          <t>FRONT</t>
        </is>
      </c>
      <c r="AG955" t="n">
        <v>126107</v>
      </c>
      <c r="AH955" t="inlineStr">
        <is>
          <t>GUADALAJARA</t>
        </is>
      </c>
      <c r="AI955" t="inlineStr">
        <is>
          <t>JTENORIO@BANCOBASE.COM</t>
        </is>
      </c>
      <c r="AJ955" s="151" t="n">
        <v>46237</v>
      </c>
      <c r="AK955" s="151" t="n"/>
      <c r="AL955" s="151" t="n"/>
    </row>
    <row r="956" hidden="1" s="150">
      <c r="A956" t="inlineStr">
        <is>
          <t>RPERALTA</t>
        </is>
      </c>
      <c r="B956" t="n">
        <v>2023</v>
      </c>
      <c r="C956" t="inlineStr">
        <is>
          <t>ROBERTO ALFONSO PERALTA SERRANO</t>
        </is>
      </c>
      <c r="D956" t="n">
        <v>8223</v>
      </c>
      <c r="E956" t="inlineStr">
        <is>
          <t>SUBDIRECTOR COMERCIAL</t>
        </is>
      </c>
      <c r="F956" t="inlineStr">
        <is>
          <t>GUADALAJARA</t>
        </is>
      </c>
      <c r="G956" t="n">
        <v>1706</v>
      </c>
      <c r="H956" t="inlineStr">
        <is>
          <t>JUAN FERNANDO HINOJOSA CHAPA</t>
        </is>
      </c>
      <c r="I956" t="n">
        <v>91</v>
      </c>
      <c r="J956" t="inlineStr">
        <is>
          <t>DIRECTOR COMERCIAL GUADALAJARA</t>
        </is>
      </c>
      <c r="K956" t="n">
        <v>1</v>
      </c>
      <c r="L956" t="inlineStr">
        <is>
          <t>PRESIDENCIA EJECUTIVA DEL CONSEJO</t>
        </is>
      </c>
      <c r="M956" t="n">
        <v>40</v>
      </c>
      <c r="N956" t="inlineStr">
        <is>
          <t>DIRECCION GENERAL BANCO BASE</t>
        </is>
      </c>
      <c r="O956" t="n">
        <v>410</v>
      </c>
      <c r="P956" t="inlineStr">
        <is>
          <t>DIRECCION COMERCIAL</t>
        </is>
      </c>
      <c r="Q956" t="n">
        <v>4570</v>
      </c>
      <c r="R956" t="inlineStr">
        <is>
          <t>DIRECCION COMERCIAL GUADALAJARA</t>
        </is>
      </c>
      <c r="S956" t="n">
        <v>41620</v>
      </c>
      <c r="T956" t="inlineStr">
        <is>
          <t>SUBDIRECCION COMERCIAL GUADALAJARA 2</t>
        </is>
      </c>
      <c r="U956" t="n">
        <v>416200</v>
      </c>
      <c r="V956" t="inlineStr">
        <is>
          <t>SUBDIRECCION COMERCIAL GUADALAJARA 2</t>
        </is>
      </c>
      <c r="W956" t="n">
        <v>126107</v>
      </c>
      <c r="X956" t="inlineStr">
        <is>
          <t>GUADALAJARA</t>
        </is>
      </c>
      <c r="Y956" t="n">
        <v>3</v>
      </c>
      <c r="Z956" t="inlineStr">
        <is>
          <t>CAMBIARIO</t>
        </is>
      </c>
      <c r="AA956" t="n">
        <v>1</v>
      </c>
      <c r="AB956" t="inlineStr">
        <is>
          <t>NEGOCIO EN MARCHA</t>
        </is>
      </c>
      <c r="AC956" t="n">
        <v>1</v>
      </c>
      <c r="AD956" t="inlineStr">
        <is>
          <t>BANCO</t>
        </is>
      </c>
      <c r="AE956" t="n">
        <v>3</v>
      </c>
      <c r="AF956" t="inlineStr">
        <is>
          <t>FRONT</t>
        </is>
      </c>
      <c r="AG956" t="n">
        <v>126107</v>
      </c>
      <c r="AH956" t="inlineStr">
        <is>
          <t>GUADALAJARA</t>
        </is>
      </c>
      <c r="AI956" t="inlineStr">
        <is>
          <t>RPERALTA@BANCOBASE.COM</t>
        </is>
      </c>
      <c r="AJ956" s="151" t="n">
        <v>43252</v>
      </c>
      <c r="AK956" s="151" t="n"/>
      <c r="AL956" s="151" t="n"/>
    </row>
    <row r="957" hidden="1" s="150">
      <c r="A957" t="inlineStr">
        <is>
          <t>BOCHOA</t>
        </is>
      </c>
      <c r="B957" t="n">
        <v>3637</v>
      </c>
      <c r="C957" t="inlineStr">
        <is>
          <t>BRYAN DAVID OCHOA SANTOS</t>
        </is>
      </c>
      <c r="D957" t="n">
        <v>8964</v>
      </c>
      <c r="E957" t="inlineStr">
        <is>
          <t>ASESOR CAMBIARIO</t>
        </is>
      </c>
      <c r="F957" t="inlineStr">
        <is>
          <t>GUADALAJARA</t>
        </is>
      </c>
      <c r="G957" t="n">
        <v>2023</v>
      </c>
      <c r="H957" t="inlineStr">
        <is>
          <t>ROBERTO ALFONSO PERALTA SERRANO</t>
        </is>
      </c>
      <c r="I957" t="n">
        <v>8223</v>
      </c>
      <c r="J957" t="inlineStr">
        <is>
          <t>SUBDIRECTOR COMERCIAL</t>
        </is>
      </c>
      <c r="K957" t="n">
        <v>1</v>
      </c>
      <c r="L957" t="inlineStr">
        <is>
          <t>PRESIDENCIA EJECUTIVA DEL CONSEJO</t>
        </is>
      </c>
      <c r="M957" t="n">
        <v>40</v>
      </c>
      <c r="N957" t="inlineStr">
        <is>
          <t>DIRECCION GENERAL BANCO BASE</t>
        </is>
      </c>
      <c r="O957" t="n">
        <v>410</v>
      </c>
      <c r="P957" t="inlineStr">
        <is>
          <t>DIRECCION COMERCIAL</t>
        </is>
      </c>
      <c r="Q957" t="n">
        <v>4570</v>
      </c>
      <c r="R957" t="inlineStr">
        <is>
          <t>DIRECCION COMERCIAL GUADALAJARA</t>
        </is>
      </c>
      <c r="S957" t="n">
        <v>41620</v>
      </c>
      <c r="T957" t="inlineStr">
        <is>
          <t>SUBDIRECCION COMERCIAL GUADALAJARA 2</t>
        </is>
      </c>
      <c r="U957" t="n">
        <v>416200</v>
      </c>
      <c r="V957" t="inlineStr">
        <is>
          <t>SUBDIRECCION COMERCIAL GUADALAJARA 2</t>
        </is>
      </c>
      <c r="W957" t="n">
        <v>126107</v>
      </c>
      <c r="X957" t="inlineStr">
        <is>
          <t>GUADALAJARA</t>
        </is>
      </c>
      <c r="Y957" t="n">
        <v>3</v>
      </c>
      <c r="Z957" t="inlineStr">
        <is>
          <t>CAMBIARIO</t>
        </is>
      </c>
      <c r="AA957" t="n">
        <v>1</v>
      </c>
      <c r="AB957" t="inlineStr">
        <is>
          <t>NEGOCIO EN MARCHA</t>
        </is>
      </c>
      <c r="AC957" t="n">
        <v>1</v>
      </c>
      <c r="AD957" t="inlineStr">
        <is>
          <t>BANCO</t>
        </is>
      </c>
      <c r="AE957" t="n">
        <v>3</v>
      </c>
      <c r="AF957" t="inlineStr">
        <is>
          <t>FRONT</t>
        </is>
      </c>
      <c r="AG957" t="n">
        <v>126107</v>
      </c>
      <c r="AH957" t="inlineStr">
        <is>
          <t>GUADALAJARA</t>
        </is>
      </c>
      <c r="AI957" t="inlineStr">
        <is>
          <t>BOCHOA@BANCOBASE.COM</t>
        </is>
      </c>
      <c r="AJ957" s="151" t="n">
        <v>45946</v>
      </c>
      <c r="AK957" s="151" t="n"/>
      <c r="AL957" s="151" t="n"/>
    </row>
    <row r="958" hidden="1" s="150">
      <c r="A958" t="inlineStr">
        <is>
          <t>COROZCOV</t>
        </is>
      </c>
      <c r="B958" t="n">
        <v>3725</v>
      </c>
      <c r="C958" t="inlineStr">
        <is>
          <t>CHRISTIAN FERNANDO OROZCO VALDIVIA</t>
        </is>
      </c>
      <c r="D958" t="n">
        <v>8963</v>
      </c>
      <c r="E958" t="inlineStr">
        <is>
          <t>ASESOR CAMBIARIO</t>
        </is>
      </c>
      <c r="F958" t="inlineStr">
        <is>
          <t>GUADALAJARA</t>
        </is>
      </c>
      <c r="G958" t="n">
        <v>2023</v>
      </c>
      <c r="H958" t="inlineStr">
        <is>
          <t>ROBERTO ALFONSO PERALTA SERRANO</t>
        </is>
      </c>
      <c r="I958" t="n">
        <v>8223</v>
      </c>
      <c r="J958" t="inlineStr">
        <is>
          <t>SUBDIRECTOR COMERCIAL</t>
        </is>
      </c>
      <c r="K958" t="n">
        <v>1</v>
      </c>
      <c r="L958" t="inlineStr">
        <is>
          <t>PRESIDENCIA EJECUTIVA DEL CONSEJO</t>
        </is>
      </c>
      <c r="M958" t="n">
        <v>40</v>
      </c>
      <c r="N958" t="inlineStr">
        <is>
          <t>DIRECCION GENERAL BANCO BASE</t>
        </is>
      </c>
      <c r="O958" t="n">
        <v>410</v>
      </c>
      <c r="P958" t="inlineStr">
        <is>
          <t>DIRECCION COMERCIAL</t>
        </is>
      </c>
      <c r="Q958" t="n">
        <v>4570</v>
      </c>
      <c r="R958" t="inlineStr">
        <is>
          <t>DIRECCION COMERCIAL GUADALAJARA</t>
        </is>
      </c>
      <c r="S958" t="n">
        <v>41620</v>
      </c>
      <c r="T958" t="inlineStr">
        <is>
          <t>SUBDIRECCION COMERCIAL GUADALAJARA 2</t>
        </is>
      </c>
      <c r="U958" t="n">
        <v>416200</v>
      </c>
      <c r="V958" t="inlineStr">
        <is>
          <t>SUBDIRECCION COMERCIAL GUADALAJARA 2</t>
        </is>
      </c>
      <c r="W958" t="n">
        <v>126107</v>
      </c>
      <c r="X958" t="inlineStr">
        <is>
          <t>GUADALAJARA</t>
        </is>
      </c>
      <c r="Y958" t="n">
        <v>3</v>
      </c>
      <c r="Z958" t="inlineStr">
        <is>
          <t>CAMBIARIO</t>
        </is>
      </c>
      <c r="AA958" t="n">
        <v>1</v>
      </c>
      <c r="AB958" t="inlineStr">
        <is>
          <t>NEGOCIO EN MARCHA</t>
        </is>
      </c>
      <c r="AC958" t="n">
        <v>1</v>
      </c>
      <c r="AD958" t="inlineStr">
        <is>
          <t>BANCO</t>
        </is>
      </c>
      <c r="AE958" t="n">
        <v>3</v>
      </c>
      <c r="AF958" t="inlineStr">
        <is>
          <t>FRONT</t>
        </is>
      </c>
      <c r="AG958" t="n">
        <v>126107</v>
      </c>
      <c r="AH958" t="inlineStr">
        <is>
          <t>GUADALAJARA</t>
        </is>
      </c>
      <c r="AI958" t="inlineStr">
        <is>
          <t>COROZCOV@BANCOBASE.COM</t>
        </is>
      </c>
      <c r="AJ958" s="151" t="n">
        <v>46027</v>
      </c>
      <c r="AK958" s="151" t="n"/>
      <c r="AL958" s="151" t="n"/>
    </row>
    <row r="959" hidden="1" s="150">
      <c r="A959" t="inlineStr">
        <is>
          <t>DPINEDAG</t>
        </is>
      </c>
      <c r="B959" t="n">
        <v>3390</v>
      </c>
      <c r="C959" t="inlineStr">
        <is>
          <t>DANIEL IVAN PINEDA GARCIA</t>
        </is>
      </c>
      <c r="D959" t="n">
        <v>8623</v>
      </c>
      <c r="E959" t="inlineStr">
        <is>
          <t>ASESOR CAMBIARIO</t>
        </is>
      </c>
      <c r="F959" t="inlineStr">
        <is>
          <t>GUADALAJARA</t>
        </is>
      </c>
      <c r="G959" t="n">
        <v>2023</v>
      </c>
      <c r="H959" t="inlineStr">
        <is>
          <t>ROBERTO ALFONSO PERALTA SERRANO</t>
        </is>
      </c>
      <c r="I959" t="n">
        <v>8223</v>
      </c>
      <c r="J959" t="inlineStr">
        <is>
          <t>SUBDIRECTOR COMERCIAL</t>
        </is>
      </c>
      <c r="K959" t="n">
        <v>1</v>
      </c>
      <c r="L959" t="inlineStr">
        <is>
          <t>PRESIDENCIA EJECUTIVA DEL CONSEJO</t>
        </is>
      </c>
      <c r="M959" t="n">
        <v>40</v>
      </c>
      <c r="N959" t="inlineStr">
        <is>
          <t>DIRECCION GENERAL BANCO BASE</t>
        </is>
      </c>
      <c r="O959" t="n">
        <v>410</v>
      </c>
      <c r="P959" t="inlineStr">
        <is>
          <t>DIRECCION COMERCIAL</t>
        </is>
      </c>
      <c r="Q959" t="n">
        <v>4570</v>
      </c>
      <c r="R959" t="inlineStr">
        <is>
          <t>DIRECCION COMERCIAL GUADALAJARA</t>
        </is>
      </c>
      <c r="S959" t="n">
        <v>41620</v>
      </c>
      <c r="T959" t="inlineStr">
        <is>
          <t>SUBDIRECCION COMERCIAL GUADALAJARA 2</t>
        </is>
      </c>
      <c r="U959" t="n">
        <v>416200</v>
      </c>
      <c r="V959" t="inlineStr">
        <is>
          <t>SUBDIRECCION COMERCIAL GUADALAJARA 2</t>
        </is>
      </c>
      <c r="W959" t="n">
        <v>126107</v>
      </c>
      <c r="X959" t="inlineStr">
        <is>
          <t>GUADALAJARA</t>
        </is>
      </c>
      <c r="Y959" t="n">
        <v>3</v>
      </c>
      <c r="Z959" t="inlineStr">
        <is>
          <t>CAMBIARIO</t>
        </is>
      </c>
      <c r="AA959" t="n">
        <v>1</v>
      </c>
      <c r="AB959" t="inlineStr">
        <is>
          <t>NEGOCIO EN MARCHA</t>
        </is>
      </c>
      <c r="AC959" t="n">
        <v>1</v>
      </c>
      <c r="AD959" t="inlineStr">
        <is>
          <t>BANCO</t>
        </is>
      </c>
      <c r="AE959" t="n">
        <v>3</v>
      </c>
      <c r="AF959" t="inlineStr">
        <is>
          <t>FRONT</t>
        </is>
      </c>
      <c r="AG959" t="n">
        <v>126107</v>
      </c>
      <c r="AH959" t="inlineStr">
        <is>
          <t>GUADALAJARA</t>
        </is>
      </c>
      <c r="AI959" t="inlineStr">
        <is>
          <t>DPINEDAG@BANCOBASE.COM</t>
        </is>
      </c>
      <c r="AJ959" s="151" t="n">
        <v>45748</v>
      </c>
      <c r="AK959" s="151" t="n"/>
      <c r="AL959" s="151" t="n"/>
    </row>
    <row r="960" hidden="1" s="150">
      <c r="A960" t="inlineStr">
        <is>
          <t>JCASTROC</t>
        </is>
      </c>
      <c r="B960" t="n">
        <v>3663</v>
      </c>
      <c r="C960" t="inlineStr">
        <is>
          <t>JORGE ISAAC CASTRO CABRERA</t>
        </is>
      </c>
      <c r="D960" t="n">
        <v>8628</v>
      </c>
      <c r="E960" t="inlineStr">
        <is>
          <t>ASESOR CAMBIARIO</t>
        </is>
      </c>
      <c r="F960" t="inlineStr">
        <is>
          <t>GUADALAJARA</t>
        </is>
      </c>
      <c r="G960" t="n">
        <v>2023</v>
      </c>
      <c r="H960" t="inlineStr">
        <is>
          <t>ROBERTO ALFONSO PERALTA SERRANO</t>
        </is>
      </c>
      <c r="I960" t="n">
        <v>8223</v>
      </c>
      <c r="J960" t="inlineStr">
        <is>
          <t>SUBDIRECTOR COMERCIAL</t>
        </is>
      </c>
      <c r="K960" t="n">
        <v>1</v>
      </c>
      <c r="L960" t="inlineStr">
        <is>
          <t>PRESIDENCIA EJECUTIVA DEL CONSEJO</t>
        </is>
      </c>
      <c r="M960" t="n">
        <v>40</v>
      </c>
      <c r="N960" t="inlineStr">
        <is>
          <t>DIRECCION GENERAL BANCO BASE</t>
        </is>
      </c>
      <c r="O960" t="n">
        <v>410</v>
      </c>
      <c r="P960" t="inlineStr">
        <is>
          <t>DIRECCION COMERCIAL</t>
        </is>
      </c>
      <c r="Q960" t="n">
        <v>4570</v>
      </c>
      <c r="R960" t="inlineStr">
        <is>
          <t>DIRECCION COMERCIAL GUADALAJARA</t>
        </is>
      </c>
      <c r="S960" t="n">
        <v>41620</v>
      </c>
      <c r="T960" t="inlineStr">
        <is>
          <t>SUBDIRECCION COMERCIAL GUADALAJARA 2</t>
        </is>
      </c>
      <c r="U960" t="n">
        <v>416200</v>
      </c>
      <c r="V960" t="inlineStr">
        <is>
          <t>SUBDIRECCION COMERCIAL GUADALAJARA 2</t>
        </is>
      </c>
      <c r="W960" t="n">
        <v>126107</v>
      </c>
      <c r="X960" t="inlineStr">
        <is>
          <t>GUADALAJARA</t>
        </is>
      </c>
      <c r="Y960" t="n">
        <v>3</v>
      </c>
      <c r="Z960" t="inlineStr">
        <is>
          <t>CAMBIARIO</t>
        </is>
      </c>
      <c r="AA960" t="n">
        <v>1</v>
      </c>
      <c r="AB960" t="inlineStr">
        <is>
          <t>NEGOCIO EN MARCHA</t>
        </is>
      </c>
      <c r="AC960" t="n">
        <v>1</v>
      </c>
      <c r="AD960" t="inlineStr">
        <is>
          <t>BANCO</t>
        </is>
      </c>
      <c r="AE960" t="n">
        <v>3</v>
      </c>
      <c r="AF960" t="inlineStr">
        <is>
          <t>FRONT</t>
        </is>
      </c>
      <c r="AG960" t="n">
        <v>126107</v>
      </c>
      <c r="AH960" t="inlineStr">
        <is>
          <t>GUADALAJARA</t>
        </is>
      </c>
      <c r="AI960" t="inlineStr">
        <is>
          <t>JCASTROC@BANCOBASE.COM</t>
        </is>
      </c>
      <c r="AJ960" s="151" t="n">
        <v>45964</v>
      </c>
      <c r="AK960" s="151" t="n"/>
      <c r="AL960" s="151" t="n"/>
    </row>
    <row r="961" hidden="1" s="150">
      <c r="A961" t="inlineStr">
        <is>
          <t>JFERNANDEL</t>
        </is>
      </c>
      <c r="B961" t="n">
        <v>3720</v>
      </c>
      <c r="C961" t="inlineStr">
        <is>
          <t>JAVIER FERNANDEZ LUER</t>
        </is>
      </c>
      <c r="D961" t="n">
        <v>8629</v>
      </c>
      <c r="E961" t="inlineStr">
        <is>
          <t>ASESOR CAMBIARIO</t>
        </is>
      </c>
      <c r="F961" t="inlineStr">
        <is>
          <t>GUADALAJARA</t>
        </is>
      </c>
      <c r="G961" t="n">
        <v>2023</v>
      </c>
      <c r="H961" t="inlineStr">
        <is>
          <t>ROBERTO ALFONSO PERALTA SERRANO</t>
        </is>
      </c>
      <c r="I961" t="n">
        <v>8223</v>
      </c>
      <c r="J961" t="inlineStr">
        <is>
          <t>SUBDIRECTOR COMERCIAL</t>
        </is>
      </c>
      <c r="K961" t="n">
        <v>1</v>
      </c>
      <c r="L961" t="inlineStr">
        <is>
          <t>PRESIDENCIA EJECUTIVA DEL CONSEJO</t>
        </is>
      </c>
      <c r="M961" t="n">
        <v>40</v>
      </c>
      <c r="N961" t="inlineStr">
        <is>
          <t>DIRECCION GENERAL BANCO BASE</t>
        </is>
      </c>
      <c r="O961" t="n">
        <v>410</v>
      </c>
      <c r="P961" t="inlineStr">
        <is>
          <t>DIRECCION COMERCIAL</t>
        </is>
      </c>
      <c r="Q961" t="n">
        <v>4570</v>
      </c>
      <c r="R961" t="inlineStr">
        <is>
          <t>DIRECCION COMERCIAL GUADALAJARA</t>
        </is>
      </c>
      <c r="S961" t="n">
        <v>41620</v>
      </c>
      <c r="T961" t="inlineStr">
        <is>
          <t>SUBDIRECCION COMERCIAL GUADALAJARA 2</t>
        </is>
      </c>
      <c r="U961" t="n">
        <v>416200</v>
      </c>
      <c r="V961" t="inlineStr">
        <is>
          <t>SUBDIRECCION COMERCIAL GUADALAJARA 2</t>
        </is>
      </c>
      <c r="W961" t="n">
        <v>126107</v>
      </c>
      <c r="X961" t="inlineStr">
        <is>
          <t>GUADALAJARA</t>
        </is>
      </c>
      <c r="Y961" t="n">
        <v>3</v>
      </c>
      <c r="Z961" t="inlineStr">
        <is>
          <t>CAMBIARIO</t>
        </is>
      </c>
      <c r="AA961" t="n">
        <v>1</v>
      </c>
      <c r="AB961" t="inlineStr">
        <is>
          <t>NEGOCIO EN MARCHA</t>
        </is>
      </c>
      <c r="AC961" t="n">
        <v>1</v>
      </c>
      <c r="AD961" t="inlineStr">
        <is>
          <t>BANCO</t>
        </is>
      </c>
      <c r="AE961" t="n">
        <v>3</v>
      </c>
      <c r="AF961" t="inlineStr">
        <is>
          <t>FRONT</t>
        </is>
      </c>
      <c r="AG961" t="n">
        <v>126107</v>
      </c>
      <c r="AH961" t="inlineStr">
        <is>
          <t>GUADALAJARA</t>
        </is>
      </c>
      <c r="AI961" t="inlineStr">
        <is>
          <t>JFERNANDEL@BANCOBASE.COM</t>
        </is>
      </c>
      <c r="AJ961" s="151" t="n">
        <v>46027</v>
      </c>
      <c r="AK961" s="151" t="n"/>
      <c r="AL961" s="151" t="n"/>
    </row>
    <row r="962" hidden="1" s="150">
      <c r="A962" t="inlineStr">
        <is>
          <t>JGARCIAM</t>
        </is>
      </c>
      <c r="B962" t="n">
        <v>875</v>
      </c>
      <c r="C962" t="inlineStr">
        <is>
          <t>JOSE MANUEL GARCIA MENDOZA</t>
        </is>
      </c>
      <c r="D962" t="n">
        <v>8624</v>
      </c>
      <c r="E962" t="inlineStr">
        <is>
          <t>GERENTE DE PROMOCION</t>
        </is>
      </c>
      <c r="F962" t="inlineStr">
        <is>
          <t>GUADALAJARA</t>
        </is>
      </c>
      <c r="G962" t="n">
        <v>2023</v>
      </c>
      <c r="H962" t="inlineStr">
        <is>
          <t>ROBERTO ALFONSO PERALTA SERRANO</t>
        </is>
      </c>
      <c r="I962" t="n">
        <v>8223</v>
      </c>
      <c r="J962" t="inlineStr">
        <is>
          <t>SUBDIRECTOR COMERCIAL</t>
        </is>
      </c>
      <c r="K962" t="n">
        <v>1</v>
      </c>
      <c r="L962" t="inlineStr">
        <is>
          <t>PRESIDENCIA EJECUTIVA DEL CONSEJO</t>
        </is>
      </c>
      <c r="M962" t="n">
        <v>40</v>
      </c>
      <c r="N962" t="inlineStr">
        <is>
          <t>DIRECCION GENERAL BANCO BASE</t>
        </is>
      </c>
      <c r="O962" t="n">
        <v>410</v>
      </c>
      <c r="P962" t="inlineStr">
        <is>
          <t>DIRECCION COMERCIAL</t>
        </is>
      </c>
      <c r="Q962" t="n">
        <v>4570</v>
      </c>
      <c r="R962" t="inlineStr">
        <is>
          <t>DIRECCION COMERCIAL GUADALAJARA</t>
        </is>
      </c>
      <c r="S962" t="n">
        <v>41620</v>
      </c>
      <c r="T962" t="inlineStr">
        <is>
          <t>SUBDIRECCION COMERCIAL GUADALAJARA 2</t>
        </is>
      </c>
      <c r="U962" t="n">
        <v>416200</v>
      </c>
      <c r="V962" t="inlineStr">
        <is>
          <t>SUBDIRECCION COMERCIAL GUADALAJARA 2</t>
        </is>
      </c>
      <c r="W962" t="n">
        <v>126107</v>
      </c>
      <c r="X962" t="inlineStr">
        <is>
          <t>GUADALAJARA</t>
        </is>
      </c>
      <c r="Y962" t="n">
        <v>3</v>
      </c>
      <c r="Z962" t="inlineStr">
        <is>
          <t>CAMBIARIO</t>
        </is>
      </c>
      <c r="AA962" t="n">
        <v>1</v>
      </c>
      <c r="AB962" t="inlineStr">
        <is>
          <t>NEGOCIO EN MARCHA</t>
        </is>
      </c>
      <c r="AC962" t="n">
        <v>1</v>
      </c>
      <c r="AD962" t="inlineStr">
        <is>
          <t>BANCO</t>
        </is>
      </c>
      <c r="AE962" t="n">
        <v>3</v>
      </c>
      <c r="AF962" t="inlineStr">
        <is>
          <t>FRONT</t>
        </is>
      </c>
      <c r="AG962" t="n">
        <v>126107</v>
      </c>
      <c r="AH962" t="inlineStr">
        <is>
          <t>GUADALAJARA</t>
        </is>
      </c>
      <c r="AI962" t="inlineStr">
        <is>
          <t>JGARCIAM@BANCOBASE.COM</t>
        </is>
      </c>
      <c r="AJ962" s="151" t="n">
        <v>41015</v>
      </c>
      <c r="AK962" s="151" t="n"/>
      <c r="AL962" s="151" t="n"/>
    </row>
    <row r="963" hidden="1" s="150">
      <c r="A963" t="inlineStr">
        <is>
          <t>JSAENZ</t>
        </is>
      </c>
      <c r="B963" t="n">
        <v>932</v>
      </c>
      <c r="C963" t="inlineStr">
        <is>
          <t>JORGE LUIS SAENZ BECERRA</t>
        </is>
      </c>
      <c r="D963" t="n">
        <v>8625</v>
      </c>
      <c r="E963" t="inlineStr">
        <is>
          <t>GERENTE DE PROMOCION</t>
        </is>
      </c>
      <c r="F963" t="inlineStr">
        <is>
          <t>GUADALAJARA</t>
        </is>
      </c>
      <c r="G963" t="n">
        <v>2023</v>
      </c>
      <c r="H963" t="inlineStr">
        <is>
          <t>ROBERTO ALFONSO PERALTA SERRANO</t>
        </is>
      </c>
      <c r="I963" t="n">
        <v>8223</v>
      </c>
      <c r="J963" t="inlineStr">
        <is>
          <t>SUBDIRECTOR COMERCIAL</t>
        </is>
      </c>
      <c r="K963" t="n">
        <v>1</v>
      </c>
      <c r="L963" t="inlineStr">
        <is>
          <t>PRESIDENCIA EJECUTIVA DEL CONSEJO</t>
        </is>
      </c>
      <c r="M963" t="n">
        <v>40</v>
      </c>
      <c r="N963" t="inlineStr">
        <is>
          <t>DIRECCION GENERAL BANCO BASE</t>
        </is>
      </c>
      <c r="O963" t="n">
        <v>410</v>
      </c>
      <c r="P963" t="inlineStr">
        <is>
          <t>DIRECCION COMERCIAL</t>
        </is>
      </c>
      <c r="Q963" t="n">
        <v>4570</v>
      </c>
      <c r="R963" t="inlineStr">
        <is>
          <t>DIRECCION COMERCIAL GUADALAJARA</t>
        </is>
      </c>
      <c r="S963" t="n">
        <v>41620</v>
      </c>
      <c r="T963" t="inlineStr">
        <is>
          <t>SUBDIRECCION COMERCIAL GUADALAJARA 2</t>
        </is>
      </c>
      <c r="U963" t="n">
        <v>416200</v>
      </c>
      <c r="V963" t="inlineStr">
        <is>
          <t>SUBDIRECCION COMERCIAL GUADALAJARA 2</t>
        </is>
      </c>
      <c r="W963" t="n">
        <v>126107</v>
      </c>
      <c r="X963" t="inlineStr">
        <is>
          <t>GUADALAJARA</t>
        </is>
      </c>
      <c r="Y963" t="n">
        <v>3</v>
      </c>
      <c r="Z963" t="inlineStr">
        <is>
          <t>CAMBIARIO</t>
        </is>
      </c>
      <c r="AA963" t="n">
        <v>1</v>
      </c>
      <c r="AB963" t="inlineStr">
        <is>
          <t>NEGOCIO EN MARCHA</t>
        </is>
      </c>
      <c r="AC963" t="n">
        <v>1</v>
      </c>
      <c r="AD963" t="inlineStr">
        <is>
          <t>BANCO</t>
        </is>
      </c>
      <c r="AE963" t="n">
        <v>3</v>
      </c>
      <c r="AF963" t="inlineStr">
        <is>
          <t>FRONT</t>
        </is>
      </c>
      <c r="AG963" t="n">
        <v>126107</v>
      </c>
      <c r="AH963" t="inlineStr">
        <is>
          <t>GUADALAJARA</t>
        </is>
      </c>
      <c r="AI963" t="inlineStr">
        <is>
          <t>JSAENZ@BANCOBASE.COM</t>
        </is>
      </c>
      <c r="AJ963" s="151" t="n">
        <v>41137</v>
      </c>
      <c r="AK963" s="151" t="n"/>
      <c r="AL963" s="151" t="n"/>
    </row>
    <row r="964" hidden="1" s="150">
      <c r="A964" t="inlineStr">
        <is>
          <t>OBENITEZ</t>
        </is>
      </c>
      <c r="B964" t="n">
        <v>3942</v>
      </c>
      <c r="C964" t="inlineStr">
        <is>
          <t>OSCAR BENITEZ VILCHIS</t>
        </is>
      </c>
      <c r="D964" t="n">
        <v>8627</v>
      </c>
      <c r="E964" t="inlineStr">
        <is>
          <t>ASESOR CAMBIARIO</t>
        </is>
      </c>
      <c r="F964" t="inlineStr">
        <is>
          <t>GUADALAJARA</t>
        </is>
      </c>
      <c r="G964" t="n">
        <v>2023</v>
      </c>
      <c r="H964" t="inlineStr">
        <is>
          <t>ROBERTO ALFONSO PERALTA SERRANO</t>
        </is>
      </c>
      <c r="I964" t="n">
        <v>8223</v>
      </c>
      <c r="J964" t="inlineStr">
        <is>
          <t>SUBDIRECTOR COMERCIAL</t>
        </is>
      </c>
      <c r="K964" t="n">
        <v>1</v>
      </c>
      <c r="L964" t="inlineStr">
        <is>
          <t>PRESIDENCIA EJECUTIVA DEL CONSEJO</t>
        </is>
      </c>
      <c r="M964" t="n">
        <v>40</v>
      </c>
      <c r="N964" t="inlineStr">
        <is>
          <t>DIRECCION GENERAL BANCO BASE</t>
        </is>
      </c>
      <c r="O964" t="n">
        <v>410</v>
      </c>
      <c r="P964" t="inlineStr">
        <is>
          <t>DIRECCION COMERCIAL</t>
        </is>
      </c>
      <c r="Q964" t="n">
        <v>4570</v>
      </c>
      <c r="R964" t="inlineStr">
        <is>
          <t>DIRECCION COMERCIAL GUADALAJARA</t>
        </is>
      </c>
      <c r="S964" t="n">
        <v>41620</v>
      </c>
      <c r="T964" t="inlineStr">
        <is>
          <t>SUBDIRECCION COMERCIAL GUADALAJARA 2</t>
        </is>
      </c>
      <c r="U964" t="n">
        <v>416200</v>
      </c>
      <c r="V964" t="inlineStr">
        <is>
          <t>SUBDIRECCION COMERCIAL GUADALAJARA 2</t>
        </is>
      </c>
      <c r="W964" t="n">
        <v>126107</v>
      </c>
      <c r="X964" t="inlineStr">
        <is>
          <t>GUADALAJARA</t>
        </is>
      </c>
      <c r="Y964" t="n">
        <v>3</v>
      </c>
      <c r="Z964" t="inlineStr">
        <is>
          <t>CAMBIARIO</t>
        </is>
      </c>
      <c r="AA964" t="n">
        <v>1</v>
      </c>
      <c r="AB964" t="inlineStr">
        <is>
          <t>NEGOCIO EN MARCHA</t>
        </is>
      </c>
      <c r="AC964" t="n">
        <v>1</v>
      </c>
      <c r="AD964" t="inlineStr">
        <is>
          <t>BANCO</t>
        </is>
      </c>
      <c r="AE964" t="n">
        <v>3</v>
      </c>
      <c r="AF964" t="inlineStr">
        <is>
          <t>FRONT</t>
        </is>
      </c>
      <c r="AG964" t="n">
        <v>126107</v>
      </c>
      <c r="AH964" t="inlineStr">
        <is>
          <t>GUADALAJARA</t>
        </is>
      </c>
      <c r="AI964" t="inlineStr">
        <is>
          <t>OBENITEZ@BANCOBASE.COM</t>
        </is>
      </c>
      <c r="AJ964" s="151" t="n">
        <v>46219</v>
      </c>
      <c r="AK964" s="151" t="n"/>
      <c r="AL964" s="151" t="n"/>
    </row>
    <row r="965" hidden="1" s="150">
      <c r="A965" t="inlineStr">
        <is>
          <t>BBARRAGAN</t>
        </is>
      </c>
      <c r="B965" t="n">
        <v>2117</v>
      </c>
      <c r="C965" t="inlineStr">
        <is>
          <t>BLANCA JACQUELINE BARRAGAN RODRIGUEZ</t>
        </is>
      </c>
      <c r="D965" t="n">
        <v>10212</v>
      </c>
      <c r="E965" t="inlineStr">
        <is>
          <t>ASISTENTE CAMBIARIO</t>
        </is>
      </c>
      <c r="F965" t="inlineStr">
        <is>
          <t>GUADALAJARA</t>
        </is>
      </c>
      <c r="G965" t="n">
        <v>2023</v>
      </c>
      <c r="H965" t="inlineStr">
        <is>
          <t>ROBERTO ALFONSO PERALTA SERRANO</t>
        </is>
      </c>
      <c r="I965" t="n">
        <v>8223</v>
      </c>
      <c r="J965" t="inlineStr">
        <is>
          <t>SUBDIRECTOR COMERCIAL</t>
        </is>
      </c>
      <c r="K965" t="n">
        <v>1</v>
      </c>
      <c r="L965" t="inlineStr">
        <is>
          <t>PRESIDENCIA EJECUTIVA DEL CONSEJO</t>
        </is>
      </c>
      <c r="M965" t="n">
        <v>40</v>
      </c>
      <c r="N965" t="inlineStr">
        <is>
          <t>DIRECCION GENERAL BANCO BASE</t>
        </is>
      </c>
      <c r="O965" t="n">
        <v>410</v>
      </c>
      <c r="P965" t="inlineStr">
        <is>
          <t>DIRECCION COMERCIAL</t>
        </is>
      </c>
      <c r="Q965" t="n">
        <v>4570</v>
      </c>
      <c r="R965" t="inlineStr">
        <is>
          <t>DIRECCION COMERCIAL GUADALAJARA</t>
        </is>
      </c>
      <c r="S965" t="n">
        <v>41620</v>
      </c>
      <c r="T965" t="inlineStr">
        <is>
          <t>SUBDIRECCION COMERCIAL GUADALAJARA 2</t>
        </is>
      </c>
      <c r="U965" t="n">
        <v>416200</v>
      </c>
      <c r="V965" t="inlineStr">
        <is>
          <t>SUBDIRECCION COMERCIAL GUADALAJARA 2</t>
        </is>
      </c>
      <c r="W965" t="n">
        <v>126107</v>
      </c>
      <c r="X965" t="inlineStr">
        <is>
          <t>GUADALAJARA</t>
        </is>
      </c>
      <c r="Y965" t="n">
        <v>3</v>
      </c>
      <c r="Z965" t="inlineStr">
        <is>
          <t>CAMBIARIO</t>
        </is>
      </c>
      <c r="AA965" t="n">
        <v>1</v>
      </c>
      <c r="AB965" t="inlineStr">
        <is>
          <t>NEGOCIO EN MARCHA</t>
        </is>
      </c>
      <c r="AC965" t="n">
        <v>1</v>
      </c>
      <c r="AD965" t="inlineStr">
        <is>
          <t>BANCO</t>
        </is>
      </c>
      <c r="AE965" t="n">
        <v>2</v>
      </c>
      <c r="AF965" t="inlineStr">
        <is>
          <t>MIDDLE</t>
        </is>
      </c>
      <c r="AG965" t="n">
        <v>126107</v>
      </c>
      <c r="AH965" t="inlineStr">
        <is>
          <t>GUADALAJARA</t>
        </is>
      </c>
      <c r="AI965" t="inlineStr">
        <is>
          <t>BBARRAGAN@BANCOBASE.COM</t>
        </is>
      </c>
      <c r="AJ965" s="151" t="n">
        <v>43381</v>
      </c>
      <c r="AK965" s="151" t="n"/>
      <c r="AL965" s="151" t="n"/>
    </row>
    <row r="966" hidden="1" s="150">
      <c r="A966" t="inlineStr">
        <is>
          <t>CLUCIA</t>
        </is>
      </c>
      <c r="B966" t="n">
        <v>2763</v>
      </c>
      <c r="C966" t="inlineStr">
        <is>
          <t>CICELY SARAHI LUCIA SALCEDO</t>
        </is>
      </c>
      <c r="D966" t="n">
        <v>8016</v>
      </c>
      <c r="E966" t="inlineStr">
        <is>
          <t>ASISTENTE CAMBIARIO</t>
        </is>
      </c>
      <c r="F966" t="inlineStr">
        <is>
          <t>GUADALAJARA</t>
        </is>
      </c>
      <c r="G966" t="n">
        <v>2023</v>
      </c>
      <c r="H966" t="inlineStr">
        <is>
          <t>ROBERTO ALFONSO PERALTA SERRANO</t>
        </is>
      </c>
      <c r="I966" t="n">
        <v>8223</v>
      </c>
      <c r="J966" t="inlineStr">
        <is>
          <t>SUBDIRECTOR COMERCIAL</t>
        </is>
      </c>
      <c r="K966" t="n">
        <v>1</v>
      </c>
      <c r="L966" t="inlineStr">
        <is>
          <t>PRESIDENCIA EJECUTIVA DEL CONSEJO</t>
        </is>
      </c>
      <c r="M966" t="n">
        <v>40</v>
      </c>
      <c r="N966" t="inlineStr">
        <is>
          <t>DIRECCION GENERAL BANCO BASE</t>
        </is>
      </c>
      <c r="O966" t="n">
        <v>410</v>
      </c>
      <c r="P966" t="inlineStr">
        <is>
          <t>DIRECCION COMERCIAL</t>
        </is>
      </c>
      <c r="Q966" t="n">
        <v>4570</v>
      </c>
      <c r="R966" t="inlineStr">
        <is>
          <t>DIRECCION COMERCIAL GUADALAJARA</t>
        </is>
      </c>
      <c r="S966" t="n">
        <v>41620</v>
      </c>
      <c r="T966" t="inlineStr">
        <is>
          <t>SUBDIRECCION COMERCIAL GUADALAJARA 2</t>
        </is>
      </c>
      <c r="U966" t="n">
        <v>416200</v>
      </c>
      <c r="V966" t="inlineStr">
        <is>
          <t>SUBDIRECCION COMERCIAL GUADALAJARA 2</t>
        </is>
      </c>
      <c r="W966" t="n">
        <v>126107</v>
      </c>
      <c r="X966" t="inlineStr">
        <is>
          <t>GUADALAJARA</t>
        </is>
      </c>
      <c r="Y966" t="n">
        <v>3</v>
      </c>
      <c r="Z966" t="inlineStr">
        <is>
          <t>CAMBIARIO</t>
        </is>
      </c>
      <c r="AA966" t="n">
        <v>1</v>
      </c>
      <c r="AB966" t="inlineStr">
        <is>
          <t>NEGOCIO EN MARCHA</t>
        </is>
      </c>
      <c r="AC966" t="n">
        <v>1</v>
      </c>
      <c r="AD966" t="inlineStr">
        <is>
          <t>BANCO</t>
        </is>
      </c>
      <c r="AE966" t="n">
        <v>2</v>
      </c>
      <c r="AF966" t="inlineStr">
        <is>
          <t>MIDDLE</t>
        </is>
      </c>
      <c r="AG966" t="n">
        <v>126107</v>
      </c>
      <c r="AH966" t="inlineStr">
        <is>
          <t>GUADALAJARA</t>
        </is>
      </c>
      <c r="AI966" t="inlineStr">
        <is>
          <t>CLUCIA@BANCOBASE.COM</t>
        </is>
      </c>
      <c r="AJ966" s="151" t="n">
        <v>44866</v>
      </c>
      <c r="AK966" s="151" t="n"/>
      <c r="AL966" s="151" t="n"/>
    </row>
    <row r="967" hidden="1" s="150">
      <c r="A967" t="inlineStr">
        <is>
          <t>JSOTO</t>
        </is>
      </c>
      <c r="B967" t="n">
        <v>3921</v>
      </c>
      <c r="C967" t="inlineStr">
        <is>
          <t>JANETH ALEJANDRA SOTO GARCIA</t>
        </is>
      </c>
      <c r="D967" t="n">
        <v>8694</v>
      </c>
      <c r="E967" t="inlineStr">
        <is>
          <t>ASISTENTE CAMBIARIO</t>
        </is>
      </c>
      <c r="F967" t="inlineStr">
        <is>
          <t>GUADALAJARA</t>
        </is>
      </c>
      <c r="G967" t="n">
        <v>2023</v>
      </c>
      <c r="H967" t="inlineStr">
        <is>
          <t>ROBERTO ALFONSO PERALTA SERRANO</t>
        </is>
      </c>
      <c r="I967" t="n">
        <v>8223</v>
      </c>
      <c r="J967" t="inlineStr">
        <is>
          <t>SUBDIRECTOR COMERCIAL</t>
        </is>
      </c>
      <c r="K967" t="n">
        <v>1</v>
      </c>
      <c r="L967" t="inlineStr">
        <is>
          <t>PRESIDENCIA EJECUTIVA DEL CONSEJO</t>
        </is>
      </c>
      <c r="M967" t="n">
        <v>40</v>
      </c>
      <c r="N967" t="inlineStr">
        <is>
          <t>DIRECCION GENERAL BANCO BASE</t>
        </is>
      </c>
      <c r="O967" t="n">
        <v>410</v>
      </c>
      <c r="P967" t="inlineStr">
        <is>
          <t>DIRECCION COMERCIAL</t>
        </is>
      </c>
      <c r="Q967" t="n">
        <v>4570</v>
      </c>
      <c r="R967" t="inlineStr">
        <is>
          <t>DIRECCION COMERCIAL GUADALAJARA</t>
        </is>
      </c>
      <c r="S967" t="n">
        <v>41620</v>
      </c>
      <c r="T967" t="inlineStr">
        <is>
          <t>SUBDIRECCION COMERCIAL GUADALAJARA 2</t>
        </is>
      </c>
      <c r="U967" t="n">
        <v>416200</v>
      </c>
      <c r="V967" t="inlineStr">
        <is>
          <t>SUBDIRECCION COMERCIAL GUADALAJARA 2</t>
        </is>
      </c>
      <c r="W967" t="n">
        <v>126107</v>
      </c>
      <c r="X967" t="inlineStr">
        <is>
          <t>GUADALAJARA</t>
        </is>
      </c>
      <c r="Y967" t="n">
        <v>3</v>
      </c>
      <c r="Z967" t="inlineStr">
        <is>
          <t>CAMBIARIO</t>
        </is>
      </c>
      <c r="AA967" t="n">
        <v>1</v>
      </c>
      <c r="AB967" t="inlineStr">
        <is>
          <t>NEGOCIO EN MARCHA</t>
        </is>
      </c>
      <c r="AC967" t="n">
        <v>1</v>
      </c>
      <c r="AD967" t="inlineStr">
        <is>
          <t>BANCO</t>
        </is>
      </c>
      <c r="AE967" t="n">
        <v>2</v>
      </c>
      <c r="AF967" t="inlineStr">
        <is>
          <t>MIDDLE</t>
        </is>
      </c>
      <c r="AG967" t="n">
        <v>126107</v>
      </c>
      <c r="AH967" t="inlineStr">
        <is>
          <t>GUADALAJARA</t>
        </is>
      </c>
      <c r="AI967" t="inlineStr">
        <is>
          <t>JSOTO@BANCOBASE.COM</t>
        </is>
      </c>
      <c r="AJ967" s="151" t="n">
        <v>46204</v>
      </c>
      <c r="AK967" s="151" t="n"/>
      <c r="AL967" s="151" t="n"/>
    </row>
    <row r="968" hidden="1" s="150">
      <c r="A968" t="inlineStr">
        <is>
          <t>OORTIZC</t>
        </is>
      </c>
      <c r="B968" t="n">
        <v>1112</v>
      </c>
      <c r="C968" t="inlineStr">
        <is>
          <t>OMAR OCTAVIO ORTIZ CERPA</t>
        </is>
      </c>
      <c r="D968" t="n">
        <v>8723</v>
      </c>
      <c r="E968" t="inlineStr">
        <is>
          <t>EJECUTIVO DE SOPORTE</t>
        </is>
      </c>
      <c r="F968" t="inlineStr">
        <is>
          <t>GUADALAJARA</t>
        </is>
      </c>
      <c r="G968" t="n">
        <v>2023</v>
      </c>
      <c r="H968" t="inlineStr">
        <is>
          <t>ROBERTO ALFONSO PERALTA SERRANO</t>
        </is>
      </c>
      <c r="I968" t="n">
        <v>8223</v>
      </c>
      <c r="J968" t="inlineStr">
        <is>
          <t>SUBDIRECTOR COMERCIAL</t>
        </is>
      </c>
      <c r="K968" t="n">
        <v>1</v>
      </c>
      <c r="L968" t="inlineStr">
        <is>
          <t>PRESIDENCIA EJECUTIVA DEL CONSEJO</t>
        </is>
      </c>
      <c r="M968" t="n">
        <v>40</v>
      </c>
      <c r="N968" t="inlineStr">
        <is>
          <t>DIRECCION GENERAL BANCO BASE</t>
        </is>
      </c>
      <c r="O968" t="n">
        <v>410</v>
      </c>
      <c r="P968" t="inlineStr">
        <is>
          <t>DIRECCION COMERCIAL</t>
        </is>
      </c>
      <c r="Q968" t="n">
        <v>4570</v>
      </c>
      <c r="R968" t="inlineStr">
        <is>
          <t>DIRECCION COMERCIAL GUADALAJARA</t>
        </is>
      </c>
      <c r="S968" t="n">
        <v>41620</v>
      </c>
      <c r="T968" t="inlineStr">
        <is>
          <t>SUBDIRECCION COMERCIAL GUADALAJARA 2</t>
        </is>
      </c>
      <c r="U968" t="n">
        <v>416200</v>
      </c>
      <c r="V968" t="inlineStr">
        <is>
          <t>SUBDIRECCION COMERCIAL GUADALAJARA 2</t>
        </is>
      </c>
      <c r="W968" t="n">
        <v>126107</v>
      </c>
      <c r="X968" t="inlineStr">
        <is>
          <t>GUADALAJARA</t>
        </is>
      </c>
      <c r="Y968" t="n">
        <v>17</v>
      </c>
      <c r="Z968" t="inlineStr">
        <is>
          <t>SOPORTE</t>
        </is>
      </c>
      <c r="AA968" t="n">
        <v>1</v>
      </c>
      <c r="AB968" t="inlineStr">
        <is>
          <t>NEGOCIO EN MARCHA</t>
        </is>
      </c>
      <c r="AC968" t="n">
        <v>1</v>
      </c>
      <c r="AD968" t="inlineStr">
        <is>
          <t>BANCO</t>
        </is>
      </c>
      <c r="AE968" t="n">
        <v>2</v>
      </c>
      <c r="AF968" t="inlineStr">
        <is>
          <t>MIDDLE</t>
        </is>
      </c>
      <c r="AG968" t="n">
        <v>126107</v>
      </c>
      <c r="AH968" t="inlineStr">
        <is>
          <t>GUADALAJARA</t>
        </is>
      </c>
      <c r="AI968" t="inlineStr">
        <is>
          <t>OORTIZC@BANCOBASE.COM</t>
        </is>
      </c>
      <c r="AJ968" s="151" t="n">
        <v>41674</v>
      </c>
      <c r="AK968" s="151" t="n"/>
      <c r="AL968" s="151" t="n"/>
    </row>
    <row r="969" hidden="1" s="150">
      <c r="A969" t="inlineStr">
        <is>
          <t>AHUERTA</t>
        </is>
      </c>
      <c r="B969" t="n">
        <v>2706</v>
      </c>
      <c r="C969" t="inlineStr">
        <is>
          <t>ALEJANDRO DE LEON HUERTA</t>
        </is>
      </c>
      <c r="D969" t="n">
        <v>9988</v>
      </c>
      <c r="E969" t="inlineStr">
        <is>
          <t>ESPECIALISTA DE BANCA TRANSACCIONAL</t>
        </is>
      </c>
      <c r="F969" t="inlineStr">
        <is>
          <t>GUADALAJARA</t>
        </is>
      </c>
      <c r="G969" t="n">
        <v>2023</v>
      </c>
      <c r="H969" t="inlineStr">
        <is>
          <t>ROBERTO ALFONSO PERALTA SERRANO</t>
        </is>
      </c>
      <c r="I969" t="n">
        <v>8223</v>
      </c>
      <c r="J969" t="inlineStr">
        <is>
          <t>SUBDIRECTOR COMERCIAL</t>
        </is>
      </c>
      <c r="K969" t="n">
        <v>1</v>
      </c>
      <c r="L969" t="inlineStr">
        <is>
          <t>PRESIDENCIA EJECUTIVA DEL CONSEJO</t>
        </is>
      </c>
      <c r="M969" t="n">
        <v>40</v>
      </c>
      <c r="N969" t="inlineStr">
        <is>
          <t>DIRECCION GENERAL BANCO BASE</t>
        </is>
      </c>
      <c r="O969" t="n">
        <v>410</v>
      </c>
      <c r="P969" t="inlineStr">
        <is>
          <t>DIRECCION COMERCIAL</t>
        </is>
      </c>
      <c r="Q969" t="n">
        <v>4570</v>
      </c>
      <c r="R969" t="inlineStr">
        <is>
          <t>DIRECCION COMERCIAL GUADALAJARA</t>
        </is>
      </c>
      <c r="S969" t="n">
        <v>41620</v>
      </c>
      <c r="T969" t="inlineStr">
        <is>
          <t>SUBDIRECCION COMERCIAL GUADALAJARA 2</t>
        </is>
      </c>
      <c r="U969" t="n">
        <v>416200</v>
      </c>
      <c r="V969" t="inlineStr">
        <is>
          <t>SUBDIRECCION COMERCIAL GUADALAJARA 2</t>
        </is>
      </c>
      <c r="W969" t="n">
        <v>126107</v>
      </c>
      <c r="X969" t="inlineStr">
        <is>
          <t>GUADALAJARA</t>
        </is>
      </c>
      <c r="Y969" t="n">
        <v>14</v>
      </c>
      <c r="Z969" t="inlineStr">
        <is>
          <t>TRANSACCIONAL</t>
        </is>
      </c>
      <c r="AA969" t="n">
        <v>1</v>
      </c>
      <c r="AB969" t="inlineStr">
        <is>
          <t>NEGOCIO EN MARCHA</t>
        </is>
      </c>
      <c r="AC969" t="n">
        <v>1</v>
      </c>
      <c r="AD969" t="inlineStr">
        <is>
          <t>BANCO</t>
        </is>
      </c>
      <c r="AE969" t="n">
        <v>3</v>
      </c>
      <c r="AF969" t="inlineStr">
        <is>
          <t>FRONT</t>
        </is>
      </c>
      <c r="AG969" t="n">
        <v>126107</v>
      </c>
      <c r="AH969" t="inlineStr">
        <is>
          <t>GUADALAJARA</t>
        </is>
      </c>
      <c r="AI969" t="inlineStr">
        <is>
          <t>AHUERTA@BANCOBASE.COM</t>
        </is>
      </c>
      <c r="AJ969" s="151" t="n">
        <v>44774</v>
      </c>
      <c r="AK969" s="151" t="n"/>
      <c r="AL969" s="151" t="n"/>
    </row>
    <row r="970" hidden="1" s="150">
      <c r="A970" t="inlineStr">
        <is>
          <t>JSANCHEZG</t>
        </is>
      </c>
      <c r="B970" t="n">
        <v>2707</v>
      </c>
      <c r="C970" t="inlineStr">
        <is>
          <t>JORGE OCTAVIO SANCHEZ GOMEZ</t>
        </is>
      </c>
      <c r="D970" t="n">
        <v>10063</v>
      </c>
      <c r="E970" t="inlineStr">
        <is>
          <t>ESPECIALISTA DE FINANCIAMIENTO</t>
        </is>
      </c>
      <c r="F970" t="inlineStr">
        <is>
          <t>GUADALAJARA</t>
        </is>
      </c>
      <c r="G970" t="n">
        <v>2023</v>
      </c>
      <c r="H970" t="inlineStr">
        <is>
          <t>ROBERTO ALFONSO PERALTA SERRANO</t>
        </is>
      </c>
      <c r="I970" t="n">
        <v>8223</v>
      </c>
      <c r="J970" t="inlineStr">
        <is>
          <t>SUBDIRECTOR COMERCIAL</t>
        </is>
      </c>
      <c r="K970" t="n">
        <v>1</v>
      </c>
      <c r="L970" t="inlineStr">
        <is>
          <t>PRESIDENCIA EJECUTIVA DEL CONSEJO</t>
        </is>
      </c>
      <c r="M970" t="n">
        <v>40</v>
      </c>
      <c r="N970" t="inlineStr">
        <is>
          <t>DIRECCION GENERAL BANCO BASE</t>
        </is>
      </c>
      <c r="O970" t="n">
        <v>410</v>
      </c>
      <c r="P970" t="inlineStr">
        <is>
          <t>DIRECCION COMERCIAL</t>
        </is>
      </c>
      <c r="Q970" t="n">
        <v>4570</v>
      </c>
      <c r="R970" t="inlineStr">
        <is>
          <t>DIRECCION COMERCIAL GUADALAJARA</t>
        </is>
      </c>
      <c r="S970" t="n">
        <v>41620</v>
      </c>
      <c r="T970" t="inlineStr">
        <is>
          <t>SUBDIRECCION COMERCIAL GUADALAJARA 2</t>
        </is>
      </c>
      <c r="U970" t="n">
        <v>416200</v>
      </c>
      <c r="V970" t="inlineStr">
        <is>
          <t>SUBDIRECCION COMERCIAL GUADALAJARA 2</t>
        </is>
      </c>
      <c r="W970" t="n">
        <v>126107</v>
      </c>
      <c r="X970" t="inlineStr">
        <is>
          <t>GUADALAJARA</t>
        </is>
      </c>
      <c r="Y970" t="n">
        <v>13</v>
      </c>
      <c r="Z970" t="inlineStr">
        <is>
          <t>FINANCIAMIENTO</t>
        </is>
      </c>
      <c r="AA970" t="n">
        <v>1</v>
      </c>
      <c r="AB970" t="inlineStr">
        <is>
          <t>NEGOCIO EN MARCHA</t>
        </is>
      </c>
      <c r="AC970" t="n">
        <v>1</v>
      </c>
      <c r="AD970" t="inlineStr">
        <is>
          <t>BANCO</t>
        </is>
      </c>
      <c r="AE970" t="n">
        <v>3</v>
      </c>
      <c r="AF970" t="inlineStr">
        <is>
          <t>FRONT</t>
        </is>
      </c>
      <c r="AG970" t="n">
        <v>126107</v>
      </c>
      <c r="AH970" t="inlineStr">
        <is>
          <t>GUADALAJARA</t>
        </is>
      </c>
      <c r="AI970" t="inlineStr">
        <is>
          <t>JSANCHEZG@BANCOBASE.COM</t>
        </is>
      </c>
      <c r="AJ970" s="151" t="n">
        <v>44774</v>
      </c>
      <c r="AK970" s="151" t="n"/>
      <c r="AL970" s="151" t="n"/>
    </row>
    <row r="971" hidden="1" s="150">
      <c r="A971" t="inlineStr">
        <is>
          <t>JDAVILAG</t>
        </is>
      </c>
      <c r="B971" t="n">
        <v>3761</v>
      </c>
      <c r="C971" t="inlineStr">
        <is>
          <t>JOSE JAIME DAVILA GARZA</t>
        </is>
      </c>
      <c r="D971" t="n">
        <v>9315</v>
      </c>
      <c r="E971" t="inlineStr">
        <is>
          <t>DIRECTOR DE GESTION COMERCIAL</t>
        </is>
      </c>
      <c r="F971" t="inlineStr">
        <is>
          <t>MONTERREY</t>
        </is>
      </c>
      <c r="G971" t="n">
        <v>1512</v>
      </c>
      <c r="H971" t="inlineStr">
        <is>
          <t>ARTURO MANUEL GUERRA ANZALDUA</t>
        </is>
      </c>
      <c r="I971" t="n">
        <v>9649</v>
      </c>
      <c r="J971" t="inlineStr">
        <is>
          <t>DIRECTOR COMERCIAL NACIONAL</t>
        </is>
      </c>
      <c r="K971" t="n">
        <v>1</v>
      </c>
      <c r="L971" t="inlineStr">
        <is>
          <t>PRESIDENCIA EJECUTIVA DEL CONSEJO</t>
        </is>
      </c>
      <c r="M971" t="n">
        <v>40</v>
      </c>
      <c r="N971" t="inlineStr">
        <is>
          <t>DIRECCION GENERAL BANCO BASE</t>
        </is>
      </c>
      <c r="O971" t="n">
        <v>410</v>
      </c>
      <c r="P971" t="inlineStr">
        <is>
          <t>DIRECCION COMERCIAL</t>
        </is>
      </c>
      <c r="Q971" t="n">
        <v>4108</v>
      </c>
      <c r="R971" t="inlineStr">
        <is>
          <t>DIRECCION DE GESTION COMERCIAL</t>
        </is>
      </c>
      <c r="S971" t="n">
        <v>41080</v>
      </c>
      <c r="T971" t="inlineStr">
        <is>
          <t>DIRECCION DE GESTION COMERCIAL</t>
        </is>
      </c>
      <c r="U971" t="n">
        <v>410800</v>
      </c>
      <c r="V971" t="inlineStr">
        <is>
          <t>DIRECCION DE GESTION COMERCIAL</t>
        </is>
      </c>
      <c r="W971" t="n">
        <v>100101</v>
      </c>
      <c r="X971" t="inlineStr">
        <is>
          <t>CORPORATIVO</t>
        </is>
      </c>
      <c r="Y971" t="n">
        <v>4</v>
      </c>
      <c r="Z971" t="inlineStr">
        <is>
          <t>CORPORATIVO</t>
        </is>
      </c>
      <c r="AA971" t="n">
        <v>1</v>
      </c>
      <c r="AB971" t="inlineStr">
        <is>
          <t>NEGOCIO EN MARCHA</t>
        </is>
      </c>
      <c r="AC971" t="n">
        <v>1</v>
      </c>
      <c r="AD971" t="inlineStr">
        <is>
          <t>BANCO</t>
        </is>
      </c>
      <c r="AE971" t="n">
        <v>1</v>
      </c>
      <c r="AF971" t="inlineStr">
        <is>
          <t>BACK</t>
        </is>
      </c>
      <c r="AG971" t="n">
        <v>100101</v>
      </c>
      <c r="AH971" t="inlineStr">
        <is>
          <t>CORPORATIVO</t>
        </is>
      </c>
      <c r="AI971" t="inlineStr">
        <is>
          <t>JDAVILAG@BANCOBASE.COM</t>
        </is>
      </c>
      <c r="AJ971" s="151" t="n">
        <v>46069</v>
      </c>
      <c r="AK971" s="151" t="n"/>
      <c r="AL971" s="151" t="n"/>
    </row>
    <row r="972" hidden="1" s="150">
      <c r="A972" t="inlineStr">
        <is>
          <t>LCANO</t>
        </is>
      </c>
      <c r="B972" t="n">
        <v>2164</v>
      </c>
      <c r="C972" t="inlineStr">
        <is>
          <t>LUCILA CANO ALMAGUER</t>
        </is>
      </c>
      <c r="D972" t="n">
        <v>10137</v>
      </c>
      <c r="E972" t="inlineStr">
        <is>
          <t>GERENTE DE GESTION COMERCIAL</t>
        </is>
      </c>
      <c r="F972" t="inlineStr">
        <is>
          <t>MONTERREY</t>
        </is>
      </c>
      <c r="G972" t="n">
        <v>3761</v>
      </c>
      <c r="H972" t="inlineStr">
        <is>
          <t>JOSE JAIME DAVILA GARZA</t>
        </is>
      </c>
      <c r="I972" t="n">
        <v>9315</v>
      </c>
      <c r="J972" t="inlineStr">
        <is>
          <t>DIRECTOR DE GESTION COMERCIAL</t>
        </is>
      </c>
      <c r="K972" t="n">
        <v>1</v>
      </c>
      <c r="L972" t="inlineStr">
        <is>
          <t>PRESIDENCIA EJECUTIVA DEL CONSEJO</t>
        </is>
      </c>
      <c r="M972" t="n">
        <v>40</v>
      </c>
      <c r="N972" t="inlineStr">
        <is>
          <t>DIRECCION GENERAL BANCO BASE</t>
        </is>
      </c>
      <c r="O972" t="n">
        <v>410</v>
      </c>
      <c r="P972" t="inlineStr">
        <is>
          <t>DIRECCION COMERCIAL</t>
        </is>
      </c>
      <c r="Q972" t="n">
        <v>4108</v>
      </c>
      <c r="R972" t="inlineStr">
        <is>
          <t>DIRECCION DE GESTION COMERCIAL</t>
        </is>
      </c>
      <c r="S972" t="n">
        <v>41080</v>
      </c>
      <c r="T972" t="inlineStr">
        <is>
          <t>DIRECCION DE GESTION COMERCIAL</t>
        </is>
      </c>
      <c r="U972" t="n">
        <v>410800</v>
      </c>
      <c r="V972" t="inlineStr">
        <is>
          <t>DIRECCION DE GESTION COMERCIAL</t>
        </is>
      </c>
      <c r="W972" t="n">
        <v>100101</v>
      </c>
      <c r="X972" t="inlineStr">
        <is>
          <t>CORPORATIVO</t>
        </is>
      </c>
      <c r="Y972" t="n">
        <v>4</v>
      </c>
      <c r="Z972" t="inlineStr">
        <is>
          <t>CORPORATIVO</t>
        </is>
      </c>
      <c r="AA972" t="n">
        <v>1</v>
      </c>
      <c r="AB972" t="inlineStr">
        <is>
          <t>NEGOCIO EN MARCHA</t>
        </is>
      </c>
      <c r="AC972" t="n">
        <v>1</v>
      </c>
      <c r="AD972" t="inlineStr">
        <is>
          <t>BANCO</t>
        </is>
      </c>
      <c r="AE972" t="n">
        <v>1</v>
      </c>
      <c r="AF972" t="inlineStr">
        <is>
          <t>BACK</t>
        </is>
      </c>
      <c r="AG972" t="n">
        <v>100101</v>
      </c>
      <c r="AH972" t="inlineStr">
        <is>
          <t>CORPORATIVO</t>
        </is>
      </c>
      <c r="AI972" t="inlineStr">
        <is>
          <t>LCANO@BANCOBASE.COM</t>
        </is>
      </c>
      <c r="AJ972" s="151" t="n">
        <v>43468</v>
      </c>
      <c r="AK972" s="151" t="n"/>
      <c r="AL972" s="151" t="n"/>
    </row>
    <row r="973" hidden="1" s="150">
      <c r="A973" t="inlineStr">
        <is>
          <t>RPAREDESN</t>
        </is>
      </c>
      <c r="B973" t="n">
        <v>3854</v>
      </c>
      <c r="C973" t="inlineStr">
        <is>
          <t>RAUL ALEJANDRO PAREDES NORONA</t>
        </is>
      </c>
      <c r="D973" t="n">
        <v>8683</v>
      </c>
      <c r="E973" t="inlineStr">
        <is>
          <t>ESPECIALISTA DE CALIDAD GESTION COMERCIAL</t>
        </is>
      </c>
      <c r="F973" t="inlineStr">
        <is>
          <t>MONTERREY</t>
        </is>
      </c>
      <c r="G973" t="n">
        <v>2164</v>
      </c>
      <c r="H973" t="inlineStr">
        <is>
          <t>LUCILA CANO ALMAGUER</t>
        </is>
      </c>
      <c r="I973" t="n">
        <v>10137</v>
      </c>
      <c r="J973" t="inlineStr">
        <is>
          <t>GERENTE DE GESTION COMERCIAL</t>
        </is>
      </c>
      <c r="K973" t="n">
        <v>1</v>
      </c>
      <c r="L973" t="inlineStr">
        <is>
          <t>PRESIDENCIA EJECUTIVA DEL CONSEJO</t>
        </is>
      </c>
      <c r="M973" t="n">
        <v>40</v>
      </c>
      <c r="N973" t="inlineStr">
        <is>
          <t>DIRECCION GENERAL BANCO BASE</t>
        </is>
      </c>
      <c r="O973" t="n">
        <v>410</v>
      </c>
      <c r="P973" t="inlineStr">
        <is>
          <t>DIRECCION COMERCIAL</t>
        </is>
      </c>
      <c r="Q973" t="n">
        <v>4108</v>
      </c>
      <c r="R973" t="inlineStr">
        <is>
          <t>DIRECCION DE GESTION COMERCIAL</t>
        </is>
      </c>
      <c r="S973" t="n">
        <v>41080</v>
      </c>
      <c r="T973" t="inlineStr">
        <is>
          <t>DIRECCION DE GESTION COMERCIAL</t>
        </is>
      </c>
      <c r="U973" t="n">
        <v>410800</v>
      </c>
      <c r="V973" t="inlineStr">
        <is>
          <t>DIRECCION DE GESTION COMERCIAL</t>
        </is>
      </c>
      <c r="W973" t="n">
        <v>100101</v>
      </c>
      <c r="X973" t="inlineStr">
        <is>
          <t>CORPORATIVO</t>
        </is>
      </c>
      <c r="Y973" t="n">
        <v>4</v>
      </c>
      <c r="Z973" t="inlineStr">
        <is>
          <t>CORPORATIVO</t>
        </is>
      </c>
      <c r="AA973" t="n">
        <v>1</v>
      </c>
      <c r="AB973" t="inlineStr">
        <is>
          <t>NEGOCIO EN MARCHA</t>
        </is>
      </c>
      <c r="AC973" t="n">
        <v>1</v>
      </c>
      <c r="AD973" t="inlineStr">
        <is>
          <t>BANCO</t>
        </is>
      </c>
      <c r="AE973" t="n">
        <v>1</v>
      </c>
      <c r="AF973" t="inlineStr">
        <is>
          <t>BACK</t>
        </is>
      </c>
      <c r="AG973" t="n">
        <v>126102</v>
      </c>
      <c r="AH973" t="inlineStr">
        <is>
          <t>MONTERREY</t>
        </is>
      </c>
      <c r="AI973" t="inlineStr">
        <is>
          <t>RPAREDESN@BANCOBASE.COM</t>
        </is>
      </c>
      <c r="AJ973" s="151" t="n">
        <v>46146</v>
      </c>
      <c r="AK973" s="151" t="n"/>
      <c r="AL973" s="151" t="n"/>
    </row>
    <row r="974" hidden="1" s="150">
      <c r="A974" t="inlineStr">
        <is>
          <t>VVAZQUEZ</t>
        </is>
      </c>
      <c r="B974" t="n">
        <v>1815</v>
      </c>
      <c r="C974" t="inlineStr">
        <is>
          <t>VICTOR ARMANDO VAZQUEZ MONTALVO</t>
        </is>
      </c>
      <c r="D974" t="n">
        <v>10038</v>
      </c>
      <c r="E974" t="inlineStr">
        <is>
          <t>ESPECIALISTA DE GESTION COMERCIAL</t>
        </is>
      </c>
      <c r="F974" t="inlineStr">
        <is>
          <t>MONTERREY</t>
        </is>
      </c>
      <c r="G974" t="n">
        <v>2164</v>
      </c>
      <c r="H974" t="inlineStr">
        <is>
          <t>LUCILA CANO ALMAGUER</t>
        </is>
      </c>
      <c r="I974" t="n">
        <v>10137</v>
      </c>
      <c r="J974" t="inlineStr">
        <is>
          <t>GERENTE DE GESTION COMERCIAL</t>
        </is>
      </c>
      <c r="K974" t="n">
        <v>1</v>
      </c>
      <c r="L974" t="inlineStr">
        <is>
          <t>PRESIDENCIA EJECUTIVA DEL CONSEJO</t>
        </is>
      </c>
      <c r="M974" t="n">
        <v>40</v>
      </c>
      <c r="N974" t="inlineStr">
        <is>
          <t>DIRECCION GENERAL BANCO BASE</t>
        </is>
      </c>
      <c r="O974" t="n">
        <v>410</v>
      </c>
      <c r="P974" t="inlineStr">
        <is>
          <t>DIRECCION COMERCIAL</t>
        </is>
      </c>
      <c r="Q974" t="n">
        <v>4108</v>
      </c>
      <c r="R974" t="inlineStr">
        <is>
          <t>DIRECCION DE GESTION COMERCIAL</t>
        </is>
      </c>
      <c r="S974" t="n">
        <v>41080</v>
      </c>
      <c r="T974" t="inlineStr">
        <is>
          <t>DIRECCION DE GESTION COMERCIAL</t>
        </is>
      </c>
      <c r="U974" t="n">
        <v>410800</v>
      </c>
      <c r="V974" t="inlineStr">
        <is>
          <t>DIRECCION DE GESTION COMERCIAL</t>
        </is>
      </c>
      <c r="W974" t="n">
        <v>100101</v>
      </c>
      <c r="X974" t="inlineStr">
        <is>
          <t>CORPORATIVO</t>
        </is>
      </c>
      <c r="Y974" t="n">
        <v>4</v>
      </c>
      <c r="Z974" t="inlineStr">
        <is>
          <t>CORPORATIVO</t>
        </is>
      </c>
      <c r="AA974" t="n">
        <v>1</v>
      </c>
      <c r="AB974" t="inlineStr">
        <is>
          <t>NEGOCIO EN MARCHA</t>
        </is>
      </c>
      <c r="AC974" t="n">
        <v>1</v>
      </c>
      <c r="AD974" t="inlineStr">
        <is>
          <t>BANCO</t>
        </is>
      </c>
      <c r="AE974" t="n">
        <v>1</v>
      </c>
      <c r="AF974" t="inlineStr">
        <is>
          <t>BACK</t>
        </is>
      </c>
      <c r="AG974" t="n">
        <v>126102</v>
      </c>
      <c r="AH974" t="inlineStr">
        <is>
          <t>MONTERREY</t>
        </is>
      </c>
      <c r="AI974" t="inlineStr">
        <is>
          <t>VVAZQUEZ@BANCOBASE.COM</t>
        </is>
      </c>
      <c r="AJ974" s="151" t="n">
        <v>42954</v>
      </c>
      <c r="AK974" s="151" t="n"/>
      <c r="AL974" s="151" t="n"/>
    </row>
    <row r="975" hidden="1" s="150">
      <c r="A975" t="inlineStr">
        <is>
          <t>BVAZQUEZS</t>
        </is>
      </c>
      <c r="B975" t="n">
        <v>1958</v>
      </c>
      <c r="C975" t="inlineStr">
        <is>
          <t>BRANDON ALEXIS VAZQUEZ SANTIAGO</t>
        </is>
      </c>
      <c r="D975" t="n">
        <v>9928</v>
      </c>
      <c r="E975" t="inlineStr">
        <is>
          <t>COORDINADOR DE GESTION COMERCIAL</t>
        </is>
      </c>
      <c r="F975" t="inlineStr">
        <is>
          <t>MONTERREY</t>
        </is>
      </c>
      <c r="G975" t="n">
        <v>2164</v>
      </c>
      <c r="H975" t="inlineStr">
        <is>
          <t>LUCILA CANO ALMAGUER</t>
        </is>
      </c>
      <c r="I975" t="n">
        <v>10137</v>
      </c>
      <c r="J975" t="inlineStr">
        <is>
          <t>GERENTE DE GESTION COMERCIAL</t>
        </is>
      </c>
      <c r="K975" t="n">
        <v>1</v>
      </c>
      <c r="L975" t="inlineStr">
        <is>
          <t>PRESIDENCIA EJECUTIVA DEL CONSEJO</t>
        </is>
      </c>
      <c r="M975" t="n">
        <v>40</v>
      </c>
      <c r="N975" t="inlineStr">
        <is>
          <t>DIRECCION GENERAL BANCO BASE</t>
        </is>
      </c>
      <c r="O975" t="n">
        <v>410</v>
      </c>
      <c r="P975" t="inlineStr">
        <is>
          <t>DIRECCION COMERCIAL</t>
        </is>
      </c>
      <c r="Q975" t="n">
        <v>4108</v>
      </c>
      <c r="R975" t="inlineStr">
        <is>
          <t>DIRECCION DE GESTION COMERCIAL</t>
        </is>
      </c>
      <c r="S975" t="n">
        <v>41080</v>
      </c>
      <c r="T975" t="inlineStr">
        <is>
          <t>DIRECCION DE GESTION COMERCIAL</t>
        </is>
      </c>
      <c r="U975" t="n">
        <v>410800</v>
      </c>
      <c r="V975" t="inlineStr">
        <is>
          <t>DIRECCION DE GESTION COMERCIAL</t>
        </is>
      </c>
      <c r="W975" t="n">
        <v>100101</v>
      </c>
      <c r="X975" t="inlineStr">
        <is>
          <t>CORPORATIVO</t>
        </is>
      </c>
      <c r="Y975" t="n">
        <v>4</v>
      </c>
      <c r="Z975" t="inlineStr">
        <is>
          <t>CORPORATIVO</t>
        </is>
      </c>
      <c r="AA975" t="n">
        <v>1</v>
      </c>
      <c r="AB975" t="inlineStr">
        <is>
          <t>NEGOCIO EN MARCHA</t>
        </is>
      </c>
      <c r="AC975" t="n">
        <v>1</v>
      </c>
      <c r="AD975" t="inlineStr">
        <is>
          <t>BANCO</t>
        </is>
      </c>
      <c r="AE975" t="n">
        <v>1</v>
      </c>
      <c r="AF975" t="inlineStr">
        <is>
          <t>BACK</t>
        </is>
      </c>
      <c r="AG975" t="n">
        <v>100101</v>
      </c>
      <c r="AH975" t="inlineStr">
        <is>
          <t>CORPORATIVO</t>
        </is>
      </c>
      <c r="AI975" t="inlineStr">
        <is>
          <t>BVAZQUEZS@BANCOBASE.COM</t>
        </is>
      </c>
      <c r="AJ975" s="151" t="n">
        <v>43160</v>
      </c>
      <c r="AK975" s="151" t="n"/>
      <c r="AL975" s="151" t="n"/>
    </row>
    <row r="976" hidden="1" s="150">
      <c r="A976" t="inlineStr">
        <is>
          <t>AMARTINEZG</t>
        </is>
      </c>
      <c r="B976" t="n">
        <v>3573</v>
      </c>
      <c r="C976" t="inlineStr">
        <is>
          <t>ALDO ROMAN MARTINEZ GONZALEZ</t>
        </is>
      </c>
      <c r="D976" t="n">
        <v>9038</v>
      </c>
      <c r="E976" t="inlineStr">
        <is>
          <t>ANALISTA DE GESTION COMERCIAL</t>
        </is>
      </c>
      <c r="F976" t="inlineStr">
        <is>
          <t>MONTERREY</t>
        </is>
      </c>
      <c r="G976" t="n">
        <v>1958</v>
      </c>
      <c r="H976" t="inlineStr">
        <is>
          <t>BRANDON ALEXIS VAZQUEZ SANTIAGO</t>
        </is>
      </c>
      <c r="I976" t="n">
        <v>9928</v>
      </c>
      <c r="J976" t="inlineStr">
        <is>
          <t>COORDINADOR DE GESTION COMERCIAL</t>
        </is>
      </c>
      <c r="K976" t="n">
        <v>1</v>
      </c>
      <c r="L976" t="inlineStr">
        <is>
          <t>PRESIDENCIA EJECUTIVA DEL CONSEJO</t>
        </is>
      </c>
      <c r="M976" t="n">
        <v>40</v>
      </c>
      <c r="N976" t="inlineStr">
        <is>
          <t>DIRECCION GENERAL BANCO BASE</t>
        </is>
      </c>
      <c r="O976" t="n">
        <v>410</v>
      </c>
      <c r="P976" t="inlineStr">
        <is>
          <t>DIRECCION COMERCIAL</t>
        </is>
      </c>
      <c r="Q976" t="n">
        <v>4108</v>
      </c>
      <c r="R976" t="inlineStr">
        <is>
          <t>DIRECCION DE GESTION COMERCIAL</t>
        </is>
      </c>
      <c r="S976" t="n">
        <v>41080</v>
      </c>
      <c r="T976" t="inlineStr">
        <is>
          <t>DIRECCION DE GESTION COMERCIAL</t>
        </is>
      </c>
      <c r="U976" t="n">
        <v>410800</v>
      </c>
      <c r="V976" t="inlineStr">
        <is>
          <t>DIRECCION DE GESTION COMERCIAL</t>
        </is>
      </c>
      <c r="W976" t="n">
        <v>100101</v>
      </c>
      <c r="X976" t="inlineStr">
        <is>
          <t>CORPORATIVO</t>
        </is>
      </c>
      <c r="Y976" t="n">
        <v>4</v>
      </c>
      <c r="Z976" t="inlineStr">
        <is>
          <t>CORPORATIVO</t>
        </is>
      </c>
      <c r="AA976" t="n">
        <v>1</v>
      </c>
      <c r="AB976" t="inlineStr">
        <is>
          <t>NEGOCIO EN MARCHA</t>
        </is>
      </c>
      <c r="AC976" t="n">
        <v>1</v>
      </c>
      <c r="AD976" t="inlineStr">
        <is>
          <t>BANCO</t>
        </is>
      </c>
      <c r="AE976" t="n">
        <v>1</v>
      </c>
      <c r="AF976" t="inlineStr">
        <is>
          <t>BACK</t>
        </is>
      </c>
      <c r="AG976" t="n">
        <v>126102</v>
      </c>
      <c r="AH976" t="inlineStr">
        <is>
          <t>MONTERREY</t>
        </is>
      </c>
      <c r="AI976" t="inlineStr">
        <is>
          <t>AMARTINEZG@BANCOBASE.COM</t>
        </is>
      </c>
      <c r="AJ976" s="151" t="n">
        <v>45917</v>
      </c>
      <c r="AK976" s="151" t="n"/>
      <c r="AL976" s="151" t="n"/>
    </row>
    <row r="977" hidden="1" s="150">
      <c r="A977" t="inlineStr">
        <is>
          <t>AFUENTESC</t>
        </is>
      </c>
      <c r="B977" t="n">
        <v>3962</v>
      </c>
      <c r="C977" t="inlineStr">
        <is>
          <t>ARANTZA FUENTES CRUZ</t>
        </is>
      </c>
      <c r="D977" t="n">
        <v>8344</v>
      </c>
      <c r="E977" t="inlineStr">
        <is>
          <t>ANALISTA DE GESTION COMERCIAL</t>
        </is>
      </c>
      <c r="F977" t="inlineStr">
        <is>
          <t>MONTERREY</t>
        </is>
      </c>
      <c r="G977" t="n">
        <v>1958</v>
      </c>
      <c r="H977" t="inlineStr">
        <is>
          <t>BRANDON ALEXIS VAZQUEZ SANTIAGO</t>
        </is>
      </c>
      <c r="I977" t="n">
        <v>9928</v>
      </c>
      <c r="J977" t="inlineStr">
        <is>
          <t>COORDINADOR DE GESTION COMERCIAL</t>
        </is>
      </c>
      <c r="K977" t="n">
        <v>1</v>
      </c>
      <c r="L977" t="inlineStr">
        <is>
          <t>PRESIDENCIA EJECUTIVA DEL CONSEJO</t>
        </is>
      </c>
      <c r="M977" t="n">
        <v>40</v>
      </c>
      <c r="N977" t="inlineStr">
        <is>
          <t>DIRECCION GENERAL BANCO BASE</t>
        </is>
      </c>
      <c r="O977" t="n">
        <v>410</v>
      </c>
      <c r="P977" t="inlineStr">
        <is>
          <t>DIRECCION COMERCIAL</t>
        </is>
      </c>
      <c r="Q977" t="n">
        <v>4108</v>
      </c>
      <c r="R977" t="inlineStr">
        <is>
          <t>DIRECCION DE GESTION COMERCIAL</t>
        </is>
      </c>
      <c r="S977" t="n">
        <v>41080</v>
      </c>
      <c r="T977" t="inlineStr">
        <is>
          <t>DIRECCION DE GESTION COMERCIAL</t>
        </is>
      </c>
      <c r="U977" t="n">
        <v>410800</v>
      </c>
      <c r="V977" t="inlineStr">
        <is>
          <t>DIRECCION DE GESTION COMERCIAL</t>
        </is>
      </c>
      <c r="W977" t="n">
        <v>100101</v>
      </c>
      <c r="X977" t="inlineStr">
        <is>
          <t>CORPORATIVO</t>
        </is>
      </c>
      <c r="Y977" t="n">
        <v>4</v>
      </c>
      <c r="Z977" t="inlineStr">
        <is>
          <t>CORPORATIVO</t>
        </is>
      </c>
      <c r="AA977" t="n">
        <v>1</v>
      </c>
      <c r="AB977" t="inlineStr">
        <is>
          <t>NEGOCIO EN MARCHA</t>
        </is>
      </c>
      <c r="AC977" t="n">
        <v>1</v>
      </c>
      <c r="AD977" t="inlineStr">
        <is>
          <t>BANCO</t>
        </is>
      </c>
      <c r="AE977" t="n">
        <v>1</v>
      </c>
      <c r="AF977" t="inlineStr">
        <is>
          <t>BACK</t>
        </is>
      </c>
      <c r="AG977" t="n">
        <v>126102</v>
      </c>
      <c r="AH977" t="inlineStr">
        <is>
          <t>MONTERREY</t>
        </is>
      </c>
      <c r="AI977" t="inlineStr">
        <is>
          <t>AFUENTESC@BANCOBASE.COM</t>
        </is>
      </c>
      <c r="AJ977" s="151" t="n">
        <v>46237</v>
      </c>
      <c r="AK977" s="151" t="n"/>
      <c r="AL977" s="151" t="n"/>
    </row>
    <row r="978" hidden="1" s="150">
      <c r="A978" t="inlineStr">
        <is>
          <t>IISLAS</t>
        </is>
      </c>
      <c r="B978" t="n">
        <v>3171</v>
      </c>
      <c r="C978" t="inlineStr">
        <is>
          <t>INGRID ISLAS VASQUEZ</t>
        </is>
      </c>
      <c r="D978" t="n">
        <v>8072</v>
      </c>
      <c r="E978" t="inlineStr">
        <is>
          <t>ANALISTA DE GESTION COMERCIAL</t>
        </is>
      </c>
      <c r="F978" t="inlineStr">
        <is>
          <t>MONTERREY</t>
        </is>
      </c>
      <c r="G978" t="n">
        <v>1958</v>
      </c>
      <c r="H978" t="inlineStr">
        <is>
          <t>BRANDON ALEXIS VAZQUEZ SANTIAGO</t>
        </is>
      </c>
      <c r="I978" t="n">
        <v>9928</v>
      </c>
      <c r="J978" t="inlineStr">
        <is>
          <t>COORDINADOR DE GESTION COMERCIAL</t>
        </is>
      </c>
      <c r="K978" t="n">
        <v>1</v>
      </c>
      <c r="L978" t="inlineStr">
        <is>
          <t>PRESIDENCIA EJECUTIVA DEL CONSEJO</t>
        </is>
      </c>
      <c r="M978" t="n">
        <v>40</v>
      </c>
      <c r="N978" t="inlineStr">
        <is>
          <t>DIRECCION GENERAL BANCO BASE</t>
        </is>
      </c>
      <c r="O978" t="n">
        <v>410</v>
      </c>
      <c r="P978" t="inlineStr">
        <is>
          <t>DIRECCION COMERCIAL</t>
        </is>
      </c>
      <c r="Q978" t="n">
        <v>4108</v>
      </c>
      <c r="R978" t="inlineStr">
        <is>
          <t>DIRECCION DE GESTION COMERCIAL</t>
        </is>
      </c>
      <c r="S978" t="n">
        <v>41080</v>
      </c>
      <c r="T978" t="inlineStr">
        <is>
          <t>DIRECCION DE GESTION COMERCIAL</t>
        </is>
      </c>
      <c r="U978" t="n">
        <v>410800</v>
      </c>
      <c r="V978" t="inlineStr">
        <is>
          <t>DIRECCION DE GESTION COMERCIAL</t>
        </is>
      </c>
      <c r="W978" t="n">
        <v>100101</v>
      </c>
      <c r="X978" t="inlineStr">
        <is>
          <t>CORPORATIVO</t>
        </is>
      </c>
      <c r="Y978" t="n">
        <v>4</v>
      </c>
      <c r="Z978" t="inlineStr">
        <is>
          <t>CORPORATIVO</t>
        </is>
      </c>
      <c r="AA978" t="n">
        <v>1</v>
      </c>
      <c r="AB978" t="inlineStr">
        <is>
          <t>NEGOCIO EN MARCHA</t>
        </is>
      </c>
      <c r="AC978" t="n">
        <v>1</v>
      </c>
      <c r="AD978" t="inlineStr">
        <is>
          <t>BANCO</t>
        </is>
      </c>
      <c r="AE978" t="n">
        <v>1</v>
      </c>
      <c r="AF978" t="inlineStr">
        <is>
          <t>BACK</t>
        </is>
      </c>
      <c r="AG978" t="n">
        <v>126102</v>
      </c>
      <c r="AH978" t="inlineStr">
        <is>
          <t>MONTERREY</t>
        </is>
      </c>
      <c r="AI978" t="inlineStr">
        <is>
          <t>IISLAS@BANCOBASE.COM</t>
        </is>
      </c>
      <c r="AJ978" s="151" t="n">
        <v>45505</v>
      </c>
      <c r="AK978" s="151" t="n"/>
      <c r="AL978" s="151" t="n"/>
    </row>
    <row r="979" hidden="1" s="150">
      <c r="A979" t="inlineStr">
        <is>
          <t>SGONZALEZI</t>
        </is>
      </c>
      <c r="B979" t="n">
        <v>3060</v>
      </c>
      <c r="C979" t="inlineStr">
        <is>
          <t>SANTIAGO ISAC GONZALEZ IBARRA</t>
        </is>
      </c>
      <c r="D979" t="n">
        <v>8337</v>
      </c>
      <c r="E979" t="inlineStr">
        <is>
          <t>COORDINADOR DE INTELIGENCIA COMERCIAL</t>
        </is>
      </c>
      <c r="F979" t="inlineStr">
        <is>
          <t>MONTERREY</t>
        </is>
      </c>
      <c r="G979" t="n">
        <v>2164</v>
      </c>
      <c r="H979" t="inlineStr">
        <is>
          <t>LUCILA CANO ALMAGUER</t>
        </is>
      </c>
      <c r="I979" t="n">
        <v>10137</v>
      </c>
      <c r="J979" t="inlineStr">
        <is>
          <t>GERENTE DE GESTION COMERCIAL</t>
        </is>
      </c>
      <c r="K979" t="n">
        <v>1</v>
      </c>
      <c r="L979" t="inlineStr">
        <is>
          <t>PRESIDENCIA EJECUTIVA DEL CONSEJO</t>
        </is>
      </c>
      <c r="M979" t="n">
        <v>40</v>
      </c>
      <c r="N979" t="inlineStr">
        <is>
          <t>DIRECCION GENERAL BANCO BASE</t>
        </is>
      </c>
      <c r="O979" t="n">
        <v>410</v>
      </c>
      <c r="P979" t="inlineStr">
        <is>
          <t>DIRECCION COMERCIAL</t>
        </is>
      </c>
      <c r="Q979" t="n">
        <v>4108</v>
      </c>
      <c r="R979" t="inlineStr">
        <is>
          <t>DIRECCION DE GESTION COMERCIAL</t>
        </is>
      </c>
      <c r="S979" t="n">
        <v>41080</v>
      </c>
      <c r="T979" t="inlineStr">
        <is>
          <t>DIRECCION DE GESTION COMERCIAL</t>
        </is>
      </c>
      <c r="U979" t="n">
        <v>410800</v>
      </c>
      <c r="V979" t="inlineStr">
        <is>
          <t>DIRECCION DE GESTION COMERCIAL</t>
        </is>
      </c>
      <c r="W979" t="n">
        <v>100101</v>
      </c>
      <c r="X979" t="inlineStr">
        <is>
          <t>CORPORATIVO</t>
        </is>
      </c>
      <c r="Y979" t="n">
        <v>3</v>
      </c>
      <c r="Z979" t="inlineStr">
        <is>
          <t>CAMBIARIO</t>
        </is>
      </c>
      <c r="AA979" t="n">
        <v>1</v>
      </c>
      <c r="AB979" t="inlineStr">
        <is>
          <t>NEGOCIO EN MARCHA</t>
        </is>
      </c>
      <c r="AC979" t="n">
        <v>1</v>
      </c>
      <c r="AD979" t="inlineStr">
        <is>
          <t>BANCO</t>
        </is>
      </c>
      <c r="AE979" t="n">
        <v>1</v>
      </c>
      <c r="AF979" t="inlineStr">
        <is>
          <t>BACK</t>
        </is>
      </c>
      <c r="AG979" t="n">
        <v>100101</v>
      </c>
      <c r="AH979" t="inlineStr">
        <is>
          <t>CORPORATIVO</t>
        </is>
      </c>
      <c r="AI979" t="inlineStr">
        <is>
          <t>SGONZALEZI@BANCOBASE.COM</t>
        </is>
      </c>
      <c r="AJ979" s="151" t="n">
        <v>45370</v>
      </c>
      <c r="AK979" s="151" t="n"/>
      <c r="AL979" s="151" t="n"/>
    </row>
    <row r="980" hidden="1" s="150">
      <c r="A980" t="inlineStr">
        <is>
          <t>NCADENA</t>
        </is>
      </c>
      <c r="B980" t="n">
        <v>3906</v>
      </c>
      <c r="C980" t="inlineStr">
        <is>
          <t>NATALIA CADENA GUERRA</t>
        </is>
      </c>
      <c r="D980" t="n">
        <v>5108</v>
      </c>
      <c r="E980" t="inlineStr">
        <is>
          <t>ANALISTA DE INTELIGENCIA COMERCIAL</t>
        </is>
      </c>
      <c r="F980" t="inlineStr">
        <is>
          <t>MONTERREY</t>
        </is>
      </c>
      <c r="G980" t="n">
        <v>3060</v>
      </c>
      <c r="H980" t="inlineStr">
        <is>
          <t>SANTIAGO ISAC GONZALEZ IBARRA</t>
        </is>
      </c>
      <c r="I980" t="n">
        <v>8337</v>
      </c>
      <c r="J980" t="inlineStr">
        <is>
          <t>COORDINADOR DE INTELIGENCIA COMERCIAL</t>
        </is>
      </c>
      <c r="K980" t="n">
        <v>1</v>
      </c>
      <c r="L980" t="inlineStr">
        <is>
          <t>PRESIDENCIA EJECUTIVA DEL CONSEJO</t>
        </is>
      </c>
      <c r="M980" t="n">
        <v>40</v>
      </c>
      <c r="N980" t="inlineStr">
        <is>
          <t>DIRECCION GENERAL BANCO BASE</t>
        </is>
      </c>
      <c r="O980" t="n">
        <v>410</v>
      </c>
      <c r="P980" t="inlineStr">
        <is>
          <t>DIRECCION COMERCIAL</t>
        </is>
      </c>
      <c r="Q980" t="n">
        <v>4108</v>
      </c>
      <c r="R980" t="inlineStr">
        <is>
          <t>DIRECCION DE GESTION COMERCIAL</t>
        </is>
      </c>
      <c r="S980" t="n">
        <v>41080</v>
      </c>
      <c r="T980" t="inlineStr">
        <is>
          <t>DIRECCION DE GESTION COMERCIAL</t>
        </is>
      </c>
      <c r="U980" t="n">
        <v>410800</v>
      </c>
      <c r="V980" t="inlineStr">
        <is>
          <t>DIRECCION DE GESTION COMERCIAL</t>
        </is>
      </c>
      <c r="W980" t="n">
        <v>100101</v>
      </c>
      <c r="X980" t="inlineStr">
        <is>
          <t>CORPORATIVO</t>
        </is>
      </c>
      <c r="Y980" t="n">
        <v>3</v>
      </c>
      <c r="Z980" t="inlineStr">
        <is>
          <t>CAMBIARIO</t>
        </is>
      </c>
      <c r="AA980" t="n">
        <v>1</v>
      </c>
      <c r="AB980" t="inlineStr">
        <is>
          <t>NEGOCIO EN MARCHA</t>
        </is>
      </c>
      <c r="AC980" t="n">
        <v>1</v>
      </c>
      <c r="AD980" t="inlineStr">
        <is>
          <t>BANCO</t>
        </is>
      </c>
      <c r="AE980" t="n">
        <v>1</v>
      </c>
      <c r="AF980" t="inlineStr">
        <is>
          <t>BACK</t>
        </is>
      </c>
      <c r="AG980" t="n">
        <v>100101</v>
      </c>
      <c r="AH980" t="inlineStr">
        <is>
          <t>CORPORATIVO</t>
        </is>
      </c>
      <c r="AI980" t="inlineStr">
        <is>
          <t>NCADENA@BANCOBASE.COM</t>
        </is>
      </c>
      <c r="AJ980" s="151" t="n">
        <v>46189</v>
      </c>
      <c r="AK980" s="151" t="n"/>
      <c r="AL980" s="151" t="n"/>
    </row>
    <row r="981" hidden="1" s="150">
      <c r="A981" t="inlineStr">
        <is>
          <t>MSILVAM</t>
        </is>
      </c>
      <c r="B981" t="n">
        <v>502</v>
      </c>
      <c r="C981" t="inlineStr">
        <is>
          <t>MARIA DE JESUS SILVA MAYA</t>
        </is>
      </c>
      <c r="D981" t="n">
        <v>69</v>
      </c>
      <c r="E981" t="inlineStr">
        <is>
          <t>COORDINADOR ADMINISTRATIVO DE PROMOCION NACIONAL</t>
        </is>
      </c>
      <c r="F981" t="inlineStr">
        <is>
          <t>MONTERREY</t>
        </is>
      </c>
      <c r="G981" t="n">
        <v>3761</v>
      </c>
      <c r="H981" t="inlineStr">
        <is>
          <t>JOSE JAIME DAVILA GARZA</t>
        </is>
      </c>
      <c r="I981" t="n">
        <v>9315</v>
      </c>
      <c r="J981" t="inlineStr">
        <is>
          <t>DIRECTOR DE GESTION COMERCIAL</t>
        </is>
      </c>
      <c r="K981" t="n">
        <v>1</v>
      </c>
      <c r="L981" t="inlineStr">
        <is>
          <t>PRESIDENCIA EJECUTIVA DEL CONSEJO</t>
        </is>
      </c>
      <c r="M981" t="n">
        <v>40</v>
      </c>
      <c r="N981" t="inlineStr">
        <is>
          <t>DIRECCION GENERAL BANCO BASE</t>
        </is>
      </c>
      <c r="O981" t="n">
        <v>410</v>
      </c>
      <c r="P981" t="inlineStr">
        <is>
          <t>DIRECCION COMERCIAL</t>
        </is>
      </c>
      <c r="Q981" t="n">
        <v>4108</v>
      </c>
      <c r="R981" t="inlineStr">
        <is>
          <t>DIRECCION DE GESTION COMERCIAL</t>
        </is>
      </c>
      <c r="S981" t="n">
        <v>41080</v>
      </c>
      <c r="T981" t="inlineStr">
        <is>
          <t>DIRECCION DE GESTION COMERCIAL</t>
        </is>
      </c>
      <c r="U981" t="n">
        <v>410800</v>
      </c>
      <c r="V981" t="inlineStr">
        <is>
          <t>DIRECCION DE GESTION COMERCIAL</t>
        </is>
      </c>
      <c r="W981" t="n">
        <v>100101</v>
      </c>
      <c r="X981" t="inlineStr">
        <is>
          <t>CORPORATIVO</t>
        </is>
      </c>
      <c r="Y981" t="n">
        <v>4</v>
      </c>
      <c r="Z981" t="inlineStr">
        <is>
          <t>CORPORATIVO</t>
        </is>
      </c>
      <c r="AA981" t="n">
        <v>1</v>
      </c>
      <c r="AB981" t="inlineStr">
        <is>
          <t>NEGOCIO EN MARCHA</t>
        </is>
      </c>
      <c r="AC981" t="n">
        <v>1</v>
      </c>
      <c r="AD981" t="inlineStr">
        <is>
          <t>BANCO</t>
        </is>
      </c>
      <c r="AE981" t="n">
        <v>1</v>
      </c>
      <c r="AF981" t="inlineStr">
        <is>
          <t>BACK</t>
        </is>
      </c>
      <c r="AG981" t="n">
        <v>100101</v>
      </c>
      <c r="AH981" t="inlineStr">
        <is>
          <t>CORPORATIVO</t>
        </is>
      </c>
      <c r="AI981" t="inlineStr">
        <is>
          <t>MSILVAM@BANCOBASE.COM</t>
        </is>
      </c>
      <c r="AJ981" s="151" t="n">
        <v>39676</v>
      </c>
      <c r="AK981" s="151" t="n"/>
      <c r="AL981" s="151" t="n"/>
    </row>
    <row r="982" hidden="1" s="150">
      <c r="A982" t="inlineStr">
        <is>
          <t>DRIVERAR</t>
        </is>
      </c>
      <c r="B982" t="n">
        <v>2356</v>
      </c>
      <c r="C982" t="inlineStr">
        <is>
          <t>DIANA BERENICE RIVERA RAMIREZ</t>
        </is>
      </c>
      <c r="D982" t="n">
        <v>8253</v>
      </c>
      <c r="E982" t="inlineStr">
        <is>
          <t>ANALISTA ADMINISTATIVO DE PROMOCION NACIONAL</t>
        </is>
      </c>
      <c r="F982" t="inlineStr">
        <is>
          <t>MONTERREY</t>
        </is>
      </c>
      <c r="G982" t="n">
        <v>502</v>
      </c>
      <c r="H982" t="inlineStr">
        <is>
          <t>MARIA DE JESUS SILVA MAYA</t>
        </is>
      </c>
      <c r="I982" t="n">
        <v>69</v>
      </c>
      <c r="J982" t="inlineStr">
        <is>
          <t>COORDINADOR ADMINISTRATIVO DE PROMOCION NACIONAL</t>
        </is>
      </c>
      <c r="K982" t="n">
        <v>1</v>
      </c>
      <c r="L982" t="inlineStr">
        <is>
          <t>PRESIDENCIA EJECUTIVA DEL CONSEJO</t>
        </is>
      </c>
      <c r="M982" t="n">
        <v>40</v>
      </c>
      <c r="N982" t="inlineStr">
        <is>
          <t>DIRECCION GENERAL BANCO BASE</t>
        </is>
      </c>
      <c r="O982" t="n">
        <v>410</v>
      </c>
      <c r="P982" t="inlineStr">
        <is>
          <t>DIRECCION COMERCIAL</t>
        </is>
      </c>
      <c r="Q982" t="n">
        <v>4108</v>
      </c>
      <c r="R982" t="inlineStr">
        <is>
          <t>DIRECCION DE GESTION COMERCIAL</t>
        </is>
      </c>
      <c r="S982" t="n">
        <v>41080</v>
      </c>
      <c r="T982" t="inlineStr">
        <is>
          <t>DIRECCION DE GESTION COMERCIAL</t>
        </is>
      </c>
      <c r="U982" t="n">
        <v>410800</v>
      </c>
      <c r="V982" t="inlineStr">
        <is>
          <t>DIRECCION DE GESTION COMERCIAL</t>
        </is>
      </c>
      <c r="W982" t="n">
        <v>100101</v>
      </c>
      <c r="X982" t="inlineStr">
        <is>
          <t>CORPORATIVO</t>
        </is>
      </c>
      <c r="Y982" t="n">
        <v>4</v>
      </c>
      <c r="Z982" t="inlineStr">
        <is>
          <t>CORPORATIVO</t>
        </is>
      </c>
      <c r="AA982" t="n">
        <v>1</v>
      </c>
      <c r="AB982" t="inlineStr">
        <is>
          <t>NEGOCIO EN MARCHA</t>
        </is>
      </c>
      <c r="AC982" t="n">
        <v>1</v>
      </c>
      <c r="AD982" t="inlineStr">
        <is>
          <t>BANCO</t>
        </is>
      </c>
      <c r="AE982" t="n">
        <v>1</v>
      </c>
      <c r="AF982" t="inlineStr">
        <is>
          <t>BACK</t>
        </is>
      </c>
      <c r="AG982" t="n">
        <v>100101</v>
      </c>
      <c r="AH982" t="inlineStr">
        <is>
          <t>CORPORATIVO</t>
        </is>
      </c>
      <c r="AI982" t="inlineStr">
        <is>
          <t>DRIVERAR@BANCOBASE.COM</t>
        </is>
      </c>
      <c r="AJ982" s="151" t="n">
        <v>43802</v>
      </c>
      <c r="AK982" s="151" t="n"/>
      <c r="AL982" s="151" t="n"/>
    </row>
    <row r="983" hidden="1" s="150">
      <c r="A983" t="inlineStr">
        <is>
          <t>SBARROSO</t>
        </is>
      </c>
      <c r="B983" t="n">
        <v>3279</v>
      </c>
      <c r="C983" t="inlineStr">
        <is>
          <t>SAMANTHA ESTEPHANIA BARROSO FERRIÑO</t>
        </is>
      </c>
      <c r="D983" t="n">
        <v>9025</v>
      </c>
      <c r="E983" t="inlineStr">
        <is>
          <t>GERENTE DE VINCULACION COMERCIAL Y PROGRAMA DE LEALTAD</t>
        </is>
      </c>
      <c r="F983" t="inlineStr">
        <is>
          <t>MONTERREY</t>
        </is>
      </c>
      <c r="G983" t="n">
        <v>3761</v>
      </c>
      <c r="H983" t="inlineStr">
        <is>
          <t>JOSE JAIME DAVILA GARZA</t>
        </is>
      </c>
      <c r="I983" t="n">
        <v>9315</v>
      </c>
      <c r="J983" t="inlineStr">
        <is>
          <t>DIRECTOR DE GESTION COMERCIAL</t>
        </is>
      </c>
      <c r="K983" t="n">
        <v>1</v>
      </c>
      <c r="L983" t="inlineStr">
        <is>
          <t>PRESIDENCIA EJECUTIVA DEL CONSEJO</t>
        </is>
      </c>
      <c r="M983" t="n">
        <v>40</v>
      </c>
      <c r="N983" t="inlineStr">
        <is>
          <t>DIRECCION GENERAL BANCO BASE</t>
        </is>
      </c>
      <c r="O983" t="n">
        <v>410</v>
      </c>
      <c r="P983" t="inlineStr">
        <is>
          <t>DIRECCION COMERCIAL</t>
        </is>
      </c>
      <c r="Q983" t="n">
        <v>4108</v>
      </c>
      <c r="R983" t="inlineStr">
        <is>
          <t>DIRECCION DE GESTION COMERCIAL</t>
        </is>
      </c>
      <c r="S983" t="n">
        <v>41081</v>
      </c>
      <c r="T983" t="inlineStr">
        <is>
          <t>VINCULACION COMERCIAL Y PROGRAMA DE LEALTAD</t>
        </is>
      </c>
      <c r="U983" t="n">
        <v>410810</v>
      </c>
      <c r="V983" t="inlineStr">
        <is>
          <t>VINCULACION COMERCIAL Y PROGRAMA DE LEALTAD</t>
        </is>
      </c>
      <c r="W983" t="n">
        <v>100101</v>
      </c>
      <c r="X983" t="inlineStr">
        <is>
          <t>CORPORATIVO</t>
        </is>
      </c>
      <c r="Y983" t="n">
        <v>3</v>
      </c>
      <c r="Z983" t="inlineStr">
        <is>
          <t>CAMBIARIO</t>
        </is>
      </c>
      <c r="AA983" t="n">
        <v>1</v>
      </c>
      <c r="AB983" t="inlineStr">
        <is>
          <t>NEGOCIO EN MARCHA</t>
        </is>
      </c>
      <c r="AC983" t="n">
        <v>1</v>
      </c>
      <c r="AD983" t="inlineStr">
        <is>
          <t>BANCO</t>
        </is>
      </c>
      <c r="AE983" t="n">
        <v>1</v>
      </c>
      <c r="AF983" t="inlineStr">
        <is>
          <t>BACK</t>
        </is>
      </c>
      <c r="AG983" t="n">
        <v>100101</v>
      </c>
      <c r="AH983" t="inlineStr">
        <is>
          <t>CORPORATIVO</t>
        </is>
      </c>
      <c r="AI983" t="inlineStr">
        <is>
          <t>SBARROSO@BANCOBASE.COM</t>
        </is>
      </c>
      <c r="AJ983" s="151" t="n">
        <v>45628</v>
      </c>
      <c r="AK983" s="151" t="n"/>
      <c r="AL983" s="151" t="n"/>
    </row>
    <row r="984" hidden="1" s="150">
      <c r="A984" t="inlineStr">
        <is>
          <t>DGONZALEZE</t>
        </is>
      </c>
      <c r="B984" t="n">
        <v>2639</v>
      </c>
      <c r="C984" t="inlineStr">
        <is>
          <t>DANIELA GONZALEZ ESTRADA</t>
        </is>
      </c>
      <c r="D984" t="n">
        <v>8378</v>
      </c>
      <c r="E984" t="inlineStr">
        <is>
          <t>COORDINADOR DE VINCULACION COMERCIAL Y PROGRAMA DE LEALTAD</t>
        </is>
      </c>
      <c r="F984" t="inlineStr">
        <is>
          <t>MEXICO</t>
        </is>
      </c>
      <c r="G984" t="n">
        <v>3279</v>
      </c>
      <c r="H984" t="inlineStr">
        <is>
          <t>SAMANTHA ESTEPHANIA BARROSO FERRIÑO</t>
        </is>
      </c>
      <c r="I984" t="n">
        <v>9025</v>
      </c>
      <c r="J984" t="inlineStr">
        <is>
          <t>GERENTE DE VINCULACION COMERCIAL Y PROGRAMA DE LEALTAD</t>
        </is>
      </c>
      <c r="K984" t="n">
        <v>1</v>
      </c>
      <c r="L984" t="inlineStr">
        <is>
          <t>PRESIDENCIA EJECUTIVA DEL CONSEJO</t>
        </is>
      </c>
      <c r="M984" t="n">
        <v>40</v>
      </c>
      <c r="N984" t="inlineStr">
        <is>
          <t>DIRECCION GENERAL BANCO BASE</t>
        </is>
      </c>
      <c r="O984" t="n">
        <v>410</v>
      </c>
      <c r="P984" t="inlineStr">
        <is>
          <t>DIRECCION COMERCIAL</t>
        </is>
      </c>
      <c r="Q984" t="n">
        <v>4108</v>
      </c>
      <c r="R984" t="inlineStr">
        <is>
          <t>DIRECCION DE GESTION COMERCIAL</t>
        </is>
      </c>
      <c r="S984" t="n">
        <v>41081</v>
      </c>
      <c r="T984" t="inlineStr">
        <is>
          <t>VINCULACION COMERCIAL Y PROGRAMA DE LEALTAD</t>
        </is>
      </c>
      <c r="U984" t="n">
        <v>410810</v>
      </c>
      <c r="V984" t="inlineStr">
        <is>
          <t>VINCULACION COMERCIAL Y PROGRAMA DE LEALTAD</t>
        </is>
      </c>
      <c r="W984" t="n">
        <v>134111</v>
      </c>
      <c r="X984" t="inlineStr">
        <is>
          <t>LOMAS</t>
        </is>
      </c>
      <c r="Y984" t="n">
        <v>3</v>
      </c>
      <c r="Z984" t="inlineStr">
        <is>
          <t>CAMBIARIO</t>
        </is>
      </c>
      <c r="AA984" t="n">
        <v>1</v>
      </c>
      <c r="AB984" t="inlineStr">
        <is>
          <t>NEGOCIO EN MARCHA</t>
        </is>
      </c>
      <c r="AC984" t="n">
        <v>1</v>
      </c>
      <c r="AD984" t="inlineStr">
        <is>
          <t>BANCO</t>
        </is>
      </c>
      <c r="AE984" t="n">
        <v>1</v>
      </c>
      <c r="AF984" t="inlineStr">
        <is>
          <t>BACK</t>
        </is>
      </c>
      <c r="AG984" t="n">
        <v>134111</v>
      </c>
      <c r="AH984" t="inlineStr">
        <is>
          <t>LOMAS</t>
        </is>
      </c>
      <c r="AI984" t="inlineStr">
        <is>
          <t>DGONZALEZE@BANCOBASE.COM</t>
        </is>
      </c>
      <c r="AJ984" s="151" t="n">
        <v>44669</v>
      </c>
      <c r="AK984" s="151" t="n"/>
      <c r="AL984" s="151" t="n"/>
    </row>
    <row r="985" hidden="1" s="150">
      <c r="A985" t="inlineStr">
        <is>
          <t>SSALDIVAR</t>
        </is>
      </c>
      <c r="B985" t="n">
        <v>2392</v>
      </c>
      <c r="C985" t="inlineStr">
        <is>
          <t>SAMANTHA KRISTAL SALDIVAR PALOMARES</t>
        </is>
      </c>
      <c r="D985" t="n">
        <v>9293</v>
      </c>
      <c r="E985" t="inlineStr">
        <is>
          <t>ESPECIALISTA DE VINCULACION COMERCIAL Y PROGRAMA DE LEALTAD</t>
        </is>
      </c>
      <c r="F985" t="inlineStr">
        <is>
          <t>MONTERREY</t>
        </is>
      </c>
      <c r="G985" t="n">
        <v>3279</v>
      </c>
      <c r="H985" t="inlineStr">
        <is>
          <t>SAMANTHA ESTEPHANIA BARROSO FERRIÑO</t>
        </is>
      </c>
      <c r="I985" t="n">
        <v>9025</v>
      </c>
      <c r="J985" t="inlineStr">
        <is>
          <t>GERENTE DE VINCULACION COMERCIAL Y PROGRAMA DE LEALTAD</t>
        </is>
      </c>
      <c r="K985" t="n">
        <v>1</v>
      </c>
      <c r="L985" t="inlineStr">
        <is>
          <t>PRESIDENCIA EJECUTIVA DEL CONSEJO</t>
        </is>
      </c>
      <c r="M985" t="n">
        <v>40</v>
      </c>
      <c r="N985" t="inlineStr">
        <is>
          <t>DIRECCION GENERAL BANCO BASE</t>
        </is>
      </c>
      <c r="O985" t="n">
        <v>410</v>
      </c>
      <c r="P985" t="inlineStr">
        <is>
          <t>DIRECCION COMERCIAL</t>
        </is>
      </c>
      <c r="Q985" t="n">
        <v>4108</v>
      </c>
      <c r="R985" t="inlineStr">
        <is>
          <t>DIRECCION DE GESTION COMERCIAL</t>
        </is>
      </c>
      <c r="S985" t="n">
        <v>41081</v>
      </c>
      <c r="T985" t="inlineStr">
        <is>
          <t>VINCULACION COMERCIAL Y PROGRAMA DE LEALTAD</t>
        </is>
      </c>
      <c r="U985" t="n">
        <v>410810</v>
      </c>
      <c r="V985" t="inlineStr">
        <is>
          <t>VINCULACION COMERCIAL Y PROGRAMA DE LEALTAD</t>
        </is>
      </c>
      <c r="W985" t="n">
        <v>100101</v>
      </c>
      <c r="X985" t="inlineStr">
        <is>
          <t>CORPORATIVO</t>
        </is>
      </c>
      <c r="Y985" t="n">
        <v>3</v>
      </c>
      <c r="Z985" t="inlineStr">
        <is>
          <t>CAMBIARIO</t>
        </is>
      </c>
      <c r="AA985" t="n">
        <v>1</v>
      </c>
      <c r="AB985" t="inlineStr">
        <is>
          <t>NEGOCIO EN MARCHA</t>
        </is>
      </c>
      <c r="AC985" t="n">
        <v>1</v>
      </c>
      <c r="AD985" t="inlineStr">
        <is>
          <t>BANCO</t>
        </is>
      </c>
      <c r="AE985" t="n">
        <v>1</v>
      </c>
      <c r="AF985" t="inlineStr">
        <is>
          <t>BACK</t>
        </is>
      </c>
      <c r="AG985" t="n">
        <v>126102</v>
      </c>
      <c r="AH985" t="inlineStr">
        <is>
          <t>MONTERREY</t>
        </is>
      </c>
      <c r="AI985" t="inlineStr">
        <is>
          <t>SSALDIVAR@BANCOBASE.COM</t>
        </is>
      </c>
      <c r="AJ985" s="151" t="n">
        <v>43892</v>
      </c>
      <c r="AK985" s="151" t="n"/>
      <c r="AL985" s="151" t="n"/>
    </row>
    <row r="986" hidden="1" s="150">
      <c r="A986" t="inlineStr">
        <is>
          <t>AHERNANDZE</t>
        </is>
      </c>
      <c r="B986" t="n">
        <v>2703</v>
      </c>
      <c r="C986" t="inlineStr">
        <is>
          <t>ALFREDO HERNANDEZ ZEPEDA</t>
        </is>
      </c>
      <c r="D986" t="n">
        <v>159</v>
      </c>
      <c r="E986" t="inlineStr">
        <is>
          <t>ANALISTA DE VINCULACION COMERCIAL Y PROGRAMA DE LEALTAD</t>
        </is>
      </c>
      <c r="F986" t="inlineStr">
        <is>
          <t>MEXICO</t>
        </is>
      </c>
      <c r="G986" t="n">
        <v>3279</v>
      </c>
      <c r="H986" t="inlineStr">
        <is>
          <t>SAMANTHA ESTEPHANIA BARROSO FERRIÑO</t>
        </is>
      </c>
      <c r="I986" t="n">
        <v>9025</v>
      </c>
      <c r="J986" t="inlineStr">
        <is>
          <t>GERENTE DE VINCULACION COMERCIAL Y PROGRAMA DE LEALTAD</t>
        </is>
      </c>
      <c r="K986" t="n">
        <v>1</v>
      </c>
      <c r="L986" t="inlineStr">
        <is>
          <t>PRESIDENCIA EJECUTIVA DEL CONSEJO</t>
        </is>
      </c>
      <c r="M986" t="n">
        <v>40</v>
      </c>
      <c r="N986" t="inlineStr">
        <is>
          <t>DIRECCION GENERAL BANCO BASE</t>
        </is>
      </c>
      <c r="O986" t="n">
        <v>410</v>
      </c>
      <c r="P986" t="inlineStr">
        <is>
          <t>DIRECCION COMERCIAL</t>
        </is>
      </c>
      <c r="Q986" t="n">
        <v>4108</v>
      </c>
      <c r="R986" t="inlineStr">
        <is>
          <t>DIRECCION DE GESTION COMERCIAL</t>
        </is>
      </c>
      <c r="S986" t="n">
        <v>41081</v>
      </c>
      <c r="T986" t="inlineStr">
        <is>
          <t>VINCULACION COMERCIAL Y PROGRAMA DE LEALTAD</t>
        </is>
      </c>
      <c r="U986" t="n">
        <v>410810</v>
      </c>
      <c r="V986" t="inlineStr">
        <is>
          <t>VINCULACION COMERCIAL Y PROGRAMA DE LEALTAD</t>
        </is>
      </c>
      <c r="W986" t="n">
        <v>134111</v>
      </c>
      <c r="X986" t="inlineStr">
        <is>
          <t>LOMAS</t>
        </is>
      </c>
      <c r="Y986" t="n">
        <v>3</v>
      </c>
      <c r="Z986" t="inlineStr">
        <is>
          <t>CAMBIARIO</t>
        </is>
      </c>
      <c r="AA986" t="n">
        <v>1</v>
      </c>
      <c r="AB986" t="inlineStr">
        <is>
          <t>NEGOCIO EN MARCHA</t>
        </is>
      </c>
      <c r="AC986" t="n">
        <v>1</v>
      </c>
      <c r="AD986" t="inlineStr">
        <is>
          <t>BANCO</t>
        </is>
      </c>
      <c r="AE986" t="n">
        <v>1</v>
      </c>
      <c r="AF986" t="inlineStr">
        <is>
          <t>BACK</t>
        </is>
      </c>
      <c r="AG986" t="n">
        <v>134111</v>
      </c>
      <c r="AH986" t="inlineStr">
        <is>
          <t>LOMAS</t>
        </is>
      </c>
      <c r="AI986" t="inlineStr">
        <is>
          <t>AHERNANDZE@BANCOBASE.COM</t>
        </is>
      </c>
      <c r="AJ986" s="151" t="n">
        <v>44774</v>
      </c>
      <c r="AK986" s="151" t="n"/>
      <c r="AL986" s="151" t="n"/>
    </row>
    <row r="987" hidden="1" s="150">
      <c r="A987" t="inlineStr">
        <is>
          <t>PCHARLES</t>
        </is>
      </c>
      <c r="B987" t="n">
        <v>2456</v>
      </c>
      <c r="C987" t="inlineStr">
        <is>
          <t>PEDRO HERIBERTO CHARLES PEÑA</t>
        </is>
      </c>
      <c r="D987" t="n">
        <v>10234</v>
      </c>
      <c r="E987" t="inlineStr">
        <is>
          <t>ANALISTA DE VINCULACION COMERCIAL Y PROGRAMA DE LEALTAD</t>
        </is>
      </c>
      <c r="F987" t="inlineStr">
        <is>
          <t>MONTERREY</t>
        </is>
      </c>
      <c r="G987" t="n">
        <v>3279</v>
      </c>
      <c r="H987" t="inlineStr">
        <is>
          <t>SAMANTHA ESTEPHANIA BARROSO FERRIÑO</t>
        </is>
      </c>
      <c r="I987" t="n">
        <v>9025</v>
      </c>
      <c r="J987" t="inlineStr">
        <is>
          <t>GERENTE DE VINCULACION COMERCIAL Y PROGRAMA DE LEALTAD</t>
        </is>
      </c>
      <c r="K987" t="n">
        <v>1</v>
      </c>
      <c r="L987" t="inlineStr">
        <is>
          <t>PRESIDENCIA EJECUTIVA DEL CONSEJO</t>
        </is>
      </c>
      <c r="M987" t="n">
        <v>40</v>
      </c>
      <c r="N987" t="inlineStr">
        <is>
          <t>DIRECCION GENERAL BANCO BASE</t>
        </is>
      </c>
      <c r="O987" t="n">
        <v>410</v>
      </c>
      <c r="P987" t="inlineStr">
        <is>
          <t>DIRECCION COMERCIAL</t>
        </is>
      </c>
      <c r="Q987" t="n">
        <v>4108</v>
      </c>
      <c r="R987" t="inlineStr">
        <is>
          <t>DIRECCION DE GESTION COMERCIAL</t>
        </is>
      </c>
      <c r="S987" t="n">
        <v>41081</v>
      </c>
      <c r="T987" t="inlineStr">
        <is>
          <t>VINCULACION COMERCIAL Y PROGRAMA DE LEALTAD</t>
        </is>
      </c>
      <c r="U987" t="n">
        <v>410810</v>
      </c>
      <c r="V987" t="inlineStr">
        <is>
          <t>VINCULACION COMERCIAL Y PROGRAMA DE LEALTAD</t>
        </is>
      </c>
      <c r="W987" t="n">
        <v>100101</v>
      </c>
      <c r="X987" t="inlineStr">
        <is>
          <t>CORPORATIVO</t>
        </is>
      </c>
      <c r="Y987" t="n">
        <v>3</v>
      </c>
      <c r="Z987" t="inlineStr">
        <is>
          <t>CAMBIARIO</t>
        </is>
      </c>
      <c r="AA987" t="n">
        <v>1</v>
      </c>
      <c r="AB987" t="inlineStr">
        <is>
          <t>NEGOCIO EN MARCHA</t>
        </is>
      </c>
      <c r="AC987" t="n">
        <v>1</v>
      </c>
      <c r="AD987" t="inlineStr">
        <is>
          <t>BANCO</t>
        </is>
      </c>
      <c r="AE987" t="n">
        <v>1</v>
      </c>
      <c r="AF987" t="inlineStr">
        <is>
          <t>BACK</t>
        </is>
      </c>
      <c r="AG987" t="n">
        <v>126102</v>
      </c>
      <c r="AH987" t="inlineStr">
        <is>
          <t>MONTERREY</t>
        </is>
      </c>
      <c r="AI987" t="inlineStr">
        <is>
          <t>PCHARLES@BANCOBASE.COM</t>
        </is>
      </c>
      <c r="AJ987" s="151" t="n">
        <v>44181</v>
      </c>
      <c r="AK987" s="151" t="n"/>
      <c r="AL987" s="151" t="n"/>
    </row>
    <row r="988" hidden="1" s="150">
      <c r="A988" t="inlineStr">
        <is>
          <t>BCANTUB</t>
        </is>
      </c>
      <c r="B988" t="n">
        <v>3102</v>
      </c>
      <c r="C988" t="inlineStr">
        <is>
          <t>BARBARA CANTU BUENO</t>
        </is>
      </c>
      <c r="D988" t="n">
        <v>10235</v>
      </c>
      <c r="E988" t="inlineStr">
        <is>
          <t>ANALISTA DE VINCULACION COMERCIAL Y PROGRAMA DE LEALTAD</t>
        </is>
      </c>
      <c r="F988" t="inlineStr">
        <is>
          <t>MONTERREY</t>
        </is>
      </c>
      <c r="G988" t="n">
        <v>3279</v>
      </c>
      <c r="H988" t="inlineStr">
        <is>
          <t>SAMANTHA ESTEPHANIA BARROSO FERRIÑO</t>
        </is>
      </c>
      <c r="I988" t="n">
        <v>9025</v>
      </c>
      <c r="J988" t="inlineStr">
        <is>
          <t>GERENTE DE VINCULACION COMERCIAL Y PROGRAMA DE LEALTAD</t>
        </is>
      </c>
      <c r="K988" t="n">
        <v>1</v>
      </c>
      <c r="L988" t="inlineStr">
        <is>
          <t>PRESIDENCIA EJECUTIVA DEL CONSEJO</t>
        </is>
      </c>
      <c r="M988" t="n">
        <v>40</v>
      </c>
      <c r="N988" t="inlineStr">
        <is>
          <t>DIRECCION GENERAL BANCO BASE</t>
        </is>
      </c>
      <c r="O988" t="n">
        <v>410</v>
      </c>
      <c r="P988" t="inlineStr">
        <is>
          <t>DIRECCION COMERCIAL</t>
        </is>
      </c>
      <c r="Q988" t="n">
        <v>4108</v>
      </c>
      <c r="R988" t="inlineStr">
        <is>
          <t>DIRECCION DE GESTION COMERCIAL</t>
        </is>
      </c>
      <c r="S988" t="n">
        <v>41081</v>
      </c>
      <c r="T988" t="inlineStr">
        <is>
          <t>VINCULACION COMERCIAL Y PROGRAMA DE LEALTAD</t>
        </is>
      </c>
      <c r="U988" t="n">
        <v>410810</v>
      </c>
      <c r="V988" t="inlineStr">
        <is>
          <t>VINCULACION COMERCIAL Y PROGRAMA DE LEALTAD</t>
        </is>
      </c>
      <c r="W988" t="n">
        <v>100101</v>
      </c>
      <c r="X988" t="inlineStr">
        <is>
          <t>CORPORATIVO</t>
        </is>
      </c>
      <c r="Y988" t="n">
        <v>3</v>
      </c>
      <c r="Z988" t="inlineStr">
        <is>
          <t>CAMBIARIO</t>
        </is>
      </c>
      <c r="AA988" t="n">
        <v>1</v>
      </c>
      <c r="AB988" t="inlineStr">
        <is>
          <t>NEGOCIO EN MARCHA</t>
        </is>
      </c>
      <c r="AC988" t="n">
        <v>1</v>
      </c>
      <c r="AD988" t="inlineStr">
        <is>
          <t>BANCO</t>
        </is>
      </c>
      <c r="AE988" t="n">
        <v>1</v>
      </c>
      <c r="AF988" t="inlineStr">
        <is>
          <t>BACK</t>
        </is>
      </c>
      <c r="AG988" t="n">
        <v>126102</v>
      </c>
      <c r="AH988" t="inlineStr">
        <is>
          <t>MONTERREY</t>
        </is>
      </c>
      <c r="AI988" t="inlineStr">
        <is>
          <t>BCANTUB@BANCOBASE.COM</t>
        </is>
      </c>
      <c r="AJ988" s="151" t="n">
        <v>45398</v>
      </c>
      <c r="AK988" s="151" t="n"/>
      <c r="AL988" s="151" t="n"/>
    </row>
    <row r="989" hidden="1" s="150">
      <c r="A989" t="inlineStr">
        <is>
          <t>CPENA</t>
        </is>
      </c>
      <c r="B989" t="n">
        <v>976</v>
      </c>
      <c r="C989" t="inlineStr">
        <is>
          <t>CHARYTHIN LLULIANA PEÑA BOTELLO</t>
        </is>
      </c>
      <c r="D989" t="n">
        <v>8429</v>
      </c>
      <c r="E989" t="inlineStr">
        <is>
          <t>GERENTE DE PROCESOS COMERCIALES</t>
        </is>
      </c>
      <c r="F989" t="inlineStr">
        <is>
          <t>MONTERREY</t>
        </is>
      </c>
      <c r="G989" t="n">
        <v>3761</v>
      </c>
      <c r="H989" t="inlineStr">
        <is>
          <t>JOSE JAIME DAVILA GARZA</t>
        </is>
      </c>
      <c r="I989" t="n">
        <v>9315</v>
      </c>
      <c r="J989" t="inlineStr">
        <is>
          <t>DIRECTOR DE GESTION COMERCIAL</t>
        </is>
      </c>
      <c r="K989" t="n">
        <v>1</v>
      </c>
      <c r="L989" t="inlineStr">
        <is>
          <t>PRESIDENCIA EJECUTIVA DEL CONSEJO</t>
        </is>
      </c>
      <c r="M989" t="n">
        <v>40</v>
      </c>
      <c r="N989" t="inlineStr">
        <is>
          <t>DIRECCION GENERAL BANCO BASE</t>
        </is>
      </c>
      <c r="O989" t="n">
        <v>410</v>
      </c>
      <c r="P989" t="inlineStr">
        <is>
          <t>DIRECCION COMERCIAL</t>
        </is>
      </c>
      <c r="Q989" t="n">
        <v>4108</v>
      </c>
      <c r="R989" t="inlineStr">
        <is>
          <t>DIRECCION DE GESTION COMERCIAL</t>
        </is>
      </c>
      <c r="S989" t="n">
        <v>45620</v>
      </c>
      <c r="T989" t="inlineStr">
        <is>
          <t>GERENCIA DE PROCESOS COMERCIALES</t>
        </is>
      </c>
      <c r="U989" t="n">
        <v>456200</v>
      </c>
      <c r="V989" t="inlineStr">
        <is>
          <t>GERENCIA DE PROCESOS COMERCIALES</t>
        </is>
      </c>
      <c r="W989" t="n">
        <v>100101</v>
      </c>
      <c r="X989" t="inlineStr">
        <is>
          <t>CORPORATIVO</t>
        </is>
      </c>
      <c r="Y989" t="n">
        <v>4</v>
      </c>
      <c r="Z989" t="inlineStr">
        <is>
          <t>CORPORATIVO</t>
        </is>
      </c>
      <c r="AA989" t="n">
        <v>1</v>
      </c>
      <c r="AB989" t="inlineStr">
        <is>
          <t>NEGOCIO EN MARCHA</t>
        </is>
      </c>
      <c r="AC989" t="n">
        <v>1</v>
      </c>
      <c r="AD989" t="inlineStr">
        <is>
          <t>BANCO</t>
        </is>
      </c>
      <c r="AE989" t="n">
        <v>1</v>
      </c>
      <c r="AF989" t="inlineStr">
        <is>
          <t>BACK</t>
        </is>
      </c>
      <c r="AG989" t="n">
        <v>100101</v>
      </c>
      <c r="AH989" t="inlineStr">
        <is>
          <t>CORPORATIVO</t>
        </is>
      </c>
      <c r="AI989" t="inlineStr">
        <is>
          <t>CPENA@BANCOBASE.COM</t>
        </is>
      </c>
      <c r="AJ989" s="151" t="n">
        <v>41253</v>
      </c>
      <c r="AK989" s="151" t="n"/>
      <c r="AL989" s="151" t="n"/>
    </row>
    <row r="990" hidden="1" s="150">
      <c r="A990" t="inlineStr">
        <is>
          <t>XLOPEZB</t>
        </is>
      </c>
      <c r="B990" t="n">
        <v>3101</v>
      </c>
      <c r="C990" t="inlineStr">
        <is>
          <t>XIMENA LOPEZ BENAVIDES</t>
        </is>
      </c>
      <c r="D990" t="n">
        <v>8343</v>
      </c>
      <c r="E990" t="inlineStr">
        <is>
          <t>ESPECIALISTA DE MEJORA CONTINUA</t>
        </is>
      </c>
      <c r="F990" t="inlineStr">
        <is>
          <t>MONTERREY</t>
        </is>
      </c>
      <c r="G990" t="n">
        <v>976</v>
      </c>
      <c r="H990" t="inlineStr">
        <is>
          <t>CHARYTHIN LLULIANA PEÑA BOTELLO</t>
        </is>
      </c>
      <c r="I990" t="n">
        <v>8429</v>
      </c>
      <c r="J990" t="inlineStr">
        <is>
          <t>GERENTE DE PROCESOS COMERCIALES</t>
        </is>
      </c>
      <c r="K990" t="n">
        <v>1</v>
      </c>
      <c r="L990" t="inlineStr">
        <is>
          <t>PRESIDENCIA EJECUTIVA DEL CONSEJO</t>
        </is>
      </c>
      <c r="M990" t="n">
        <v>40</v>
      </c>
      <c r="N990" t="inlineStr">
        <is>
          <t>DIRECCION GENERAL BANCO BASE</t>
        </is>
      </c>
      <c r="O990" t="n">
        <v>410</v>
      </c>
      <c r="P990" t="inlineStr">
        <is>
          <t>DIRECCION COMERCIAL</t>
        </is>
      </c>
      <c r="Q990" t="n">
        <v>4560</v>
      </c>
      <c r="R990" t="inlineStr">
        <is>
          <t>DIRECCION DE ATRACCION Y VENTAS</t>
        </is>
      </c>
      <c r="S990" t="n">
        <v>45620</v>
      </c>
      <c r="T990" t="inlineStr">
        <is>
          <t>GERENCIA DE PROCESOS COMERCIALES</t>
        </is>
      </c>
      <c r="U990" t="n">
        <v>456200</v>
      </c>
      <c r="V990" t="inlineStr">
        <is>
          <t>GERENCIA DE PROCESOS COMERCIALES</t>
        </is>
      </c>
      <c r="W990" t="n">
        <v>100101</v>
      </c>
      <c r="X990" t="inlineStr">
        <is>
          <t>CORPORATIVO</t>
        </is>
      </c>
      <c r="Y990" t="n">
        <v>4</v>
      </c>
      <c r="Z990" t="inlineStr">
        <is>
          <t>CORPORATIVO</t>
        </is>
      </c>
      <c r="AA990" t="n">
        <v>1</v>
      </c>
      <c r="AB990" t="inlineStr">
        <is>
          <t>NEGOCIO EN MARCHA</t>
        </is>
      </c>
      <c r="AC990" t="n">
        <v>1</v>
      </c>
      <c r="AD990" t="inlineStr">
        <is>
          <t>BANCO</t>
        </is>
      </c>
      <c r="AE990" t="n">
        <v>1</v>
      </c>
      <c r="AF990" t="inlineStr">
        <is>
          <t>BACK</t>
        </is>
      </c>
      <c r="AG990" t="n">
        <v>100101</v>
      </c>
      <c r="AH990" t="inlineStr">
        <is>
          <t>CORPORATIVO</t>
        </is>
      </c>
      <c r="AI990" t="inlineStr">
        <is>
          <t>XLOPEZB@BANCOBASE.COM</t>
        </is>
      </c>
      <c r="AJ990" s="151" t="n">
        <v>45398</v>
      </c>
      <c r="AK990" s="151" t="n"/>
      <c r="AL990" s="151" t="n"/>
    </row>
    <row r="991" hidden="1" s="150">
      <c r="A991" t="inlineStr">
        <is>
          <t>IALVARADOP</t>
        </is>
      </c>
      <c r="B991" t="n">
        <v>2930</v>
      </c>
      <c r="C991" t="inlineStr">
        <is>
          <t>ISRAEL ALVARADO PARDO</t>
        </is>
      </c>
      <c r="D991" t="n">
        <v>8418</v>
      </c>
      <c r="E991" t="inlineStr">
        <is>
          <t>COORDINADOR DE SISTEMAS COMERCIALES</t>
        </is>
      </c>
      <c r="F991" t="inlineStr">
        <is>
          <t>MONTERREY</t>
        </is>
      </c>
      <c r="G991" t="n">
        <v>976</v>
      </c>
      <c r="H991" t="inlineStr">
        <is>
          <t>CHARYTHIN LLULIANA PEÑA BOTELLO</t>
        </is>
      </c>
      <c r="I991" t="n">
        <v>8429</v>
      </c>
      <c r="J991" t="inlineStr">
        <is>
          <t>GERENTE DE PROCESOS COMERCIALES</t>
        </is>
      </c>
      <c r="K991" t="n">
        <v>1</v>
      </c>
      <c r="L991" t="inlineStr">
        <is>
          <t>PRESIDENCIA EJECUTIVA DEL CONSEJO</t>
        </is>
      </c>
      <c r="M991" t="n">
        <v>40</v>
      </c>
      <c r="N991" t="inlineStr">
        <is>
          <t>DIRECCION GENERAL BANCO BASE</t>
        </is>
      </c>
      <c r="O991" t="n">
        <v>410</v>
      </c>
      <c r="P991" t="inlineStr">
        <is>
          <t>DIRECCION COMERCIAL</t>
        </is>
      </c>
      <c r="Q991" t="n">
        <v>4560</v>
      </c>
      <c r="R991" t="inlineStr">
        <is>
          <t>DIRECCION DE ATRACCION Y VENTAS</t>
        </is>
      </c>
      <c r="S991" t="n">
        <v>45620</v>
      </c>
      <c r="T991" t="inlineStr">
        <is>
          <t>GERENCIA DE PROCESOS COMERCIALES</t>
        </is>
      </c>
      <c r="U991" t="n">
        <v>456200</v>
      </c>
      <c r="V991" t="inlineStr">
        <is>
          <t>GERENCIA DE PROCESOS COMERCIALES</t>
        </is>
      </c>
      <c r="W991" t="n">
        <v>100101</v>
      </c>
      <c r="X991" t="inlineStr">
        <is>
          <t>CORPORATIVO</t>
        </is>
      </c>
      <c r="Y991" t="n">
        <v>4</v>
      </c>
      <c r="Z991" t="inlineStr">
        <is>
          <t>CORPORATIVO</t>
        </is>
      </c>
      <c r="AA991" t="n">
        <v>1</v>
      </c>
      <c r="AB991" t="inlineStr">
        <is>
          <t>NEGOCIO EN MARCHA</t>
        </is>
      </c>
      <c r="AC991" t="n">
        <v>1</v>
      </c>
      <c r="AD991" t="inlineStr">
        <is>
          <t>BANCO</t>
        </is>
      </c>
      <c r="AE991" t="n">
        <v>1</v>
      </c>
      <c r="AF991" t="inlineStr">
        <is>
          <t>BACK</t>
        </is>
      </c>
      <c r="AG991" t="n">
        <v>100101</v>
      </c>
      <c r="AH991" t="inlineStr">
        <is>
          <t>CORPORATIVO</t>
        </is>
      </c>
      <c r="AI991" t="inlineStr">
        <is>
          <t>IALVARADOP@BANCOBASE.COM</t>
        </is>
      </c>
      <c r="AJ991" s="151" t="n">
        <v>45126</v>
      </c>
      <c r="AK991" s="151" t="n"/>
      <c r="AL991" s="151" t="n"/>
    </row>
    <row r="992" hidden="1" s="150">
      <c r="A992" t="inlineStr">
        <is>
          <t>LAGUILARR</t>
        </is>
      </c>
      <c r="B992" t="n">
        <v>3893</v>
      </c>
      <c r="C992" t="inlineStr">
        <is>
          <t>LUIS MAURICIO AGUILAR RUIZ</t>
        </is>
      </c>
      <c r="D992" t="n">
        <v>8168</v>
      </c>
      <c r="E992" t="inlineStr">
        <is>
          <t>ANALISTA DE SISTEMAS COMERCIALES</t>
        </is>
      </c>
      <c r="F992" t="inlineStr">
        <is>
          <t>MONTERREY</t>
        </is>
      </c>
      <c r="G992" t="n">
        <v>2930</v>
      </c>
      <c r="H992" t="inlineStr">
        <is>
          <t>ISRAEL ALVARADO PARDO</t>
        </is>
      </c>
      <c r="I992" t="n">
        <v>8418</v>
      </c>
      <c r="J992" t="inlineStr">
        <is>
          <t>COORDINADOR DE SISTEMAS COMERCIALES</t>
        </is>
      </c>
      <c r="K992" t="n">
        <v>1</v>
      </c>
      <c r="L992" t="inlineStr">
        <is>
          <t>PRESIDENCIA EJECUTIVA DEL CONSEJO</t>
        </is>
      </c>
      <c r="M992" t="n">
        <v>40</v>
      </c>
      <c r="N992" t="inlineStr">
        <is>
          <t>DIRECCION GENERAL BANCO BASE</t>
        </is>
      </c>
      <c r="O992" t="n">
        <v>410</v>
      </c>
      <c r="P992" t="inlineStr">
        <is>
          <t>DIRECCION COMERCIAL</t>
        </is>
      </c>
      <c r="Q992" t="n">
        <v>4560</v>
      </c>
      <c r="R992" t="inlineStr">
        <is>
          <t>DIRECCION DE ATRACCION Y VENTAS</t>
        </is>
      </c>
      <c r="S992" t="n">
        <v>45620</v>
      </c>
      <c r="T992" t="inlineStr">
        <is>
          <t>GERENCIA DE PROCESOS COMERCIALES</t>
        </is>
      </c>
      <c r="U992" t="n">
        <v>456200</v>
      </c>
      <c r="V992" t="inlineStr">
        <is>
          <t>GERENCIA DE PROCESOS COMERCIALES</t>
        </is>
      </c>
      <c r="W992" t="n">
        <v>100101</v>
      </c>
      <c r="X992" t="inlineStr">
        <is>
          <t>CORPORATIVO</t>
        </is>
      </c>
      <c r="Y992" t="n">
        <v>4</v>
      </c>
      <c r="Z992" t="inlineStr">
        <is>
          <t>CORPORATIVO</t>
        </is>
      </c>
      <c r="AA992" t="n">
        <v>1</v>
      </c>
      <c r="AB992" t="inlineStr">
        <is>
          <t>NEGOCIO EN MARCHA</t>
        </is>
      </c>
      <c r="AC992" t="n">
        <v>1</v>
      </c>
      <c r="AD992" t="inlineStr">
        <is>
          <t>BANCO</t>
        </is>
      </c>
      <c r="AE992" t="n">
        <v>1</v>
      </c>
      <c r="AF992" t="inlineStr">
        <is>
          <t>BACK</t>
        </is>
      </c>
      <c r="AG992" t="n">
        <v>100101</v>
      </c>
      <c r="AH992" t="inlineStr">
        <is>
          <t>CORPORATIVO</t>
        </is>
      </c>
      <c r="AI992" t="inlineStr">
        <is>
          <t>LAGUILARR@BANCOBASE.COM</t>
        </is>
      </c>
      <c r="AJ992" s="151" t="n">
        <v>46174</v>
      </c>
      <c r="AK992" s="151" t="n"/>
      <c r="AL992" s="151" t="n"/>
    </row>
    <row r="993" hidden="1" s="150">
      <c r="A993" t="inlineStr">
        <is>
          <t>IMORGADO</t>
        </is>
      </c>
      <c r="B993" t="n">
        <v>2693</v>
      </c>
      <c r="C993" t="inlineStr">
        <is>
          <t>ITZIA DEL CARMEN MORGADO GOMEZ</t>
        </is>
      </c>
      <c r="D993" t="n">
        <v>9677</v>
      </c>
      <c r="E993" t="inlineStr">
        <is>
          <t>COORDINADOR DE REACTIVACION CAMBIARIA CDMX</t>
        </is>
      </c>
      <c r="F993" t="inlineStr">
        <is>
          <t>MEXICO</t>
        </is>
      </c>
      <c r="G993" t="n">
        <v>976</v>
      </c>
      <c r="H993" t="inlineStr">
        <is>
          <t>CHARYTHIN LLULIANA PEÑA BOTELLO</t>
        </is>
      </c>
      <c r="I993" t="n">
        <v>8429</v>
      </c>
      <c r="J993" t="inlineStr">
        <is>
          <t>GERENTE DE PROCESOS COMERCIALES</t>
        </is>
      </c>
      <c r="K993" t="n">
        <v>1</v>
      </c>
      <c r="L993" t="inlineStr">
        <is>
          <t>PRESIDENCIA EJECUTIVA DEL CONSEJO</t>
        </is>
      </c>
      <c r="M993" t="n">
        <v>40</v>
      </c>
      <c r="N993" t="inlineStr">
        <is>
          <t>DIRECCION GENERAL BANCO BASE</t>
        </is>
      </c>
      <c r="O993" t="n">
        <v>410</v>
      </c>
      <c r="P993" t="inlineStr">
        <is>
          <t>DIRECCION COMERCIAL</t>
        </is>
      </c>
      <c r="Q993" t="n">
        <v>4560</v>
      </c>
      <c r="R993" t="inlineStr">
        <is>
          <t>DIRECCION DE ATRACCION Y VENTAS</t>
        </is>
      </c>
      <c r="S993" t="n">
        <v>45620</v>
      </c>
      <c r="T993" t="inlineStr">
        <is>
          <t>GERENCIA DE PROCESOS COMERCIALES</t>
        </is>
      </c>
      <c r="U993" t="n">
        <v>456210</v>
      </c>
      <c r="V993" t="inlineStr">
        <is>
          <t>REACTIVACION CAMBIARIA CIUDAD DE MEXICO</t>
        </is>
      </c>
      <c r="W993" t="n">
        <v>134111</v>
      </c>
      <c r="X993" t="inlineStr">
        <is>
          <t>LOMAS</t>
        </is>
      </c>
      <c r="Y993" t="n">
        <v>3</v>
      </c>
      <c r="Z993" t="inlineStr">
        <is>
          <t>CAMBIARIO</t>
        </is>
      </c>
      <c r="AA993" t="n">
        <v>1</v>
      </c>
      <c r="AB993" t="inlineStr">
        <is>
          <t>NEGOCIO EN MARCHA</t>
        </is>
      </c>
      <c r="AC993" t="n">
        <v>1</v>
      </c>
      <c r="AD993" t="inlineStr">
        <is>
          <t>BANCO</t>
        </is>
      </c>
      <c r="AE993" t="n">
        <v>2</v>
      </c>
      <c r="AF993" t="inlineStr">
        <is>
          <t>MIDDLE</t>
        </is>
      </c>
      <c r="AG993" t="n">
        <v>134111</v>
      </c>
      <c r="AH993" t="inlineStr">
        <is>
          <t>LOMAS</t>
        </is>
      </c>
      <c r="AI993" t="inlineStr">
        <is>
          <t>IMORGADO@BANCOBASE.COM</t>
        </is>
      </c>
      <c r="AJ993" s="151" t="n">
        <v>44760</v>
      </c>
      <c r="AK993" s="151" t="n"/>
      <c r="AL993" s="151" t="n"/>
    </row>
    <row r="994" hidden="1" s="150">
      <c r="A994" t="inlineStr">
        <is>
          <t>DORTEGAG</t>
        </is>
      </c>
      <c r="B994" t="n">
        <v>2570</v>
      </c>
      <c r="C994" t="inlineStr">
        <is>
          <t>DIANA LAURA ORTEGA GARRIDO</t>
        </is>
      </c>
      <c r="D994" t="n">
        <v>9198</v>
      </c>
      <c r="E994" t="inlineStr">
        <is>
          <t>EJECUTIVO DE REACTIVACION CAMBIARIA</t>
        </is>
      </c>
      <c r="F994" t="inlineStr">
        <is>
          <t>MEXICO</t>
        </is>
      </c>
      <c r="G994" t="n">
        <v>2693</v>
      </c>
      <c r="H994" t="inlineStr">
        <is>
          <t>ITZIA DEL CARMEN MORGADO GOMEZ</t>
        </is>
      </c>
      <c r="I994" t="n">
        <v>9677</v>
      </c>
      <c r="J994" t="inlineStr">
        <is>
          <t>COORDINADOR DE REACTIVACION CAMBIARIA CDMX</t>
        </is>
      </c>
      <c r="K994" t="n">
        <v>1</v>
      </c>
      <c r="L994" t="inlineStr">
        <is>
          <t>PRESIDENCIA EJECUTIVA DEL CONSEJO</t>
        </is>
      </c>
      <c r="M994" t="n">
        <v>40</v>
      </c>
      <c r="N994" t="inlineStr">
        <is>
          <t>DIRECCION GENERAL BANCO BASE</t>
        </is>
      </c>
      <c r="O994" t="n">
        <v>410</v>
      </c>
      <c r="P994" t="inlineStr">
        <is>
          <t>DIRECCION COMERCIAL</t>
        </is>
      </c>
      <c r="Q994" t="n">
        <v>4560</v>
      </c>
      <c r="R994" t="inlineStr">
        <is>
          <t>DIRECCION DE ATRACCION Y VENTAS</t>
        </is>
      </c>
      <c r="S994" t="n">
        <v>45620</v>
      </c>
      <c r="T994" t="inlineStr">
        <is>
          <t>GERENCIA DE PROCESOS COMERCIALES</t>
        </is>
      </c>
      <c r="U994" t="n">
        <v>456210</v>
      </c>
      <c r="V994" t="inlineStr">
        <is>
          <t>REACTIVACION CAMBIARIA CIUDAD DE MEXICO</t>
        </is>
      </c>
      <c r="W994" t="n">
        <v>134111</v>
      </c>
      <c r="X994" t="inlineStr">
        <is>
          <t>LOMAS</t>
        </is>
      </c>
      <c r="Y994" t="n">
        <v>3</v>
      </c>
      <c r="Z994" t="inlineStr">
        <is>
          <t>CAMBIARIO</t>
        </is>
      </c>
      <c r="AA994" t="n">
        <v>1</v>
      </c>
      <c r="AB994" t="inlineStr">
        <is>
          <t>NEGOCIO EN MARCHA</t>
        </is>
      </c>
      <c r="AC994" t="n">
        <v>1</v>
      </c>
      <c r="AD994" t="inlineStr">
        <is>
          <t>BANCO</t>
        </is>
      </c>
      <c r="AE994" t="n">
        <v>2</v>
      </c>
      <c r="AF994" t="inlineStr">
        <is>
          <t>MIDDLE</t>
        </is>
      </c>
      <c r="AG994" t="n">
        <v>134111</v>
      </c>
      <c r="AH994" t="inlineStr">
        <is>
          <t>LOMAS</t>
        </is>
      </c>
      <c r="AI994" t="inlineStr">
        <is>
          <t>DORTEGAG@BANCOBASE.COM</t>
        </is>
      </c>
      <c r="AJ994" s="151" t="n">
        <v>44501</v>
      </c>
      <c r="AK994" s="151" t="n"/>
      <c r="AL994" s="151" t="n"/>
    </row>
    <row r="995" hidden="1" s="150">
      <c r="A995" t="inlineStr">
        <is>
          <t>GGUTIERREZ</t>
        </is>
      </c>
      <c r="B995" t="n">
        <v>3008</v>
      </c>
      <c r="C995" t="inlineStr">
        <is>
          <t>GABRIELA CELESTE GUTIERREZ AVILA</t>
        </is>
      </c>
      <c r="D995" t="n">
        <v>8280</v>
      </c>
      <c r="E995" t="inlineStr">
        <is>
          <t>EJECUTIVO DE REACTIVACION CAMBIARIA</t>
        </is>
      </c>
      <c r="F995" t="inlineStr">
        <is>
          <t>MEXICO</t>
        </is>
      </c>
      <c r="G995" t="n">
        <v>2693</v>
      </c>
      <c r="H995" t="inlineStr">
        <is>
          <t>ITZIA DEL CARMEN MORGADO GOMEZ</t>
        </is>
      </c>
      <c r="I995" t="n">
        <v>9677</v>
      </c>
      <c r="J995" t="inlineStr">
        <is>
          <t>COORDINADOR DE REACTIVACION CAMBIARIA CDMX</t>
        </is>
      </c>
      <c r="K995" t="n">
        <v>1</v>
      </c>
      <c r="L995" t="inlineStr">
        <is>
          <t>PRESIDENCIA EJECUTIVA DEL CONSEJO</t>
        </is>
      </c>
      <c r="M995" t="n">
        <v>40</v>
      </c>
      <c r="N995" t="inlineStr">
        <is>
          <t>DIRECCION GENERAL BANCO BASE</t>
        </is>
      </c>
      <c r="O995" t="n">
        <v>410</v>
      </c>
      <c r="P995" t="inlineStr">
        <is>
          <t>DIRECCION COMERCIAL</t>
        </is>
      </c>
      <c r="Q995" t="n">
        <v>4560</v>
      </c>
      <c r="R995" t="inlineStr">
        <is>
          <t>DIRECCION DE ATRACCION Y VENTAS</t>
        </is>
      </c>
      <c r="S995" t="n">
        <v>45620</v>
      </c>
      <c r="T995" t="inlineStr">
        <is>
          <t>GERENCIA DE PROCESOS COMERCIALES</t>
        </is>
      </c>
      <c r="U995" t="n">
        <v>456210</v>
      </c>
      <c r="V995" t="inlineStr">
        <is>
          <t>REACTIVACION CAMBIARIA CIUDAD DE MEXICO</t>
        </is>
      </c>
      <c r="W995" t="n">
        <v>134111</v>
      </c>
      <c r="X995" t="inlineStr">
        <is>
          <t>LOMAS</t>
        </is>
      </c>
      <c r="Y995" t="n">
        <v>3</v>
      </c>
      <c r="Z995" t="inlineStr">
        <is>
          <t>CAMBIARIO</t>
        </is>
      </c>
      <c r="AA995" t="n">
        <v>1</v>
      </c>
      <c r="AB995" t="inlineStr">
        <is>
          <t>NEGOCIO EN MARCHA</t>
        </is>
      </c>
      <c r="AC995" t="n">
        <v>1</v>
      </c>
      <c r="AD995" t="inlineStr">
        <is>
          <t>BANCO</t>
        </is>
      </c>
      <c r="AE995" t="n">
        <v>2</v>
      </c>
      <c r="AF995" t="inlineStr">
        <is>
          <t>MIDDLE</t>
        </is>
      </c>
      <c r="AG995" t="n">
        <v>134111</v>
      </c>
      <c r="AH995" t="inlineStr">
        <is>
          <t>LOMAS</t>
        </is>
      </c>
      <c r="AI995" t="inlineStr">
        <is>
          <t>GGUTIERREZ@BANCOBASE.COM</t>
        </is>
      </c>
      <c r="AJ995" s="151" t="n">
        <v>45293</v>
      </c>
      <c r="AK995" s="151" t="n"/>
      <c r="AL995" s="151" t="n"/>
    </row>
    <row r="996" hidden="1" s="150">
      <c r="A996" t="inlineStr">
        <is>
          <t>JVALENCIA</t>
        </is>
      </c>
      <c r="B996" t="n">
        <v>3894</v>
      </c>
      <c r="C996" t="inlineStr">
        <is>
          <t>JENIFFER ISABEL VALENCIA VERA</t>
        </is>
      </c>
      <c r="D996" t="n">
        <v>9565</v>
      </c>
      <c r="E996" t="inlineStr">
        <is>
          <t>EJECUTIVO DE REACTIVACION CAMBIARIA</t>
        </is>
      </c>
      <c r="F996" t="inlineStr">
        <is>
          <t>MEXICO</t>
        </is>
      </c>
      <c r="G996" t="n">
        <v>2693</v>
      </c>
      <c r="H996" t="inlineStr">
        <is>
          <t>ITZIA DEL CARMEN MORGADO GOMEZ</t>
        </is>
      </c>
      <c r="I996" t="n">
        <v>9677</v>
      </c>
      <c r="J996" t="inlineStr">
        <is>
          <t>COORDINADOR DE REACTIVACION CAMBIARIA CDMX</t>
        </is>
      </c>
      <c r="K996" t="n">
        <v>1</v>
      </c>
      <c r="L996" t="inlineStr">
        <is>
          <t>PRESIDENCIA EJECUTIVA DEL CONSEJO</t>
        </is>
      </c>
      <c r="M996" t="n">
        <v>40</v>
      </c>
      <c r="N996" t="inlineStr">
        <is>
          <t>DIRECCION GENERAL BANCO BASE</t>
        </is>
      </c>
      <c r="O996" t="n">
        <v>410</v>
      </c>
      <c r="P996" t="inlineStr">
        <is>
          <t>DIRECCION COMERCIAL</t>
        </is>
      </c>
      <c r="Q996" t="n">
        <v>4560</v>
      </c>
      <c r="R996" t="inlineStr">
        <is>
          <t>DIRECCION DE ATRACCION Y VENTAS</t>
        </is>
      </c>
      <c r="S996" t="n">
        <v>45620</v>
      </c>
      <c r="T996" t="inlineStr">
        <is>
          <t>GERENCIA DE PROCESOS COMERCIALES</t>
        </is>
      </c>
      <c r="U996" t="n">
        <v>456210</v>
      </c>
      <c r="V996" t="inlineStr">
        <is>
          <t>REACTIVACION CAMBIARIA CIUDAD DE MEXICO</t>
        </is>
      </c>
      <c r="W996" t="n">
        <v>134111</v>
      </c>
      <c r="X996" t="inlineStr">
        <is>
          <t>LOMAS</t>
        </is>
      </c>
      <c r="Y996" t="n">
        <v>3</v>
      </c>
      <c r="Z996" t="inlineStr">
        <is>
          <t>CAMBIARIO</t>
        </is>
      </c>
      <c r="AA996" t="n">
        <v>1</v>
      </c>
      <c r="AB996" t="inlineStr">
        <is>
          <t>NEGOCIO EN MARCHA</t>
        </is>
      </c>
      <c r="AC996" t="n">
        <v>1</v>
      </c>
      <c r="AD996" t="inlineStr">
        <is>
          <t>BANCO</t>
        </is>
      </c>
      <c r="AE996" t="n">
        <v>2</v>
      </c>
      <c r="AF996" t="inlineStr">
        <is>
          <t>MIDDLE</t>
        </is>
      </c>
      <c r="AG996" t="n">
        <v>134111</v>
      </c>
      <c r="AH996" t="inlineStr">
        <is>
          <t>LOMAS</t>
        </is>
      </c>
      <c r="AI996" t="inlineStr">
        <is>
          <t>JVALENCIA@BANCOBASE.COM</t>
        </is>
      </c>
      <c r="AJ996" s="151" t="n">
        <v>46174</v>
      </c>
      <c r="AK996" s="151" t="n"/>
      <c r="AL996" s="151" t="n"/>
    </row>
    <row r="997" hidden="1" s="150">
      <c r="A997" t="inlineStr">
        <is>
          <t>MGONZALEZT</t>
        </is>
      </c>
      <c r="B997" t="n">
        <v>2071</v>
      </c>
      <c r="C997" t="inlineStr">
        <is>
          <t>MARIA DE JESUS GONZALEZ TORRES</t>
        </is>
      </c>
      <c r="D997" t="n">
        <v>10414</v>
      </c>
      <c r="E997" t="inlineStr">
        <is>
          <t>COORDINADOR DE REACTIVACION CAMBIARIA MTY</t>
        </is>
      </c>
      <c r="F997" t="inlineStr">
        <is>
          <t>MONTERREY</t>
        </is>
      </c>
      <c r="G997" t="n">
        <v>976</v>
      </c>
      <c r="H997" t="inlineStr">
        <is>
          <t>CHARYTHIN LLULIANA PEÑA BOTELLO</t>
        </is>
      </c>
      <c r="I997" t="n">
        <v>8429</v>
      </c>
      <c r="J997" t="inlineStr">
        <is>
          <t>GERENTE DE PROCESOS COMERCIALES</t>
        </is>
      </c>
      <c r="K997" t="n">
        <v>1</v>
      </c>
      <c r="L997" t="inlineStr">
        <is>
          <t>PRESIDENCIA EJECUTIVA DEL CONSEJO</t>
        </is>
      </c>
      <c r="M997" t="n">
        <v>40</v>
      </c>
      <c r="N997" t="inlineStr">
        <is>
          <t>DIRECCION GENERAL BANCO BASE</t>
        </is>
      </c>
      <c r="O997" t="n">
        <v>410</v>
      </c>
      <c r="P997" t="inlineStr">
        <is>
          <t>DIRECCION COMERCIAL</t>
        </is>
      </c>
      <c r="Q997" t="n">
        <v>4560</v>
      </c>
      <c r="R997" t="inlineStr">
        <is>
          <t>DIRECCION DE ATRACCION Y VENTAS</t>
        </is>
      </c>
      <c r="S997" t="n">
        <v>45620</v>
      </c>
      <c r="T997" t="inlineStr">
        <is>
          <t>GERENCIA DE PROCESOS COMERCIALES</t>
        </is>
      </c>
      <c r="U997" t="n">
        <v>456220</v>
      </c>
      <c r="V997" t="inlineStr">
        <is>
          <t>REACTIVACION CAMBIARIA MONTERREY</t>
        </is>
      </c>
      <c r="W997" t="n">
        <v>126102</v>
      </c>
      <c r="X997" t="inlineStr">
        <is>
          <t>VALLE ORIENTE</t>
        </is>
      </c>
      <c r="Y997" t="n">
        <v>3</v>
      </c>
      <c r="Z997" t="inlineStr">
        <is>
          <t>CAMBIARIO</t>
        </is>
      </c>
      <c r="AA997" t="n">
        <v>1</v>
      </c>
      <c r="AB997" t="inlineStr">
        <is>
          <t>NEGOCIO EN MARCHA</t>
        </is>
      </c>
      <c r="AC997" t="n">
        <v>1</v>
      </c>
      <c r="AD997" t="inlineStr">
        <is>
          <t>BANCO</t>
        </is>
      </c>
      <c r="AE997" t="n">
        <v>2</v>
      </c>
      <c r="AF997" t="inlineStr">
        <is>
          <t>MIDDLE</t>
        </is>
      </c>
      <c r="AG997" t="n">
        <v>126102</v>
      </c>
      <c r="AH997" t="inlineStr">
        <is>
          <t>MONTERREY</t>
        </is>
      </c>
      <c r="AI997" t="inlineStr">
        <is>
          <t>MGONZALEZT@BANCOBASE.COM</t>
        </is>
      </c>
      <c r="AJ997" s="151" t="n">
        <v>43318</v>
      </c>
      <c r="AK997" s="151" t="n"/>
      <c r="AL997" s="151" t="n"/>
    </row>
    <row r="998" hidden="1" s="150">
      <c r="A998" t="inlineStr">
        <is>
          <t>RVILLARREA</t>
        </is>
      </c>
      <c r="B998" t="n">
        <v>2460</v>
      </c>
      <c r="C998" t="inlineStr">
        <is>
          <t>RENE EMMANUEL VILLARREAL RANGEL</t>
        </is>
      </c>
      <c r="D998" t="n">
        <v>10184</v>
      </c>
      <c r="E998" t="inlineStr">
        <is>
          <t>EJECUTIVO DE REACTIVACION CAMBIARIA</t>
        </is>
      </c>
      <c r="F998" t="inlineStr">
        <is>
          <t>MONTERREY</t>
        </is>
      </c>
      <c r="G998" t="n">
        <v>2071</v>
      </c>
      <c r="H998" t="inlineStr">
        <is>
          <t>MARIA DE JESUS GONZALEZ TORRES</t>
        </is>
      </c>
      <c r="I998" t="n">
        <v>10414</v>
      </c>
      <c r="J998" t="inlineStr">
        <is>
          <t>COORDINADOR DE REACTIVACION CAMBIARIA MTY</t>
        </is>
      </c>
      <c r="K998" t="n">
        <v>1</v>
      </c>
      <c r="L998" t="inlineStr">
        <is>
          <t>PRESIDENCIA EJECUTIVA DEL CONSEJO</t>
        </is>
      </c>
      <c r="M998" t="n">
        <v>40</v>
      </c>
      <c r="N998" t="inlineStr">
        <is>
          <t>DIRECCION GENERAL BANCO BASE</t>
        </is>
      </c>
      <c r="O998" t="n">
        <v>410</v>
      </c>
      <c r="P998" t="inlineStr">
        <is>
          <t>DIRECCION COMERCIAL</t>
        </is>
      </c>
      <c r="Q998" t="n">
        <v>4560</v>
      </c>
      <c r="R998" t="inlineStr">
        <is>
          <t>DIRECCION DE ATRACCION Y VENTAS</t>
        </is>
      </c>
      <c r="S998" t="n">
        <v>45620</v>
      </c>
      <c r="T998" t="inlineStr">
        <is>
          <t>GERENCIA DE PROCESOS COMERCIALES</t>
        </is>
      </c>
      <c r="U998" t="n">
        <v>456220</v>
      </c>
      <c r="V998" t="inlineStr">
        <is>
          <t>REACTIVACION CAMBIARIA MONTERREY</t>
        </is>
      </c>
      <c r="W998" t="n">
        <v>126102</v>
      </c>
      <c r="X998" t="inlineStr">
        <is>
          <t>VALLE ORIENTE</t>
        </is>
      </c>
      <c r="Y998" t="n">
        <v>3</v>
      </c>
      <c r="Z998" t="inlineStr">
        <is>
          <t>CAMBIARIO</t>
        </is>
      </c>
      <c r="AA998" t="n">
        <v>1</v>
      </c>
      <c r="AB998" t="inlineStr">
        <is>
          <t>NEGOCIO EN MARCHA</t>
        </is>
      </c>
      <c r="AC998" t="n">
        <v>1</v>
      </c>
      <c r="AD998" t="inlineStr">
        <is>
          <t>BANCO</t>
        </is>
      </c>
      <c r="AE998" t="n">
        <v>2</v>
      </c>
      <c r="AF998" t="inlineStr">
        <is>
          <t>MIDDLE</t>
        </is>
      </c>
      <c r="AG998" t="n">
        <v>126102</v>
      </c>
      <c r="AH998" t="inlineStr">
        <is>
          <t>MONTERREY</t>
        </is>
      </c>
      <c r="AI998" t="inlineStr">
        <is>
          <t>RVILLARREA@BANCOBASE.COM</t>
        </is>
      </c>
      <c r="AJ998" s="151" t="n">
        <v>44201</v>
      </c>
      <c r="AK998" s="151" t="n"/>
      <c r="AL998" s="151" t="n"/>
    </row>
    <row r="999" hidden="1" s="150">
      <c r="A999" t="inlineStr">
        <is>
          <t>DMEDINA</t>
        </is>
      </c>
      <c r="B999" t="n">
        <v>2872</v>
      </c>
      <c r="C999" t="inlineStr">
        <is>
          <t>DIANA JOSSELY MEDINA DE LA ROSA</t>
        </is>
      </c>
      <c r="D999" t="n">
        <v>8289</v>
      </c>
      <c r="E999" t="inlineStr">
        <is>
          <t>EJECUTIVO DE REACTIVACION CAMBIARIA</t>
        </is>
      </c>
      <c r="F999" t="inlineStr">
        <is>
          <t>MONTERREY</t>
        </is>
      </c>
      <c r="G999" t="n">
        <v>2071</v>
      </c>
      <c r="H999" t="inlineStr">
        <is>
          <t>MARIA DE JESUS GONZALEZ TORRES</t>
        </is>
      </c>
      <c r="I999" t="n">
        <v>10414</v>
      </c>
      <c r="J999" t="inlineStr">
        <is>
          <t>COORDINADOR DE REACTIVACION CAMBIARIA MTY</t>
        </is>
      </c>
      <c r="K999" t="n">
        <v>1</v>
      </c>
      <c r="L999" t="inlineStr">
        <is>
          <t>PRESIDENCIA EJECUTIVA DEL CONSEJO</t>
        </is>
      </c>
      <c r="M999" t="n">
        <v>40</v>
      </c>
      <c r="N999" t="inlineStr">
        <is>
          <t>DIRECCION GENERAL BANCO BASE</t>
        </is>
      </c>
      <c r="O999" t="n">
        <v>410</v>
      </c>
      <c r="P999" t="inlineStr">
        <is>
          <t>DIRECCION COMERCIAL</t>
        </is>
      </c>
      <c r="Q999" t="n">
        <v>4560</v>
      </c>
      <c r="R999" t="inlineStr">
        <is>
          <t>DIRECCION DE ATRACCION Y VENTAS</t>
        </is>
      </c>
      <c r="S999" t="n">
        <v>45620</v>
      </c>
      <c r="T999" t="inlineStr">
        <is>
          <t>GERENCIA DE PROCESOS COMERCIALES</t>
        </is>
      </c>
      <c r="U999" t="n">
        <v>456220</v>
      </c>
      <c r="V999" t="inlineStr">
        <is>
          <t>REACTIVACION CAMBIARIA MONTERREY</t>
        </is>
      </c>
      <c r="W999" t="n">
        <v>126102</v>
      </c>
      <c r="X999" t="inlineStr">
        <is>
          <t>VALLE ORIENTE</t>
        </is>
      </c>
      <c r="Y999" t="n">
        <v>3</v>
      </c>
      <c r="Z999" t="inlineStr">
        <is>
          <t>CAMBIARIO</t>
        </is>
      </c>
      <c r="AA999" t="n">
        <v>1</v>
      </c>
      <c r="AB999" t="inlineStr">
        <is>
          <t>NEGOCIO EN MARCHA</t>
        </is>
      </c>
      <c r="AC999" t="n">
        <v>1</v>
      </c>
      <c r="AD999" t="inlineStr">
        <is>
          <t>BANCO</t>
        </is>
      </c>
      <c r="AE999" t="n">
        <v>2</v>
      </c>
      <c r="AF999" t="inlineStr">
        <is>
          <t>MIDDLE</t>
        </is>
      </c>
      <c r="AG999" t="n">
        <v>126102</v>
      </c>
      <c r="AH999" t="inlineStr">
        <is>
          <t>MONTERREY</t>
        </is>
      </c>
      <c r="AI999" t="inlineStr">
        <is>
          <t>DMEDINA@BANCOBASE.COM</t>
        </is>
      </c>
      <c r="AJ999" s="151" t="n">
        <v>45019</v>
      </c>
      <c r="AK999" s="151" t="n"/>
      <c r="AL999" s="151" t="n"/>
    </row>
    <row r="1000" hidden="1" s="150">
      <c r="A1000" t="inlineStr">
        <is>
          <t>LRIOS</t>
        </is>
      </c>
      <c r="B1000" t="n">
        <v>3475</v>
      </c>
      <c r="C1000" t="inlineStr">
        <is>
          <t>LORENA RUBI RIOS SILVA</t>
        </is>
      </c>
      <c r="D1000" t="n">
        <v>8312</v>
      </c>
      <c r="E1000" t="inlineStr">
        <is>
          <t>EJECUTIVO DE REACTIVACION CAMBIARIA</t>
        </is>
      </c>
      <c r="F1000" t="inlineStr">
        <is>
          <t>MONTERREY</t>
        </is>
      </c>
      <c r="G1000" t="n">
        <v>2071</v>
      </c>
      <c r="H1000" t="inlineStr">
        <is>
          <t>MARIA DE JESUS GONZALEZ TORRES</t>
        </is>
      </c>
      <c r="I1000" t="n">
        <v>10414</v>
      </c>
      <c r="J1000" t="inlineStr">
        <is>
          <t>COORDINADOR DE REACTIVACION CAMBIARIA MTY</t>
        </is>
      </c>
      <c r="K1000" t="n">
        <v>1</v>
      </c>
      <c r="L1000" t="inlineStr">
        <is>
          <t>PRESIDENCIA EJECUTIVA DEL CONSEJO</t>
        </is>
      </c>
      <c r="M1000" t="n">
        <v>40</v>
      </c>
      <c r="N1000" t="inlineStr">
        <is>
          <t>DIRECCION GENERAL BANCO BASE</t>
        </is>
      </c>
      <c r="O1000" t="n">
        <v>410</v>
      </c>
      <c r="P1000" t="inlineStr">
        <is>
          <t>DIRECCION COMERCIAL</t>
        </is>
      </c>
      <c r="Q1000" t="n">
        <v>4560</v>
      </c>
      <c r="R1000" t="inlineStr">
        <is>
          <t>DIRECCION DE ATRACCION Y VENTAS</t>
        </is>
      </c>
      <c r="S1000" t="n">
        <v>45620</v>
      </c>
      <c r="T1000" t="inlineStr">
        <is>
          <t>GERENCIA DE PROCESOS COMERCIALES</t>
        </is>
      </c>
      <c r="U1000" t="n">
        <v>456220</v>
      </c>
      <c r="V1000" t="inlineStr">
        <is>
          <t>REACTIVACION CAMBIARIA MONTERREY</t>
        </is>
      </c>
      <c r="W1000" t="n">
        <v>126102</v>
      </c>
      <c r="X1000" t="inlineStr">
        <is>
          <t>VALLE ORIENTE</t>
        </is>
      </c>
      <c r="Y1000" t="n">
        <v>3</v>
      </c>
      <c r="Z1000" t="inlineStr">
        <is>
          <t>CAMBIARIO</t>
        </is>
      </c>
      <c r="AA1000" t="n">
        <v>1</v>
      </c>
      <c r="AB1000" t="inlineStr">
        <is>
          <t>NEGOCIO EN MARCHA</t>
        </is>
      </c>
      <c r="AC1000" t="n">
        <v>1</v>
      </c>
      <c r="AD1000" t="inlineStr">
        <is>
          <t>BANCO</t>
        </is>
      </c>
      <c r="AE1000" t="n">
        <v>2</v>
      </c>
      <c r="AF1000" t="inlineStr">
        <is>
          <t>MIDDLE</t>
        </is>
      </c>
      <c r="AG1000" t="n">
        <v>126102</v>
      </c>
      <c r="AH1000" t="inlineStr">
        <is>
          <t>MONTERREY</t>
        </is>
      </c>
      <c r="AI1000" t="inlineStr">
        <is>
          <t>LRIOS@BANCOBASE.COM</t>
        </is>
      </c>
      <c r="AJ1000" s="151" t="n">
        <v>45839</v>
      </c>
      <c r="AK1000" s="151" t="n"/>
      <c r="AL1000" s="151" t="n"/>
    </row>
    <row r="1001" hidden="1" s="150">
      <c r="A1001" t="inlineStr">
        <is>
          <t>EFLORESD</t>
        </is>
      </c>
      <c r="B1001" t="n">
        <v>3634</v>
      </c>
      <c r="C1001" t="inlineStr">
        <is>
          <t>ERICK ADRIAN FLORES DEL CAMPO</t>
        </is>
      </c>
      <c r="D1001" t="n">
        <v>8983</v>
      </c>
      <c r="E1001" t="inlineStr">
        <is>
          <t>EJECUTIVO DE REACTIVACION CAMBIARIA</t>
        </is>
      </c>
      <c r="F1001" t="inlineStr">
        <is>
          <t>MONTERREY</t>
        </is>
      </c>
      <c r="G1001" t="n">
        <v>2071</v>
      </c>
      <c r="H1001" t="inlineStr">
        <is>
          <t>MARIA DE JESUS GONZALEZ TORRES</t>
        </is>
      </c>
      <c r="I1001" t="n">
        <v>10414</v>
      </c>
      <c r="J1001" t="inlineStr">
        <is>
          <t>COORDINADOR DE REACTIVACION CAMBIARIA MTY</t>
        </is>
      </c>
      <c r="K1001" t="n">
        <v>1</v>
      </c>
      <c r="L1001" t="inlineStr">
        <is>
          <t>PRESIDENCIA EJECUTIVA DEL CONSEJO</t>
        </is>
      </c>
      <c r="M1001" t="n">
        <v>40</v>
      </c>
      <c r="N1001" t="inlineStr">
        <is>
          <t>DIRECCION GENERAL BANCO BASE</t>
        </is>
      </c>
      <c r="O1001" t="n">
        <v>410</v>
      </c>
      <c r="P1001" t="inlineStr">
        <is>
          <t>DIRECCION COMERCIAL</t>
        </is>
      </c>
      <c r="Q1001" t="n">
        <v>4560</v>
      </c>
      <c r="R1001" t="inlineStr">
        <is>
          <t>DIRECCION DE ATRACCION Y VENTAS</t>
        </is>
      </c>
      <c r="S1001" t="n">
        <v>45620</v>
      </c>
      <c r="T1001" t="inlineStr">
        <is>
          <t>GERENCIA DE PROCESOS COMERCIALES</t>
        </is>
      </c>
      <c r="U1001" t="n">
        <v>456220</v>
      </c>
      <c r="V1001" t="inlineStr">
        <is>
          <t>REACTIVACION CAMBIARIA MONTERREY</t>
        </is>
      </c>
      <c r="W1001" t="n">
        <v>126102</v>
      </c>
      <c r="X1001" t="inlineStr">
        <is>
          <t>VALLE ORIENTE</t>
        </is>
      </c>
      <c r="Y1001" t="n">
        <v>3</v>
      </c>
      <c r="Z1001" t="inlineStr">
        <is>
          <t>CAMBIARIO</t>
        </is>
      </c>
      <c r="AA1001" t="n">
        <v>1</v>
      </c>
      <c r="AB1001" t="inlineStr">
        <is>
          <t>NEGOCIO EN MARCHA</t>
        </is>
      </c>
      <c r="AC1001" t="n">
        <v>1</v>
      </c>
      <c r="AD1001" t="inlineStr">
        <is>
          <t>BANCO</t>
        </is>
      </c>
      <c r="AE1001" t="n">
        <v>2</v>
      </c>
      <c r="AF1001" t="inlineStr">
        <is>
          <t>MIDDLE</t>
        </is>
      </c>
      <c r="AG1001" t="n">
        <v>126102</v>
      </c>
      <c r="AH1001" t="inlineStr">
        <is>
          <t>MONTERREY</t>
        </is>
      </c>
      <c r="AI1001" t="inlineStr">
        <is>
          <t>EFLORESD@BANCOBASE.COM</t>
        </is>
      </c>
      <c r="AJ1001" s="151" t="n">
        <v>45946</v>
      </c>
      <c r="AK1001" s="151" t="n"/>
      <c r="AL1001" s="151" t="n"/>
    </row>
    <row r="1002" hidden="1" s="150">
      <c r="A1002" t="inlineStr">
        <is>
          <t>MDOMINGUE</t>
        </is>
      </c>
      <c r="B1002" t="n">
        <v>2851</v>
      </c>
      <c r="C1002" t="inlineStr">
        <is>
          <t>DAIRA MELISSA DOMINGUEZ CADENA</t>
        </is>
      </c>
      <c r="D1002" t="n">
        <v>8362</v>
      </c>
      <c r="E1002" t="inlineStr">
        <is>
          <t>COORDINADOR DE REACTIVACION CAMBIARIA</t>
        </is>
      </c>
      <c r="F1002" t="inlineStr">
        <is>
          <t>GUADALAJARA</t>
        </is>
      </c>
      <c r="G1002" t="n">
        <v>976</v>
      </c>
      <c r="H1002" t="inlineStr">
        <is>
          <t>CHARYTHIN LLULIANA PEÑA BOTELLO</t>
        </is>
      </c>
      <c r="I1002" t="n">
        <v>8429</v>
      </c>
      <c r="J1002" t="inlineStr">
        <is>
          <t>GERENTE DE PROCESOS COMERCIALES</t>
        </is>
      </c>
      <c r="K1002" t="n">
        <v>1</v>
      </c>
      <c r="L1002" t="inlineStr">
        <is>
          <t>PRESIDENCIA EJECUTIVA DEL CONSEJO</t>
        </is>
      </c>
      <c r="M1002" t="n">
        <v>40</v>
      </c>
      <c r="N1002" t="inlineStr">
        <is>
          <t>DIRECCION GENERAL BANCO BASE</t>
        </is>
      </c>
      <c r="O1002" t="n">
        <v>410</v>
      </c>
      <c r="P1002" t="inlineStr">
        <is>
          <t>DIRECCION COMERCIAL</t>
        </is>
      </c>
      <c r="Q1002" t="n">
        <v>4560</v>
      </c>
      <c r="R1002" t="inlineStr">
        <is>
          <t>DIRECCION DE ATRACCION Y VENTAS</t>
        </is>
      </c>
      <c r="S1002" t="n">
        <v>45620</v>
      </c>
      <c r="T1002" t="inlineStr">
        <is>
          <t>GERENCIA DE PROCESOS COMERCIALES</t>
        </is>
      </c>
      <c r="U1002" t="n">
        <v>456230</v>
      </c>
      <c r="V1002" t="inlineStr">
        <is>
          <t>REACTIVACION CAMBIARIA OCCIDENTE</t>
        </is>
      </c>
      <c r="W1002" t="n">
        <v>126107</v>
      </c>
      <c r="X1002" t="inlineStr">
        <is>
          <t>GUADALAJARA</t>
        </is>
      </c>
      <c r="Y1002" t="n">
        <v>3</v>
      </c>
      <c r="Z1002" t="inlineStr">
        <is>
          <t>CAMBIARIO</t>
        </is>
      </c>
      <c r="AA1002" t="n">
        <v>1</v>
      </c>
      <c r="AB1002" t="inlineStr">
        <is>
          <t>NEGOCIO EN MARCHA</t>
        </is>
      </c>
      <c r="AC1002" t="n">
        <v>1</v>
      </c>
      <c r="AD1002" t="inlineStr">
        <is>
          <t>BANCO</t>
        </is>
      </c>
      <c r="AE1002" t="n">
        <v>2</v>
      </c>
      <c r="AF1002" t="inlineStr">
        <is>
          <t>MIDDLE</t>
        </is>
      </c>
      <c r="AG1002" t="n">
        <v>126107</v>
      </c>
      <c r="AH1002" t="inlineStr">
        <is>
          <t>GUADALAJARA</t>
        </is>
      </c>
      <c r="AI1002" t="inlineStr">
        <is>
          <t>MDOMINGUE@BANCOBASE.COM</t>
        </is>
      </c>
      <c r="AJ1002" s="151" t="n">
        <v>44986</v>
      </c>
      <c r="AK1002" s="151" t="n"/>
      <c r="AL1002" s="151" t="n"/>
    </row>
    <row r="1003" hidden="1" s="150">
      <c r="A1003" t="inlineStr">
        <is>
          <t>FRODRIGUER</t>
        </is>
      </c>
      <c r="B1003" t="n">
        <v>2854</v>
      </c>
      <c r="C1003" t="inlineStr">
        <is>
          <t>EDSON FABIAN ROBLEDO RODRIGUEZ</t>
        </is>
      </c>
      <c r="D1003" t="n">
        <v>8363</v>
      </c>
      <c r="E1003" t="inlineStr">
        <is>
          <t>EJECUTIVO DE REACTIVACION CAMBIARIA</t>
        </is>
      </c>
      <c r="F1003" t="inlineStr">
        <is>
          <t>GUADALAJARA</t>
        </is>
      </c>
      <c r="G1003" t="n">
        <v>2851</v>
      </c>
      <c r="H1003" t="inlineStr">
        <is>
          <t>DAIRA MELISSA DOMINGUEZ CADENA</t>
        </is>
      </c>
      <c r="I1003" t="n">
        <v>8362</v>
      </c>
      <c r="J1003" t="inlineStr">
        <is>
          <t>COORDINADOR DE REACTIVACION CAMBIARIA</t>
        </is>
      </c>
      <c r="K1003" t="n">
        <v>1</v>
      </c>
      <c r="L1003" t="inlineStr">
        <is>
          <t>PRESIDENCIA EJECUTIVA DEL CONSEJO</t>
        </is>
      </c>
      <c r="M1003" t="n">
        <v>40</v>
      </c>
      <c r="N1003" t="inlineStr">
        <is>
          <t>DIRECCION GENERAL BANCO BASE</t>
        </is>
      </c>
      <c r="O1003" t="n">
        <v>410</v>
      </c>
      <c r="P1003" t="inlineStr">
        <is>
          <t>DIRECCION COMERCIAL</t>
        </is>
      </c>
      <c r="Q1003" t="n">
        <v>4560</v>
      </c>
      <c r="R1003" t="inlineStr">
        <is>
          <t>DIRECCION DE ATRACCION Y VENTAS</t>
        </is>
      </c>
      <c r="S1003" t="n">
        <v>45620</v>
      </c>
      <c r="T1003" t="inlineStr">
        <is>
          <t>GERENCIA DE PROCESOS COMERCIALES</t>
        </is>
      </c>
      <c r="U1003" t="n">
        <v>456230</v>
      </c>
      <c r="V1003" t="inlineStr">
        <is>
          <t>REACTIVACION CAMBIARIA OCCIDENTE</t>
        </is>
      </c>
      <c r="W1003" t="n">
        <v>126107</v>
      </c>
      <c r="X1003" t="inlineStr">
        <is>
          <t>GUADALAJARA</t>
        </is>
      </c>
      <c r="Y1003" t="n">
        <v>3</v>
      </c>
      <c r="Z1003" t="inlineStr">
        <is>
          <t>CAMBIARIO</t>
        </is>
      </c>
      <c r="AA1003" t="n">
        <v>1</v>
      </c>
      <c r="AB1003" t="inlineStr">
        <is>
          <t>NEGOCIO EN MARCHA</t>
        </is>
      </c>
      <c r="AC1003" t="n">
        <v>1</v>
      </c>
      <c r="AD1003" t="inlineStr">
        <is>
          <t>BANCO</t>
        </is>
      </c>
      <c r="AE1003" t="n">
        <v>2</v>
      </c>
      <c r="AF1003" t="inlineStr">
        <is>
          <t>MIDDLE</t>
        </is>
      </c>
      <c r="AG1003" t="n">
        <v>126107</v>
      </c>
      <c r="AH1003" t="inlineStr">
        <is>
          <t>GUADALAJARA</t>
        </is>
      </c>
      <c r="AI1003" t="inlineStr">
        <is>
          <t>FRODRIGUER@BANCOBASE.COM</t>
        </is>
      </c>
      <c r="AJ1003" s="151" t="n">
        <v>44986</v>
      </c>
      <c r="AK1003" s="151" t="n"/>
      <c r="AL1003" s="151" t="n"/>
    </row>
    <row r="1004" hidden="1" s="150">
      <c r="A1004" t="inlineStr">
        <is>
          <t>RGARCIA</t>
        </is>
      </c>
      <c r="B1004" t="n">
        <v>361</v>
      </c>
      <c r="C1004" t="inlineStr">
        <is>
          <t>RICARDO IVAN GARCIA ORTIZ</t>
        </is>
      </c>
      <c r="D1004" t="n">
        <v>8301</v>
      </c>
      <c r="E1004" t="inlineStr">
        <is>
          <t>EJECUTIVO DE REACTIVACION CAMBIARIA</t>
        </is>
      </c>
      <c r="F1004" t="inlineStr">
        <is>
          <t>GUADALAJARA</t>
        </is>
      </c>
      <c r="G1004" t="n">
        <v>2851</v>
      </c>
      <c r="H1004" t="inlineStr">
        <is>
          <t>DAIRA MELISSA DOMINGUEZ CADENA</t>
        </is>
      </c>
      <c r="I1004" t="n">
        <v>8362</v>
      </c>
      <c r="J1004" t="inlineStr">
        <is>
          <t>COORDINADOR DE REACTIVACION CAMBIARIA</t>
        </is>
      </c>
      <c r="K1004" t="n">
        <v>1</v>
      </c>
      <c r="L1004" t="inlineStr">
        <is>
          <t>PRESIDENCIA EJECUTIVA DEL CONSEJO</t>
        </is>
      </c>
      <c r="M1004" t="n">
        <v>40</v>
      </c>
      <c r="N1004" t="inlineStr">
        <is>
          <t>DIRECCION GENERAL BANCO BASE</t>
        </is>
      </c>
      <c r="O1004" t="n">
        <v>410</v>
      </c>
      <c r="P1004" t="inlineStr">
        <is>
          <t>DIRECCION COMERCIAL</t>
        </is>
      </c>
      <c r="Q1004" t="n">
        <v>4560</v>
      </c>
      <c r="R1004" t="inlineStr">
        <is>
          <t>DIRECCION DE ATRACCION Y VENTAS</t>
        </is>
      </c>
      <c r="S1004" t="n">
        <v>45620</v>
      </c>
      <c r="T1004" t="inlineStr">
        <is>
          <t>GERENCIA DE PROCESOS COMERCIALES</t>
        </is>
      </c>
      <c r="U1004" t="n">
        <v>456230</v>
      </c>
      <c r="V1004" t="inlineStr">
        <is>
          <t>REACTIVACION CAMBIARIA OCCIDENTE</t>
        </is>
      </c>
      <c r="W1004" t="n">
        <v>126107</v>
      </c>
      <c r="X1004" t="inlineStr">
        <is>
          <t>GUADALAJARA</t>
        </is>
      </c>
      <c r="Y1004" t="n">
        <v>3</v>
      </c>
      <c r="Z1004" t="inlineStr">
        <is>
          <t>CAMBIARIO</t>
        </is>
      </c>
      <c r="AA1004" t="n">
        <v>1</v>
      </c>
      <c r="AB1004" t="inlineStr">
        <is>
          <t>NEGOCIO EN MARCHA</t>
        </is>
      </c>
      <c r="AC1004" t="n">
        <v>1</v>
      </c>
      <c r="AD1004" t="inlineStr">
        <is>
          <t>BANCO</t>
        </is>
      </c>
      <c r="AE1004" t="n">
        <v>2</v>
      </c>
      <c r="AF1004" t="inlineStr">
        <is>
          <t>MIDDLE</t>
        </is>
      </c>
      <c r="AG1004" t="n">
        <v>126107</v>
      </c>
      <c r="AH1004" t="inlineStr">
        <is>
          <t>GUADALAJARA</t>
        </is>
      </c>
      <c r="AI1004" t="inlineStr">
        <is>
          <t>RGARCIA@BANCOBASE.COM</t>
        </is>
      </c>
      <c r="AJ1004" s="151" t="n">
        <v>39006</v>
      </c>
      <c r="AK1004" s="151" t="n"/>
      <c r="AL1004" s="151" t="n"/>
    </row>
    <row r="1005" hidden="1" s="150">
      <c r="A1005" t="inlineStr">
        <is>
          <t>AMENDOZAH</t>
        </is>
      </c>
      <c r="B1005" t="n">
        <v>3189</v>
      </c>
      <c r="C1005" t="inlineStr">
        <is>
          <t>MANUEL ALEJANDRO MENDOZA HERNANDEZ</t>
        </is>
      </c>
      <c r="D1005" t="n">
        <v>8984</v>
      </c>
      <c r="E1005" t="inlineStr">
        <is>
          <t>EJECUTIVO DE REACTIVACION CAMBIARIA</t>
        </is>
      </c>
      <c r="F1005" t="inlineStr">
        <is>
          <t>GUADALAJARA</t>
        </is>
      </c>
      <c r="G1005" t="n">
        <v>2851</v>
      </c>
      <c r="H1005" t="inlineStr">
        <is>
          <t>DAIRA MELISSA DOMINGUEZ CADENA</t>
        </is>
      </c>
      <c r="I1005" t="n">
        <v>8362</v>
      </c>
      <c r="J1005" t="inlineStr">
        <is>
          <t>COORDINADOR DE REACTIVACION CAMBIARIA</t>
        </is>
      </c>
      <c r="K1005" t="n">
        <v>1</v>
      </c>
      <c r="L1005" t="inlineStr">
        <is>
          <t>PRESIDENCIA EJECUTIVA DEL CONSEJO</t>
        </is>
      </c>
      <c r="M1005" t="n">
        <v>40</v>
      </c>
      <c r="N1005" t="inlineStr">
        <is>
          <t>DIRECCION GENERAL BANCO BASE</t>
        </is>
      </c>
      <c r="O1005" t="n">
        <v>410</v>
      </c>
      <c r="P1005" t="inlineStr">
        <is>
          <t>DIRECCION COMERCIAL</t>
        </is>
      </c>
      <c r="Q1005" t="n">
        <v>4560</v>
      </c>
      <c r="R1005" t="inlineStr">
        <is>
          <t>DIRECCION DE ATRACCION Y VENTAS</t>
        </is>
      </c>
      <c r="S1005" t="n">
        <v>45620</v>
      </c>
      <c r="T1005" t="inlineStr">
        <is>
          <t>GERENCIA DE PROCESOS COMERCIALES</t>
        </is>
      </c>
      <c r="U1005" t="n">
        <v>456230</v>
      </c>
      <c r="V1005" t="inlineStr">
        <is>
          <t>REACTIVACION CAMBIARIA OCCIDENTE</t>
        </is>
      </c>
      <c r="W1005" t="n">
        <v>126107</v>
      </c>
      <c r="X1005" t="inlineStr">
        <is>
          <t>GUADALAJARA</t>
        </is>
      </c>
      <c r="Y1005" t="n">
        <v>3</v>
      </c>
      <c r="Z1005" t="inlineStr">
        <is>
          <t>CAMBIARIO</t>
        </is>
      </c>
      <c r="AA1005" t="n">
        <v>1</v>
      </c>
      <c r="AB1005" t="inlineStr">
        <is>
          <t>NEGOCIO EN MARCHA</t>
        </is>
      </c>
      <c r="AC1005" t="n">
        <v>1</v>
      </c>
      <c r="AD1005" t="inlineStr">
        <is>
          <t>BANCO</t>
        </is>
      </c>
      <c r="AE1005" t="n">
        <v>2</v>
      </c>
      <c r="AF1005" t="inlineStr">
        <is>
          <t>MIDDLE</t>
        </is>
      </c>
      <c r="AG1005" t="n">
        <v>126107</v>
      </c>
      <c r="AH1005" t="inlineStr">
        <is>
          <t>GUADALAJARA</t>
        </is>
      </c>
      <c r="AI1005" t="inlineStr">
        <is>
          <t>AMENDOZAH@BANCOBASE.COM</t>
        </is>
      </c>
      <c r="AJ1005" s="151" t="n">
        <v>45523</v>
      </c>
      <c r="AK1005" s="151" t="n"/>
      <c r="AL1005" s="151" t="n"/>
    </row>
    <row r="1006" hidden="1" s="150">
      <c r="A1006" t="inlineStr">
        <is>
          <t>AMACIASR</t>
        </is>
      </c>
      <c r="B1006" t="n">
        <v>3940</v>
      </c>
      <c r="C1006" t="inlineStr">
        <is>
          <t>ANDREA PAULINA MACIAS RIVERA</t>
        </is>
      </c>
      <c r="D1006" t="n">
        <v>10088</v>
      </c>
      <c r="E1006" t="inlineStr">
        <is>
          <t>ASISTENTE DE REACTIVACION CAMBIARIA</t>
        </is>
      </c>
      <c r="F1006" t="inlineStr">
        <is>
          <t>GUADALAJARA</t>
        </is>
      </c>
      <c r="G1006" t="n">
        <v>2851</v>
      </c>
      <c r="H1006" t="inlineStr">
        <is>
          <t>DAIRA MELISSA DOMINGUEZ CADENA</t>
        </is>
      </c>
      <c r="I1006" t="n">
        <v>8362</v>
      </c>
      <c r="J1006" t="inlineStr">
        <is>
          <t>COORDINADOR DE REACTIVACION CAMBIARIA</t>
        </is>
      </c>
      <c r="K1006" t="n">
        <v>1</v>
      </c>
      <c r="L1006" t="inlineStr">
        <is>
          <t>PRESIDENCIA EJECUTIVA DEL CONSEJO</t>
        </is>
      </c>
      <c r="M1006" t="n">
        <v>40</v>
      </c>
      <c r="N1006" t="inlineStr">
        <is>
          <t>DIRECCION GENERAL BANCO BASE</t>
        </is>
      </c>
      <c r="O1006" t="n">
        <v>410</v>
      </c>
      <c r="P1006" t="inlineStr">
        <is>
          <t>DIRECCION COMERCIAL</t>
        </is>
      </c>
      <c r="Q1006" t="n">
        <v>4560</v>
      </c>
      <c r="R1006" t="inlineStr">
        <is>
          <t>DIRECCION DE ATRACCION Y VENTAS</t>
        </is>
      </c>
      <c r="S1006" t="n">
        <v>45620</v>
      </c>
      <c r="T1006" t="inlineStr">
        <is>
          <t>GERENCIA DE PROCESOS COMERCIALES</t>
        </is>
      </c>
      <c r="U1006" t="n">
        <v>456230</v>
      </c>
      <c r="V1006" t="inlineStr">
        <is>
          <t>REACTIVACION CAMBIARIA OCCIDENTE</t>
        </is>
      </c>
      <c r="W1006" t="n">
        <v>126107</v>
      </c>
      <c r="X1006" t="inlineStr">
        <is>
          <t>GUADALAJARA</t>
        </is>
      </c>
      <c r="Y1006" t="n">
        <v>3</v>
      </c>
      <c r="Z1006" t="inlineStr">
        <is>
          <t>CAMBIARIO</t>
        </is>
      </c>
      <c r="AA1006" t="n">
        <v>1</v>
      </c>
      <c r="AB1006" t="inlineStr">
        <is>
          <t>NEGOCIO EN MARCHA</t>
        </is>
      </c>
      <c r="AC1006" t="n">
        <v>1</v>
      </c>
      <c r="AD1006" t="inlineStr">
        <is>
          <t>BANCO</t>
        </is>
      </c>
      <c r="AE1006" t="n">
        <v>2</v>
      </c>
      <c r="AF1006" t="inlineStr">
        <is>
          <t>MIDDLE</t>
        </is>
      </c>
      <c r="AG1006" t="n">
        <v>126107</v>
      </c>
      <c r="AH1006" t="inlineStr">
        <is>
          <t>GUADALAJARA</t>
        </is>
      </c>
      <c r="AI1006" t="inlineStr">
        <is>
          <t>AMACIASR@BANCOBASE.COM</t>
        </is>
      </c>
      <c r="AJ1006" s="151" t="n">
        <v>46219</v>
      </c>
      <c r="AK1006" s="151" t="n"/>
      <c r="AL1006" s="151" t="n"/>
    </row>
    <row r="1007" hidden="1" s="150">
      <c r="A1007" t="inlineStr">
        <is>
          <t>JOCHOAM</t>
        </is>
      </c>
      <c r="B1007" t="n">
        <v>3795</v>
      </c>
      <c r="C1007" t="inlineStr">
        <is>
          <t>JUAN ANTONIO OCHOA MONE</t>
        </is>
      </c>
      <c r="D1007" t="n">
        <v>5053</v>
      </c>
      <c r="E1007" t="inlineStr">
        <is>
          <t>DIRECTOR DE SOLUCIONES</t>
        </is>
      </c>
      <c r="F1007" t="inlineStr">
        <is>
          <t>MONTERREY</t>
        </is>
      </c>
      <c r="G1007" t="n">
        <v>1512</v>
      </c>
      <c r="H1007" t="inlineStr">
        <is>
          <t>ARTURO MANUEL GUERRA ANZALDUA</t>
        </is>
      </c>
      <c r="I1007" t="n">
        <v>9649</v>
      </c>
      <c r="J1007" t="inlineStr">
        <is>
          <t>DIRECTOR COMERCIAL NACIONAL</t>
        </is>
      </c>
      <c r="K1007" t="n">
        <v>1</v>
      </c>
      <c r="L1007" t="inlineStr">
        <is>
          <t>PRESIDENCIA EJECUTIVA DEL CONSEJO</t>
        </is>
      </c>
      <c r="M1007" t="n">
        <v>40</v>
      </c>
      <c r="N1007" t="inlineStr">
        <is>
          <t>DIRECCION GENERAL BANCO BASE</t>
        </is>
      </c>
      <c r="O1007" t="n">
        <v>410</v>
      </c>
      <c r="P1007" t="inlineStr">
        <is>
          <t>DIRECCION COMERCIAL</t>
        </is>
      </c>
      <c r="Q1007" t="n">
        <v>4102</v>
      </c>
      <c r="R1007" t="inlineStr">
        <is>
          <t>DIRECCION DE SOLUCIONES</t>
        </is>
      </c>
      <c r="S1007" t="n">
        <v>45330</v>
      </c>
      <c r="T1007" t="inlineStr">
        <is>
          <t>GERENCIA DE EXPERIENCIA AL CLIENTE</t>
        </is>
      </c>
      <c r="U1007" t="n">
        <v>410200</v>
      </c>
      <c r="V1007" t="inlineStr">
        <is>
          <t>DIRECCION DE SOLUCIONES</t>
        </is>
      </c>
      <c r="W1007" t="n">
        <v>100101</v>
      </c>
      <c r="X1007" t="inlineStr">
        <is>
          <t>CORPORATIVO</t>
        </is>
      </c>
      <c r="Y1007" t="n">
        <v>4</v>
      </c>
      <c r="Z1007" t="inlineStr">
        <is>
          <t>CORPORATIVO</t>
        </is>
      </c>
      <c r="AA1007" t="n">
        <v>1</v>
      </c>
      <c r="AB1007" t="inlineStr">
        <is>
          <t>NEGOCIO EN MARCHA</t>
        </is>
      </c>
      <c r="AC1007" t="n">
        <v>1</v>
      </c>
      <c r="AD1007" t="inlineStr">
        <is>
          <t>BANCO</t>
        </is>
      </c>
      <c r="AE1007" t="n">
        <v>2</v>
      </c>
      <c r="AF1007" t="inlineStr">
        <is>
          <t>MIDDLE</t>
        </is>
      </c>
      <c r="AG1007" t="n">
        <v>100101</v>
      </c>
      <c r="AH1007" t="inlineStr">
        <is>
          <t>CORPORATIVO</t>
        </is>
      </c>
      <c r="AI1007" t="inlineStr">
        <is>
          <t>JOCHOAM@BANCOBASE.COM</t>
        </is>
      </c>
      <c r="AJ1007" s="151" t="n">
        <v>46118</v>
      </c>
      <c r="AK1007" s="151" t="n"/>
      <c r="AL1007" s="151" t="n"/>
    </row>
    <row r="1008" hidden="1" s="150">
      <c r="A1008" t="inlineStr">
        <is>
          <t>JMATEOS</t>
        </is>
      </c>
      <c r="B1008" t="n">
        <v>1240</v>
      </c>
      <c r="C1008" t="inlineStr">
        <is>
          <t>JOSE GUILLERMO MATEOS FLORES</t>
        </is>
      </c>
      <c r="D1008" t="n">
        <v>10265</v>
      </c>
      <c r="E1008" t="inlineStr">
        <is>
          <t>DIRECTOR DE DESARROLLO DE NEGOCIO DERIVADOS Y FX</t>
        </is>
      </c>
      <c r="F1008" t="inlineStr">
        <is>
          <t>MONTERREY</t>
        </is>
      </c>
      <c r="G1008" t="n">
        <v>3795</v>
      </c>
      <c r="H1008" t="inlineStr">
        <is>
          <t>JUAN ANTONIO OCHOA MONE</t>
        </is>
      </c>
      <c r="I1008" t="n">
        <v>5053</v>
      </c>
      <c r="J1008" t="inlineStr">
        <is>
          <t>DIRECTOR DE SOLUCIONES</t>
        </is>
      </c>
      <c r="K1008" t="n">
        <v>1</v>
      </c>
      <c r="L1008" t="inlineStr">
        <is>
          <t>PRESIDENCIA EJECUTIVA DEL CONSEJO</t>
        </is>
      </c>
      <c r="M1008" t="n">
        <v>40</v>
      </c>
      <c r="N1008" t="inlineStr">
        <is>
          <t>DIRECCION GENERAL BANCO BASE</t>
        </is>
      </c>
      <c r="O1008" t="n">
        <v>410</v>
      </c>
      <c r="P1008" t="inlineStr">
        <is>
          <t>DIRECCION COMERCIAL</t>
        </is>
      </c>
      <c r="Q1008" t="n">
        <v>4102</v>
      </c>
      <c r="R1008" t="inlineStr">
        <is>
          <t>DIRECCION DE SOLUCIONES</t>
        </is>
      </c>
      <c r="S1008" t="n">
        <v>45100</v>
      </c>
      <c r="T1008" t="inlineStr">
        <is>
          <t>DIRECCION DE DESARROLLO DE NEGOCIO DERIVADOS Y FX</t>
        </is>
      </c>
      <c r="U1008" t="n">
        <v>451000</v>
      </c>
      <c r="V1008" t="inlineStr">
        <is>
          <t>DIRECCION DE DESARROLLO DE NEGOCIO DERIVADOS Y FX</t>
        </is>
      </c>
      <c r="W1008" t="n">
        <v>100101</v>
      </c>
      <c r="X1008" t="inlineStr">
        <is>
          <t>CORPORATIVO</t>
        </is>
      </c>
      <c r="Y1008" t="n">
        <v>15</v>
      </c>
      <c r="Z1008" t="inlineStr">
        <is>
          <t>DERIVADOS</t>
        </is>
      </c>
      <c r="AA1008" t="n">
        <v>1</v>
      </c>
      <c r="AB1008" t="inlineStr">
        <is>
          <t>NEGOCIO EN MARCHA</t>
        </is>
      </c>
      <c r="AC1008" t="n">
        <v>1</v>
      </c>
      <c r="AD1008" t="inlineStr">
        <is>
          <t>BANCO</t>
        </is>
      </c>
      <c r="AE1008" t="n">
        <v>3</v>
      </c>
      <c r="AF1008" t="inlineStr">
        <is>
          <t>FRONT</t>
        </is>
      </c>
      <c r="AG1008" t="n">
        <v>100101</v>
      </c>
      <c r="AH1008" t="inlineStr">
        <is>
          <t>CORPORATIVO</t>
        </is>
      </c>
      <c r="AI1008" t="inlineStr">
        <is>
          <t>JMATEOS@BANCOBASE.COM</t>
        </is>
      </c>
      <c r="AJ1008" s="151" t="n">
        <v>41988</v>
      </c>
      <c r="AK1008" s="151" t="n"/>
      <c r="AL1008" s="151" t="n"/>
    </row>
    <row r="1009" hidden="1" s="150">
      <c r="A1009" t="inlineStr">
        <is>
          <t>DLOZANO</t>
        </is>
      </c>
      <c r="B1009" t="n">
        <v>1582</v>
      </c>
      <c r="C1009" t="inlineStr">
        <is>
          <t>DANIELA LOZANO BILBAO</t>
        </is>
      </c>
      <c r="D1009" t="n">
        <v>9855</v>
      </c>
      <c r="E1009" t="inlineStr">
        <is>
          <t>SUBDIRECTOR DE GESTION DE VENTA DERIVADOS</t>
        </is>
      </c>
      <c r="F1009" t="inlineStr">
        <is>
          <t>MONTERREY</t>
        </is>
      </c>
      <c r="G1009" t="n">
        <v>1240</v>
      </c>
      <c r="H1009" t="inlineStr">
        <is>
          <t>JOSE GUILLERMO MATEOS FLORES</t>
        </is>
      </c>
      <c r="I1009" t="n">
        <v>10265</v>
      </c>
      <c r="J1009" t="inlineStr">
        <is>
          <t>DIRECTOR DE DESARROLLO DE NEGOCIO DERIVADOS Y FX</t>
        </is>
      </c>
      <c r="K1009" t="n">
        <v>1</v>
      </c>
      <c r="L1009" t="inlineStr">
        <is>
          <t>PRESIDENCIA EJECUTIVA DEL CONSEJO</t>
        </is>
      </c>
      <c r="M1009" t="n">
        <v>40</v>
      </c>
      <c r="N1009" t="inlineStr">
        <is>
          <t>DIRECCION GENERAL BANCO BASE</t>
        </is>
      </c>
      <c r="O1009" t="n">
        <v>410</v>
      </c>
      <c r="P1009" t="inlineStr">
        <is>
          <t>DIRECCION COMERCIAL</t>
        </is>
      </c>
      <c r="Q1009" t="n">
        <v>4102</v>
      </c>
      <c r="R1009" t="inlineStr">
        <is>
          <t>DIRECCION DE SOLUCIONES</t>
        </is>
      </c>
      <c r="S1009" t="n">
        <v>45100</v>
      </c>
      <c r="T1009" t="inlineStr">
        <is>
          <t>DIRECCION DE DESARROLLO DE NEGOCIO DERIVADOS Y FX</t>
        </is>
      </c>
      <c r="U1009" t="n">
        <v>451300</v>
      </c>
      <c r="V1009" t="inlineStr">
        <is>
          <t>SUBDIRECCION DE GESTION DERIVADOS MTY Y FORANEAS</t>
        </is>
      </c>
      <c r="W1009" t="n">
        <v>100101</v>
      </c>
      <c r="X1009" t="inlineStr">
        <is>
          <t>CORPORATIVO</t>
        </is>
      </c>
      <c r="Y1009" t="n">
        <v>15</v>
      </c>
      <c r="Z1009" t="inlineStr">
        <is>
          <t>DERIVADOS</t>
        </is>
      </c>
      <c r="AA1009" t="n">
        <v>1</v>
      </c>
      <c r="AB1009" t="inlineStr">
        <is>
          <t>NEGOCIO EN MARCHA</t>
        </is>
      </c>
      <c r="AC1009" t="n">
        <v>1</v>
      </c>
      <c r="AD1009" t="inlineStr">
        <is>
          <t>BANCO</t>
        </is>
      </c>
      <c r="AE1009" t="n">
        <v>2</v>
      </c>
      <c r="AF1009" t="inlineStr">
        <is>
          <t>MIDDLE</t>
        </is>
      </c>
      <c r="AG1009" t="n">
        <v>100101</v>
      </c>
      <c r="AH1009" t="inlineStr">
        <is>
          <t>CORPORATIVO</t>
        </is>
      </c>
      <c r="AI1009" t="inlineStr">
        <is>
          <t>DLOZANO@BANCOBASE.COM</t>
        </is>
      </c>
      <c r="AJ1009" s="151" t="n">
        <v>42552</v>
      </c>
      <c r="AK1009" s="151" t="n"/>
      <c r="AL1009" s="151" t="n"/>
    </row>
    <row r="1010" hidden="1" s="150">
      <c r="A1010" t="inlineStr">
        <is>
          <t>ACASTRO</t>
        </is>
      </c>
      <c r="B1010" t="n">
        <v>3018</v>
      </c>
      <c r="C1010" t="inlineStr">
        <is>
          <t>ALEJANDRA CASTRO ARMENTA</t>
        </is>
      </c>
      <c r="D1010" t="n">
        <v>8295</v>
      </c>
      <c r="E1010" t="inlineStr">
        <is>
          <t>ESPECIALISTA DE DERIVADOS</t>
        </is>
      </c>
      <c r="F1010" t="inlineStr">
        <is>
          <t>MONTERREY</t>
        </is>
      </c>
      <c r="G1010" t="n">
        <v>1582</v>
      </c>
      <c r="H1010" t="inlineStr">
        <is>
          <t>DANIELA LOZANO BILBAO</t>
        </is>
      </c>
      <c r="I1010" t="n">
        <v>9855</v>
      </c>
      <c r="J1010" t="inlineStr">
        <is>
          <t>SUBDIRECTOR DE GESTION DE VENTA DERIVADOS</t>
        </is>
      </c>
      <c r="K1010" t="n">
        <v>1</v>
      </c>
      <c r="L1010" t="inlineStr">
        <is>
          <t>PRESIDENCIA EJECUTIVA DEL CONSEJO</t>
        </is>
      </c>
      <c r="M1010" t="n">
        <v>40</v>
      </c>
      <c r="N1010" t="inlineStr">
        <is>
          <t>DIRECCION GENERAL BANCO BASE</t>
        </is>
      </c>
      <c r="O1010" t="n">
        <v>410</v>
      </c>
      <c r="P1010" t="inlineStr">
        <is>
          <t>DIRECCION COMERCIAL</t>
        </is>
      </c>
      <c r="Q1010" t="n">
        <v>4102</v>
      </c>
      <c r="R1010" t="inlineStr">
        <is>
          <t>DIRECCION DE SOLUCIONES</t>
        </is>
      </c>
      <c r="S1010" t="n">
        <v>45100</v>
      </c>
      <c r="T1010" t="inlineStr">
        <is>
          <t>DIRECCION DE DESARROLLO DE NEGOCIO DERIVADOS Y FX</t>
        </is>
      </c>
      <c r="U1010" t="n">
        <v>451300</v>
      </c>
      <c r="V1010" t="inlineStr">
        <is>
          <t>SUBDIRECCION DE GESTION DERIVADOS MTY Y FORANEAS</t>
        </is>
      </c>
      <c r="W1010" t="n">
        <v>126102</v>
      </c>
      <c r="X1010" t="inlineStr">
        <is>
          <t>VALLE ORIENTE</t>
        </is>
      </c>
      <c r="Y1010" t="n">
        <v>15</v>
      </c>
      <c r="Z1010" t="inlineStr">
        <is>
          <t>DERIVADOS</t>
        </is>
      </c>
      <c r="AA1010" t="n">
        <v>1</v>
      </c>
      <c r="AB1010" t="inlineStr">
        <is>
          <t>NEGOCIO EN MARCHA</t>
        </is>
      </c>
      <c r="AC1010" t="n">
        <v>1</v>
      </c>
      <c r="AD1010" t="inlineStr">
        <is>
          <t>BANCO</t>
        </is>
      </c>
      <c r="AE1010" t="n">
        <v>3</v>
      </c>
      <c r="AF1010" t="inlineStr">
        <is>
          <t>FRONT</t>
        </is>
      </c>
      <c r="AG1010" t="n">
        <v>126102</v>
      </c>
      <c r="AH1010" t="inlineStr">
        <is>
          <t>MONTERREY</t>
        </is>
      </c>
      <c r="AI1010" t="inlineStr">
        <is>
          <t>ACASTRO@BANCOBASE.COM</t>
        </is>
      </c>
      <c r="AJ1010" s="151" t="n">
        <v>45323</v>
      </c>
      <c r="AK1010" s="151" t="n"/>
      <c r="AL1010" s="151" t="n"/>
    </row>
    <row r="1011" hidden="1" s="150">
      <c r="A1011" t="inlineStr">
        <is>
          <t>DLOPEZL</t>
        </is>
      </c>
      <c r="B1011" t="n">
        <v>2418</v>
      </c>
      <c r="C1011" t="inlineStr">
        <is>
          <t>DANTE FABIAN LOPEZ LUNA</t>
        </is>
      </c>
      <c r="D1011" t="n">
        <v>9592</v>
      </c>
      <c r="E1011" t="inlineStr">
        <is>
          <t>ESPECIALISTA DE DERIVADOS</t>
        </is>
      </c>
      <c r="F1011" t="inlineStr">
        <is>
          <t>MONTERREY</t>
        </is>
      </c>
      <c r="G1011" t="n">
        <v>1582</v>
      </c>
      <c r="H1011" t="inlineStr">
        <is>
          <t>DANIELA LOZANO BILBAO</t>
        </is>
      </c>
      <c r="I1011" t="n">
        <v>9855</v>
      </c>
      <c r="J1011" t="inlineStr">
        <is>
          <t>SUBDIRECTOR DE GESTION DE VENTA DERIVADOS</t>
        </is>
      </c>
      <c r="K1011" t="n">
        <v>1</v>
      </c>
      <c r="L1011" t="inlineStr">
        <is>
          <t>PRESIDENCIA EJECUTIVA DEL CONSEJO</t>
        </is>
      </c>
      <c r="M1011" t="n">
        <v>40</v>
      </c>
      <c r="N1011" t="inlineStr">
        <is>
          <t>DIRECCION GENERAL BANCO BASE</t>
        </is>
      </c>
      <c r="O1011" t="n">
        <v>410</v>
      </c>
      <c r="P1011" t="inlineStr">
        <is>
          <t>DIRECCION COMERCIAL</t>
        </is>
      </c>
      <c r="Q1011" t="n">
        <v>4102</v>
      </c>
      <c r="R1011" t="inlineStr">
        <is>
          <t>DIRECCION DE SOLUCIONES</t>
        </is>
      </c>
      <c r="S1011" t="n">
        <v>45100</v>
      </c>
      <c r="T1011" t="inlineStr">
        <is>
          <t>DIRECCION DE DESARROLLO DE NEGOCIO DERIVADOS Y FX</t>
        </is>
      </c>
      <c r="U1011" t="n">
        <v>451300</v>
      </c>
      <c r="V1011" t="inlineStr">
        <is>
          <t>SUBDIRECCION DE GESTION DERIVADOS MTY Y FORANEAS</t>
        </is>
      </c>
      <c r="W1011" t="n">
        <v>126102</v>
      </c>
      <c r="X1011" t="inlineStr">
        <is>
          <t>VALLE ORIENTE</t>
        </is>
      </c>
      <c r="Y1011" t="n">
        <v>15</v>
      </c>
      <c r="Z1011" t="inlineStr">
        <is>
          <t>DERIVADOS</t>
        </is>
      </c>
      <c r="AA1011" t="n">
        <v>1</v>
      </c>
      <c r="AB1011" t="inlineStr">
        <is>
          <t>NEGOCIO EN MARCHA</t>
        </is>
      </c>
      <c r="AC1011" t="n">
        <v>1</v>
      </c>
      <c r="AD1011" t="inlineStr">
        <is>
          <t>BANCO</t>
        </is>
      </c>
      <c r="AE1011" t="n">
        <v>3</v>
      </c>
      <c r="AF1011" t="inlineStr">
        <is>
          <t>FRONT</t>
        </is>
      </c>
      <c r="AG1011" t="n">
        <v>126102</v>
      </c>
      <c r="AH1011" t="inlineStr">
        <is>
          <t>MONTERREY</t>
        </is>
      </c>
      <c r="AI1011" t="inlineStr">
        <is>
          <t>DLOPEZL@BANCOBASE.COM</t>
        </is>
      </c>
      <c r="AJ1011" s="151" t="n">
        <v>44044</v>
      </c>
      <c r="AK1011" s="151" t="n"/>
      <c r="AL1011" s="151" t="n"/>
    </row>
    <row r="1012" hidden="1" s="150">
      <c r="A1012" t="inlineStr">
        <is>
          <t>GGUAJARDO</t>
        </is>
      </c>
      <c r="B1012" t="n">
        <v>3270</v>
      </c>
      <c r="C1012" t="inlineStr">
        <is>
          <t>GUSTAVO GERARDO GUAJARDO TORRES</t>
        </is>
      </c>
      <c r="D1012" t="n">
        <v>3745</v>
      </c>
      <c r="E1012" t="inlineStr">
        <is>
          <t>ESPECIALISTA DE DERIVADOS</t>
        </is>
      </c>
      <c r="F1012" t="inlineStr">
        <is>
          <t>MONTERREY</t>
        </is>
      </c>
      <c r="G1012" t="n">
        <v>1582</v>
      </c>
      <c r="H1012" t="inlineStr">
        <is>
          <t>DANIELA LOZANO BILBAO</t>
        </is>
      </c>
      <c r="I1012" t="n">
        <v>9855</v>
      </c>
      <c r="J1012" t="inlineStr">
        <is>
          <t>SUBDIRECTOR DE GESTION DE VENTA DERIVADOS</t>
        </is>
      </c>
      <c r="K1012" t="n">
        <v>1</v>
      </c>
      <c r="L1012" t="inlineStr">
        <is>
          <t>PRESIDENCIA EJECUTIVA DEL CONSEJO</t>
        </is>
      </c>
      <c r="M1012" t="n">
        <v>40</v>
      </c>
      <c r="N1012" t="inlineStr">
        <is>
          <t>DIRECCION GENERAL BANCO BASE</t>
        </is>
      </c>
      <c r="O1012" t="n">
        <v>410</v>
      </c>
      <c r="P1012" t="inlineStr">
        <is>
          <t>DIRECCION COMERCIAL</t>
        </is>
      </c>
      <c r="Q1012" t="n">
        <v>4102</v>
      </c>
      <c r="R1012" t="inlineStr">
        <is>
          <t>DIRECCION DE SOLUCIONES</t>
        </is>
      </c>
      <c r="S1012" t="n">
        <v>45100</v>
      </c>
      <c r="T1012" t="inlineStr">
        <is>
          <t>DIRECCION DE DESARROLLO DE NEGOCIO DERIVADOS Y FX</t>
        </is>
      </c>
      <c r="U1012" t="n">
        <v>451300</v>
      </c>
      <c r="V1012" t="inlineStr">
        <is>
          <t>SUBDIRECCION DE GESTION DERIVADOS MTY Y FORANEAS</t>
        </is>
      </c>
      <c r="W1012" t="n">
        <v>126102</v>
      </c>
      <c r="X1012" t="inlineStr">
        <is>
          <t>VALLE ORIENTE</t>
        </is>
      </c>
      <c r="Y1012" t="n">
        <v>15</v>
      </c>
      <c r="Z1012" t="inlineStr">
        <is>
          <t>DERIVADOS</t>
        </is>
      </c>
      <c r="AA1012" t="n">
        <v>1</v>
      </c>
      <c r="AB1012" t="inlineStr">
        <is>
          <t>NEGOCIO EN MARCHA</t>
        </is>
      </c>
      <c r="AC1012" t="n">
        <v>1</v>
      </c>
      <c r="AD1012" t="inlineStr">
        <is>
          <t>BANCO</t>
        </is>
      </c>
      <c r="AE1012" t="n">
        <v>3</v>
      </c>
      <c r="AF1012" t="inlineStr">
        <is>
          <t>FRONT</t>
        </is>
      </c>
      <c r="AG1012" t="n">
        <v>126102</v>
      </c>
      <c r="AH1012" t="inlineStr">
        <is>
          <t>MONTERREY</t>
        </is>
      </c>
      <c r="AI1012" t="inlineStr">
        <is>
          <t>GGUAJARDO@BANCOBASE.COM</t>
        </is>
      </c>
      <c r="AJ1012" s="151" t="n">
        <v>45615</v>
      </c>
      <c r="AK1012" s="151" t="n"/>
      <c r="AL1012" s="151" t="n"/>
    </row>
    <row r="1013" hidden="1" s="150">
      <c r="A1013" t="inlineStr">
        <is>
          <t>MSANCHEZS</t>
        </is>
      </c>
      <c r="B1013" t="n">
        <v>2731</v>
      </c>
      <c r="C1013" t="inlineStr">
        <is>
          <t>MARIANA ELIZABETH SANCHEZ SILVA</t>
        </is>
      </c>
      <c r="D1013" t="n">
        <v>9996</v>
      </c>
      <c r="E1013" t="inlineStr">
        <is>
          <t>ESPECIALISTA DE DERIVADOS</t>
        </is>
      </c>
      <c r="F1013" t="inlineStr">
        <is>
          <t>MONTERREY</t>
        </is>
      </c>
      <c r="G1013" t="n">
        <v>1582</v>
      </c>
      <c r="H1013" t="inlineStr">
        <is>
          <t>DANIELA LOZANO BILBAO</t>
        </is>
      </c>
      <c r="I1013" t="n">
        <v>9855</v>
      </c>
      <c r="J1013" t="inlineStr">
        <is>
          <t>SUBDIRECTOR DE GESTION DE VENTA DERIVADOS</t>
        </is>
      </c>
      <c r="K1013" t="n">
        <v>1</v>
      </c>
      <c r="L1013" t="inlineStr">
        <is>
          <t>PRESIDENCIA EJECUTIVA DEL CONSEJO</t>
        </is>
      </c>
      <c r="M1013" t="n">
        <v>40</v>
      </c>
      <c r="N1013" t="inlineStr">
        <is>
          <t>DIRECCION GENERAL BANCO BASE</t>
        </is>
      </c>
      <c r="O1013" t="n">
        <v>410</v>
      </c>
      <c r="P1013" t="inlineStr">
        <is>
          <t>DIRECCION COMERCIAL</t>
        </is>
      </c>
      <c r="Q1013" t="n">
        <v>4102</v>
      </c>
      <c r="R1013" t="inlineStr">
        <is>
          <t>DIRECCION DE SOLUCIONES</t>
        </is>
      </c>
      <c r="S1013" t="n">
        <v>45100</v>
      </c>
      <c r="T1013" t="inlineStr">
        <is>
          <t>DIRECCION DE DESARROLLO DE NEGOCIO DERIVADOS Y FX</t>
        </is>
      </c>
      <c r="U1013" t="n">
        <v>451300</v>
      </c>
      <c r="V1013" t="inlineStr">
        <is>
          <t>SUBDIRECCION DE GESTION DERIVADOS MTY Y FORANEAS</t>
        </is>
      </c>
      <c r="W1013" t="n">
        <v>126102</v>
      </c>
      <c r="X1013" t="inlineStr">
        <is>
          <t>VALLE ORIENTE</t>
        </is>
      </c>
      <c r="Y1013" t="n">
        <v>15</v>
      </c>
      <c r="Z1013" t="inlineStr">
        <is>
          <t>DERIVADOS</t>
        </is>
      </c>
      <c r="AA1013" t="n">
        <v>1</v>
      </c>
      <c r="AB1013" t="inlineStr">
        <is>
          <t>NEGOCIO EN MARCHA</t>
        </is>
      </c>
      <c r="AC1013" t="n">
        <v>1</v>
      </c>
      <c r="AD1013" t="inlineStr">
        <is>
          <t>BANCO</t>
        </is>
      </c>
      <c r="AE1013" t="n">
        <v>3</v>
      </c>
      <c r="AF1013" t="inlineStr">
        <is>
          <t>FRONT</t>
        </is>
      </c>
      <c r="AG1013" t="n">
        <v>126102</v>
      </c>
      <c r="AH1013" t="inlineStr">
        <is>
          <t>MONTERREY</t>
        </is>
      </c>
      <c r="AI1013" t="inlineStr">
        <is>
          <t>MSANCHEZS@BANCOBASE.COM</t>
        </is>
      </c>
      <c r="AJ1013" s="151" t="n">
        <v>44823</v>
      </c>
      <c r="AK1013" s="151" t="n"/>
      <c r="AL1013" s="151" t="n"/>
    </row>
    <row r="1014" hidden="1" s="150">
      <c r="A1014" t="inlineStr">
        <is>
          <t>MSEPULVEDA</t>
        </is>
      </c>
      <c r="B1014" t="n">
        <v>2660</v>
      </c>
      <c r="C1014" t="inlineStr">
        <is>
          <t>MARLENE MICHEL SEPULVEDA BERMUDEZ</t>
        </is>
      </c>
      <c r="D1014" t="n">
        <v>8423</v>
      </c>
      <c r="E1014" t="inlineStr">
        <is>
          <t>ESPECIALISTA DE DERIVADOS</t>
        </is>
      </c>
      <c r="F1014" t="inlineStr">
        <is>
          <t>MONTERREY</t>
        </is>
      </c>
      <c r="G1014" t="n">
        <v>1582</v>
      </c>
      <c r="H1014" t="inlineStr">
        <is>
          <t>DANIELA LOZANO BILBAO</t>
        </is>
      </c>
      <c r="I1014" t="n">
        <v>9855</v>
      </c>
      <c r="J1014" t="inlineStr">
        <is>
          <t>SUBDIRECTOR DE GESTION DE VENTA DERIVADOS</t>
        </is>
      </c>
      <c r="K1014" t="n">
        <v>1</v>
      </c>
      <c r="L1014" t="inlineStr">
        <is>
          <t>PRESIDENCIA EJECUTIVA DEL CONSEJO</t>
        </is>
      </c>
      <c r="M1014" t="n">
        <v>40</v>
      </c>
      <c r="N1014" t="inlineStr">
        <is>
          <t>DIRECCION GENERAL BANCO BASE</t>
        </is>
      </c>
      <c r="O1014" t="n">
        <v>410</v>
      </c>
      <c r="P1014" t="inlineStr">
        <is>
          <t>DIRECCION COMERCIAL</t>
        </is>
      </c>
      <c r="Q1014" t="n">
        <v>4102</v>
      </c>
      <c r="R1014" t="inlineStr">
        <is>
          <t>DIRECCION DE SOLUCIONES</t>
        </is>
      </c>
      <c r="S1014" t="n">
        <v>45100</v>
      </c>
      <c r="T1014" t="inlineStr">
        <is>
          <t>DIRECCION DE DESARROLLO DE NEGOCIO DERIVADOS Y FX</t>
        </is>
      </c>
      <c r="U1014" t="n">
        <v>451300</v>
      </c>
      <c r="V1014" t="inlineStr">
        <is>
          <t>SUBDIRECCION DE GESTION DERIVADOS MTY Y FORANEAS</t>
        </is>
      </c>
      <c r="W1014" t="n">
        <v>126102</v>
      </c>
      <c r="X1014" t="inlineStr">
        <is>
          <t>VALLE ORIENTE</t>
        </is>
      </c>
      <c r="Y1014" t="n">
        <v>15</v>
      </c>
      <c r="Z1014" t="inlineStr">
        <is>
          <t>DERIVADOS</t>
        </is>
      </c>
      <c r="AA1014" t="n">
        <v>1</v>
      </c>
      <c r="AB1014" t="inlineStr">
        <is>
          <t>NEGOCIO EN MARCHA</t>
        </is>
      </c>
      <c r="AC1014" t="n">
        <v>1</v>
      </c>
      <c r="AD1014" t="inlineStr">
        <is>
          <t>BANCO</t>
        </is>
      </c>
      <c r="AE1014" t="n">
        <v>3</v>
      </c>
      <c r="AF1014" t="inlineStr">
        <is>
          <t>FRONT</t>
        </is>
      </c>
      <c r="AG1014" t="n">
        <v>126102</v>
      </c>
      <c r="AH1014" t="inlineStr">
        <is>
          <t>MONTERREY</t>
        </is>
      </c>
      <c r="AI1014" t="inlineStr">
        <is>
          <t>MSEPULVEDA@BANCOBASE.COM</t>
        </is>
      </c>
      <c r="AJ1014" s="151" t="n">
        <v>44713</v>
      </c>
      <c r="AK1014" s="151" t="n"/>
      <c r="AL1014" s="151" t="n"/>
    </row>
    <row r="1015" hidden="1" s="150">
      <c r="A1015" t="inlineStr">
        <is>
          <t>AAGUAYO</t>
        </is>
      </c>
      <c r="B1015" t="n">
        <v>3170</v>
      </c>
      <c r="C1015" t="inlineStr">
        <is>
          <t>ANDREA CECILIA AGUAYO MILLAN</t>
        </is>
      </c>
      <c r="D1015" t="n">
        <v>8645</v>
      </c>
      <c r="E1015" t="inlineStr">
        <is>
          <t>ANALISTA DE DERIVADOS</t>
        </is>
      </c>
      <c r="F1015" t="inlineStr">
        <is>
          <t>MONTERREY</t>
        </is>
      </c>
      <c r="G1015" t="n">
        <v>1582</v>
      </c>
      <c r="H1015" t="inlineStr">
        <is>
          <t>DANIELA LOZANO BILBAO</t>
        </is>
      </c>
      <c r="I1015" t="n">
        <v>9855</v>
      </c>
      <c r="J1015" t="inlineStr">
        <is>
          <t>SUBDIRECTOR DE GESTION DE VENTA DERIVADOS</t>
        </is>
      </c>
      <c r="K1015" t="n">
        <v>1</v>
      </c>
      <c r="L1015" t="inlineStr">
        <is>
          <t>PRESIDENCIA EJECUTIVA DEL CONSEJO</t>
        </is>
      </c>
      <c r="M1015" t="n">
        <v>40</v>
      </c>
      <c r="N1015" t="inlineStr">
        <is>
          <t>DIRECCION GENERAL BANCO BASE</t>
        </is>
      </c>
      <c r="O1015" t="n">
        <v>410</v>
      </c>
      <c r="P1015" t="inlineStr">
        <is>
          <t>DIRECCION COMERCIAL</t>
        </is>
      </c>
      <c r="Q1015" t="n">
        <v>4102</v>
      </c>
      <c r="R1015" t="inlineStr">
        <is>
          <t>DIRECCION DE SOLUCIONES</t>
        </is>
      </c>
      <c r="S1015" t="n">
        <v>45100</v>
      </c>
      <c r="T1015" t="inlineStr">
        <is>
          <t>DIRECCION DE DESARROLLO DE NEGOCIO DERIVADOS Y FX</t>
        </is>
      </c>
      <c r="U1015" t="n">
        <v>451300</v>
      </c>
      <c r="V1015" t="inlineStr">
        <is>
          <t>SUBDIRECCION DE GESTION DERIVADOS MTY Y FORANEAS</t>
        </is>
      </c>
      <c r="W1015" t="n">
        <v>126102</v>
      </c>
      <c r="X1015" t="inlineStr">
        <is>
          <t>VALLE ORIENTE</t>
        </is>
      </c>
      <c r="Y1015" t="n">
        <v>15</v>
      </c>
      <c r="Z1015" t="inlineStr">
        <is>
          <t>DERIVADOS</t>
        </is>
      </c>
      <c r="AA1015" t="n">
        <v>1</v>
      </c>
      <c r="AB1015" t="inlineStr">
        <is>
          <t>NEGOCIO EN MARCHA</t>
        </is>
      </c>
      <c r="AC1015" t="n">
        <v>1</v>
      </c>
      <c r="AD1015" t="inlineStr">
        <is>
          <t>BANCO</t>
        </is>
      </c>
      <c r="AE1015" t="n">
        <v>3</v>
      </c>
      <c r="AF1015" t="inlineStr">
        <is>
          <t>FRONT</t>
        </is>
      </c>
      <c r="AG1015" t="n">
        <v>126102</v>
      </c>
      <c r="AH1015" t="inlineStr">
        <is>
          <t>MONTERREY</t>
        </is>
      </c>
      <c r="AI1015" t="inlineStr">
        <is>
          <t>AAGUAYO@BANCOBASE.COM</t>
        </is>
      </c>
      <c r="AJ1015" s="151" t="n">
        <v>45505</v>
      </c>
      <c r="AK1015" s="151" t="n"/>
      <c r="AL1015" s="151" t="n"/>
    </row>
    <row r="1016" hidden="1" s="150">
      <c r="A1016" t="inlineStr">
        <is>
          <t>AALCARAZ</t>
        </is>
      </c>
      <c r="B1016" t="n">
        <v>3304</v>
      </c>
      <c r="C1016" t="inlineStr">
        <is>
          <t>ANA KARINA ALCARAZ MUÑIZ</t>
        </is>
      </c>
      <c r="D1016" t="n">
        <v>8644</v>
      </c>
      <c r="E1016" t="inlineStr">
        <is>
          <t>ANALISTA DE DERIVADOS</t>
        </is>
      </c>
      <c r="F1016" t="inlineStr">
        <is>
          <t>MONTERREY</t>
        </is>
      </c>
      <c r="G1016" t="n">
        <v>1582</v>
      </c>
      <c r="H1016" t="inlineStr">
        <is>
          <t>DANIELA LOZANO BILBAO</t>
        </is>
      </c>
      <c r="I1016" t="n">
        <v>9855</v>
      </c>
      <c r="J1016" t="inlineStr">
        <is>
          <t>SUBDIRECTOR DE GESTION DE VENTA DERIVADOS</t>
        </is>
      </c>
      <c r="K1016" t="n">
        <v>1</v>
      </c>
      <c r="L1016" t="inlineStr">
        <is>
          <t>PRESIDENCIA EJECUTIVA DEL CONSEJO</t>
        </is>
      </c>
      <c r="M1016" t="n">
        <v>40</v>
      </c>
      <c r="N1016" t="inlineStr">
        <is>
          <t>DIRECCION GENERAL BANCO BASE</t>
        </is>
      </c>
      <c r="O1016" t="n">
        <v>410</v>
      </c>
      <c r="P1016" t="inlineStr">
        <is>
          <t>DIRECCION COMERCIAL</t>
        </is>
      </c>
      <c r="Q1016" t="n">
        <v>4102</v>
      </c>
      <c r="R1016" t="inlineStr">
        <is>
          <t>DIRECCION DE SOLUCIONES</t>
        </is>
      </c>
      <c r="S1016" t="n">
        <v>45100</v>
      </c>
      <c r="T1016" t="inlineStr">
        <is>
          <t>DIRECCION DE DESARROLLO DE NEGOCIO DERIVADOS Y FX</t>
        </is>
      </c>
      <c r="U1016" t="n">
        <v>451300</v>
      </c>
      <c r="V1016" t="inlineStr">
        <is>
          <t>SUBDIRECCION DE GESTION DERIVADOS MTY Y FORANEAS</t>
        </is>
      </c>
      <c r="W1016" t="n">
        <v>126102</v>
      </c>
      <c r="X1016" t="inlineStr">
        <is>
          <t>VALLE ORIENTE</t>
        </is>
      </c>
      <c r="Y1016" t="n">
        <v>15</v>
      </c>
      <c r="Z1016" t="inlineStr">
        <is>
          <t>DERIVADOS</t>
        </is>
      </c>
      <c r="AA1016" t="n">
        <v>1</v>
      </c>
      <c r="AB1016" t="inlineStr">
        <is>
          <t>NEGOCIO EN MARCHA</t>
        </is>
      </c>
      <c r="AC1016" t="n">
        <v>1</v>
      </c>
      <c r="AD1016" t="inlineStr">
        <is>
          <t>BANCO</t>
        </is>
      </c>
      <c r="AE1016" t="n">
        <v>3</v>
      </c>
      <c r="AF1016" t="inlineStr">
        <is>
          <t>FRONT</t>
        </is>
      </c>
      <c r="AG1016" t="n">
        <v>126102</v>
      </c>
      <c r="AH1016" t="inlineStr">
        <is>
          <t>MONTERREY</t>
        </is>
      </c>
      <c r="AI1016" t="inlineStr">
        <is>
          <t>AALCARAZ@BANCOBASE.COM</t>
        </is>
      </c>
      <c r="AJ1016" s="151" t="n">
        <v>45663</v>
      </c>
      <c r="AK1016" s="151" t="n"/>
      <c r="AL1016" s="151" t="n"/>
    </row>
    <row r="1017" hidden="1" s="150">
      <c r="A1017" t="inlineStr">
        <is>
          <t>MDELAPENA</t>
        </is>
      </c>
      <c r="B1017" t="n">
        <v>3474</v>
      </c>
      <c r="C1017" t="inlineStr">
        <is>
          <t>MILTON GERARDO DE LA PEÑA AVENDAÑO</t>
        </is>
      </c>
      <c r="D1017" t="n">
        <v>10256</v>
      </c>
      <c r="E1017" t="inlineStr">
        <is>
          <t>ANALISTA DE DERIVADOS</t>
        </is>
      </c>
      <c r="F1017" t="inlineStr">
        <is>
          <t>MONTERREY</t>
        </is>
      </c>
      <c r="G1017" t="n">
        <v>1582</v>
      </c>
      <c r="H1017" t="inlineStr">
        <is>
          <t>DANIELA LOZANO BILBAO</t>
        </is>
      </c>
      <c r="I1017" t="n">
        <v>9855</v>
      </c>
      <c r="J1017" t="inlineStr">
        <is>
          <t>SUBDIRECTOR DE GESTION DE VENTA DERIVADOS</t>
        </is>
      </c>
      <c r="K1017" t="n">
        <v>1</v>
      </c>
      <c r="L1017" t="inlineStr">
        <is>
          <t>PRESIDENCIA EJECUTIVA DEL CONSEJO</t>
        </is>
      </c>
      <c r="M1017" t="n">
        <v>40</v>
      </c>
      <c r="N1017" t="inlineStr">
        <is>
          <t>DIRECCION GENERAL BANCO BASE</t>
        </is>
      </c>
      <c r="O1017" t="n">
        <v>410</v>
      </c>
      <c r="P1017" t="inlineStr">
        <is>
          <t>DIRECCION COMERCIAL</t>
        </is>
      </c>
      <c r="Q1017" t="n">
        <v>4102</v>
      </c>
      <c r="R1017" t="inlineStr">
        <is>
          <t>DIRECCION DE SOLUCIONES</t>
        </is>
      </c>
      <c r="S1017" t="n">
        <v>45100</v>
      </c>
      <c r="T1017" t="inlineStr">
        <is>
          <t>DIRECCION DE DESARROLLO DE NEGOCIO DERIVADOS Y FX</t>
        </is>
      </c>
      <c r="U1017" t="n">
        <v>451300</v>
      </c>
      <c r="V1017" t="inlineStr">
        <is>
          <t>SUBDIRECCION DE GESTION DERIVADOS MTY Y FORANEAS</t>
        </is>
      </c>
      <c r="W1017" t="n">
        <v>126102</v>
      </c>
      <c r="X1017" t="inlineStr">
        <is>
          <t>VALLE ORIENTE</t>
        </is>
      </c>
      <c r="Y1017" t="n">
        <v>15</v>
      </c>
      <c r="Z1017" t="inlineStr">
        <is>
          <t>DERIVADOS</t>
        </is>
      </c>
      <c r="AA1017" t="n">
        <v>1</v>
      </c>
      <c r="AB1017" t="inlineStr">
        <is>
          <t>NEGOCIO EN MARCHA</t>
        </is>
      </c>
      <c r="AC1017" t="n">
        <v>1</v>
      </c>
      <c r="AD1017" t="inlineStr">
        <is>
          <t>BANCO</t>
        </is>
      </c>
      <c r="AE1017" t="n">
        <v>3</v>
      </c>
      <c r="AF1017" t="inlineStr">
        <is>
          <t>FRONT</t>
        </is>
      </c>
      <c r="AG1017" t="n">
        <v>126102</v>
      </c>
      <c r="AH1017" t="inlineStr">
        <is>
          <t>MONTERREY</t>
        </is>
      </c>
      <c r="AI1017" t="inlineStr">
        <is>
          <t>MDELAPENA@BANCOBASE.COM</t>
        </is>
      </c>
      <c r="AJ1017" s="151" t="n">
        <v>45839</v>
      </c>
      <c r="AK1017" s="151" t="n"/>
      <c r="AL1017" s="151" t="n"/>
    </row>
    <row r="1018" hidden="1" s="150">
      <c r="A1018" t="inlineStr">
        <is>
          <t>JESQUIVEL</t>
        </is>
      </c>
      <c r="B1018" t="n">
        <v>2445</v>
      </c>
      <c r="C1018" t="inlineStr">
        <is>
          <t>JULIANA FABIOLA ESQUIVEL LOZANO</t>
        </is>
      </c>
      <c r="D1018" t="n">
        <v>8646</v>
      </c>
      <c r="E1018" t="inlineStr">
        <is>
          <t>ANALISTA DE DERIVADOS</t>
        </is>
      </c>
      <c r="F1018" t="inlineStr">
        <is>
          <t>MONTERREY</t>
        </is>
      </c>
      <c r="G1018" t="n">
        <v>1582</v>
      </c>
      <c r="H1018" t="inlineStr">
        <is>
          <t>DANIELA LOZANO BILBAO</t>
        </is>
      </c>
      <c r="I1018" t="n">
        <v>9855</v>
      </c>
      <c r="J1018" t="inlineStr">
        <is>
          <t>SUBDIRECTOR DE GESTION DE VENTA DERIVADOS</t>
        </is>
      </c>
      <c r="K1018" t="n">
        <v>1</v>
      </c>
      <c r="L1018" t="inlineStr">
        <is>
          <t>PRESIDENCIA EJECUTIVA DEL CONSEJO</t>
        </is>
      </c>
      <c r="M1018" t="n">
        <v>40</v>
      </c>
      <c r="N1018" t="inlineStr">
        <is>
          <t>DIRECCION GENERAL BANCO BASE</t>
        </is>
      </c>
      <c r="O1018" t="n">
        <v>410</v>
      </c>
      <c r="P1018" t="inlineStr">
        <is>
          <t>DIRECCION COMERCIAL</t>
        </is>
      </c>
      <c r="Q1018" t="n">
        <v>4102</v>
      </c>
      <c r="R1018" t="inlineStr">
        <is>
          <t>DIRECCION DE SOLUCIONES</t>
        </is>
      </c>
      <c r="S1018" t="n">
        <v>45100</v>
      </c>
      <c r="T1018" t="inlineStr">
        <is>
          <t>DIRECCION DE DESARROLLO DE NEGOCIO DERIVADOS Y FX</t>
        </is>
      </c>
      <c r="U1018" t="n">
        <v>451300</v>
      </c>
      <c r="V1018" t="inlineStr">
        <is>
          <t>SUBDIRECCION DE GESTION DERIVADOS MTY Y FORANEAS</t>
        </is>
      </c>
      <c r="W1018" t="n">
        <v>126102</v>
      </c>
      <c r="X1018" t="inlineStr">
        <is>
          <t>VALLE ORIENTE</t>
        </is>
      </c>
      <c r="Y1018" t="n">
        <v>15</v>
      </c>
      <c r="Z1018" t="inlineStr">
        <is>
          <t>DERIVADOS</t>
        </is>
      </c>
      <c r="AA1018" t="n">
        <v>1</v>
      </c>
      <c r="AB1018" t="inlineStr">
        <is>
          <t>NEGOCIO EN MARCHA</t>
        </is>
      </c>
      <c r="AC1018" t="n">
        <v>1</v>
      </c>
      <c r="AD1018" t="inlineStr">
        <is>
          <t>BANCO</t>
        </is>
      </c>
      <c r="AE1018" t="n">
        <v>3</v>
      </c>
      <c r="AF1018" t="inlineStr">
        <is>
          <t>FRONT</t>
        </is>
      </c>
      <c r="AG1018" t="n">
        <v>126102</v>
      </c>
      <c r="AH1018" t="inlineStr">
        <is>
          <t>MONTERREY</t>
        </is>
      </c>
      <c r="AI1018" t="inlineStr">
        <is>
          <t>JESQUIVEL@BANCOBASE.COM</t>
        </is>
      </c>
      <c r="AJ1018" s="151" t="n">
        <v>44138</v>
      </c>
      <c r="AK1018" s="151" t="n"/>
      <c r="AL1018" s="151" t="n"/>
    </row>
    <row r="1019" hidden="1" s="150">
      <c r="A1019" t="inlineStr">
        <is>
          <t>HRUIZ</t>
        </is>
      </c>
      <c r="B1019" t="n">
        <v>3400</v>
      </c>
      <c r="C1019" t="inlineStr">
        <is>
          <t>HUMBERTO RUIZ CANO</t>
        </is>
      </c>
      <c r="D1019" t="n">
        <v>8243</v>
      </c>
      <c r="E1019" t="inlineStr">
        <is>
          <t>ESPECIALISTA DE DERIVADOS</t>
        </is>
      </c>
      <c r="F1019" t="inlineStr">
        <is>
          <t>TIJUANA</t>
        </is>
      </c>
      <c r="G1019" t="n">
        <v>1582</v>
      </c>
      <c r="H1019" t="inlineStr">
        <is>
          <t>DANIELA LOZANO BILBAO</t>
        </is>
      </c>
      <c r="I1019" t="n">
        <v>9855</v>
      </c>
      <c r="J1019" t="inlineStr">
        <is>
          <t>SUBDIRECTOR DE GESTION DE VENTA DERIVADOS</t>
        </is>
      </c>
      <c r="K1019" t="n">
        <v>1</v>
      </c>
      <c r="L1019" t="inlineStr">
        <is>
          <t>PRESIDENCIA EJECUTIVA DEL CONSEJO</t>
        </is>
      </c>
      <c r="M1019" t="n">
        <v>40</v>
      </c>
      <c r="N1019" t="inlineStr">
        <is>
          <t>DIRECCION GENERAL BANCO BASE</t>
        </is>
      </c>
      <c r="O1019" t="n">
        <v>410</v>
      </c>
      <c r="P1019" t="inlineStr">
        <is>
          <t>DIRECCION COMERCIAL</t>
        </is>
      </c>
      <c r="Q1019" t="n">
        <v>4102</v>
      </c>
      <c r="R1019" t="inlineStr">
        <is>
          <t>DIRECCION DE SOLUCIONES</t>
        </is>
      </c>
      <c r="S1019" t="n">
        <v>45100</v>
      </c>
      <c r="T1019" t="inlineStr">
        <is>
          <t>DIRECCION DE DESARROLLO DE NEGOCIO DERIVADOS Y FX</t>
        </is>
      </c>
      <c r="U1019" t="n">
        <v>451300</v>
      </c>
      <c r="V1019" t="inlineStr">
        <is>
          <t>SUBDIRECCION DE GESTION DERIVADOS MTY Y FORANEAS</t>
        </is>
      </c>
      <c r="W1019" t="n">
        <v>126114</v>
      </c>
      <c r="X1019" t="inlineStr">
        <is>
          <t>TIJUANA</t>
        </is>
      </c>
      <c r="Y1019" t="n">
        <v>15</v>
      </c>
      <c r="Z1019" t="inlineStr">
        <is>
          <t>DERIVADOS</t>
        </is>
      </c>
      <c r="AA1019" t="n">
        <v>1</v>
      </c>
      <c r="AB1019" t="inlineStr">
        <is>
          <t>NEGOCIO EN MARCHA</t>
        </is>
      </c>
      <c r="AC1019" t="n">
        <v>1</v>
      </c>
      <c r="AD1019" t="inlineStr">
        <is>
          <t>BANCO</t>
        </is>
      </c>
      <c r="AE1019" t="n">
        <v>3</v>
      </c>
      <c r="AF1019" t="inlineStr">
        <is>
          <t>FRONT</t>
        </is>
      </c>
      <c r="AG1019" t="n">
        <v>126114</v>
      </c>
      <c r="AH1019" t="inlineStr">
        <is>
          <t>TIJUANA</t>
        </is>
      </c>
      <c r="AI1019" t="inlineStr">
        <is>
          <t>HRUIZ@BANCOBASE.COM</t>
        </is>
      </c>
      <c r="AJ1019" s="151" t="n">
        <v>45768</v>
      </c>
      <c r="AK1019" s="151" t="n"/>
      <c r="AL1019" s="151" t="n"/>
    </row>
    <row r="1020" hidden="1" s="150">
      <c r="A1020" t="inlineStr">
        <is>
          <t>JCALVA</t>
        </is>
      </c>
      <c r="B1020" t="n">
        <v>2709</v>
      </c>
      <c r="C1020" t="inlineStr">
        <is>
          <t>JESUS EDUARDO CALVA GONZALEZ</t>
        </is>
      </c>
      <c r="D1020" t="n">
        <v>6000</v>
      </c>
      <c r="E1020" t="inlineStr">
        <is>
          <t>ESPECIALISTA DE DERIVADOS</t>
        </is>
      </c>
      <c r="F1020" t="inlineStr">
        <is>
          <t>MONTERREY</t>
        </is>
      </c>
      <c r="G1020" t="n">
        <v>1582</v>
      </c>
      <c r="H1020" t="inlineStr">
        <is>
          <t>DANIELA LOZANO BILBAO</t>
        </is>
      </c>
      <c r="I1020" t="n">
        <v>9855</v>
      </c>
      <c r="J1020" t="inlineStr">
        <is>
          <t>SUBDIRECTOR DE GESTION DE VENTA DERIVADOS</t>
        </is>
      </c>
      <c r="K1020" t="n">
        <v>1</v>
      </c>
      <c r="L1020" t="inlineStr">
        <is>
          <t>PRESIDENCIA EJECUTIVA DEL CONSEJO</t>
        </is>
      </c>
      <c r="M1020" t="n">
        <v>40</v>
      </c>
      <c r="N1020" t="inlineStr">
        <is>
          <t>DIRECCION GENERAL BANCO BASE</t>
        </is>
      </c>
      <c r="O1020" t="n">
        <v>410</v>
      </c>
      <c r="P1020" t="inlineStr">
        <is>
          <t>DIRECCION COMERCIAL</t>
        </is>
      </c>
      <c r="Q1020" t="n">
        <v>4102</v>
      </c>
      <c r="R1020" t="inlineStr">
        <is>
          <t>DIRECCION DE SOLUCIONES</t>
        </is>
      </c>
      <c r="S1020" t="n">
        <v>45100</v>
      </c>
      <c r="T1020" t="inlineStr">
        <is>
          <t>DIRECCION DE DESARROLLO DE NEGOCIO DERIVADOS Y FX</t>
        </is>
      </c>
      <c r="U1020" t="n">
        <v>451300</v>
      </c>
      <c r="V1020" t="inlineStr">
        <is>
          <t>SUBDIRECCION DE GESTION DERIVADOS MTY Y FORANEAS</t>
        </is>
      </c>
      <c r="W1020" t="n">
        <v>126102</v>
      </c>
      <c r="X1020" t="inlineStr">
        <is>
          <t>VALLE ORIENTE</t>
        </is>
      </c>
      <c r="Y1020" t="n">
        <v>15</v>
      </c>
      <c r="Z1020" t="inlineStr">
        <is>
          <t>DERIVADOS</t>
        </is>
      </c>
      <c r="AA1020" t="n">
        <v>1</v>
      </c>
      <c r="AB1020" t="inlineStr">
        <is>
          <t>NEGOCIO EN MARCHA</t>
        </is>
      </c>
      <c r="AC1020" t="n">
        <v>1</v>
      </c>
      <c r="AD1020" t="inlineStr">
        <is>
          <t>BANCO</t>
        </is>
      </c>
      <c r="AE1020" t="n">
        <v>3</v>
      </c>
      <c r="AF1020" t="inlineStr">
        <is>
          <t>FRONT</t>
        </is>
      </c>
      <c r="AG1020" t="n">
        <v>126102</v>
      </c>
      <c r="AH1020" t="inlineStr">
        <is>
          <t>MONTERREY</t>
        </is>
      </c>
      <c r="AI1020" t="inlineStr">
        <is>
          <t>JCALVA@BANCOBASE.COM</t>
        </is>
      </c>
      <c r="AJ1020" s="151" t="n">
        <v>44774</v>
      </c>
      <c r="AK1020" s="151" t="n"/>
      <c r="AL1020" s="151" t="n"/>
    </row>
    <row r="1021" hidden="1" s="150">
      <c r="A1021" t="inlineStr">
        <is>
          <t>AALVIZO</t>
        </is>
      </c>
      <c r="B1021" t="n">
        <v>3402</v>
      </c>
      <c r="C1021" t="inlineStr">
        <is>
          <t>ANA CAMILA ALVIZO HERNANDEZ</t>
        </is>
      </c>
      <c r="D1021" t="n">
        <v>8296</v>
      </c>
      <c r="E1021" t="inlineStr">
        <is>
          <t>ANALISTA DE DERIVADOS</t>
        </is>
      </c>
      <c r="F1021" t="inlineStr">
        <is>
          <t>MONTERREY</t>
        </is>
      </c>
      <c r="G1021" t="n">
        <v>1582</v>
      </c>
      <c r="H1021" t="inlineStr">
        <is>
          <t>DANIELA LOZANO BILBAO</t>
        </is>
      </c>
      <c r="I1021" t="n">
        <v>9855</v>
      </c>
      <c r="J1021" t="inlineStr">
        <is>
          <t>SUBDIRECTOR DE GESTION DE VENTA DERIVADOS</t>
        </is>
      </c>
      <c r="K1021" t="n">
        <v>1</v>
      </c>
      <c r="L1021" t="inlineStr">
        <is>
          <t>PRESIDENCIA EJECUTIVA DEL CONSEJO</t>
        </is>
      </c>
      <c r="M1021" t="n">
        <v>40</v>
      </c>
      <c r="N1021" t="inlineStr">
        <is>
          <t>DIRECCION GENERAL BANCO BASE</t>
        </is>
      </c>
      <c r="O1021" t="n">
        <v>410</v>
      </c>
      <c r="P1021" t="inlineStr">
        <is>
          <t>DIRECCION COMERCIAL</t>
        </is>
      </c>
      <c r="Q1021" t="n">
        <v>4102</v>
      </c>
      <c r="R1021" t="inlineStr">
        <is>
          <t>DIRECCION DE SOLUCIONES</t>
        </is>
      </c>
      <c r="S1021" t="n">
        <v>45100</v>
      </c>
      <c r="T1021" t="inlineStr">
        <is>
          <t>DIRECCION DE DESARROLLO DE NEGOCIO DERIVADOS Y FX</t>
        </is>
      </c>
      <c r="U1021" t="n">
        <v>451300</v>
      </c>
      <c r="V1021" t="inlineStr">
        <is>
          <t>SUBDIRECCION DE GESTION DERIVADOS MTY Y FORANEAS</t>
        </is>
      </c>
      <c r="W1021" t="n">
        <v>126102</v>
      </c>
      <c r="X1021" t="inlineStr">
        <is>
          <t>VALLE ORIENTE</t>
        </is>
      </c>
      <c r="Y1021" t="n">
        <v>15</v>
      </c>
      <c r="Z1021" t="inlineStr">
        <is>
          <t>DERIVADOS</t>
        </is>
      </c>
      <c r="AA1021" t="n">
        <v>1</v>
      </c>
      <c r="AB1021" t="inlineStr">
        <is>
          <t>NEGOCIO EN MARCHA</t>
        </is>
      </c>
      <c r="AC1021" t="n">
        <v>1</v>
      </c>
      <c r="AD1021" t="inlineStr">
        <is>
          <t>BANCO</t>
        </is>
      </c>
      <c r="AE1021" t="n">
        <v>3</v>
      </c>
      <c r="AF1021" t="inlineStr">
        <is>
          <t>FRONT</t>
        </is>
      </c>
      <c r="AG1021" t="n">
        <v>126102</v>
      </c>
      <c r="AH1021" t="inlineStr">
        <is>
          <t>MONTERREY</t>
        </is>
      </c>
      <c r="AI1021" t="inlineStr">
        <is>
          <t>AALVIZO@BANCOBASE.COM</t>
        </is>
      </c>
      <c r="AJ1021" s="151" t="n">
        <v>45768</v>
      </c>
      <c r="AK1021" s="151" t="n"/>
      <c r="AL1021" s="151" t="n"/>
    </row>
    <row r="1022" hidden="1" s="150">
      <c r="A1022" t="inlineStr">
        <is>
          <t>ISEGURA</t>
        </is>
      </c>
      <c r="B1022" t="n">
        <v>2877</v>
      </c>
      <c r="C1022" t="inlineStr">
        <is>
          <t>ISAAC SEGURA CEDILLO</t>
        </is>
      </c>
      <c r="D1022" t="n">
        <v>8788</v>
      </c>
      <c r="E1022" t="inlineStr">
        <is>
          <t>GERENTE DE DERIVADOS</t>
        </is>
      </c>
      <c r="F1022" t="inlineStr">
        <is>
          <t>MEXICO</t>
        </is>
      </c>
      <c r="G1022" t="n">
        <v>1240</v>
      </c>
      <c r="H1022" t="inlineStr">
        <is>
          <t>JOSE GUILLERMO MATEOS FLORES</t>
        </is>
      </c>
      <c r="I1022" t="n">
        <v>10265</v>
      </c>
      <c r="J1022" t="inlineStr">
        <is>
          <t>DIRECTOR DE DESARROLLO DE NEGOCIO DERIVADOS Y FX</t>
        </is>
      </c>
      <c r="K1022" t="n">
        <v>1</v>
      </c>
      <c r="L1022" t="inlineStr">
        <is>
          <t>PRESIDENCIA EJECUTIVA DEL CONSEJO</t>
        </is>
      </c>
      <c r="M1022" t="n">
        <v>40</v>
      </c>
      <c r="N1022" t="inlineStr">
        <is>
          <t>DIRECCION GENERAL BANCO BASE</t>
        </is>
      </c>
      <c r="O1022" t="n">
        <v>410</v>
      </c>
      <c r="P1022" t="inlineStr">
        <is>
          <t>DIRECCION COMERCIAL</t>
        </is>
      </c>
      <c r="Q1022" t="n">
        <v>4102</v>
      </c>
      <c r="R1022" t="inlineStr">
        <is>
          <t>DIRECCION DE SOLUCIONES</t>
        </is>
      </c>
      <c r="S1022" t="n">
        <v>45100</v>
      </c>
      <c r="T1022" t="inlineStr">
        <is>
          <t>DIRECCION DE DESARROLLO DE NEGOCIO DERIVADOS Y FX</t>
        </is>
      </c>
      <c r="U1022" t="n">
        <v>451400</v>
      </c>
      <c r="V1022" t="inlineStr">
        <is>
          <t>SUBDIRECCION DE GESTION DERIVADOS CDXM Y OCCIDENTE</t>
        </is>
      </c>
      <c r="W1022" t="n">
        <v>134111</v>
      </c>
      <c r="X1022" t="inlineStr">
        <is>
          <t>LOMAS</t>
        </is>
      </c>
      <c r="Y1022" t="n">
        <v>15</v>
      </c>
      <c r="Z1022" t="inlineStr">
        <is>
          <t>DERIVADOS</t>
        </is>
      </c>
      <c r="AA1022" t="n">
        <v>1</v>
      </c>
      <c r="AB1022" t="inlineStr">
        <is>
          <t>NEGOCIO EN MARCHA</t>
        </is>
      </c>
      <c r="AC1022" t="n">
        <v>1</v>
      </c>
      <c r="AD1022" t="inlineStr">
        <is>
          <t>BANCO</t>
        </is>
      </c>
      <c r="AE1022" t="n">
        <v>3</v>
      </c>
      <c r="AF1022" t="inlineStr">
        <is>
          <t>FRONT</t>
        </is>
      </c>
      <c r="AG1022" t="n">
        <v>134111</v>
      </c>
      <c r="AH1022" t="inlineStr">
        <is>
          <t>LOMAS</t>
        </is>
      </c>
      <c r="AI1022" t="inlineStr">
        <is>
          <t>ISEGURA@BANCOBASE.COM</t>
        </is>
      </c>
      <c r="AJ1022" s="151" t="n">
        <v>45033</v>
      </c>
      <c r="AK1022" s="151" t="n"/>
      <c r="AL1022" s="151" t="n"/>
    </row>
    <row r="1023" hidden="1" s="150">
      <c r="A1023" t="inlineStr">
        <is>
          <t>MCARDENASA</t>
        </is>
      </c>
      <c r="B1023" t="n">
        <v>3419</v>
      </c>
      <c r="C1023" t="inlineStr">
        <is>
          <t>MELANIE MONSERRAT CARDENAS SANCHEZ</t>
        </is>
      </c>
      <c r="D1023" t="n">
        <v>8642</v>
      </c>
      <c r="E1023" t="inlineStr">
        <is>
          <t>ANALISTA DE DERIVADOS</t>
        </is>
      </c>
      <c r="F1023" t="inlineStr">
        <is>
          <t>MEXICO</t>
        </is>
      </c>
      <c r="G1023" t="n">
        <v>2877</v>
      </c>
      <c r="H1023" t="inlineStr">
        <is>
          <t>ISAAC SEGURA CEDILLO</t>
        </is>
      </c>
      <c r="I1023" t="n">
        <v>8788</v>
      </c>
      <c r="J1023" t="inlineStr">
        <is>
          <t>GERENTE DE DERIVADOS</t>
        </is>
      </c>
      <c r="K1023" t="n">
        <v>1</v>
      </c>
      <c r="L1023" t="inlineStr">
        <is>
          <t>PRESIDENCIA EJECUTIVA DEL CONSEJO</t>
        </is>
      </c>
      <c r="M1023" t="n">
        <v>40</v>
      </c>
      <c r="N1023" t="inlineStr">
        <is>
          <t>DIRECCION GENERAL BANCO BASE</t>
        </is>
      </c>
      <c r="O1023" t="n">
        <v>410</v>
      </c>
      <c r="P1023" t="inlineStr">
        <is>
          <t>DIRECCION COMERCIAL</t>
        </is>
      </c>
      <c r="Q1023" t="n">
        <v>4102</v>
      </c>
      <c r="R1023" t="inlineStr">
        <is>
          <t>DIRECCION DE SOLUCIONES</t>
        </is>
      </c>
      <c r="S1023" t="n">
        <v>45100</v>
      </c>
      <c r="T1023" t="inlineStr">
        <is>
          <t>DIRECCION DE DESARROLLO DE NEGOCIO DERIVADOS Y FX</t>
        </is>
      </c>
      <c r="U1023" t="n">
        <v>451400</v>
      </c>
      <c r="V1023" t="inlineStr">
        <is>
          <t>SUBDIRECCION DE GESTION DERIVADOS CDXM Y OCCIDENTE</t>
        </is>
      </c>
      <c r="W1023" t="n">
        <v>134111</v>
      </c>
      <c r="X1023" t="inlineStr">
        <is>
          <t>LOMAS</t>
        </is>
      </c>
      <c r="Y1023" t="n">
        <v>15</v>
      </c>
      <c r="Z1023" t="inlineStr">
        <is>
          <t>DERIVADOS</t>
        </is>
      </c>
      <c r="AA1023" t="n">
        <v>1</v>
      </c>
      <c r="AB1023" t="inlineStr">
        <is>
          <t>NEGOCIO EN MARCHA</t>
        </is>
      </c>
      <c r="AC1023" t="n">
        <v>1</v>
      </c>
      <c r="AD1023" t="inlineStr">
        <is>
          <t>BANCO</t>
        </is>
      </c>
      <c r="AE1023" t="n">
        <v>2</v>
      </c>
      <c r="AF1023" t="inlineStr">
        <is>
          <t>MIDDLE</t>
        </is>
      </c>
      <c r="AG1023" t="n">
        <v>134111</v>
      </c>
      <c r="AH1023" t="inlineStr">
        <is>
          <t>LOMAS</t>
        </is>
      </c>
      <c r="AI1023" t="inlineStr">
        <is>
          <t>MCARDENASA@BANCOBASE.COM</t>
        </is>
      </c>
      <c r="AJ1023" s="151" t="n">
        <v>45768</v>
      </c>
      <c r="AK1023" s="151" t="n"/>
      <c r="AL1023" s="151" t="n"/>
    </row>
    <row r="1024" hidden="1" s="150">
      <c r="A1024" t="inlineStr">
        <is>
          <t>UAYALA</t>
        </is>
      </c>
      <c r="B1024" t="n">
        <v>2906</v>
      </c>
      <c r="C1024" t="inlineStr">
        <is>
          <t>URIEL ALEJANDRO AYALA ROBLES</t>
        </is>
      </c>
      <c r="D1024" t="n">
        <v>8338</v>
      </c>
      <c r="E1024" t="inlineStr">
        <is>
          <t>ESPECIALISTA DE DERIVADOS</t>
        </is>
      </c>
      <c r="F1024" t="inlineStr">
        <is>
          <t>MEXICO</t>
        </is>
      </c>
      <c r="G1024" t="n">
        <v>2877</v>
      </c>
      <c r="H1024" t="inlineStr">
        <is>
          <t>ISAAC SEGURA CEDILLO</t>
        </is>
      </c>
      <c r="I1024" t="n">
        <v>8788</v>
      </c>
      <c r="J1024" t="inlineStr">
        <is>
          <t>GERENTE DE DERIVADOS</t>
        </is>
      </c>
      <c r="K1024" t="n">
        <v>1</v>
      </c>
      <c r="L1024" t="inlineStr">
        <is>
          <t>PRESIDENCIA EJECUTIVA DEL CONSEJO</t>
        </is>
      </c>
      <c r="M1024" t="n">
        <v>40</v>
      </c>
      <c r="N1024" t="inlineStr">
        <is>
          <t>DIRECCION GENERAL BANCO BASE</t>
        </is>
      </c>
      <c r="O1024" t="n">
        <v>410</v>
      </c>
      <c r="P1024" t="inlineStr">
        <is>
          <t>DIRECCION COMERCIAL</t>
        </is>
      </c>
      <c r="Q1024" t="n">
        <v>4102</v>
      </c>
      <c r="R1024" t="inlineStr">
        <is>
          <t>DIRECCION DE SOLUCIONES</t>
        </is>
      </c>
      <c r="S1024" t="n">
        <v>45100</v>
      </c>
      <c r="T1024" t="inlineStr">
        <is>
          <t>DIRECCION DE DESARROLLO DE NEGOCIO DERIVADOS Y FX</t>
        </is>
      </c>
      <c r="U1024" t="n">
        <v>451400</v>
      </c>
      <c r="V1024" t="inlineStr">
        <is>
          <t>SUBDIRECCION DE GESTION DERIVADOS CDXM Y OCCIDENTE</t>
        </is>
      </c>
      <c r="W1024" t="n">
        <v>134111</v>
      </c>
      <c r="X1024" t="inlineStr">
        <is>
          <t>LOMAS</t>
        </is>
      </c>
      <c r="Y1024" t="n">
        <v>15</v>
      </c>
      <c r="Z1024" t="inlineStr">
        <is>
          <t>DERIVADOS</t>
        </is>
      </c>
      <c r="AA1024" t="n">
        <v>1</v>
      </c>
      <c r="AB1024" t="inlineStr">
        <is>
          <t>NEGOCIO EN MARCHA</t>
        </is>
      </c>
      <c r="AC1024" t="n">
        <v>1</v>
      </c>
      <c r="AD1024" t="inlineStr">
        <is>
          <t>BANCO</t>
        </is>
      </c>
      <c r="AE1024" t="n">
        <v>3</v>
      </c>
      <c r="AF1024" t="inlineStr">
        <is>
          <t>FRONT</t>
        </is>
      </c>
      <c r="AG1024" t="n">
        <v>134111</v>
      </c>
      <c r="AH1024" t="inlineStr">
        <is>
          <t>LOMAS</t>
        </is>
      </c>
      <c r="AI1024" t="inlineStr">
        <is>
          <t>UAYALA@BANCOBASE.COM</t>
        </is>
      </c>
      <c r="AJ1024" s="151" t="n">
        <v>45086</v>
      </c>
      <c r="AK1024" s="151" t="n"/>
      <c r="AL1024" s="151" t="n"/>
    </row>
    <row r="1025" hidden="1" s="150">
      <c r="A1025" t="inlineStr">
        <is>
          <t>KGOMEZ</t>
        </is>
      </c>
      <c r="B1025" t="n">
        <v>3797</v>
      </c>
      <c r="C1025" t="inlineStr">
        <is>
          <t>KAREN GUADALUPE GOMEZ OSORNIO</t>
        </is>
      </c>
      <c r="D1025" t="n">
        <v>9386</v>
      </c>
      <c r="E1025" t="inlineStr">
        <is>
          <t>ESPECIALISTA DE DERIVADOS</t>
        </is>
      </c>
      <c r="F1025" t="inlineStr">
        <is>
          <t>MEXICO</t>
        </is>
      </c>
      <c r="G1025" t="n">
        <v>2877</v>
      </c>
      <c r="H1025" t="inlineStr">
        <is>
          <t>ISAAC SEGURA CEDILLO</t>
        </is>
      </c>
      <c r="I1025" t="n">
        <v>8788</v>
      </c>
      <c r="J1025" t="inlineStr">
        <is>
          <t>GERENTE DE DERIVADOS</t>
        </is>
      </c>
      <c r="K1025" t="n">
        <v>1</v>
      </c>
      <c r="L1025" t="inlineStr">
        <is>
          <t>PRESIDENCIA EJECUTIVA DEL CONSEJO</t>
        </is>
      </c>
      <c r="M1025" t="n">
        <v>40</v>
      </c>
      <c r="N1025" t="inlineStr">
        <is>
          <t>DIRECCION GENERAL BANCO BASE</t>
        </is>
      </c>
      <c r="O1025" t="n">
        <v>410</v>
      </c>
      <c r="P1025" t="inlineStr">
        <is>
          <t>DIRECCION COMERCIAL</t>
        </is>
      </c>
      <c r="Q1025" t="n">
        <v>4102</v>
      </c>
      <c r="R1025" t="inlineStr">
        <is>
          <t>DIRECCION DE SOLUCIONES</t>
        </is>
      </c>
      <c r="S1025" t="n">
        <v>45100</v>
      </c>
      <c r="T1025" t="inlineStr">
        <is>
          <t>DIRECCION DE DESARROLLO DE NEGOCIO DERIVADOS Y FX</t>
        </is>
      </c>
      <c r="U1025" t="n">
        <v>451400</v>
      </c>
      <c r="V1025" t="inlineStr">
        <is>
          <t>SUBDIRECCION DE GESTION DERIVADOS CDXM Y OCCIDENTE</t>
        </is>
      </c>
      <c r="W1025" t="n">
        <v>134111</v>
      </c>
      <c r="X1025" t="inlineStr">
        <is>
          <t>LOMAS</t>
        </is>
      </c>
      <c r="Y1025" t="n">
        <v>15</v>
      </c>
      <c r="Z1025" t="inlineStr">
        <is>
          <t>DERIVADOS</t>
        </is>
      </c>
      <c r="AA1025" t="n">
        <v>1</v>
      </c>
      <c r="AB1025" t="inlineStr">
        <is>
          <t>NEGOCIO EN MARCHA</t>
        </is>
      </c>
      <c r="AC1025" t="n">
        <v>1</v>
      </c>
      <c r="AD1025" t="inlineStr">
        <is>
          <t>BANCO</t>
        </is>
      </c>
      <c r="AE1025" t="n">
        <v>3</v>
      </c>
      <c r="AF1025" t="inlineStr">
        <is>
          <t>FRONT</t>
        </is>
      </c>
      <c r="AG1025" t="n">
        <v>134111</v>
      </c>
      <c r="AH1025" t="inlineStr">
        <is>
          <t>LOMAS</t>
        </is>
      </c>
      <c r="AI1025" t="inlineStr">
        <is>
          <t>KGOMEZ@BANCOBASE.COM</t>
        </is>
      </c>
      <c r="AJ1025" s="151" t="n">
        <v>46118</v>
      </c>
      <c r="AK1025" s="151" t="n"/>
      <c r="AL1025" s="151" t="n"/>
    </row>
    <row r="1026" hidden="1" s="150">
      <c r="A1026" t="inlineStr">
        <is>
          <t>FPEREZ</t>
        </is>
      </c>
      <c r="B1026" t="n">
        <v>3647</v>
      </c>
      <c r="C1026" t="inlineStr">
        <is>
          <t>FERNANDA YESENIA PEREZ PLAZA</t>
        </is>
      </c>
      <c r="D1026" t="n">
        <v>8647</v>
      </c>
      <c r="E1026" t="inlineStr">
        <is>
          <t>ANALISTA DE DERIVADOS</t>
        </is>
      </c>
      <c r="F1026" t="inlineStr">
        <is>
          <t>MEXICO</t>
        </is>
      </c>
      <c r="G1026" t="n">
        <v>2877</v>
      </c>
      <c r="H1026" t="inlineStr">
        <is>
          <t>ISAAC SEGURA CEDILLO</t>
        </is>
      </c>
      <c r="I1026" t="n">
        <v>8788</v>
      </c>
      <c r="J1026" t="inlineStr">
        <is>
          <t>GERENTE DE DERIVADOS</t>
        </is>
      </c>
      <c r="K1026" t="n">
        <v>1</v>
      </c>
      <c r="L1026" t="inlineStr">
        <is>
          <t>PRESIDENCIA EJECUTIVA DEL CONSEJO</t>
        </is>
      </c>
      <c r="M1026" t="n">
        <v>40</v>
      </c>
      <c r="N1026" t="inlineStr">
        <is>
          <t>DIRECCION GENERAL BANCO BASE</t>
        </is>
      </c>
      <c r="O1026" t="n">
        <v>410</v>
      </c>
      <c r="P1026" t="inlineStr">
        <is>
          <t>DIRECCION COMERCIAL</t>
        </is>
      </c>
      <c r="Q1026" t="n">
        <v>4102</v>
      </c>
      <c r="R1026" t="inlineStr">
        <is>
          <t>DIRECCION DE SOLUCIONES</t>
        </is>
      </c>
      <c r="S1026" t="n">
        <v>45100</v>
      </c>
      <c r="T1026" t="inlineStr">
        <is>
          <t>DIRECCION DE DESARROLLO DE NEGOCIO DERIVADOS Y FX</t>
        </is>
      </c>
      <c r="U1026" t="n">
        <v>451400</v>
      </c>
      <c r="V1026" t="inlineStr">
        <is>
          <t>SUBDIRECCION DE GESTION DERIVADOS CDXM Y OCCIDENTE</t>
        </is>
      </c>
      <c r="W1026" t="n">
        <v>134111</v>
      </c>
      <c r="X1026" t="inlineStr">
        <is>
          <t>LOMAS</t>
        </is>
      </c>
      <c r="Y1026" t="n">
        <v>15</v>
      </c>
      <c r="Z1026" t="inlineStr">
        <is>
          <t>DERIVADOS</t>
        </is>
      </c>
      <c r="AA1026" t="n">
        <v>1</v>
      </c>
      <c r="AB1026" t="inlineStr">
        <is>
          <t>NEGOCIO EN MARCHA</t>
        </is>
      </c>
      <c r="AC1026" t="n">
        <v>1</v>
      </c>
      <c r="AD1026" t="inlineStr">
        <is>
          <t>BANCO</t>
        </is>
      </c>
      <c r="AE1026" t="n">
        <v>2</v>
      </c>
      <c r="AF1026" t="inlineStr">
        <is>
          <t>MIDDLE</t>
        </is>
      </c>
      <c r="AG1026" t="n">
        <v>134111</v>
      </c>
      <c r="AH1026" t="inlineStr">
        <is>
          <t>LOMAS</t>
        </is>
      </c>
      <c r="AI1026" t="inlineStr">
        <is>
          <t>FPEREZ@BANCOBASE.COM</t>
        </is>
      </c>
      <c r="AJ1026" s="151" t="n">
        <v>45946</v>
      </c>
      <c r="AK1026" s="151" t="n"/>
      <c r="AL1026" s="151" t="n"/>
    </row>
    <row r="1027" hidden="1" s="150">
      <c r="A1027" t="inlineStr">
        <is>
          <t>MHERNANDEC</t>
        </is>
      </c>
      <c r="B1027" t="n">
        <v>3838</v>
      </c>
      <c r="C1027" t="inlineStr">
        <is>
          <t>MIGUEL ANGEL HERNANDEZ COLIN</t>
        </is>
      </c>
      <c r="D1027" t="n">
        <v>8643</v>
      </c>
      <c r="E1027" t="inlineStr">
        <is>
          <t>ANALISTA DE DERIVADOS</t>
        </is>
      </c>
      <c r="F1027" t="inlineStr">
        <is>
          <t>MEXICO</t>
        </is>
      </c>
      <c r="G1027" t="n">
        <v>2877</v>
      </c>
      <c r="H1027" t="inlineStr">
        <is>
          <t>ISAAC SEGURA CEDILLO</t>
        </is>
      </c>
      <c r="I1027" t="n">
        <v>8788</v>
      </c>
      <c r="J1027" t="inlineStr">
        <is>
          <t>GERENTE DE DERIVADOS</t>
        </is>
      </c>
      <c r="K1027" t="n">
        <v>1</v>
      </c>
      <c r="L1027" t="inlineStr">
        <is>
          <t>PRESIDENCIA EJECUTIVA DEL CONSEJO</t>
        </is>
      </c>
      <c r="M1027" t="n">
        <v>40</v>
      </c>
      <c r="N1027" t="inlineStr">
        <is>
          <t>DIRECCION GENERAL BANCO BASE</t>
        </is>
      </c>
      <c r="O1027" t="n">
        <v>410</v>
      </c>
      <c r="P1027" t="inlineStr">
        <is>
          <t>DIRECCION COMERCIAL</t>
        </is>
      </c>
      <c r="Q1027" t="n">
        <v>4102</v>
      </c>
      <c r="R1027" t="inlineStr">
        <is>
          <t>DIRECCION DE SOLUCIONES</t>
        </is>
      </c>
      <c r="S1027" t="n">
        <v>45100</v>
      </c>
      <c r="T1027" t="inlineStr">
        <is>
          <t>DIRECCION DE DESARROLLO DE NEGOCIO DERIVADOS Y FX</t>
        </is>
      </c>
      <c r="U1027" t="n">
        <v>451400</v>
      </c>
      <c r="V1027" t="inlineStr">
        <is>
          <t>SUBDIRECCION DE GESTION DERIVADOS CDXM Y OCCIDENTE</t>
        </is>
      </c>
      <c r="W1027" t="n">
        <v>134111</v>
      </c>
      <c r="X1027" t="inlineStr">
        <is>
          <t>LOMAS</t>
        </is>
      </c>
      <c r="Y1027" t="n">
        <v>15</v>
      </c>
      <c r="Z1027" t="inlineStr">
        <is>
          <t>DERIVADOS</t>
        </is>
      </c>
      <c r="AA1027" t="n">
        <v>1</v>
      </c>
      <c r="AB1027" t="inlineStr">
        <is>
          <t>NEGOCIO EN MARCHA</t>
        </is>
      </c>
      <c r="AC1027" t="n">
        <v>1</v>
      </c>
      <c r="AD1027" t="inlineStr">
        <is>
          <t>BANCO</t>
        </is>
      </c>
      <c r="AE1027" t="n">
        <v>2</v>
      </c>
      <c r="AF1027" t="inlineStr">
        <is>
          <t>MIDDLE</t>
        </is>
      </c>
      <c r="AG1027" t="n">
        <v>134111</v>
      </c>
      <c r="AH1027" t="inlineStr">
        <is>
          <t>LOMAS</t>
        </is>
      </c>
      <c r="AI1027" t="inlineStr">
        <is>
          <t>MHERNANDEC@BANCOBASE.COM</t>
        </is>
      </c>
      <c r="AJ1027" s="151" t="n">
        <v>46128</v>
      </c>
      <c r="AK1027" s="151" t="n"/>
      <c r="AL1027" s="151" t="n"/>
    </row>
    <row r="1028" hidden="1" s="150">
      <c r="A1028" t="inlineStr">
        <is>
          <t>APEREZD</t>
        </is>
      </c>
      <c r="B1028" t="n">
        <v>3884</v>
      </c>
      <c r="C1028" t="inlineStr">
        <is>
          <t>ANAHI PEREZ DIAZ</t>
        </is>
      </c>
      <c r="D1028" t="n">
        <v>10361</v>
      </c>
      <c r="E1028" t="inlineStr">
        <is>
          <t>ESPECIALISTA DE DERIVADOS</t>
        </is>
      </c>
      <c r="F1028" t="inlineStr">
        <is>
          <t>MEXICO</t>
        </is>
      </c>
      <c r="G1028" t="n">
        <v>2877</v>
      </c>
      <c r="H1028" t="inlineStr">
        <is>
          <t>ISAAC SEGURA CEDILLO</t>
        </is>
      </c>
      <c r="I1028" t="n">
        <v>8788</v>
      </c>
      <c r="J1028" t="inlineStr">
        <is>
          <t>GERENTE DE DERIVADOS</t>
        </is>
      </c>
      <c r="K1028" t="n">
        <v>1</v>
      </c>
      <c r="L1028" t="inlineStr">
        <is>
          <t>PRESIDENCIA EJECUTIVA DEL CONSEJO</t>
        </is>
      </c>
      <c r="M1028" t="n">
        <v>40</v>
      </c>
      <c r="N1028" t="inlineStr">
        <is>
          <t>DIRECCION GENERAL BANCO BASE</t>
        </is>
      </c>
      <c r="O1028" t="n">
        <v>410</v>
      </c>
      <c r="P1028" t="inlineStr">
        <is>
          <t>DIRECCION COMERCIAL</t>
        </is>
      </c>
      <c r="Q1028" t="n">
        <v>4102</v>
      </c>
      <c r="R1028" t="inlineStr">
        <is>
          <t>DIRECCION DE SOLUCIONES</t>
        </is>
      </c>
      <c r="S1028" t="n">
        <v>45100</v>
      </c>
      <c r="T1028" t="inlineStr">
        <is>
          <t>DIRECCION DE DESARROLLO DE NEGOCIO DERIVADOS Y FX</t>
        </is>
      </c>
      <c r="U1028" t="n">
        <v>451400</v>
      </c>
      <c r="V1028" t="inlineStr">
        <is>
          <t>SUBDIRECCION DE GESTION DERIVADOS CDXM Y OCCIDENTE</t>
        </is>
      </c>
      <c r="W1028" t="n">
        <v>134111</v>
      </c>
      <c r="X1028" t="inlineStr">
        <is>
          <t>LOMAS</t>
        </is>
      </c>
      <c r="Y1028" t="n">
        <v>15</v>
      </c>
      <c r="Z1028" t="inlineStr">
        <is>
          <t>DERIVADOS</t>
        </is>
      </c>
      <c r="AA1028" t="n">
        <v>1</v>
      </c>
      <c r="AB1028" t="inlineStr">
        <is>
          <t>NEGOCIO EN MARCHA</t>
        </is>
      </c>
      <c r="AC1028" t="n">
        <v>1</v>
      </c>
      <c r="AD1028" t="inlineStr">
        <is>
          <t>BANCO</t>
        </is>
      </c>
      <c r="AE1028" t="n">
        <v>3</v>
      </c>
      <c r="AF1028" t="inlineStr">
        <is>
          <t>FRONT</t>
        </is>
      </c>
      <c r="AG1028" t="n">
        <v>134111</v>
      </c>
      <c r="AH1028" t="inlineStr">
        <is>
          <t>LOMAS</t>
        </is>
      </c>
      <c r="AI1028" t="inlineStr">
        <is>
          <t>APEREZD@BANCOBASE.COM</t>
        </is>
      </c>
      <c r="AJ1028" s="151" t="n">
        <v>46174</v>
      </c>
      <c r="AK1028" s="151" t="n"/>
      <c r="AL1028" s="151" t="n"/>
    </row>
    <row r="1029" hidden="1" s="150">
      <c r="A1029" t="inlineStr">
        <is>
          <t>AVELAZQUER</t>
        </is>
      </c>
      <c r="B1029" t="n">
        <v>3889</v>
      </c>
      <c r="C1029" t="inlineStr">
        <is>
          <t>ADRIAN VELAZQUEZ RAMIRO</t>
        </is>
      </c>
      <c r="D1029" t="n">
        <v>8446</v>
      </c>
      <c r="E1029" t="inlineStr">
        <is>
          <t>ESPECIALISTA DE DERIVADOS</t>
        </is>
      </c>
      <c r="F1029" t="inlineStr">
        <is>
          <t>MEXICO</t>
        </is>
      </c>
      <c r="G1029" t="n">
        <v>2877</v>
      </c>
      <c r="H1029" t="inlineStr">
        <is>
          <t>ISAAC SEGURA CEDILLO</t>
        </is>
      </c>
      <c r="I1029" t="n">
        <v>8788</v>
      </c>
      <c r="J1029" t="inlineStr">
        <is>
          <t>GERENTE DE DERIVADOS</t>
        </is>
      </c>
      <c r="K1029" t="n">
        <v>1</v>
      </c>
      <c r="L1029" t="inlineStr">
        <is>
          <t>PRESIDENCIA EJECUTIVA DEL CONSEJO</t>
        </is>
      </c>
      <c r="M1029" t="n">
        <v>40</v>
      </c>
      <c r="N1029" t="inlineStr">
        <is>
          <t>DIRECCION GENERAL BANCO BASE</t>
        </is>
      </c>
      <c r="O1029" t="n">
        <v>410</v>
      </c>
      <c r="P1029" t="inlineStr">
        <is>
          <t>DIRECCION COMERCIAL</t>
        </is>
      </c>
      <c r="Q1029" t="n">
        <v>4102</v>
      </c>
      <c r="R1029" t="inlineStr">
        <is>
          <t>DIRECCION DE SOLUCIONES</t>
        </is>
      </c>
      <c r="S1029" t="n">
        <v>45100</v>
      </c>
      <c r="T1029" t="inlineStr">
        <is>
          <t>DIRECCION DE DESARROLLO DE NEGOCIO DERIVADOS Y FX</t>
        </is>
      </c>
      <c r="U1029" t="n">
        <v>451400</v>
      </c>
      <c r="V1029" t="inlineStr">
        <is>
          <t>SUBDIRECCION DE GESTION DERIVADOS CDXM Y OCCIDENTE</t>
        </is>
      </c>
      <c r="W1029" t="n">
        <v>134111</v>
      </c>
      <c r="X1029" t="inlineStr">
        <is>
          <t>LOMAS</t>
        </is>
      </c>
      <c r="Y1029" t="n">
        <v>15</v>
      </c>
      <c r="Z1029" t="inlineStr">
        <is>
          <t>DERIVADOS</t>
        </is>
      </c>
      <c r="AA1029" t="n">
        <v>1</v>
      </c>
      <c r="AB1029" t="inlineStr">
        <is>
          <t>NEGOCIO EN MARCHA</t>
        </is>
      </c>
      <c r="AC1029" t="n">
        <v>1</v>
      </c>
      <c r="AD1029" t="inlineStr">
        <is>
          <t>BANCO</t>
        </is>
      </c>
      <c r="AE1029" t="n">
        <v>3</v>
      </c>
      <c r="AF1029" t="inlineStr">
        <is>
          <t>FRONT</t>
        </is>
      </c>
      <c r="AG1029" t="n">
        <v>134111</v>
      </c>
      <c r="AH1029" t="inlineStr">
        <is>
          <t>LOMAS</t>
        </is>
      </c>
      <c r="AI1029" t="inlineStr">
        <is>
          <t>AVELAZQUER@BANCOBASE.COM</t>
        </is>
      </c>
      <c r="AJ1029" s="151" t="n">
        <v>46174</v>
      </c>
      <c r="AK1029" s="151" t="n"/>
      <c r="AL1029" s="151" t="n"/>
    </row>
    <row r="1030" hidden="1" s="150">
      <c r="A1030" t="inlineStr">
        <is>
          <t>HCISNEROS</t>
        </is>
      </c>
      <c r="B1030" t="n">
        <v>3119</v>
      </c>
      <c r="C1030" t="inlineStr">
        <is>
          <t>HECTOR CISNEROS VIDALES</t>
        </is>
      </c>
      <c r="D1030" t="n">
        <v>8445</v>
      </c>
      <c r="E1030" t="inlineStr">
        <is>
          <t>ESPECIALISTA DE DERIVADOS</t>
        </is>
      </c>
      <c r="F1030" t="inlineStr">
        <is>
          <t>MEXICO</t>
        </is>
      </c>
      <c r="G1030" t="n">
        <v>2877</v>
      </c>
      <c r="H1030" t="inlineStr">
        <is>
          <t>ISAAC SEGURA CEDILLO</t>
        </is>
      </c>
      <c r="I1030" t="n">
        <v>8788</v>
      </c>
      <c r="J1030" t="inlineStr">
        <is>
          <t>GERENTE DE DERIVADOS</t>
        </is>
      </c>
      <c r="K1030" t="n">
        <v>1</v>
      </c>
      <c r="L1030" t="inlineStr">
        <is>
          <t>PRESIDENCIA EJECUTIVA DEL CONSEJO</t>
        </is>
      </c>
      <c r="M1030" t="n">
        <v>40</v>
      </c>
      <c r="N1030" t="inlineStr">
        <is>
          <t>DIRECCION GENERAL BANCO BASE</t>
        </is>
      </c>
      <c r="O1030" t="n">
        <v>410</v>
      </c>
      <c r="P1030" t="inlineStr">
        <is>
          <t>DIRECCION COMERCIAL</t>
        </is>
      </c>
      <c r="Q1030" t="n">
        <v>4102</v>
      </c>
      <c r="R1030" t="inlineStr">
        <is>
          <t>DIRECCION DE SOLUCIONES</t>
        </is>
      </c>
      <c r="S1030" t="n">
        <v>45100</v>
      </c>
      <c r="T1030" t="inlineStr">
        <is>
          <t>DIRECCION DE DESARROLLO DE NEGOCIO DERIVADOS Y FX</t>
        </is>
      </c>
      <c r="U1030" t="n">
        <v>451400</v>
      </c>
      <c r="V1030" t="inlineStr">
        <is>
          <t>SUBDIRECCION DE GESTION DERIVADOS CDXM Y OCCIDENTE</t>
        </is>
      </c>
      <c r="W1030" t="n">
        <v>134111</v>
      </c>
      <c r="X1030" t="inlineStr">
        <is>
          <t>LOMAS</t>
        </is>
      </c>
      <c r="Y1030" t="n">
        <v>15</v>
      </c>
      <c r="Z1030" t="inlineStr">
        <is>
          <t>DERIVADOS</t>
        </is>
      </c>
      <c r="AA1030" t="n">
        <v>1</v>
      </c>
      <c r="AB1030" t="inlineStr">
        <is>
          <t>NEGOCIO EN MARCHA</t>
        </is>
      </c>
      <c r="AC1030" t="n">
        <v>1</v>
      </c>
      <c r="AD1030" t="inlineStr">
        <is>
          <t>BANCO</t>
        </is>
      </c>
      <c r="AE1030" t="n">
        <v>3</v>
      </c>
      <c r="AF1030" t="inlineStr">
        <is>
          <t>FRONT</t>
        </is>
      </c>
      <c r="AG1030" t="n">
        <v>134111</v>
      </c>
      <c r="AH1030" t="inlineStr">
        <is>
          <t>LOMAS</t>
        </is>
      </c>
      <c r="AI1030" t="inlineStr">
        <is>
          <t>HCISNEROS@BANCOBASE.COM</t>
        </is>
      </c>
      <c r="AJ1030" s="151" t="n">
        <v>45428</v>
      </c>
      <c r="AK1030" s="151" t="n"/>
      <c r="AL1030" s="151" t="n"/>
    </row>
    <row r="1031" hidden="1" s="150">
      <c r="A1031" t="inlineStr">
        <is>
          <t>BGOMEZC</t>
        </is>
      </c>
      <c r="B1031" t="n">
        <v>2430</v>
      </c>
      <c r="C1031" t="inlineStr">
        <is>
          <t>BRIAN SALVADOR GOMEZ CASTRO</t>
        </is>
      </c>
      <c r="D1031" t="n">
        <v>8789</v>
      </c>
      <c r="E1031" t="inlineStr">
        <is>
          <t>GERENTE DE DERIVADOS</t>
        </is>
      </c>
      <c r="F1031" t="inlineStr">
        <is>
          <t>GUADALAJARA</t>
        </is>
      </c>
      <c r="G1031" t="n">
        <v>1240</v>
      </c>
      <c r="H1031" t="inlineStr">
        <is>
          <t>JOSE GUILLERMO MATEOS FLORES</t>
        </is>
      </c>
      <c r="I1031" t="n">
        <v>10265</v>
      </c>
      <c r="J1031" t="inlineStr">
        <is>
          <t>DIRECTOR DE DESARROLLO DE NEGOCIO DERIVADOS Y FX</t>
        </is>
      </c>
      <c r="K1031" t="n">
        <v>1</v>
      </c>
      <c r="L1031" t="inlineStr">
        <is>
          <t>PRESIDENCIA EJECUTIVA DEL CONSEJO</t>
        </is>
      </c>
      <c r="M1031" t="n">
        <v>40</v>
      </c>
      <c r="N1031" t="inlineStr">
        <is>
          <t>DIRECCION GENERAL BANCO BASE</t>
        </is>
      </c>
      <c r="O1031" t="n">
        <v>410</v>
      </c>
      <c r="P1031" t="inlineStr">
        <is>
          <t>DIRECCION COMERCIAL</t>
        </is>
      </c>
      <c r="Q1031" t="n">
        <v>4102</v>
      </c>
      <c r="R1031" t="inlineStr">
        <is>
          <t>DIRECCION DE SOLUCIONES</t>
        </is>
      </c>
      <c r="S1031" t="n">
        <v>45100</v>
      </c>
      <c r="T1031" t="inlineStr">
        <is>
          <t>DIRECCION DE DESARROLLO DE NEGOCIO DERIVADOS Y FX</t>
        </is>
      </c>
      <c r="U1031" t="n">
        <v>451400</v>
      </c>
      <c r="V1031" t="inlineStr">
        <is>
          <t>SUBDIRECCION DE GESTION DERIVADOS CDXM Y OCCIDENTE</t>
        </is>
      </c>
      <c r="W1031" t="n">
        <v>126107</v>
      </c>
      <c r="X1031" t="inlineStr">
        <is>
          <t>GUADALAJARA</t>
        </is>
      </c>
      <c r="Y1031" t="n">
        <v>15</v>
      </c>
      <c r="Z1031" t="inlineStr">
        <is>
          <t>DERIVADOS</t>
        </is>
      </c>
      <c r="AA1031" t="n">
        <v>1</v>
      </c>
      <c r="AB1031" t="inlineStr">
        <is>
          <t>NEGOCIO EN MARCHA</t>
        </is>
      </c>
      <c r="AC1031" t="n">
        <v>1</v>
      </c>
      <c r="AD1031" t="inlineStr">
        <is>
          <t>BANCO</t>
        </is>
      </c>
      <c r="AE1031" t="n">
        <v>3</v>
      </c>
      <c r="AF1031" t="inlineStr">
        <is>
          <t>FRONT</t>
        </is>
      </c>
      <c r="AG1031" t="n">
        <v>126107</v>
      </c>
      <c r="AH1031" t="inlineStr">
        <is>
          <t>GUADALAJARA</t>
        </is>
      </c>
      <c r="AI1031" t="inlineStr">
        <is>
          <t>BGOMEZC@BANCOBASE.COM</t>
        </is>
      </c>
      <c r="AJ1031" s="151" t="n">
        <v>44095</v>
      </c>
      <c r="AK1031" s="151" t="n"/>
      <c r="AL1031" s="151" t="n"/>
    </row>
    <row r="1032" hidden="1" s="150">
      <c r="A1032" t="inlineStr">
        <is>
          <t>CFLORESH</t>
        </is>
      </c>
      <c r="B1032" t="n">
        <v>2708</v>
      </c>
      <c r="C1032" t="inlineStr">
        <is>
          <t>CRIS SUSY FLORES HERNANDEZ</t>
        </is>
      </c>
      <c r="D1032" t="n">
        <v>3732</v>
      </c>
      <c r="E1032" t="inlineStr">
        <is>
          <t>ESPECIALISTA DE DERIVADOS</t>
        </is>
      </c>
      <c r="F1032" t="inlineStr">
        <is>
          <t>GUADALAJARA</t>
        </is>
      </c>
      <c r="G1032" t="n">
        <v>2430</v>
      </c>
      <c r="H1032" t="inlineStr">
        <is>
          <t>BRIAN SALVADOR GOMEZ CASTRO</t>
        </is>
      </c>
      <c r="I1032" t="n">
        <v>8789</v>
      </c>
      <c r="J1032" t="inlineStr">
        <is>
          <t>GERENTE DE DERIVADOS</t>
        </is>
      </c>
      <c r="K1032" t="n">
        <v>1</v>
      </c>
      <c r="L1032" t="inlineStr">
        <is>
          <t>PRESIDENCIA EJECUTIVA DEL CONSEJO</t>
        </is>
      </c>
      <c r="M1032" t="n">
        <v>40</v>
      </c>
      <c r="N1032" t="inlineStr">
        <is>
          <t>DIRECCION GENERAL BANCO BASE</t>
        </is>
      </c>
      <c r="O1032" t="n">
        <v>410</v>
      </c>
      <c r="P1032" t="inlineStr">
        <is>
          <t>DIRECCION COMERCIAL</t>
        </is>
      </c>
      <c r="Q1032" t="n">
        <v>4102</v>
      </c>
      <c r="R1032" t="inlineStr">
        <is>
          <t>DIRECCION DE SOLUCIONES</t>
        </is>
      </c>
      <c r="S1032" t="n">
        <v>45100</v>
      </c>
      <c r="T1032" t="inlineStr">
        <is>
          <t>DIRECCION DE DESARROLLO DE NEGOCIO DERIVADOS Y FX</t>
        </is>
      </c>
      <c r="U1032" t="n">
        <v>451400</v>
      </c>
      <c r="V1032" t="inlineStr">
        <is>
          <t>SUBDIRECCION DE GESTION DERIVADOS CDXM Y OCCIDENTE</t>
        </is>
      </c>
      <c r="W1032" t="n">
        <v>126107</v>
      </c>
      <c r="X1032" t="inlineStr">
        <is>
          <t>GUADALAJARA</t>
        </is>
      </c>
      <c r="Y1032" t="n">
        <v>15</v>
      </c>
      <c r="Z1032" t="inlineStr">
        <is>
          <t>DERIVADOS</t>
        </is>
      </c>
      <c r="AA1032" t="n">
        <v>1</v>
      </c>
      <c r="AB1032" t="inlineStr">
        <is>
          <t>NEGOCIO EN MARCHA</t>
        </is>
      </c>
      <c r="AC1032" t="n">
        <v>1</v>
      </c>
      <c r="AD1032" t="inlineStr">
        <is>
          <t>BANCO</t>
        </is>
      </c>
      <c r="AE1032" t="n">
        <v>3</v>
      </c>
      <c r="AF1032" t="inlineStr">
        <is>
          <t>FRONT</t>
        </is>
      </c>
      <c r="AG1032" t="n">
        <v>126107</v>
      </c>
      <c r="AH1032" t="inlineStr">
        <is>
          <t>GUADALAJARA</t>
        </is>
      </c>
      <c r="AI1032" t="inlineStr">
        <is>
          <t>CFLORESH@BANCOBASE.COM</t>
        </is>
      </c>
      <c r="AJ1032" s="151" t="n">
        <v>44774</v>
      </c>
      <c r="AK1032" s="151" t="n"/>
      <c r="AL1032" s="151" t="n"/>
    </row>
    <row r="1033" hidden="1" s="150">
      <c r="A1033" t="inlineStr">
        <is>
          <t>AMORAN</t>
        </is>
      </c>
      <c r="B1033" t="n">
        <v>2454</v>
      </c>
      <c r="C1033" t="inlineStr">
        <is>
          <t>ANDREA SUJEY MORAN CARREON</t>
        </is>
      </c>
      <c r="D1033" t="n">
        <v>8439</v>
      </c>
      <c r="E1033" t="inlineStr">
        <is>
          <t>ESPECIALISTA DE DERIVADOS</t>
        </is>
      </c>
      <c r="F1033" t="inlineStr">
        <is>
          <t>GUADALAJARA</t>
        </is>
      </c>
      <c r="G1033" t="n">
        <v>2430</v>
      </c>
      <c r="H1033" t="inlineStr">
        <is>
          <t>BRIAN SALVADOR GOMEZ CASTRO</t>
        </is>
      </c>
      <c r="I1033" t="n">
        <v>8789</v>
      </c>
      <c r="J1033" t="inlineStr">
        <is>
          <t>GERENTE DE DERIVADOS</t>
        </is>
      </c>
      <c r="K1033" t="n">
        <v>1</v>
      </c>
      <c r="L1033" t="inlineStr">
        <is>
          <t>PRESIDENCIA EJECUTIVA DEL CONSEJO</t>
        </is>
      </c>
      <c r="M1033" t="n">
        <v>40</v>
      </c>
      <c r="N1033" t="inlineStr">
        <is>
          <t>DIRECCION GENERAL BANCO BASE</t>
        </is>
      </c>
      <c r="O1033" t="n">
        <v>410</v>
      </c>
      <c r="P1033" t="inlineStr">
        <is>
          <t>DIRECCION COMERCIAL</t>
        </is>
      </c>
      <c r="Q1033" t="n">
        <v>4102</v>
      </c>
      <c r="R1033" t="inlineStr">
        <is>
          <t>DIRECCION DE SOLUCIONES</t>
        </is>
      </c>
      <c r="S1033" t="n">
        <v>45100</v>
      </c>
      <c r="T1033" t="inlineStr">
        <is>
          <t>DIRECCION DE DESARROLLO DE NEGOCIO DERIVADOS Y FX</t>
        </is>
      </c>
      <c r="U1033" t="n">
        <v>451400</v>
      </c>
      <c r="V1033" t="inlineStr">
        <is>
          <t>SUBDIRECCION DE GESTION DERIVADOS CDXM Y OCCIDENTE</t>
        </is>
      </c>
      <c r="W1033" t="n">
        <v>126107</v>
      </c>
      <c r="X1033" t="inlineStr">
        <is>
          <t>GUADALAJARA</t>
        </is>
      </c>
      <c r="Y1033" t="n">
        <v>15</v>
      </c>
      <c r="Z1033" t="inlineStr">
        <is>
          <t>DERIVADOS</t>
        </is>
      </c>
      <c r="AA1033" t="n">
        <v>1</v>
      </c>
      <c r="AB1033" t="inlineStr">
        <is>
          <t>NEGOCIO EN MARCHA</t>
        </is>
      </c>
      <c r="AC1033" t="n">
        <v>1</v>
      </c>
      <c r="AD1033" t="inlineStr">
        <is>
          <t>BANCO</t>
        </is>
      </c>
      <c r="AE1033" t="n">
        <v>3</v>
      </c>
      <c r="AF1033" t="inlineStr">
        <is>
          <t>FRONT</t>
        </is>
      </c>
      <c r="AG1033" t="n">
        <v>126107</v>
      </c>
      <c r="AH1033" t="inlineStr">
        <is>
          <t>GUADALAJARA</t>
        </is>
      </c>
      <c r="AI1033" t="inlineStr">
        <is>
          <t>AMORAN@BANCOBASE.COM</t>
        </is>
      </c>
      <c r="AJ1033" s="151" t="n">
        <v>44172</v>
      </c>
      <c r="AK1033" s="151" t="n"/>
      <c r="AL1033" s="151" t="n"/>
    </row>
    <row r="1034" hidden="1" s="150">
      <c r="A1034" t="inlineStr">
        <is>
          <t>YRODRIGUEA</t>
        </is>
      </c>
      <c r="B1034" t="n">
        <v>3787</v>
      </c>
      <c r="C1034" t="inlineStr">
        <is>
          <t>YARIM JUDITH RODRIGUEZ ALBA</t>
        </is>
      </c>
      <c r="D1034" t="n">
        <v>9403</v>
      </c>
      <c r="E1034" t="inlineStr">
        <is>
          <t>ANALISTA DE DERIVADOS</t>
        </is>
      </c>
      <c r="F1034" t="inlineStr">
        <is>
          <t>AGUASCALIENTES</t>
        </is>
      </c>
      <c r="G1034" t="n">
        <v>2430</v>
      </c>
      <c r="H1034" t="inlineStr">
        <is>
          <t>BRIAN SALVADOR GOMEZ CASTRO</t>
        </is>
      </c>
      <c r="I1034" t="n">
        <v>8789</v>
      </c>
      <c r="J1034" t="inlineStr">
        <is>
          <t>GERENTE DE DERIVADOS</t>
        </is>
      </c>
      <c r="K1034" t="n">
        <v>1</v>
      </c>
      <c r="L1034" t="inlineStr">
        <is>
          <t>PRESIDENCIA EJECUTIVA DEL CONSEJO</t>
        </is>
      </c>
      <c r="M1034" t="n">
        <v>40</v>
      </c>
      <c r="N1034" t="inlineStr">
        <is>
          <t>DIRECCION GENERAL BANCO BASE</t>
        </is>
      </c>
      <c r="O1034" t="n">
        <v>410</v>
      </c>
      <c r="P1034" t="inlineStr">
        <is>
          <t>DIRECCION COMERCIAL</t>
        </is>
      </c>
      <c r="Q1034" t="n">
        <v>4102</v>
      </c>
      <c r="R1034" t="inlineStr">
        <is>
          <t>DIRECCION DE SOLUCIONES</t>
        </is>
      </c>
      <c r="S1034" t="n">
        <v>45100</v>
      </c>
      <c r="T1034" t="inlineStr">
        <is>
          <t>DIRECCION DE DESARROLLO DE NEGOCIO DERIVADOS Y FX</t>
        </is>
      </c>
      <c r="U1034" t="n">
        <v>451400</v>
      </c>
      <c r="V1034" t="inlineStr">
        <is>
          <t>SUBDIRECCION DE GESTION DERIVADOS CDXM Y OCCIDENTE</t>
        </is>
      </c>
      <c r="W1034" t="n">
        <v>126103</v>
      </c>
      <c r="X1034" t="inlineStr">
        <is>
          <t>AGUASCALIENTES</t>
        </is>
      </c>
      <c r="Y1034" t="n">
        <v>15</v>
      </c>
      <c r="Z1034" t="inlineStr">
        <is>
          <t>DERIVADOS</t>
        </is>
      </c>
      <c r="AA1034" t="n">
        <v>1</v>
      </c>
      <c r="AB1034" t="inlineStr">
        <is>
          <t>NEGOCIO EN MARCHA</t>
        </is>
      </c>
      <c r="AC1034" t="n">
        <v>1</v>
      </c>
      <c r="AD1034" t="inlineStr">
        <is>
          <t>BANCO</t>
        </is>
      </c>
      <c r="AE1034" t="n">
        <v>3</v>
      </c>
      <c r="AF1034" t="inlineStr">
        <is>
          <t>FRONT</t>
        </is>
      </c>
      <c r="AG1034" t="n">
        <v>126103</v>
      </c>
      <c r="AH1034" t="inlineStr">
        <is>
          <t>AGUASCALIENTES</t>
        </is>
      </c>
      <c r="AI1034" t="inlineStr">
        <is>
          <t>YRODRIGUEA@BANCOBASE.COM</t>
        </is>
      </c>
      <c r="AJ1034" s="151" t="n">
        <v>46098</v>
      </c>
      <c r="AK1034" s="151" t="n"/>
      <c r="AL1034" s="151" t="n"/>
    </row>
    <row r="1035" hidden="1" s="150">
      <c r="A1035" t="inlineStr">
        <is>
          <t>EESPARZA</t>
        </is>
      </c>
      <c r="B1035" t="n">
        <v>3849</v>
      </c>
      <c r="C1035" t="inlineStr">
        <is>
          <t>ELIZABETH ESPARZA PITONES</t>
        </is>
      </c>
      <c r="D1035" t="n">
        <v>9905</v>
      </c>
      <c r="E1035" t="inlineStr">
        <is>
          <t>ANALISTA DE DERIVADOS</t>
        </is>
      </c>
      <c r="F1035" t="inlineStr">
        <is>
          <t>GUADALAJARA</t>
        </is>
      </c>
      <c r="G1035" t="n">
        <v>2430</v>
      </c>
      <c r="H1035" t="inlineStr">
        <is>
          <t>BRIAN SALVADOR GOMEZ CASTRO</t>
        </is>
      </c>
      <c r="I1035" t="n">
        <v>8789</v>
      </c>
      <c r="J1035" t="inlineStr">
        <is>
          <t>GERENTE DE DERIVADOS</t>
        </is>
      </c>
      <c r="K1035" t="n">
        <v>1</v>
      </c>
      <c r="L1035" t="inlineStr">
        <is>
          <t>PRESIDENCIA EJECUTIVA DEL CONSEJO</t>
        </is>
      </c>
      <c r="M1035" t="n">
        <v>40</v>
      </c>
      <c r="N1035" t="inlineStr">
        <is>
          <t>DIRECCION GENERAL BANCO BASE</t>
        </is>
      </c>
      <c r="O1035" t="n">
        <v>410</v>
      </c>
      <c r="P1035" t="inlineStr">
        <is>
          <t>DIRECCION COMERCIAL</t>
        </is>
      </c>
      <c r="Q1035" t="n">
        <v>4102</v>
      </c>
      <c r="R1035" t="inlineStr">
        <is>
          <t>DIRECCION DE SOLUCIONES</t>
        </is>
      </c>
      <c r="S1035" t="n">
        <v>45100</v>
      </c>
      <c r="T1035" t="inlineStr">
        <is>
          <t>DIRECCION DE DESARROLLO DE NEGOCIO DERIVADOS Y FX</t>
        </is>
      </c>
      <c r="U1035" t="n">
        <v>451400</v>
      </c>
      <c r="V1035" t="inlineStr">
        <is>
          <t>SUBDIRECCION DE GESTION DERIVADOS CDXM Y OCCIDENTE</t>
        </is>
      </c>
      <c r="W1035" t="n">
        <v>126107</v>
      </c>
      <c r="X1035" t="inlineStr">
        <is>
          <t>GUADALAJARA</t>
        </is>
      </c>
      <c r="Y1035" t="n">
        <v>15</v>
      </c>
      <c r="Z1035" t="inlineStr">
        <is>
          <t>DERIVADOS</t>
        </is>
      </c>
      <c r="AA1035" t="n">
        <v>1</v>
      </c>
      <c r="AB1035" t="inlineStr">
        <is>
          <t>NEGOCIO EN MARCHA</t>
        </is>
      </c>
      <c r="AC1035" t="n">
        <v>1</v>
      </c>
      <c r="AD1035" t="inlineStr">
        <is>
          <t>BANCO</t>
        </is>
      </c>
      <c r="AE1035" t="n">
        <v>3</v>
      </c>
      <c r="AF1035" t="inlineStr">
        <is>
          <t>FRONT</t>
        </is>
      </c>
      <c r="AG1035" t="n">
        <v>126107</v>
      </c>
      <c r="AH1035" t="inlineStr">
        <is>
          <t>GUADALAJARA</t>
        </is>
      </c>
      <c r="AI1035" t="inlineStr">
        <is>
          <t>EESPARZA@BANCOBASE.COM</t>
        </is>
      </c>
      <c r="AJ1035" s="151" t="n">
        <v>46146</v>
      </c>
      <c r="AK1035" s="151" t="n"/>
      <c r="AL1035" s="151" t="n"/>
    </row>
    <row r="1036" hidden="1" s="150">
      <c r="A1036" t="inlineStr">
        <is>
          <t>JRODRIGUP</t>
        </is>
      </c>
      <c r="B1036" t="n">
        <v>3638</v>
      </c>
      <c r="C1036" t="inlineStr">
        <is>
          <t>JESUS ISAAC RODRIGUEZ PEÑA</t>
        </is>
      </c>
      <c r="D1036" t="n">
        <v>8720</v>
      </c>
      <c r="E1036" t="inlineStr">
        <is>
          <t>ANALISTA DE DERIVADOS</t>
        </is>
      </c>
      <c r="F1036" t="inlineStr">
        <is>
          <t>GUADALAJARA</t>
        </is>
      </c>
      <c r="G1036" t="n">
        <v>2430</v>
      </c>
      <c r="H1036" t="inlineStr">
        <is>
          <t>BRIAN SALVADOR GOMEZ CASTRO</t>
        </is>
      </c>
      <c r="I1036" t="n">
        <v>8789</v>
      </c>
      <c r="J1036" t="inlineStr">
        <is>
          <t>GERENTE DE DERIVADOS</t>
        </is>
      </c>
      <c r="K1036" t="n">
        <v>1</v>
      </c>
      <c r="L1036" t="inlineStr">
        <is>
          <t>PRESIDENCIA EJECUTIVA DEL CONSEJO</t>
        </is>
      </c>
      <c r="M1036" t="n">
        <v>40</v>
      </c>
      <c r="N1036" t="inlineStr">
        <is>
          <t>DIRECCION GENERAL BANCO BASE</t>
        </is>
      </c>
      <c r="O1036" t="n">
        <v>410</v>
      </c>
      <c r="P1036" t="inlineStr">
        <is>
          <t>DIRECCION COMERCIAL</t>
        </is>
      </c>
      <c r="Q1036" t="n">
        <v>4102</v>
      </c>
      <c r="R1036" t="inlineStr">
        <is>
          <t>DIRECCION DE SOLUCIONES</t>
        </is>
      </c>
      <c r="S1036" t="n">
        <v>45100</v>
      </c>
      <c r="T1036" t="inlineStr">
        <is>
          <t>DIRECCION DE DESARROLLO DE NEGOCIO DERIVADOS Y FX</t>
        </is>
      </c>
      <c r="U1036" t="n">
        <v>451400</v>
      </c>
      <c r="V1036" t="inlineStr">
        <is>
          <t>SUBDIRECCION DE GESTION DERIVADOS CDXM Y OCCIDENTE</t>
        </is>
      </c>
      <c r="W1036" t="n">
        <v>126107</v>
      </c>
      <c r="X1036" t="inlineStr">
        <is>
          <t>GUADALAJARA</t>
        </is>
      </c>
      <c r="Y1036" t="n">
        <v>15</v>
      </c>
      <c r="Z1036" t="inlineStr">
        <is>
          <t>DERIVADOS</t>
        </is>
      </c>
      <c r="AA1036" t="n">
        <v>1</v>
      </c>
      <c r="AB1036" t="inlineStr">
        <is>
          <t>NEGOCIO EN MARCHA</t>
        </is>
      </c>
      <c r="AC1036" t="n">
        <v>1</v>
      </c>
      <c r="AD1036" t="inlineStr">
        <is>
          <t>BANCO</t>
        </is>
      </c>
      <c r="AE1036" t="n">
        <v>3</v>
      </c>
      <c r="AF1036" t="inlineStr">
        <is>
          <t>FRONT</t>
        </is>
      </c>
      <c r="AG1036" t="n">
        <v>126107</v>
      </c>
      <c r="AH1036" t="inlineStr">
        <is>
          <t>GUADALAJARA</t>
        </is>
      </c>
      <c r="AI1036" t="inlineStr">
        <is>
          <t>JRODRIGUP@BANCOBASE.COM</t>
        </is>
      </c>
      <c r="AJ1036" s="151" t="n">
        <v>45946</v>
      </c>
      <c r="AK1036" s="151" t="n"/>
      <c r="AL1036" s="151" t="n"/>
    </row>
    <row r="1037" hidden="1" s="150">
      <c r="A1037" t="inlineStr">
        <is>
          <t>AGONZALEGA</t>
        </is>
      </c>
      <c r="B1037" t="n">
        <v>3958</v>
      </c>
      <c r="C1037" t="inlineStr">
        <is>
          <t>ANGEL EMILIANO GONZALEZ GARCIA</t>
        </is>
      </c>
      <c r="D1037" t="n">
        <v>8721</v>
      </c>
      <c r="E1037" t="inlineStr">
        <is>
          <t>ANALISTA DE DERIVADOS</t>
        </is>
      </c>
      <c r="F1037" t="inlineStr">
        <is>
          <t>SAN LUIS POTOSI</t>
        </is>
      </c>
      <c r="G1037" t="n">
        <v>2430</v>
      </c>
      <c r="H1037" t="inlineStr">
        <is>
          <t>BRIAN SALVADOR GOMEZ CASTRO</t>
        </is>
      </c>
      <c r="I1037" t="n">
        <v>8789</v>
      </c>
      <c r="J1037" t="inlineStr">
        <is>
          <t>GERENTE DE DERIVADOS</t>
        </is>
      </c>
      <c r="K1037" t="n">
        <v>1</v>
      </c>
      <c r="L1037" t="inlineStr">
        <is>
          <t>PRESIDENCIA EJECUTIVA DEL CONSEJO</t>
        </is>
      </c>
      <c r="M1037" t="n">
        <v>40</v>
      </c>
      <c r="N1037" t="inlineStr">
        <is>
          <t>DIRECCION GENERAL BANCO BASE</t>
        </is>
      </c>
      <c r="O1037" t="n">
        <v>410</v>
      </c>
      <c r="P1037" t="inlineStr">
        <is>
          <t>DIRECCION COMERCIAL</t>
        </is>
      </c>
      <c r="Q1037" t="n">
        <v>4102</v>
      </c>
      <c r="R1037" t="inlineStr">
        <is>
          <t>DIRECCION DE SOLUCIONES</t>
        </is>
      </c>
      <c r="S1037" t="n">
        <v>45100</v>
      </c>
      <c r="T1037" t="inlineStr">
        <is>
          <t>DIRECCION DE DESARROLLO DE NEGOCIO DERIVADOS Y FX</t>
        </is>
      </c>
      <c r="U1037" t="n">
        <v>451400</v>
      </c>
      <c r="V1037" t="inlineStr">
        <is>
          <t>SUBDIRECCION DE GESTION DERIVADOS CDXM Y OCCIDENTE</t>
        </is>
      </c>
      <c r="W1037" t="n">
        <v>126130</v>
      </c>
      <c r="X1037" t="inlineStr">
        <is>
          <t>SAN LUIS POTOSI</t>
        </is>
      </c>
      <c r="Y1037" t="n">
        <v>15</v>
      </c>
      <c r="Z1037" t="inlineStr">
        <is>
          <t>DERIVADOS</t>
        </is>
      </c>
      <c r="AA1037" t="n">
        <v>1</v>
      </c>
      <c r="AB1037" t="inlineStr">
        <is>
          <t>NEGOCIO EN MARCHA</t>
        </is>
      </c>
      <c r="AC1037" t="n">
        <v>1</v>
      </c>
      <c r="AD1037" t="inlineStr">
        <is>
          <t>BANCO</t>
        </is>
      </c>
      <c r="AE1037" t="n">
        <v>3</v>
      </c>
      <c r="AF1037" t="inlineStr">
        <is>
          <t>FRONT</t>
        </is>
      </c>
      <c r="AG1037" t="n">
        <v>126130</v>
      </c>
      <c r="AH1037" t="inlineStr">
        <is>
          <t>SAN LUIS POTOSI</t>
        </is>
      </c>
      <c r="AI1037" t="inlineStr">
        <is>
          <t>AGONZALEGA@BANCOBASE.COM</t>
        </is>
      </c>
      <c r="AJ1037" s="151" t="n">
        <v>46237</v>
      </c>
      <c r="AK1037" s="151" t="n"/>
      <c r="AL1037" s="151" t="n"/>
    </row>
    <row r="1038" hidden="1" s="150">
      <c r="A1038" t="inlineStr">
        <is>
          <t>FMARTIN</t>
        </is>
      </c>
      <c r="B1038" t="n">
        <v>3988</v>
      </c>
      <c r="C1038" t="inlineStr">
        <is>
          <t>FATIMA GUADALUPE MARTIN AVALOS</t>
        </is>
      </c>
      <c r="D1038" t="n">
        <v>8170</v>
      </c>
      <c r="E1038" t="inlineStr">
        <is>
          <t>ANALISTA DE DERIVADOS</t>
        </is>
      </c>
      <c r="F1038" t="inlineStr">
        <is>
          <t>GUADALAJARA</t>
        </is>
      </c>
      <c r="G1038" t="n">
        <v>2430</v>
      </c>
      <c r="H1038" t="inlineStr">
        <is>
          <t>BRIAN SALVADOR GOMEZ CASTRO</t>
        </is>
      </c>
      <c r="I1038" t="n">
        <v>8789</v>
      </c>
      <c r="J1038" t="inlineStr">
        <is>
          <t>GERENTE DE DERIVADOS</t>
        </is>
      </c>
      <c r="K1038" t="n">
        <v>1</v>
      </c>
      <c r="L1038" t="inlineStr">
        <is>
          <t>PRESIDENCIA EJECUTIVA DEL CONSEJO</t>
        </is>
      </c>
      <c r="M1038" t="n">
        <v>40</v>
      </c>
      <c r="N1038" t="inlineStr">
        <is>
          <t>DIRECCION GENERAL BANCO BASE</t>
        </is>
      </c>
      <c r="O1038" t="n">
        <v>410</v>
      </c>
      <c r="P1038" t="inlineStr">
        <is>
          <t>DIRECCION COMERCIAL</t>
        </is>
      </c>
      <c r="Q1038" t="n">
        <v>4102</v>
      </c>
      <c r="R1038" t="inlineStr">
        <is>
          <t>DIRECCION DE SOLUCIONES</t>
        </is>
      </c>
      <c r="S1038" t="n">
        <v>45100</v>
      </c>
      <c r="T1038" t="inlineStr">
        <is>
          <t>DIRECCION DE DESARROLLO DE NEGOCIO DERIVADOS Y FX</t>
        </is>
      </c>
      <c r="U1038" t="n">
        <v>451400</v>
      </c>
      <c r="V1038" t="inlineStr">
        <is>
          <t>SUBDIRECCION DE GESTION DERIVADOS CDXM Y OCCIDENTE</t>
        </is>
      </c>
      <c r="W1038" t="n">
        <v>126107</v>
      </c>
      <c r="X1038" t="inlineStr">
        <is>
          <t>GUADALAJARA</t>
        </is>
      </c>
      <c r="Y1038" t="n">
        <v>15</v>
      </c>
      <c r="Z1038" t="inlineStr">
        <is>
          <t>DERIVADOS</t>
        </is>
      </c>
      <c r="AA1038" t="n">
        <v>1</v>
      </c>
      <c r="AB1038" t="inlineStr">
        <is>
          <t>NEGOCIO EN MARCHA</t>
        </is>
      </c>
      <c r="AC1038" t="n">
        <v>1</v>
      </c>
      <c r="AD1038" t="inlineStr">
        <is>
          <t>BANCO</t>
        </is>
      </c>
      <c r="AE1038" t="n">
        <v>3</v>
      </c>
      <c r="AF1038" t="inlineStr">
        <is>
          <t>FRONT</t>
        </is>
      </c>
      <c r="AG1038" t="n">
        <v>126107</v>
      </c>
      <c r="AH1038" t="inlineStr">
        <is>
          <t>GUADALAJARA</t>
        </is>
      </c>
      <c r="AI1038" t="inlineStr">
        <is>
          <t>FMARTIN@BANCOBASE.COM</t>
        </is>
      </c>
      <c r="AJ1038" s="151" t="n">
        <v>46251</v>
      </c>
      <c r="AK1038" s="151" t="n"/>
      <c r="AL1038" s="151" t="n"/>
    </row>
    <row r="1039" hidden="1" s="150">
      <c r="A1039" t="inlineStr">
        <is>
          <t>OCANTU</t>
        </is>
      </c>
      <c r="B1039" t="n">
        <v>3387</v>
      </c>
      <c r="C1039" t="inlineStr">
        <is>
          <t>OSCAR CANTU GONZALEZ</t>
        </is>
      </c>
      <c r="D1039" t="n">
        <v>8174</v>
      </c>
      <c r="E1039" t="inlineStr">
        <is>
          <t>ANALISTA DE SOPORTE A SOLUCIONES</t>
        </is>
      </c>
      <c r="F1039" t="inlineStr">
        <is>
          <t>MONTERREY</t>
        </is>
      </c>
      <c r="G1039" t="n">
        <v>1240</v>
      </c>
      <c r="H1039" t="inlineStr">
        <is>
          <t>JOSE GUILLERMO MATEOS FLORES</t>
        </is>
      </c>
      <c r="I1039" t="n">
        <v>10265</v>
      </c>
      <c r="J1039" t="inlineStr">
        <is>
          <t>DIRECTOR DE DESARROLLO DE NEGOCIO DERIVADOS Y FX</t>
        </is>
      </c>
      <c r="K1039" t="n">
        <v>1</v>
      </c>
      <c r="L1039" t="inlineStr">
        <is>
          <t>PRESIDENCIA EJECUTIVA DEL CONSEJO</t>
        </is>
      </c>
      <c r="M1039" t="n">
        <v>40</v>
      </c>
      <c r="N1039" t="inlineStr">
        <is>
          <t>DIRECCION GENERAL BANCO BASE</t>
        </is>
      </c>
      <c r="O1039" t="n">
        <v>410</v>
      </c>
      <c r="P1039" t="inlineStr">
        <is>
          <t>DIRECCION COMERCIAL</t>
        </is>
      </c>
      <c r="Q1039" t="n">
        <v>4102</v>
      </c>
      <c r="R1039" t="inlineStr">
        <is>
          <t>DIRECCION DE SOLUCIONES</t>
        </is>
      </c>
      <c r="S1039" t="n">
        <v>45100</v>
      </c>
      <c r="T1039" t="inlineStr">
        <is>
          <t>DIRECCION DE DESARROLLO DE NEGOCIO DERIVADOS Y FX</t>
        </is>
      </c>
      <c r="U1039" t="n">
        <v>451500</v>
      </c>
      <c r="V1039" t="inlineStr">
        <is>
          <t>SUBDIRECCION DE PROCESOS DERIVADOS</t>
        </is>
      </c>
      <c r="W1039" t="n">
        <v>126102</v>
      </c>
      <c r="X1039" t="inlineStr">
        <is>
          <t>VALLE ORIENTE</t>
        </is>
      </c>
      <c r="Y1039" t="n">
        <v>15</v>
      </c>
      <c r="Z1039" t="inlineStr">
        <is>
          <t>DERIVADOS</t>
        </is>
      </c>
      <c r="AA1039" t="n">
        <v>1</v>
      </c>
      <c r="AB1039" t="inlineStr">
        <is>
          <t>NEGOCIO EN MARCHA</t>
        </is>
      </c>
      <c r="AC1039" t="n">
        <v>1</v>
      </c>
      <c r="AD1039" t="inlineStr">
        <is>
          <t>BANCO</t>
        </is>
      </c>
      <c r="AE1039" t="n">
        <v>2</v>
      </c>
      <c r="AF1039" t="inlineStr">
        <is>
          <t>MIDDLE</t>
        </is>
      </c>
      <c r="AG1039" t="n">
        <v>126102</v>
      </c>
      <c r="AH1039" t="inlineStr">
        <is>
          <t>MONTERREY</t>
        </is>
      </c>
      <c r="AI1039" t="inlineStr">
        <is>
          <t>OCANTU@BANCOBASE.COM</t>
        </is>
      </c>
      <c r="AJ1039" s="151" t="n">
        <v>45748</v>
      </c>
      <c r="AK1039" s="151" t="n"/>
      <c r="AL1039" s="151" t="n"/>
    </row>
    <row r="1040" hidden="1" s="150">
      <c r="A1040" t="inlineStr">
        <is>
          <t>RORDAZ</t>
        </is>
      </c>
      <c r="B1040" t="n">
        <v>2382</v>
      </c>
      <c r="C1040" t="inlineStr">
        <is>
          <t>REYNALDO ORDAZ MARTINEZ</t>
        </is>
      </c>
      <c r="D1040" t="n">
        <v>9364</v>
      </c>
      <c r="E1040" t="inlineStr">
        <is>
          <t>DIRECTOR DE FINANCIAMIENTO</t>
        </is>
      </c>
      <c r="F1040" t="inlineStr">
        <is>
          <t>MONTERREY</t>
        </is>
      </c>
      <c r="G1040" t="n">
        <v>3795</v>
      </c>
      <c r="H1040" t="inlineStr">
        <is>
          <t>JUAN ANTONIO OCHOA MONE</t>
        </is>
      </c>
      <c r="I1040" t="n">
        <v>5053</v>
      </c>
      <c r="J1040" t="inlineStr">
        <is>
          <t>DIRECTOR DE SOLUCIONES</t>
        </is>
      </c>
      <c r="K1040" t="n">
        <v>1</v>
      </c>
      <c r="L1040" t="inlineStr">
        <is>
          <t>PRESIDENCIA EJECUTIVA DEL CONSEJO</t>
        </is>
      </c>
      <c r="M1040" t="n">
        <v>40</v>
      </c>
      <c r="N1040" t="inlineStr">
        <is>
          <t>DIRECCION GENERAL BANCO BASE</t>
        </is>
      </c>
      <c r="O1040" t="n">
        <v>410</v>
      </c>
      <c r="P1040" t="inlineStr">
        <is>
          <t>DIRECCION COMERCIAL</t>
        </is>
      </c>
      <c r="Q1040" t="n">
        <v>4102</v>
      </c>
      <c r="R1040" t="inlineStr">
        <is>
          <t>DIRECCION DE SOLUCIONES</t>
        </is>
      </c>
      <c r="S1040" t="n">
        <v>45200</v>
      </c>
      <c r="T1040" t="inlineStr">
        <is>
          <t>DIRECCION DE FINANCIAMIENTO</t>
        </is>
      </c>
      <c r="U1040" t="n">
        <v>452000</v>
      </c>
      <c r="V1040" t="inlineStr">
        <is>
          <t>DIRECCION DE FINANCIAMIENTO</t>
        </is>
      </c>
      <c r="W1040" t="n">
        <v>126102</v>
      </c>
      <c r="X1040" t="inlineStr">
        <is>
          <t>VALLE ORIENTE</t>
        </is>
      </c>
      <c r="Y1040" t="n">
        <v>13</v>
      </c>
      <c r="Z1040" t="inlineStr">
        <is>
          <t>FINANCIAMIENTO</t>
        </is>
      </c>
      <c r="AA1040" t="n">
        <v>1</v>
      </c>
      <c r="AB1040" t="inlineStr">
        <is>
          <t>NEGOCIO EN MARCHA</t>
        </is>
      </c>
      <c r="AC1040" t="n">
        <v>1</v>
      </c>
      <c r="AD1040" t="inlineStr">
        <is>
          <t>BANCO</t>
        </is>
      </c>
      <c r="AE1040" t="n">
        <v>3</v>
      </c>
      <c r="AF1040" t="inlineStr">
        <is>
          <t>FRONT</t>
        </is>
      </c>
      <c r="AG1040" t="n">
        <v>126102</v>
      </c>
      <c r="AH1040" t="inlineStr">
        <is>
          <t>MONTERREY</t>
        </is>
      </c>
      <c r="AI1040" t="inlineStr">
        <is>
          <t>RORDAZ@BANCOBASE.COM</t>
        </is>
      </c>
      <c r="AJ1040" s="151" t="n">
        <v>43868</v>
      </c>
      <c r="AK1040" s="151" t="n"/>
      <c r="AL1040" s="151" t="n"/>
    </row>
    <row r="1041" hidden="1" s="150">
      <c r="A1041" t="inlineStr">
        <is>
          <t>MHIDALGO</t>
        </is>
      </c>
      <c r="B1041" t="n">
        <v>1759</v>
      </c>
      <c r="C1041" t="inlineStr">
        <is>
          <t>MARIA DE LOS ANGELES HIDALGO MORENO</t>
        </is>
      </c>
      <c r="D1041" t="n">
        <v>10049</v>
      </c>
      <c r="E1041" t="inlineStr">
        <is>
          <t>SUBDIRECTOR DE MERCADO ESTRATEGICO CDMX - OCCIDENTE</t>
        </is>
      </c>
      <c r="F1041" t="inlineStr">
        <is>
          <t>MEXICO</t>
        </is>
      </c>
      <c r="G1041" t="n">
        <v>2382</v>
      </c>
      <c r="H1041" t="inlineStr">
        <is>
          <t>REYNALDO ORDAZ MARTINEZ</t>
        </is>
      </c>
      <c r="I1041" t="n">
        <v>9364</v>
      </c>
      <c r="J1041" t="inlineStr">
        <is>
          <t>DIRECTOR DE FINANCIAMIENTO</t>
        </is>
      </c>
      <c r="K1041" t="n">
        <v>1</v>
      </c>
      <c r="L1041" t="inlineStr">
        <is>
          <t>PRESIDENCIA EJECUTIVA DEL CONSEJO</t>
        </is>
      </c>
      <c r="M1041" t="n">
        <v>40</v>
      </c>
      <c r="N1041" t="inlineStr">
        <is>
          <t>DIRECCION GENERAL BANCO BASE</t>
        </is>
      </c>
      <c r="O1041" t="n">
        <v>410</v>
      </c>
      <c r="P1041" t="inlineStr">
        <is>
          <t>DIRECCION COMERCIAL</t>
        </is>
      </c>
      <c r="Q1041" t="n">
        <v>4102</v>
      </c>
      <c r="R1041" t="inlineStr">
        <is>
          <t>DIRECCION DE SOLUCIONES</t>
        </is>
      </c>
      <c r="S1041" t="n">
        <v>45200</v>
      </c>
      <c r="T1041" t="inlineStr">
        <is>
          <t>DIRECCION DE FINANCIAMIENTO</t>
        </is>
      </c>
      <c r="U1041" t="n">
        <v>452300</v>
      </c>
      <c r="V1041" t="inlineStr">
        <is>
          <t>SUBDIRECCION MERCADO ESTRATEGICO CDMX Y OCCIDENTE</t>
        </is>
      </c>
      <c r="W1041" t="n">
        <v>134111</v>
      </c>
      <c r="X1041" t="inlineStr">
        <is>
          <t>LOMAS</t>
        </is>
      </c>
      <c r="Y1041" t="n">
        <v>13</v>
      </c>
      <c r="Z1041" t="inlineStr">
        <is>
          <t>FINANCIAMIENTO</t>
        </is>
      </c>
      <c r="AA1041" t="n">
        <v>1</v>
      </c>
      <c r="AB1041" t="inlineStr">
        <is>
          <t>NEGOCIO EN MARCHA</t>
        </is>
      </c>
      <c r="AC1041" t="n">
        <v>1</v>
      </c>
      <c r="AD1041" t="inlineStr">
        <is>
          <t>BANCO</t>
        </is>
      </c>
      <c r="AE1041" t="n">
        <v>3</v>
      </c>
      <c r="AF1041" t="inlineStr">
        <is>
          <t>FRONT</t>
        </is>
      </c>
      <c r="AG1041" t="n">
        <v>134111</v>
      </c>
      <c r="AH1041" t="inlineStr">
        <is>
          <t>LOMAS</t>
        </is>
      </c>
      <c r="AI1041" t="inlineStr">
        <is>
          <t>MHIDALGO@BANCOBASE.COM</t>
        </is>
      </c>
      <c r="AJ1041" s="151" t="n">
        <v>42863</v>
      </c>
      <c r="AK1041" s="151" t="n"/>
      <c r="AL1041" s="151" t="n"/>
    </row>
    <row r="1042" hidden="1" s="150">
      <c r="A1042" t="inlineStr">
        <is>
          <t>ATORRESM</t>
        </is>
      </c>
      <c r="B1042" t="n">
        <v>2039</v>
      </c>
      <c r="C1042" t="inlineStr">
        <is>
          <t>ANA LIZBETH TORRES MONTES</t>
        </is>
      </c>
      <c r="D1042" t="n">
        <v>9540</v>
      </c>
      <c r="E1042" t="inlineStr">
        <is>
          <t>EJECUTIVO DE SOPORTE</t>
        </is>
      </c>
      <c r="F1042" t="inlineStr">
        <is>
          <t>MEXICO</t>
        </is>
      </c>
      <c r="G1042" t="n">
        <v>1759</v>
      </c>
      <c r="H1042" t="inlineStr">
        <is>
          <t>MARIA DE LOS ANGELES HIDALGO MORENO</t>
        </is>
      </c>
      <c r="I1042" t="n">
        <v>10049</v>
      </c>
      <c r="J1042" t="inlineStr">
        <is>
          <t>SUBDIRECTOR DE MERCADO ESTRATEGICO CDMX - OCCIDENTE</t>
        </is>
      </c>
      <c r="K1042" t="n">
        <v>1</v>
      </c>
      <c r="L1042" t="inlineStr">
        <is>
          <t>PRESIDENCIA EJECUTIVA DEL CONSEJO</t>
        </is>
      </c>
      <c r="M1042" t="n">
        <v>40</v>
      </c>
      <c r="N1042" t="inlineStr">
        <is>
          <t>DIRECCION GENERAL BANCO BASE</t>
        </is>
      </c>
      <c r="O1042" t="n">
        <v>410</v>
      </c>
      <c r="P1042" t="inlineStr">
        <is>
          <t>DIRECCION COMERCIAL</t>
        </is>
      </c>
      <c r="Q1042" t="n">
        <v>4102</v>
      </c>
      <c r="R1042" t="inlineStr">
        <is>
          <t>DIRECCION DE SOLUCIONES</t>
        </is>
      </c>
      <c r="S1042" t="n">
        <v>45200</v>
      </c>
      <c r="T1042" t="inlineStr">
        <is>
          <t>DIRECCION DE FINANCIAMIENTO</t>
        </is>
      </c>
      <c r="U1042" t="n">
        <v>452300</v>
      </c>
      <c r="V1042" t="inlineStr">
        <is>
          <t>SUBDIRECCION MERCADO ESTRATEGICO CDMX Y OCCIDENTE</t>
        </is>
      </c>
      <c r="W1042" t="n">
        <v>134111</v>
      </c>
      <c r="X1042" t="inlineStr">
        <is>
          <t>LOMAS</t>
        </is>
      </c>
      <c r="Y1042" t="n">
        <v>17</v>
      </c>
      <c r="Z1042" t="inlineStr">
        <is>
          <t>SOPORTE</t>
        </is>
      </c>
      <c r="AA1042" t="n">
        <v>1</v>
      </c>
      <c r="AB1042" t="inlineStr">
        <is>
          <t>NEGOCIO EN MARCHA</t>
        </is>
      </c>
      <c r="AC1042" t="n">
        <v>1</v>
      </c>
      <c r="AD1042" t="inlineStr">
        <is>
          <t>BANCO</t>
        </is>
      </c>
      <c r="AE1042" t="n">
        <v>2</v>
      </c>
      <c r="AF1042" t="inlineStr">
        <is>
          <t>MIDDLE</t>
        </is>
      </c>
      <c r="AG1042" t="n">
        <v>134111</v>
      </c>
      <c r="AH1042" t="inlineStr">
        <is>
          <t>LOMAS</t>
        </is>
      </c>
      <c r="AI1042" t="inlineStr">
        <is>
          <t>ATORRESM@BANCOBASE.COM</t>
        </is>
      </c>
      <c r="AJ1042" s="151" t="n">
        <v>43276</v>
      </c>
      <c r="AK1042" s="151" t="n"/>
      <c r="AL1042" s="151" t="n"/>
    </row>
    <row r="1043" hidden="1" s="150">
      <c r="A1043" t="inlineStr">
        <is>
          <t>JCACERES</t>
        </is>
      </c>
      <c r="B1043" t="n">
        <v>1579</v>
      </c>
      <c r="C1043" t="inlineStr">
        <is>
          <t>JOSE FRANCISCO CACERES BARROSO</t>
        </is>
      </c>
      <c r="D1043" t="n">
        <v>10013</v>
      </c>
      <c r="E1043" t="inlineStr">
        <is>
          <t>SUBDIRECTOR FINANCIAMIENTO TRADICIONAL</t>
        </is>
      </c>
      <c r="F1043" t="inlineStr">
        <is>
          <t>MONTERREY</t>
        </is>
      </c>
      <c r="G1043" t="n">
        <v>2382</v>
      </c>
      <c r="H1043" t="inlineStr">
        <is>
          <t>REYNALDO ORDAZ MARTINEZ</t>
        </is>
      </c>
      <c r="I1043" t="n">
        <v>9364</v>
      </c>
      <c r="J1043" t="inlineStr">
        <is>
          <t>DIRECTOR DE FINANCIAMIENTO</t>
        </is>
      </c>
      <c r="K1043" t="n">
        <v>1</v>
      </c>
      <c r="L1043" t="inlineStr">
        <is>
          <t>PRESIDENCIA EJECUTIVA DEL CONSEJO</t>
        </is>
      </c>
      <c r="M1043" t="n">
        <v>40</v>
      </c>
      <c r="N1043" t="inlineStr">
        <is>
          <t>DIRECCION GENERAL BANCO BASE</t>
        </is>
      </c>
      <c r="O1043" t="n">
        <v>410</v>
      </c>
      <c r="P1043" t="inlineStr">
        <is>
          <t>DIRECCION COMERCIAL</t>
        </is>
      </c>
      <c r="Q1043" t="n">
        <v>4102</v>
      </c>
      <c r="R1043" t="inlineStr">
        <is>
          <t>DIRECCION DE SOLUCIONES</t>
        </is>
      </c>
      <c r="S1043" t="n">
        <v>45200</v>
      </c>
      <c r="T1043" t="inlineStr">
        <is>
          <t>DIRECCION DE FINANCIAMIENTO</t>
        </is>
      </c>
      <c r="U1043" t="n">
        <v>452100</v>
      </c>
      <c r="V1043" t="inlineStr">
        <is>
          <t>SUBDIRECCION EMPRESARIAL</t>
        </is>
      </c>
      <c r="W1043" t="n">
        <v>126102</v>
      </c>
      <c r="X1043" t="inlineStr">
        <is>
          <t>VALLE ORIENTE</t>
        </is>
      </c>
      <c r="Y1043" t="n">
        <v>13</v>
      </c>
      <c r="Z1043" t="inlineStr">
        <is>
          <t>FINANCIAMIENTO</t>
        </is>
      </c>
      <c r="AA1043" t="n">
        <v>1</v>
      </c>
      <c r="AB1043" t="inlineStr">
        <is>
          <t>NEGOCIO EN MARCHA</t>
        </is>
      </c>
      <c r="AC1043" t="n">
        <v>1</v>
      </c>
      <c r="AD1043" t="inlineStr">
        <is>
          <t>BANCO</t>
        </is>
      </c>
      <c r="AE1043" t="n">
        <v>3</v>
      </c>
      <c r="AF1043" t="inlineStr">
        <is>
          <t>FRONT</t>
        </is>
      </c>
      <c r="AG1043" t="n">
        <v>126102</v>
      </c>
      <c r="AH1043" t="inlineStr">
        <is>
          <t>MONTERREY</t>
        </is>
      </c>
      <c r="AI1043" t="inlineStr">
        <is>
          <t>JCACERES@BANCOBASE.COM</t>
        </is>
      </c>
      <c r="AJ1043" s="151" t="n">
        <v>42545</v>
      </c>
      <c r="AK1043" s="151" t="n"/>
      <c r="AL1043" s="151" t="n"/>
    </row>
    <row r="1044" hidden="1" s="150">
      <c r="A1044" t="inlineStr">
        <is>
          <t>GGONZALEZS</t>
        </is>
      </c>
      <c r="B1044" t="n">
        <v>3130</v>
      </c>
      <c r="C1044" t="inlineStr">
        <is>
          <t>GUSTAVO EDMUNDO GONZALEZ SALINAS</t>
        </is>
      </c>
      <c r="D1044" t="n">
        <v>9373</v>
      </c>
      <c r="E1044" t="inlineStr">
        <is>
          <t>ESPECIALISTA DE FINANCIAMIENTO</t>
        </is>
      </c>
      <c r="F1044" t="inlineStr">
        <is>
          <t>MONTERREY</t>
        </is>
      </c>
      <c r="G1044" t="n">
        <v>1579</v>
      </c>
      <c r="H1044" t="inlineStr">
        <is>
          <t>JOSE FRANCISCO CACERES BARROSO</t>
        </is>
      </c>
      <c r="I1044" t="n">
        <v>10013</v>
      </c>
      <c r="J1044" t="inlineStr">
        <is>
          <t>SUBDIRECTOR FINANCIAMIENTO TRADICIONAL</t>
        </is>
      </c>
      <c r="K1044" t="n">
        <v>1</v>
      </c>
      <c r="L1044" t="inlineStr">
        <is>
          <t>PRESIDENCIA EJECUTIVA DEL CONSEJO</t>
        </is>
      </c>
      <c r="M1044" t="n">
        <v>40</v>
      </c>
      <c r="N1044" t="inlineStr">
        <is>
          <t>DIRECCION GENERAL BANCO BASE</t>
        </is>
      </c>
      <c r="O1044" t="n">
        <v>410</v>
      </c>
      <c r="P1044" t="inlineStr">
        <is>
          <t>DIRECCION COMERCIAL</t>
        </is>
      </c>
      <c r="Q1044" t="n">
        <v>4102</v>
      </c>
      <c r="R1044" t="inlineStr">
        <is>
          <t>DIRECCION DE SOLUCIONES</t>
        </is>
      </c>
      <c r="S1044" t="n">
        <v>45200</v>
      </c>
      <c r="T1044" t="inlineStr">
        <is>
          <t>DIRECCION DE FINANCIAMIENTO</t>
        </is>
      </c>
      <c r="U1044" t="n">
        <v>452100</v>
      </c>
      <c r="V1044" t="inlineStr">
        <is>
          <t>SUBDIRECCION EMPRESARIAL</t>
        </is>
      </c>
      <c r="W1044" t="n">
        <v>126102</v>
      </c>
      <c r="X1044" t="inlineStr">
        <is>
          <t>VALLE ORIENTE</t>
        </is>
      </c>
      <c r="Y1044" t="n">
        <v>13</v>
      </c>
      <c r="Z1044" t="inlineStr">
        <is>
          <t>FINANCIAMIENTO</t>
        </is>
      </c>
      <c r="AA1044" t="n">
        <v>1</v>
      </c>
      <c r="AB1044" t="inlineStr">
        <is>
          <t>NEGOCIO EN MARCHA</t>
        </is>
      </c>
      <c r="AC1044" t="n">
        <v>1</v>
      </c>
      <c r="AD1044" t="inlineStr">
        <is>
          <t>BANCO</t>
        </is>
      </c>
      <c r="AE1044" t="n">
        <v>3</v>
      </c>
      <c r="AF1044" t="inlineStr">
        <is>
          <t>FRONT</t>
        </is>
      </c>
      <c r="AG1044" t="n">
        <v>126102</v>
      </c>
      <c r="AH1044" t="inlineStr">
        <is>
          <t>MONTERREY</t>
        </is>
      </c>
      <c r="AI1044" t="inlineStr">
        <is>
          <t>GGONZALEZS@BANCOBASE.COM</t>
        </is>
      </c>
      <c r="AJ1044" s="151" t="n">
        <v>45446</v>
      </c>
      <c r="AK1044" s="151" t="n"/>
      <c r="AL1044" s="151" t="n"/>
    </row>
    <row r="1045" hidden="1" s="150">
      <c r="A1045" t="inlineStr">
        <is>
          <t>EHERRERA</t>
        </is>
      </c>
      <c r="B1045" t="n">
        <v>3526</v>
      </c>
      <c r="C1045" t="inlineStr">
        <is>
          <t>ALICIA ESMERALDA HERRERA VALDEZ</t>
        </is>
      </c>
      <c r="D1045" t="n">
        <v>8440</v>
      </c>
      <c r="E1045" t="inlineStr">
        <is>
          <t>ESPECIALISTA DE FINANCIAMIENTO</t>
        </is>
      </c>
      <c r="F1045" t="inlineStr">
        <is>
          <t>GUADALAJARA</t>
        </is>
      </c>
      <c r="G1045" t="n">
        <v>1579</v>
      </c>
      <c r="H1045" t="inlineStr">
        <is>
          <t>JOSE FRANCISCO CACERES BARROSO</t>
        </is>
      </c>
      <c r="I1045" t="n">
        <v>10013</v>
      </c>
      <c r="J1045" t="inlineStr">
        <is>
          <t>SUBDIRECTOR FINANCIAMIENTO TRADICIONAL</t>
        </is>
      </c>
      <c r="K1045" t="n">
        <v>1</v>
      </c>
      <c r="L1045" t="inlineStr">
        <is>
          <t>PRESIDENCIA EJECUTIVA DEL CONSEJO</t>
        </is>
      </c>
      <c r="M1045" t="n">
        <v>40</v>
      </c>
      <c r="N1045" t="inlineStr">
        <is>
          <t>DIRECCION GENERAL BANCO BASE</t>
        </is>
      </c>
      <c r="O1045" t="n">
        <v>410</v>
      </c>
      <c r="P1045" t="inlineStr">
        <is>
          <t>DIRECCION COMERCIAL</t>
        </is>
      </c>
      <c r="Q1045" t="n">
        <v>4102</v>
      </c>
      <c r="R1045" t="inlineStr">
        <is>
          <t>DIRECCION DE SOLUCIONES</t>
        </is>
      </c>
      <c r="S1045" t="n">
        <v>45200</v>
      </c>
      <c r="T1045" t="inlineStr">
        <is>
          <t>DIRECCION DE FINANCIAMIENTO</t>
        </is>
      </c>
      <c r="U1045" t="n">
        <v>452100</v>
      </c>
      <c r="V1045" t="inlineStr">
        <is>
          <t>SUBDIRECCION EMPRESARIAL</t>
        </is>
      </c>
      <c r="W1045" t="n">
        <v>126107</v>
      </c>
      <c r="X1045" t="inlineStr">
        <is>
          <t>GUADALAJARA</t>
        </is>
      </c>
      <c r="Y1045" t="n">
        <v>13</v>
      </c>
      <c r="Z1045" t="inlineStr">
        <is>
          <t>FINANCIAMIENTO</t>
        </is>
      </c>
      <c r="AA1045" t="n">
        <v>1</v>
      </c>
      <c r="AB1045" t="inlineStr">
        <is>
          <t>NEGOCIO EN MARCHA</t>
        </is>
      </c>
      <c r="AC1045" t="n">
        <v>1</v>
      </c>
      <c r="AD1045" t="inlineStr">
        <is>
          <t>BANCO</t>
        </is>
      </c>
      <c r="AE1045" t="n">
        <v>3</v>
      </c>
      <c r="AF1045" t="inlineStr">
        <is>
          <t>FRONT</t>
        </is>
      </c>
      <c r="AG1045" t="n">
        <v>126107</v>
      </c>
      <c r="AH1045" t="inlineStr">
        <is>
          <t>GUADALAJARA</t>
        </is>
      </c>
      <c r="AI1045" t="inlineStr">
        <is>
          <t>EHERRERA@BANCOBASE.COM</t>
        </is>
      </c>
      <c r="AJ1045" s="151" t="n">
        <v>45887</v>
      </c>
      <c r="AK1045" s="151" t="n"/>
      <c r="AL1045" s="151" t="n"/>
    </row>
    <row r="1046" hidden="1" s="150">
      <c r="A1046" t="inlineStr">
        <is>
          <t>AGOMEZD</t>
        </is>
      </c>
      <c r="B1046" t="n">
        <v>2192</v>
      </c>
      <c r="C1046" t="inlineStr">
        <is>
          <t>ARELI ADDAI GOMEZ DE LA ROSA</t>
        </is>
      </c>
      <c r="D1046" t="n">
        <v>8282</v>
      </c>
      <c r="E1046" t="inlineStr">
        <is>
          <t>EJECUTIVO DE SOPORTE</t>
        </is>
      </c>
      <c r="F1046" t="inlineStr">
        <is>
          <t>MONTERREY</t>
        </is>
      </c>
      <c r="G1046" t="n">
        <v>1579</v>
      </c>
      <c r="H1046" t="inlineStr">
        <is>
          <t>JOSE FRANCISCO CACERES BARROSO</t>
        </is>
      </c>
      <c r="I1046" t="n">
        <v>10013</v>
      </c>
      <c r="J1046" t="inlineStr">
        <is>
          <t>SUBDIRECTOR FINANCIAMIENTO TRADICIONAL</t>
        </is>
      </c>
      <c r="K1046" t="n">
        <v>1</v>
      </c>
      <c r="L1046" t="inlineStr">
        <is>
          <t>PRESIDENCIA EJECUTIVA DEL CONSEJO</t>
        </is>
      </c>
      <c r="M1046" t="n">
        <v>40</v>
      </c>
      <c r="N1046" t="inlineStr">
        <is>
          <t>DIRECCION GENERAL BANCO BASE</t>
        </is>
      </c>
      <c r="O1046" t="n">
        <v>410</v>
      </c>
      <c r="P1046" t="inlineStr">
        <is>
          <t>DIRECCION COMERCIAL</t>
        </is>
      </c>
      <c r="Q1046" t="n">
        <v>4102</v>
      </c>
      <c r="R1046" t="inlineStr">
        <is>
          <t>DIRECCION DE SOLUCIONES</t>
        </is>
      </c>
      <c r="S1046" t="n">
        <v>45200</v>
      </c>
      <c r="T1046" t="inlineStr">
        <is>
          <t>DIRECCION DE FINANCIAMIENTO</t>
        </is>
      </c>
      <c r="U1046" t="n">
        <v>452100</v>
      </c>
      <c r="V1046" t="inlineStr">
        <is>
          <t>SUBDIRECCION EMPRESARIAL</t>
        </is>
      </c>
      <c r="W1046" t="n">
        <v>126102</v>
      </c>
      <c r="X1046" t="inlineStr">
        <is>
          <t>VALLE ORIENTE</t>
        </is>
      </c>
      <c r="Y1046" t="n">
        <v>17</v>
      </c>
      <c r="Z1046" t="inlineStr">
        <is>
          <t>SOPORTE</t>
        </is>
      </c>
      <c r="AA1046" t="n">
        <v>1</v>
      </c>
      <c r="AB1046" t="inlineStr">
        <is>
          <t>NEGOCIO EN MARCHA</t>
        </is>
      </c>
      <c r="AC1046" t="n">
        <v>1</v>
      </c>
      <c r="AD1046" t="inlineStr">
        <is>
          <t>BANCO</t>
        </is>
      </c>
      <c r="AE1046" t="n">
        <v>2</v>
      </c>
      <c r="AF1046" t="inlineStr">
        <is>
          <t>MIDDLE</t>
        </is>
      </c>
      <c r="AG1046" t="n">
        <v>126102</v>
      </c>
      <c r="AH1046" t="inlineStr">
        <is>
          <t>MONTERREY</t>
        </is>
      </c>
      <c r="AI1046" t="inlineStr">
        <is>
          <t>AGOMEZD@BANCOBASE.COM</t>
        </is>
      </c>
      <c r="AJ1046" s="151" t="n">
        <v>43525</v>
      </c>
      <c r="AK1046" s="151" t="n"/>
      <c r="AL1046" s="151" t="n"/>
    </row>
    <row r="1047" hidden="1" s="150">
      <c r="A1047" t="inlineStr">
        <is>
          <t>KROBLEDO</t>
        </is>
      </c>
      <c r="B1047" t="n">
        <v>3723</v>
      </c>
      <c r="C1047" t="inlineStr">
        <is>
          <t>KATIA ELIZABETH ROBLEDO CAMPOS</t>
        </is>
      </c>
      <c r="D1047" t="n">
        <v>9465</v>
      </c>
      <c r="E1047" t="inlineStr">
        <is>
          <t>EJECUTIVO DE SOPORTE</t>
        </is>
      </c>
      <c r="F1047" t="inlineStr">
        <is>
          <t>MONTERREY</t>
        </is>
      </c>
      <c r="G1047" t="n">
        <v>1579</v>
      </c>
      <c r="H1047" t="inlineStr">
        <is>
          <t>JOSE FRANCISCO CACERES BARROSO</t>
        </is>
      </c>
      <c r="I1047" t="n">
        <v>10013</v>
      </c>
      <c r="J1047" t="inlineStr">
        <is>
          <t>SUBDIRECTOR FINANCIAMIENTO TRADICIONAL</t>
        </is>
      </c>
      <c r="K1047" t="n">
        <v>1</v>
      </c>
      <c r="L1047" t="inlineStr">
        <is>
          <t>PRESIDENCIA EJECUTIVA DEL CONSEJO</t>
        </is>
      </c>
      <c r="M1047" t="n">
        <v>40</v>
      </c>
      <c r="N1047" t="inlineStr">
        <is>
          <t>DIRECCION GENERAL BANCO BASE</t>
        </is>
      </c>
      <c r="O1047" t="n">
        <v>410</v>
      </c>
      <c r="P1047" t="inlineStr">
        <is>
          <t>DIRECCION COMERCIAL</t>
        </is>
      </c>
      <c r="Q1047" t="n">
        <v>4102</v>
      </c>
      <c r="R1047" t="inlineStr">
        <is>
          <t>DIRECCION DE SOLUCIONES</t>
        </is>
      </c>
      <c r="S1047" t="n">
        <v>45200</v>
      </c>
      <c r="T1047" t="inlineStr">
        <is>
          <t>DIRECCION DE FINANCIAMIENTO</t>
        </is>
      </c>
      <c r="U1047" t="n">
        <v>452100</v>
      </c>
      <c r="V1047" t="inlineStr">
        <is>
          <t>SUBDIRECCION EMPRESARIAL</t>
        </is>
      </c>
      <c r="W1047" t="n">
        <v>126102</v>
      </c>
      <c r="X1047" t="inlineStr">
        <is>
          <t>VALLE ORIENTE</t>
        </is>
      </c>
      <c r="Y1047" t="n">
        <v>17</v>
      </c>
      <c r="Z1047" t="inlineStr">
        <is>
          <t>SOPORTE</t>
        </is>
      </c>
      <c r="AA1047" t="n">
        <v>1</v>
      </c>
      <c r="AB1047" t="inlineStr">
        <is>
          <t>NEGOCIO EN MARCHA</t>
        </is>
      </c>
      <c r="AC1047" t="n">
        <v>1</v>
      </c>
      <c r="AD1047" t="inlineStr">
        <is>
          <t>BANCO</t>
        </is>
      </c>
      <c r="AE1047" t="n">
        <v>2</v>
      </c>
      <c r="AF1047" t="inlineStr">
        <is>
          <t>MIDDLE</t>
        </is>
      </c>
      <c r="AG1047" t="n">
        <v>126102</v>
      </c>
      <c r="AH1047" t="inlineStr">
        <is>
          <t>MONTERREY</t>
        </is>
      </c>
      <c r="AI1047" t="inlineStr">
        <is>
          <t>KROBLEDO@BANCOBASE.COM</t>
        </is>
      </c>
      <c r="AJ1047" s="151" t="n">
        <v>46027</v>
      </c>
      <c r="AK1047" s="151" t="n"/>
      <c r="AL1047" s="151" t="n"/>
    </row>
    <row r="1048" hidden="1" s="150">
      <c r="A1048" t="inlineStr">
        <is>
          <t>PCORTEZ</t>
        </is>
      </c>
      <c r="B1048" t="n">
        <v>1796</v>
      </c>
      <c r="C1048" t="inlineStr">
        <is>
          <t>PERLA YARELY CORTEZ HIRACHETA</t>
        </is>
      </c>
      <c r="D1048" t="n">
        <v>10130</v>
      </c>
      <c r="E1048" t="inlineStr">
        <is>
          <t>ESPECIALISTA DE FINANCIAMIENTO</t>
        </is>
      </c>
      <c r="F1048" t="inlineStr">
        <is>
          <t>MONTERREY</t>
        </is>
      </c>
      <c r="G1048" t="n">
        <v>1579</v>
      </c>
      <c r="H1048" t="inlineStr">
        <is>
          <t>JOSE FRANCISCO CACERES BARROSO</t>
        </is>
      </c>
      <c r="I1048" t="n">
        <v>10013</v>
      </c>
      <c r="J1048" t="inlineStr">
        <is>
          <t>SUBDIRECTOR FINANCIAMIENTO TRADICIONAL</t>
        </is>
      </c>
      <c r="K1048" t="n">
        <v>1</v>
      </c>
      <c r="L1048" t="inlineStr">
        <is>
          <t>PRESIDENCIA EJECUTIVA DEL CONSEJO</t>
        </is>
      </c>
      <c r="M1048" t="n">
        <v>40</v>
      </c>
      <c r="N1048" t="inlineStr">
        <is>
          <t>DIRECCION GENERAL BANCO BASE</t>
        </is>
      </c>
      <c r="O1048" t="n">
        <v>410</v>
      </c>
      <c r="P1048" t="inlineStr">
        <is>
          <t>DIRECCION COMERCIAL</t>
        </is>
      </c>
      <c r="Q1048" t="n">
        <v>4102</v>
      </c>
      <c r="R1048" t="inlineStr">
        <is>
          <t>DIRECCION DE SOLUCIONES</t>
        </is>
      </c>
      <c r="S1048" t="n">
        <v>45200</v>
      </c>
      <c r="T1048" t="inlineStr">
        <is>
          <t>DIRECCION DE FINANCIAMIENTO</t>
        </is>
      </c>
      <c r="U1048" t="n">
        <v>452100</v>
      </c>
      <c r="V1048" t="inlineStr">
        <is>
          <t>SUBDIRECCION EMPRESARIAL</t>
        </is>
      </c>
      <c r="W1048" t="n">
        <v>126102</v>
      </c>
      <c r="X1048" t="inlineStr">
        <is>
          <t>VALLE ORIENTE</t>
        </is>
      </c>
      <c r="Y1048" t="n">
        <v>13</v>
      </c>
      <c r="Z1048" t="inlineStr">
        <is>
          <t>FINANCIAMIENTO</t>
        </is>
      </c>
      <c r="AA1048" t="n">
        <v>1</v>
      </c>
      <c r="AB1048" t="inlineStr">
        <is>
          <t>NEGOCIO EN MARCHA</t>
        </is>
      </c>
      <c r="AC1048" t="n">
        <v>1</v>
      </c>
      <c r="AD1048" t="inlineStr">
        <is>
          <t>BANCO</t>
        </is>
      </c>
      <c r="AE1048" t="n">
        <v>3</v>
      </c>
      <c r="AF1048" t="inlineStr">
        <is>
          <t>FRONT</t>
        </is>
      </c>
      <c r="AG1048" t="n">
        <v>126102</v>
      </c>
      <c r="AH1048" t="inlineStr">
        <is>
          <t>MONTERREY</t>
        </is>
      </c>
      <c r="AI1048" t="inlineStr">
        <is>
          <t>PCORTEZ@BANCOBASE.COM</t>
        </is>
      </c>
      <c r="AJ1048" s="151" t="n">
        <v>42919</v>
      </c>
      <c r="AK1048" s="151" t="n"/>
      <c r="AL1048" s="151" t="n"/>
    </row>
    <row r="1049" hidden="1" s="150">
      <c r="A1049" t="inlineStr">
        <is>
          <t>MLIRA</t>
        </is>
      </c>
      <c r="B1049" t="n">
        <v>3212</v>
      </c>
      <c r="C1049" t="inlineStr">
        <is>
          <t>MANUEL LIRA ARRAMBIDE</t>
        </is>
      </c>
      <c r="D1049" t="n">
        <v>8452</v>
      </c>
      <c r="E1049" t="inlineStr">
        <is>
          <t>SUBDIRECTOR FINANCIAMIENTO</t>
        </is>
      </c>
      <c r="F1049" t="inlineStr">
        <is>
          <t>MONTERREY</t>
        </is>
      </c>
      <c r="G1049" t="n">
        <v>2382</v>
      </c>
      <c r="H1049" t="inlineStr">
        <is>
          <t>REYNALDO ORDAZ MARTINEZ</t>
        </is>
      </c>
      <c r="I1049" t="n">
        <v>9364</v>
      </c>
      <c r="J1049" t="inlineStr">
        <is>
          <t>DIRECTOR DE FINANCIAMIENTO</t>
        </is>
      </c>
      <c r="K1049" t="n">
        <v>1</v>
      </c>
      <c r="L1049" t="inlineStr">
        <is>
          <t>PRESIDENCIA EJECUTIVA DEL CONSEJO</t>
        </is>
      </c>
      <c r="M1049" t="n">
        <v>40</v>
      </c>
      <c r="N1049" t="inlineStr">
        <is>
          <t>DIRECCION GENERAL BANCO BASE</t>
        </is>
      </c>
      <c r="O1049" t="n">
        <v>410</v>
      </c>
      <c r="P1049" t="inlineStr">
        <is>
          <t>DIRECCION COMERCIAL</t>
        </is>
      </c>
      <c r="Q1049" t="n">
        <v>4102</v>
      </c>
      <c r="R1049" t="inlineStr">
        <is>
          <t>DIRECCION DE SOLUCIONES</t>
        </is>
      </c>
      <c r="S1049" t="n">
        <v>45200</v>
      </c>
      <c r="T1049" t="inlineStr">
        <is>
          <t>DIRECCION DE FINANCIAMIENTO</t>
        </is>
      </c>
      <c r="U1049" t="n">
        <v>452100</v>
      </c>
      <c r="V1049" t="inlineStr">
        <is>
          <t>SUBDIRECCION EMPRESARIAL</t>
        </is>
      </c>
      <c r="W1049" t="n">
        <v>126102</v>
      </c>
      <c r="X1049" t="inlineStr">
        <is>
          <t>VALLE ORIENTE</t>
        </is>
      </c>
      <c r="Y1049" t="n">
        <v>13</v>
      </c>
      <c r="Z1049" t="inlineStr">
        <is>
          <t>FINANCIAMIENTO</t>
        </is>
      </c>
      <c r="AA1049" t="n">
        <v>1</v>
      </c>
      <c r="AB1049" t="inlineStr">
        <is>
          <t>NEGOCIO EN MARCHA</t>
        </is>
      </c>
      <c r="AC1049" t="n">
        <v>1</v>
      </c>
      <c r="AD1049" t="inlineStr">
        <is>
          <t>BANCO</t>
        </is>
      </c>
      <c r="AE1049" t="n">
        <v>3</v>
      </c>
      <c r="AF1049" t="inlineStr">
        <is>
          <t>FRONT</t>
        </is>
      </c>
      <c r="AG1049" t="n">
        <v>126102</v>
      </c>
      <c r="AH1049" t="inlineStr">
        <is>
          <t>MONTERREY</t>
        </is>
      </c>
      <c r="AI1049" t="inlineStr">
        <is>
          <t>MLIRA@BANCOBASE.COM</t>
        </is>
      </c>
      <c r="AJ1049" s="151" t="n">
        <v>45567</v>
      </c>
      <c r="AK1049" s="151" t="n"/>
      <c r="AL1049" s="151" t="n"/>
    </row>
    <row r="1050" hidden="1" s="150">
      <c r="A1050" t="inlineStr">
        <is>
          <t>VVAZQUEVE</t>
        </is>
      </c>
      <c r="B1050" t="n">
        <v>2894</v>
      </c>
      <c r="C1050" t="inlineStr">
        <is>
          <t>VALERIA LORENA VAZQUEZ VELAZQUEZ</t>
        </is>
      </c>
      <c r="D1050" t="n">
        <v>8995</v>
      </c>
      <c r="E1050" t="inlineStr">
        <is>
          <t>EJECUTIVO DE SOPORTE</t>
        </is>
      </c>
      <c r="F1050" t="inlineStr">
        <is>
          <t>MONTERREY</t>
        </is>
      </c>
      <c r="G1050" t="n">
        <v>3212</v>
      </c>
      <c r="H1050" t="inlineStr">
        <is>
          <t>MANUEL LIRA ARRAMBIDE</t>
        </is>
      </c>
      <c r="I1050" t="n">
        <v>8452</v>
      </c>
      <c r="J1050" t="inlineStr">
        <is>
          <t>SUBDIRECTOR FINANCIAMIENTO</t>
        </is>
      </c>
      <c r="K1050" t="n">
        <v>1</v>
      </c>
      <c r="L1050" t="inlineStr">
        <is>
          <t>PRESIDENCIA EJECUTIVA DEL CONSEJO</t>
        </is>
      </c>
      <c r="M1050" t="n">
        <v>40</v>
      </c>
      <c r="N1050" t="inlineStr">
        <is>
          <t>DIRECCION GENERAL BANCO BASE</t>
        </is>
      </c>
      <c r="O1050" t="n">
        <v>410</v>
      </c>
      <c r="P1050" t="inlineStr">
        <is>
          <t>DIRECCION COMERCIAL</t>
        </is>
      </c>
      <c r="Q1050" t="n">
        <v>4102</v>
      </c>
      <c r="R1050" t="inlineStr">
        <is>
          <t>DIRECCION DE SOLUCIONES</t>
        </is>
      </c>
      <c r="S1050" t="n">
        <v>45200</v>
      </c>
      <c r="T1050" t="inlineStr">
        <is>
          <t>DIRECCION DE FINANCIAMIENTO</t>
        </is>
      </c>
      <c r="U1050" t="n">
        <v>452100</v>
      </c>
      <c r="V1050" t="inlineStr">
        <is>
          <t>SUBDIRECCION EMPRESARIAL</t>
        </is>
      </c>
      <c r="W1050" t="n">
        <v>126102</v>
      </c>
      <c r="X1050" t="inlineStr">
        <is>
          <t>VALLE ORIENTE</t>
        </is>
      </c>
      <c r="Y1050" t="n">
        <v>17</v>
      </c>
      <c r="Z1050" t="inlineStr">
        <is>
          <t>SOPORTE</t>
        </is>
      </c>
      <c r="AA1050" t="n">
        <v>1</v>
      </c>
      <c r="AB1050" t="inlineStr">
        <is>
          <t>NEGOCIO EN MARCHA</t>
        </is>
      </c>
      <c r="AC1050" t="n">
        <v>1</v>
      </c>
      <c r="AD1050" t="inlineStr">
        <is>
          <t>BANCO</t>
        </is>
      </c>
      <c r="AE1050" t="n">
        <v>2</v>
      </c>
      <c r="AF1050" t="inlineStr">
        <is>
          <t>MIDDLE</t>
        </is>
      </c>
      <c r="AG1050" t="n">
        <v>126102</v>
      </c>
      <c r="AH1050" t="inlineStr">
        <is>
          <t>MONTERREY</t>
        </is>
      </c>
      <c r="AI1050" t="inlineStr">
        <is>
          <t>VVAZQUEVE@BANCOBASE.COM</t>
        </is>
      </c>
      <c r="AJ1050" s="151" t="n">
        <v>45078</v>
      </c>
      <c r="AK1050" s="151" t="n"/>
      <c r="AL1050" s="151" t="n"/>
    </row>
    <row r="1051" hidden="1" s="150">
      <c r="A1051" t="inlineStr">
        <is>
          <t>ADEGABRIEL</t>
        </is>
      </c>
      <c r="B1051" t="n">
        <v>2362</v>
      </c>
      <c r="C1051" t="inlineStr">
        <is>
          <t>ALFREDO DE GABRIEL RODRIGUEZ</t>
        </is>
      </c>
      <c r="D1051" t="n">
        <v>9376</v>
      </c>
      <c r="E1051" t="inlineStr">
        <is>
          <t>SUBDIRECTOR FINANCIAMIENTO</t>
        </is>
      </c>
      <c r="F1051" t="inlineStr">
        <is>
          <t>GUADALAJARA</t>
        </is>
      </c>
      <c r="G1051" t="n">
        <v>2382</v>
      </c>
      <c r="H1051" t="inlineStr">
        <is>
          <t>REYNALDO ORDAZ MARTINEZ</t>
        </is>
      </c>
      <c r="I1051" t="n">
        <v>9364</v>
      </c>
      <c r="J1051" t="inlineStr">
        <is>
          <t>DIRECTOR DE FINANCIAMIENTO</t>
        </is>
      </c>
      <c r="K1051" t="n">
        <v>1</v>
      </c>
      <c r="L1051" t="inlineStr">
        <is>
          <t>PRESIDENCIA EJECUTIVA DEL CONSEJO</t>
        </is>
      </c>
      <c r="M1051" t="n">
        <v>40</v>
      </c>
      <c r="N1051" t="inlineStr">
        <is>
          <t>DIRECCION GENERAL BANCO BASE</t>
        </is>
      </c>
      <c r="O1051" t="n">
        <v>410</v>
      </c>
      <c r="P1051" t="inlineStr">
        <is>
          <t>DIRECCION COMERCIAL</t>
        </is>
      </c>
      <c r="Q1051" t="n">
        <v>4102</v>
      </c>
      <c r="R1051" t="inlineStr">
        <is>
          <t>DIRECCION DE SOLUCIONES</t>
        </is>
      </c>
      <c r="S1051" t="n">
        <v>45200</v>
      </c>
      <c r="T1051" t="inlineStr">
        <is>
          <t>DIRECCION DE FINANCIAMIENTO</t>
        </is>
      </c>
      <c r="U1051" t="n">
        <v>452100</v>
      </c>
      <c r="V1051" t="inlineStr">
        <is>
          <t>SUBDIRECCION EMPRESARIAL</t>
        </is>
      </c>
      <c r="W1051" t="n">
        <v>126107</v>
      </c>
      <c r="X1051" t="inlineStr">
        <is>
          <t>GUADALAJARA</t>
        </is>
      </c>
      <c r="Y1051" t="n">
        <v>13</v>
      </c>
      <c r="Z1051" t="inlineStr">
        <is>
          <t>FINANCIAMIENTO</t>
        </is>
      </c>
      <c r="AA1051" t="n">
        <v>1</v>
      </c>
      <c r="AB1051" t="inlineStr">
        <is>
          <t>NEGOCIO EN MARCHA</t>
        </is>
      </c>
      <c r="AC1051" t="n">
        <v>1</v>
      </c>
      <c r="AD1051" t="inlineStr">
        <is>
          <t>BANCO</t>
        </is>
      </c>
      <c r="AE1051" t="n">
        <v>3</v>
      </c>
      <c r="AF1051" t="inlineStr">
        <is>
          <t>FRONT</t>
        </is>
      </c>
      <c r="AG1051" t="n">
        <v>126107</v>
      </c>
      <c r="AH1051" t="inlineStr">
        <is>
          <t>GUADALAJARA</t>
        </is>
      </c>
      <c r="AI1051" t="inlineStr">
        <is>
          <t>ADEGABRIEL@BANCOBASE.COM</t>
        </is>
      </c>
      <c r="AJ1051" s="151" t="n">
        <v>43815</v>
      </c>
      <c r="AK1051" s="151" t="n"/>
      <c r="AL1051" s="151" t="n"/>
    </row>
    <row r="1052" hidden="1" s="150">
      <c r="A1052" t="inlineStr">
        <is>
          <t>SRODRIGUE</t>
        </is>
      </c>
      <c r="B1052" t="n">
        <v>2483</v>
      </c>
      <c r="C1052" t="inlineStr">
        <is>
          <t>SILVIO RODRIGUEZ MEJIA</t>
        </is>
      </c>
      <c r="D1052" t="n">
        <v>10424</v>
      </c>
      <c r="E1052" t="inlineStr">
        <is>
          <t>SUBDIRECTOR DE AGRONEGOCIOS</t>
        </is>
      </c>
      <c r="F1052" t="inlineStr">
        <is>
          <t>GUADALAJARA</t>
        </is>
      </c>
      <c r="G1052" t="n">
        <v>2382</v>
      </c>
      <c r="H1052" t="inlineStr">
        <is>
          <t>REYNALDO ORDAZ MARTINEZ</t>
        </is>
      </c>
      <c r="I1052" t="n">
        <v>9364</v>
      </c>
      <c r="J1052" t="inlineStr">
        <is>
          <t>DIRECTOR DE FINANCIAMIENTO</t>
        </is>
      </c>
      <c r="K1052" t="n">
        <v>1</v>
      </c>
      <c r="L1052" t="inlineStr">
        <is>
          <t>PRESIDENCIA EJECUTIVA DEL CONSEJO</t>
        </is>
      </c>
      <c r="M1052" t="n">
        <v>40</v>
      </c>
      <c r="N1052" t="inlineStr">
        <is>
          <t>DIRECCION GENERAL BANCO BASE</t>
        </is>
      </c>
      <c r="O1052" t="n">
        <v>410</v>
      </c>
      <c r="P1052" t="inlineStr">
        <is>
          <t>DIRECCION COMERCIAL</t>
        </is>
      </c>
      <c r="Q1052" t="n">
        <v>4102</v>
      </c>
      <c r="R1052" t="inlineStr">
        <is>
          <t>DIRECCION DE SOLUCIONES</t>
        </is>
      </c>
      <c r="S1052" t="n">
        <v>45200</v>
      </c>
      <c r="T1052" t="inlineStr">
        <is>
          <t>DIRECCION DE FINANCIAMIENTO</t>
        </is>
      </c>
      <c r="U1052" t="n">
        <v>452600</v>
      </c>
      <c r="V1052" t="inlineStr">
        <is>
          <t>SUBDIRECCION DE AGRONEGOCIOS</t>
        </is>
      </c>
      <c r="W1052" t="n">
        <v>126107</v>
      </c>
      <c r="X1052" t="inlineStr">
        <is>
          <t>GUADALAJARA</t>
        </is>
      </c>
      <c r="Y1052" t="n">
        <v>13</v>
      </c>
      <c r="Z1052" t="inlineStr">
        <is>
          <t>FINANCIAMIENTO</t>
        </is>
      </c>
      <c r="AA1052" t="n">
        <v>1</v>
      </c>
      <c r="AB1052" t="inlineStr">
        <is>
          <t>NEGOCIO EN MARCHA</t>
        </is>
      </c>
      <c r="AC1052" t="n">
        <v>1</v>
      </c>
      <c r="AD1052" t="inlineStr">
        <is>
          <t>BANCO</t>
        </is>
      </c>
      <c r="AE1052" t="n">
        <v>3</v>
      </c>
      <c r="AF1052" t="inlineStr">
        <is>
          <t>FRONT</t>
        </is>
      </c>
      <c r="AG1052" t="n">
        <v>126107</v>
      </c>
      <c r="AH1052" t="inlineStr">
        <is>
          <t>GUADALAJARA</t>
        </is>
      </c>
      <c r="AI1052" t="inlineStr">
        <is>
          <t>SRODRIGUE@BANCOBASE.COM</t>
        </is>
      </c>
      <c r="AJ1052" s="151" t="n">
        <v>44256</v>
      </c>
      <c r="AK1052" s="151" t="n"/>
      <c r="AL1052" s="151" t="n"/>
    </row>
    <row r="1053" hidden="1" s="150">
      <c r="A1053" t="inlineStr">
        <is>
          <t>JFERNANDEZ</t>
        </is>
      </c>
      <c r="B1053" t="n">
        <v>2739</v>
      </c>
      <c r="C1053" t="inlineStr">
        <is>
          <t>JORGE ALEJANDRO FERNANDEZ ELIZONDO</t>
        </is>
      </c>
      <c r="D1053" t="n">
        <v>8008</v>
      </c>
      <c r="E1053" t="inlineStr">
        <is>
          <t>LIDER DE CARTAS DE CREDITO</t>
        </is>
      </c>
      <c r="F1053" t="inlineStr">
        <is>
          <t>MONTERREY</t>
        </is>
      </c>
      <c r="G1053" t="n">
        <v>2382</v>
      </c>
      <c r="H1053" t="inlineStr">
        <is>
          <t>REYNALDO ORDAZ MARTINEZ</t>
        </is>
      </c>
      <c r="I1053" t="n">
        <v>9364</v>
      </c>
      <c r="J1053" t="inlineStr">
        <is>
          <t>DIRECTOR DE FINANCIAMIENTO</t>
        </is>
      </c>
      <c r="K1053" t="n">
        <v>1</v>
      </c>
      <c r="L1053" t="inlineStr">
        <is>
          <t>PRESIDENCIA EJECUTIVA DEL CONSEJO</t>
        </is>
      </c>
      <c r="M1053" t="n">
        <v>40</v>
      </c>
      <c r="N1053" t="inlineStr">
        <is>
          <t>DIRECCION GENERAL BANCO BASE</t>
        </is>
      </c>
      <c r="O1053" t="n">
        <v>410</v>
      </c>
      <c r="P1053" t="inlineStr">
        <is>
          <t>DIRECCION COMERCIAL</t>
        </is>
      </c>
      <c r="Q1053" t="n">
        <v>4102</v>
      </c>
      <c r="R1053" t="inlineStr">
        <is>
          <t>DIRECCION DE SOLUCIONES</t>
        </is>
      </c>
      <c r="S1053" t="n">
        <v>45200</v>
      </c>
      <c r="T1053" t="inlineStr">
        <is>
          <t>DIRECCION DE FINANCIAMIENTO</t>
        </is>
      </c>
      <c r="U1053" t="n">
        <v>452000</v>
      </c>
      <c r="V1053" t="inlineStr">
        <is>
          <t>DIRECCION DE FINANCIAMIENTO</t>
        </is>
      </c>
      <c r="W1053" t="n">
        <v>126102</v>
      </c>
      <c r="X1053" t="inlineStr">
        <is>
          <t>VALLE ORIENTE</t>
        </is>
      </c>
      <c r="Y1053" t="n">
        <v>13</v>
      </c>
      <c r="Z1053" t="inlineStr">
        <is>
          <t>FINANCIAMIENTO</t>
        </is>
      </c>
      <c r="AA1053" t="n">
        <v>1</v>
      </c>
      <c r="AB1053" t="inlineStr">
        <is>
          <t>NEGOCIO EN MARCHA</t>
        </is>
      </c>
      <c r="AC1053" t="n">
        <v>1</v>
      </c>
      <c r="AD1053" t="inlineStr">
        <is>
          <t>BANCO</t>
        </is>
      </c>
      <c r="AE1053" t="n">
        <v>3</v>
      </c>
      <c r="AF1053" t="inlineStr">
        <is>
          <t>FRONT</t>
        </is>
      </c>
      <c r="AG1053" t="n">
        <v>126102</v>
      </c>
      <c r="AH1053" t="inlineStr">
        <is>
          <t>MONTERREY</t>
        </is>
      </c>
      <c r="AI1053" t="inlineStr">
        <is>
          <t>JFERNANDEZ@BANCOBASE.COM</t>
        </is>
      </c>
      <c r="AJ1053" s="151" t="n">
        <v>44837</v>
      </c>
      <c r="AK1053" s="151" t="n"/>
      <c r="AL1053" s="151" t="n"/>
    </row>
    <row r="1054" hidden="1" s="150">
      <c r="A1054" t="inlineStr">
        <is>
          <t>AONTIVEROS</t>
        </is>
      </c>
      <c r="B1054" t="n">
        <v>2107</v>
      </c>
      <c r="C1054" t="inlineStr">
        <is>
          <t>ALDO DANIEL ONTIVEROS LAZCANO</t>
        </is>
      </c>
      <c r="D1054" t="n">
        <v>8154</v>
      </c>
      <c r="E1054" t="inlineStr">
        <is>
          <t>ANALISTA DE CARTAS DE CREDITO</t>
        </is>
      </c>
      <c r="F1054" t="inlineStr">
        <is>
          <t>MONTERREY</t>
        </is>
      </c>
      <c r="G1054" t="n">
        <v>2739</v>
      </c>
      <c r="H1054" t="inlineStr">
        <is>
          <t>JORGE ALEJANDRO FERNANDEZ ELIZONDO</t>
        </is>
      </c>
      <c r="I1054" t="n">
        <v>8008</v>
      </c>
      <c r="J1054" t="inlineStr">
        <is>
          <t>LIDER DE CARTAS DE CREDITO</t>
        </is>
      </c>
      <c r="K1054" t="n">
        <v>1</v>
      </c>
      <c r="L1054" t="inlineStr">
        <is>
          <t>PRESIDENCIA EJECUTIVA DEL CONSEJO</t>
        </is>
      </c>
      <c r="M1054" t="n">
        <v>40</v>
      </c>
      <c r="N1054" t="inlineStr">
        <is>
          <t>DIRECCION GENERAL BANCO BASE</t>
        </is>
      </c>
      <c r="O1054" t="n">
        <v>410</v>
      </c>
      <c r="P1054" t="inlineStr">
        <is>
          <t>DIRECCION COMERCIAL</t>
        </is>
      </c>
      <c r="Q1054" t="n">
        <v>4102</v>
      </c>
      <c r="R1054" t="inlineStr">
        <is>
          <t>DIRECCION DE SOLUCIONES</t>
        </is>
      </c>
      <c r="S1054" t="n">
        <v>45200</v>
      </c>
      <c r="T1054" t="inlineStr">
        <is>
          <t>DIRECCION DE FINANCIAMIENTO</t>
        </is>
      </c>
      <c r="U1054" t="n">
        <v>452000</v>
      </c>
      <c r="V1054" t="inlineStr">
        <is>
          <t>DIRECCION DE FINANCIAMIENTO</t>
        </is>
      </c>
      <c r="W1054" t="n">
        <v>126102</v>
      </c>
      <c r="X1054" t="inlineStr">
        <is>
          <t>VALLE ORIENTE</t>
        </is>
      </c>
      <c r="Y1054" t="n">
        <v>13</v>
      </c>
      <c r="Z1054" t="inlineStr">
        <is>
          <t>FINANCIAMIENTO</t>
        </is>
      </c>
      <c r="AA1054" t="n">
        <v>1</v>
      </c>
      <c r="AB1054" t="inlineStr">
        <is>
          <t>NEGOCIO EN MARCHA</t>
        </is>
      </c>
      <c r="AC1054" t="n">
        <v>1</v>
      </c>
      <c r="AD1054" t="inlineStr">
        <is>
          <t>BANCO</t>
        </is>
      </c>
      <c r="AE1054" t="n">
        <v>3</v>
      </c>
      <c r="AF1054" t="inlineStr">
        <is>
          <t>FRONT</t>
        </is>
      </c>
      <c r="AG1054" t="n">
        <v>126102</v>
      </c>
      <c r="AH1054" t="inlineStr">
        <is>
          <t>MONTERREY</t>
        </is>
      </c>
      <c r="AI1054" t="inlineStr">
        <is>
          <t>AONTIVEROS@BANCOBASE.COM</t>
        </is>
      </c>
      <c r="AJ1054" s="151" t="n">
        <v>43368</v>
      </c>
      <c r="AK1054" s="151" t="n"/>
      <c r="AL1054" s="151" t="n"/>
    </row>
    <row r="1055" hidden="1" s="150">
      <c r="A1055" t="inlineStr">
        <is>
          <t>TRODRIGUEZ</t>
        </is>
      </c>
      <c r="B1055" t="n">
        <v>1525</v>
      </c>
      <c r="C1055" t="inlineStr">
        <is>
          <t>TANIA MARIEL RODRIGUEZ ARRANGOIZ</t>
        </is>
      </c>
      <c r="D1055" t="n">
        <v>10307</v>
      </c>
      <c r="E1055" t="inlineStr">
        <is>
          <t>PRODUCT OWNER CANALES</t>
        </is>
      </c>
      <c r="F1055" t="inlineStr">
        <is>
          <t>MONTERREY</t>
        </is>
      </c>
      <c r="G1055" t="n">
        <v>3795</v>
      </c>
      <c r="H1055" t="inlineStr">
        <is>
          <t>JUAN ANTONIO OCHOA MONE</t>
        </is>
      </c>
      <c r="I1055" t="n">
        <v>5053</v>
      </c>
      <c r="J1055" t="inlineStr">
        <is>
          <t>DIRECTOR DE SOLUCIONES</t>
        </is>
      </c>
      <c r="K1055" t="n">
        <v>1</v>
      </c>
      <c r="L1055" t="inlineStr">
        <is>
          <t>PRESIDENCIA EJECUTIVA DEL CONSEJO</t>
        </is>
      </c>
      <c r="M1055" t="n">
        <v>40</v>
      </c>
      <c r="N1055" t="inlineStr">
        <is>
          <t>DIRECCION GENERAL BANCO BASE</t>
        </is>
      </c>
      <c r="O1055" t="n">
        <v>410</v>
      </c>
      <c r="P1055" t="inlineStr">
        <is>
          <t>DIRECCION COMERCIAL</t>
        </is>
      </c>
      <c r="Q1055" t="n">
        <v>4102</v>
      </c>
      <c r="R1055" t="inlineStr">
        <is>
          <t>DIRECCION DE SOLUCIONES</t>
        </is>
      </c>
      <c r="S1055" t="n">
        <v>45340</v>
      </c>
      <c r="T1055" t="inlineStr">
        <is>
          <t>SUBDIRECCION DE OPORTUNIDADES Y MEJORA CONTINUA</t>
        </is>
      </c>
      <c r="U1055" t="n">
        <v>453400</v>
      </c>
      <c r="V1055" t="inlineStr">
        <is>
          <t>SUBDIRECCION DE OPORTUNIDADES Y MEJORA CONTINUA</t>
        </is>
      </c>
      <c r="W1055" t="n">
        <v>100101</v>
      </c>
      <c r="X1055" t="inlineStr">
        <is>
          <t>CORPORATIVO</t>
        </is>
      </c>
      <c r="Y1055" t="n">
        <v>14</v>
      </c>
      <c r="Z1055" t="inlineStr">
        <is>
          <t>TRANSACCIONAL</t>
        </is>
      </c>
      <c r="AA1055" t="n">
        <v>1</v>
      </c>
      <c r="AB1055" t="inlineStr">
        <is>
          <t>NEGOCIO EN MARCHA</t>
        </is>
      </c>
      <c r="AC1055" t="n">
        <v>1</v>
      </c>
      <c r="AD1055" t="inlineStr">
        <is>
          <t>BANCO</t>
        </is>
      </c>
      <c r="AE1055" t="n">
        <v>1</v>
      </c>
      <c r="AF1055" t="inlineStr">
        <is>
          <t>BACK</t>
        </is>
      </c>
      <c r="AG1055" t="n">
        <v>100101</v>
      </c>
      <c r="AH1055" t="inlineStr">
        <is>
          <t>CORPORATIVO</t>
        </is>
      </c>
      <c r="AI1055" t="inlineStr">
        <is>
          <t>TRODRIGUEZ@BANCOBASE.COM</t>
        </is>
      </c>
      <c r="AJ1055" s="151" t="n">
        <v>42464</v>
      </c>
      <c r="AK1055" s="151" t="n"/>
      <c r="AL1055" s="151" t="n"/>
    </row>
    <row r="1056" hidden="1" s="150">
      <c r="A1056" t="inlineStr">
        <is>
          <t>JROJAS</t>
        </is>
      </c>
      <c r="B1056" t="n">
        <v>2612</v>
      </c>
      <c r="C1056" t="inlineStr">
        <is>
          <t>JUAN PABLO ROJAS MARTINEZ</t>
        </is>
      </c>
      <c r="D1056" t="n">
        <v>8347</v>
      </c>
      <c r="E1056" t="inlineStr">
        <is>
          <t>GERENTE DE IDENTIFICACION DE OPORTUNIDADES</t>
        </is>
      </c>
      <c r="F1056" t="inlineStr">
        <is>
          <t>MEXICO</t>
        </is>
      </c>
      <c r="G1056" t="n">
        <v>1525</v>
      </c>
      <c r="H1056" t="inlineStr">
        <is>
          <t>TANIA MARIEL RODRIGUEZ ARRANGOIZ</t>
        </is>
      </c>
      <c r="I1056" t="n">
        <v>10307</v>
      </c>
      <c r="J1056" t="inlineStr">
        <is>
          <t>PRODUCT OWNER CANALES</t>
        </is>
      </c>
      <c r="K1056" t="n">
        <v>1</v>
      </c>
      <c r="L1056" t="inlineStr">
        <is>
          <t>PRESIDENCIA EJECUTIVA DEL CONSEJO</t>
        </is>
      </c>
      <c r="M1056" t="n">
        <v>40</v>
      </c>
      <c r="N1056" t="inlineStr">
        <is>
          <t>DIRECCION GENERAL BANCO BASE</t>
        </is>
      </c>
      <c r="O1056" t="n">
        <v>410</v>
      </c>
      <c r="P1056" t="inlineStr">
        <is>
          <t>DIRECCION COMERCIAL</t>
        </is>
      </c>
      <c r="Q1056" t="n">
        <v>4102</v>
      </c>
      <c r="R1056" t="inlineStr">
        <is>
          <t>DIRECCION DE SOLUCIONES</t>
        </is>
      </c>
      <c r="S1056" t="n">
        <v>45340</v>
      </c>
      <c r="T1056" t="inlineStr">
        <is>
          <t>SUBDIRECCION DE OPORTUNIDADES Y MEJORA CONTINUA</t>
        </is>
      </c>
      <c r="U1056" t="n">
        <v>453400</v>
      </c>
      <c r="V1056" t="inlineStr">
        <is>
          <t>SUBDIRECCION DE OPORTUNIDADES Y MEJORA CONTINUA</t>
        </is>
      </c>
      <c r="W1056" t="n">
        <v>134111</v>
      </c>
      <c r="X1056" t="inlineStr">
        <is>
          <t>LOMAS</t>
        </is>
      </c>
      <c r="Y1056" t="n">
        <v>14</v>
      </c>
      <c r="Z1056" t="inlineStr">
        <is>
          <t>TRANSACCIONAL</t>
        </is>
      </c>
      <c r="AA1056" t="n">
        <v>1</v>
      </c>
      <c r="AB1056" t="inlineStr">
        <is>
          <t>NEGOCIO EN MARCHA</t>
        </is>
      </c>
      <c r="AC1056" t="n">
        <v>1</v>
      </c>
      <c r="AD1056" t="inlineStr">
        <is>
          <t>BANCO</t>
        </is>
      </c>
      <c r="AE1056" t="n">
        <v>1</v>
      </c>
      <c r="AF1056" t="inlineStr">
        <is>
          <t>BACK</t>
        </is>
      </c>
      <c r="AG1056" t="n">
        <v>134111</v>
      </c>
      <c r="AH1056" t="inlineStr">
        <is>
          <t>LOMAS</t>
        </is>
      </c>
      <c r="AI1056" t="inlineStr">
        <is>
          <t>JROJAS@BANCOBASE.COM</t>
        </is>
      </c>
      <c r="AJ1056" s="151" t="n">
        <v>44608</v>
      </c>
      <c r="AK1056" s="151" t="n"/>
      <c r="AL1056" s="151" t="n"/>
    </row>
    <row r="1057" hidden="1" s="150">
      <c r="A1057" t="inlineStr">
        <is>
          <t>PDELGADO</t>
        </is>
      </c>
      <c r="B1057" t="n">
        <v>1404</v>
      </c>
      <c r="C1057" t="inlineStr">
        <is>
          <t>PAULINA IXSHEL DELGADO FRANCO</t>
        </is>
      </c>
      <c r="D1057" t="n">
        <v>8695</v>
      </c>
      <c r="E1057" t="inlineStr">
        <is>
          <t>GERENTE DE GESTION DE PLATAFORMAS</t>
        </is>
      </c>
      <c r="F1057" t="inlineStr">
        <is>
          <t>MEXICO</t>
        </is>
      </c>
      <c r="G1057" t="n">
        <v>1525</v>
      </c>
      <c r="H1057" t="inlineStr">
        <is>
          <t>TANIA MARIEL RODRIGUEZ ARRANGOIZ</t>
        </is>
      </c>
      <c r="I1057" t="n">
        <v>10307</v>
      </c>
      <c r="J1057" t="inlineStr">
        <is>
          <t>PRODUCT OWNER CANALES</t>
        </is>
      </c>
      <c r="K1057" t="n">
        <v>1</v>
      </c>
      <c r="L1057" t="inlineStr">
        <is>
          <t>PRESIDENCIA EJECUTIVA DEL CONSEJO</t>
        </is>
      </c>
      <c r="M1057" t="n">
        <v>40</v>
      </c>
      <c r="N1057" t="inlineStr">
        <is>
          <t>DIRECCION GENERAL BANCO BASE</t>
        </is>
      </c>
      <c r="O1057" t="n">
        <v>410</v>
      </c>
      <c r="P1057" t="inlineStr">
        <is>
          <t>DIRECCION COMERCIAL</t>
        </is>
      </c>
      <c r="Q1057" t="n">
        <v>4102</v>
      </c>
      <c r="R1057" t="inlineStr">
        <is>
          <t>DIRECCION DE SOLUCIONES</t>
        </is>
      </c>
      <c r="S1057" t="n">
        <v>45340</v>
      </c>
      <c r="T1057" t="inlineStr">
        <is>
          <t>SUBDIRECCION DE OPORTUNIDADES Y MEJORA CONTINUA</t>
        </is>
      </c>
      <c r="U1057" t="n">
        <v>453400</v>
      </c>
      <c r="V1057" t="inlineStr">
        <is>
          <t>SUBDIRECCION DE OPORTUNIDADES Y MEJORA CONTINUA</t>
        </is>
      </c>
      <c r="W1057" t="n">
        <v>134111</v>
      </c>
      <c r="X1057" t="inlineStr">
        <is>
          <t>LOMAS</t>
        </is>
      </c>
      <c r="Y1057" t="n">
        <v>14</v>
      </c>
      <c r="Z1057" t="inlineStr">
        <is>
          <t>TRANSACCIONAL</t>
        </is>
      </c>
      <c r="AA1057" t="n">
        <v>1</v>
      </c>
      <c r="AB1057" t="inlineStr">
        <is>
          <t>NEGOCIO EN MARCHA</t>
        </is>
      </c>
      <c r="AC1057" t="n">
        <v>1</v>
      </c>
      <c r="AD1057" t="inlineStr">
        <is>
          <t>BANCO</t>
        </is>
      </c>
      <c r="AE1057" t="n">
        <v>1</v>
      </c>
      <c r="AF1057" t="inlineStr">
        <is>
          <t>BACK</t>
        </is>
      </c>
      <c r="AG1057" t="n">
        <v>134111</v>
      </c>
      <c r="AH1057" t="inlineStr">
        <is>
          <t>LOMAS</t>
        </is>
      </c>
      <c r="AI1057" t="inlineStr">
        <is>
          <t>PDELGADO@BANCOBASE.COM</t>
        </is>
      </c>
      <c r="AJ1057" s="151" t="n">
        <v>42325</v>
      </c>
      <c r="AK1057" s="151" t="n"/>
      <c r="AL1057" s="151" t="n"/>
    </row>
    <row r="1058" hidden="1" s="150">
      <c r="A1058" t="inlineStr">
        <is>
          <t>LDUQUER</t>
        </is>
      </c>
      <c r="B1058" t="n">
        <v>2683</v>
      </c>
      <c r="C1058" t="inlineStr">
        <is>
          <t>JOSE LUIS DUQUE RAMIREZ</t>
        </is>
      </c>
      <c r="D1058" t="n">
        <v>9900</v>
      </c>
      <c r="E1058" t="inlineStr">
        <is>
          <t>ESPECIALISTA DE MEJORA CONTINUA</t>
        </is>
      </c>
      <c r="F1058" t="inlineStr">
        <is>
          <t>MONTERREY</t>
        </is>
      </c>
      <c r="G1058" t="n">
        <v>1404</v>
      </c>
      <c r="H1058" t="inlineStr">
        <is>
          <t>PAULINA IXSHEL DELGADO FRANCO</t>
        </is>
      </c>
      <c r="I1058" t="n">
        <v>8695</v>
      </c>
      <c r="J1058" t="inlineStr">
        <is>
          <t>GERENTE DE GESTION DE PLATAFORMAS</t>
        </is>
      </c>
      <c r="K1058" t="n">
        <v>1</v>
      </c>
      <c r="L1058" t="inlineStr">
        <is>
          <t>PRESIDENCIA EJECUTIVA DEL CONSEJO</t>
        </is>
      </c>
      <c r="M1058" t="n">
        <v>40</v>
      </c>
      <c r="N1058" t="inlineStr">
        <is>
          <t>DIRECCION GENERAL BANCO BASE</t>
        </is>
      </c>
      <c r="O1058" t="n">
        <v>410</v>
      </c>
      <c r="P1058" t="inlineStr">
        <is>
          <t>DIRECCION COMERCIAL</t>
        </is>
      </c>
      <c r="Q1058" t="n">
        <v>4102</v>
      </c>
      <c r="R1058" t="inlineStr">
        <is>
          <t>DIRECCION DE SOLUCIONES</t>
        </is>
      </c>
      <c r="S1058" t="n">
        <v>45340</v>
      </c>
      <c r="T1058" t="inlineStr">
        <is>
          <t>SUBDIRECCION DE OPORTUNIDADES Y MEJORA CONTINUA</t>
        </is>
      </c>
      <c r="U1058" t="n">
        <v>453400</v>
      </c>
      <c r="V1058" t="inlineStr">
        <is>
          <t>SUBDIRECCION DE OPORTUNIDADES Y MEJORA CONTINUA</t>
        </is>
      </c>
      <c r="W1058" t="n">
        <v>126102</v>
      </c>
      <c r="X1058" t="inlineStr">
        <is>
          <t>VALLE ORIENTE</t>
        </is>
      </c>
      <c r="Y1058" t="n">
        <v>14</v>
      </c>
      <c r="Z1058" t="inlineStr">
        <is>
          <t>TRANSACCIONAL</t>
        </is>
      </c>
      <c r="AA1058" t="n">
        <v>1</v>
      </c>
      <c r="AB1058" t="inlineStr">
        <is>
          <t>NEGOCIO EN MARCHA</t>
        </is>
      </c>
      <c r="AC1058" t="n">
        <v>1</v>
      </c>
      <c r="AD1058" t="inlineStr">
        <is>
          <t>BANCO</t>
        </is>
      </c>
      <c r="AE1058" t="n">
        <v>1</v>
      </c>
      <c r="AF1058" t="inlineStr">
        <is>
          <t>BACK</t>
        </is>
      </c>
      <c r="AG1058" t="n">
        <v>126102</v>
      </c>
      <c r="AH1058" t="inlineStr">
        <is>
          <t>MONTERREY</t>
        </is>
      </c>
      <c r="AI1058" t="inlineStr">
        <is>
          <t>LDUQUER@BANCOBASE.COM</t>
        </is>
      </c>
      <c r="AJ1058" s="151" t="n">
        <v>44743</v>
      </c>
      <c r="AK1058" s="151" t="n"/>
      <c r="AL1058" s="151" t="n"/>
    </row>
    <row r="1059" hidden="1" s="150">
      <c r="A1059" t="inlineStr">
        <is>
          <t>FSERRANO</t>
        </is>
      </c>
      <c r="B1059" t="n">
        <v>3314</v>
      </c>
      <c r="C1059" t="inlineStr">
        <is>
          <t>FRANCISCO YERANDI SERRANO VALENZUELA</t>
        </is>
      </c>
      <c r="D1059" t="n">
        <v>8466</v>
      </c>
      <c r="E1059" t="inlineStr">
        <is>
          <t>ESPECIALISTA DE MEJORA CONTINUA</t>
        </is>
      </c>
      <c r="F1059" t="inlineStr">
        <is>
          <t>MONTERREY</t>
        </is>
      </c>
      <c r="G1059" t="n">
        <v>1404</v>
      </c>
      <c r="H1059" t="inlineStr">
        <is>
          <t>PAULINA IXSHEL DELGADO FRANCO</t>
        </is>
      </c>
      <c r="I1059" t="n">
        <v>8695</v>
      </c>
      <c r="J1059" t="inlineStr">
        <is>
          <t>GERENTE DE GESTION DE PLATAFORMAS</t>
        </is>
      </c>
      <c r="K1059" t="n">
        <v>1</v>
      </c>
      <c r="L1059" t="inlineStr">
        <is>
          <t>PRESIDENCIA EJECUTIVA DEL CONSEJO</t>
        </is>
      </c>
      <c r="M1059" t="n">
        <v>40</v>
      </c>
      <c r="N1059" t="inlineStr">
        <is>
          <t>DIRECCION GENERAL BANCO BASE</t>
        </is>
      </c>
      <c r="O1059" t="n">
        <v>410</v>
      </c>
      <c r="P1059" t="inlineStr">
        <is>
          <t>DIRECCION COMERCIAL</t>
        </is>
      </c>
      <c r="Q1059" t="n">
        <v>4102</v>
      </c>
      <c r="R1059" t="inlineStr">
        <is>
          <t>DIRECCION DE SOLUCIONES</t>
        </is>
      </c>
      <c r="S1059" t="n">
        <v>45340</v>
      </c>
      <c r="T1059" t="inlineStr">
        <is>
          <t>SUBDIRECCION DE OPORTUNIDADES Y MEJORA CONTINUA</t>
        </is>
      </c>
      <c r="U1059" t="n">
        <v>453400</v>
      </c>
      <c r="V1059" t="inlineStr">
        <is>
          <t>SUBDIRECCION DE OPORTUNIDADES Y MEJORA CONTINUA</t>
        </is>
      </c>
      <c r="W1059" t="n">
        <v>100101</v>
      </c>
      <c r="X1059" t="inlineStr">
        <is>
          <t>CORPORATIVO</t>
        </is>
      </c>
      <c r="Y1059" t="n">
        <v>14</v>
      </c>
      <c r="Z1059" t="inlineStr">
        <is>
          <t>TRANSACCIONAL</t>
        </is>
      </c>
      <c r="AA1059" t="n">
        <v>1</v>
      </c>
      <c r="AB1059" t="inlineStr">
        <is>
          <t>NEGOCIO EN MARCHA</t>
        </is>
      </c>
      <c r="AC1059" t="n">
        <v>1</v>
      </c>
      <c r="AD1059" t="inlineStr">
        <is>
          <t>BANCO</t>
        </is>
      </c>
      <c r="AE1059" t="n">
        <v>1</v>
      </c>
      <c r="AF1059" t="inlineStr">
        <is>
          <t>BACK</t>
        </is>
      </c>
      <c r="AG1059" t="n">
        <v>100101</v>
      </c>
      <c r="AH1059" t="inlineStr">
        <is>
          <t>CORPORATIVO</t>
        </is>
      </c>
      <c r="AI1059" t="inlineStr">
        <is>
          <t>FSERRANO@BANCOBASE.COM</t>
        </is>
      </c>
      <c r="AJ1059" s="151" t="n">
        <v>45673</v>
      </c>
      <c r="AK1059" s="151" t="n"/>
      <c r="AL1059" s="151" t="n"/>
    </row>
    <row r="1060" hidden="1" s="150">
      <c r="A1060" t="inlineStr">
        <is>
          <t>CALARCON</t>
        </is>
      </c>
      <c r="B1060" t="n">
        <v>3618</v>
      </c>
      <c r="C1060" t="inlineStr">
        <is>
          <t>CECILIA ALARCON FLORES</t>
        </is>
      </c>
      <c r="D1060" t="n">
        <v>8468</v>
      </c>
      <c r="E1060" t="inlineStr">
        <is>
          <t>ANALISTA DE ASEGURAMIENTO DE CALIDAD</t>
        </is>
      </c>
      <c r="F1060" t="inlineStr">
        <is>
          <t>MONTERREY</t>
        </is>
      </c>
      <c r="G1060" t="n">
        <v>1404</v>
      </c>
      <c r="H1060" t="inlineStr">
        <is>
          <t>PAULINA IXSHEL DELGADO FRANCO</t>
        </is>
      </c>
      <c r="I1060" t="n">
        <v>8695</v>
      </c>
      <c r="J1060" t="inlineStr">
        <is>
          <t>GERENTE DE GESTION DE PLATAFORMAS</t>
        </is>
      </c>
      <c r="K1060" t="n">
        <v>1</v>
      </c>
      <c r="L1060" t="inlineStr">
        <is>
          <t>PRESIDENCIA EJECUTIVA DEL CONSEJO</t>
        </is>
      </c>
      <c r="M1060" t="n">
        <v>40</v>
      </c>
      <c r="N1060" t="inlineStr">
        <is>
          <t>DIRECCION GENERAL BANCO BASE</t>
        </is>
      </c>
      <c r="O1060" t="n">
        <v>410</v>
      </c>
      <c r="P1060" t="inlineStr">
        <is>
          <t>DIRECCION COMERCIAL</t>
        </is>
      </c>
      <c r="Q1060" t="n">
        <v>4102</v>
      </c>
      <c r="R1060" t="inlineStr">
        <is>
          <t>DIRECCION DE SOLUCIONES</t>
        </is>
      </c>
      <c r="S1060" t="n">
        <v>45340</v>
      </c>
      <c r="T1060" t="inlineStr">
        <is>
          <t>SUBDIRECCION DE OPORTUNIDADES Y MEJORA CONTINUA</t>
        </is>
      </c>
      <c r="U1060" t="n">
        <v>453400</v>
      </c>
      <c r="V1060" t="inlineStr">
        <is>
          <t>SUBDIRECCION DE OPORTUNIDADES Y MEJORA CONTINUA</t>
        </is>
      </c>
      <c r="W1060" t="n">
        <v>100101</v>
      </c>
      <c r="X1060" t="inlineStr">
        <is>
          <t>CORPORATIVO</t>
        </is>
      </c>
      <c r="Y1060" t="n">
        <v>14</v>
      </c>
      <c r="Z1060" t="inlineStr">
        <is>
          <t>TRANSACCIONAL</t>
        </is>
      </c>
      <c r="AA1060" t="n">
        <v>1</v>
      </c>
      <c r="AB1060" t="inlineStr">
        <is>
          <t>NEGOCIO EN MARCHA</t>
        </is>
      </c>
      <c r="AC1060" t="n">
        <v>1</v>
      </c>
      <c r="AD1060" t="inlineStr">
        <is>
          <t>BANCO</t>
        </is>
      </c>
      <c r="AE1060" t="n">
        <v>1</v>
      </c>
      <c r="AF1060" t="inlineStr">
        <is>
          <t>BACK</t>
        </is>
      </c>
      <c r="AG1060" t="n">
        <v>100101</v>
      </c>
      <c r="AH1060" t="inlineStr">
        <is>
          <t>CORPORATIVO</t>
        </is>
      </c>
      <c r="AI1060" t="inlineStr">
        <is>
          <t>CALARCON@BANCOBASE.COM</t>
        </is>
      </c>
      <c r="AJ1060" s="151" t="n">
        <v>45946</v>
      </c>
      <c r="AK1060" s="151" t="n"/>
      <c r="AL1060" s="151" t="n"/>
    </row>
    <row r="1061" hidden="1" s="150">
      <c r="A1061" t="inlineStr">
        <is>
          <t>OGUERRERO</t>
        </is>
      </c>
      <c r="B1061" t="n">
        <v>2998</v>
      </c>
      <c r="C1061" t="inlineStr">
        <is>
          <t>ODALYS ADAMARI GUERRERO LEAL</t>
        </is>
      </c>
      <c r="D1061" t="n">
        <v>8272</v>
      </c>
      <c r="E1061" t="inlineStr">
        <is>
          <t>ANALISTA DE ASEGURAMIENTO DE CALIDAD</t>
        </is>
      </c>
      <c r="F1061" t="inlineStr">
        <is>
          <t>MONTERREY</t>
        </is>
      </c>
      <c r="G1061" t="n">
        <v>1404</v>
      </c>
      <c r="H1061" t="inlineStr">
        <is>
          <t>PAULINA IXSHEL DELGADO FRANCO</t>
        </is>
      </c>
      <c r="I1061" t="n">
        <v>8695</v>
      </c>
      <c r="J1061" t="inlineStr">
        <is>
          <t>GERENTE DE GESTION DE PLATAFORMAS</t>
        </is>
      </c>
      <c r="K1061" t="n">
        <v>1</v>
      </c>
      <c r="L1061" t="inlineStr">
        <is>
          <t>PRESIDENCIA EJECUTIVA DEL CONSEJO</t>
        </is>
      </c>
      <c r="M1061" t="n">
        <v>40</v>
      </c>
      <c r="N1061" t="inlineStr">
        <is>
          <t>DIRECCION GENERAL BANCO BASE</t>
        </is>
      </c>
      <c r="O1061" t="n">
        <v>410</v>
      </c>
      <c r="P1061" t="inlineStr">
        <is>
          <t>DIRECCION COMERCIAL</t>
        </is>
      </c>
      <c r="Q1061" t="n">
        <v>4102</v>
      </c>
      <c r="R1061" t="inlineStr">
        <is>
          <t>DIRECCION DE SOLUCIONES</t>
        </is>
      </c>
      <c r="S1061" t="n">
        <v>45340</v>
      </c>
      <c r="T1061" t="inlineStr">
        <is>
          <t>SUBDIRECCION DE OPORTUNIDADES Y MEJORA CONTINUA</t>
        </is>
      </c>
      <c r="U1061" t="n">
        <v>453400</v>
      </c>
      <c r="V1061" t="inlineStr">
        <is>
          <t>SUBDIRECCION DE OPORTUNIDADES Y MEJORA CONTINUA</t>
        </is>
      </c>
      <c r="W1061" t="n">
        <v>100101</v>
      </c>
      <c r="X1061" t="inlineStr">
        <is>
          <t>CORPORATIVO</t>
        </is>
      </c>
      <c r="Y1061" t="n">
        <v>14</v>
      </c>
      <c r="Z1061" t="inlineStr">
        <is>
          <t>TRANSACCIONAL</t>
        </is>
      </c>
      <c r="AA1061" t="n">
        <v>1</v>
      </c>
      <c r="AB1061" t="inlineStr">
        <is>
          <t>NEGOCIO EN MARCHA</t>
        </is>
      </c>
      <c r="AC1061" t="n">
        <v>1</v>
      </c>
      <c r="AD1061" t="inlineStr">
        <is>
          <t>BANCO</t>
        </is>
      </c>
      <c r="AE1061" t="n">
        <v>1</v>
      </c>
      <c r="AF1061" t="inlineStr">
        <is>
          <t>BACK</t>
        </is>
      </c>
      <c r="AG1061" t="n">
        <v>100101</v>
      </c>
      <c r="AH1061" t="inlineStr">
        <is>
          <t>CORPORATIVO</t>
        </is>
      </c>
      <c r="AI1061" t="inlineStr">
        <is>
          <t>OGUERRERO@BANCOBASE.COM</t>
        </is>
      </c>
      <c r="AJ1061" s="151" t="n">
        <v>45261</v>
      </c>
      <c r="AK1061" s="151" t="n"/>
      <c r="AL1061" s="151" t="n"/>
    </row>
    <row r="1062" hidden="1" s="150">
      <c r="A1062" t="inlineStr">
        <is>
          <t>DMARTINEZO</t>
        </is>
      </c>
      <c r="B1062" t="n">
        <v>3900</v>
      </c>
      <c r="C1062" t="inlineStr">
        <is>
          <t>DANELIA MARTINEZ ORTIZ</t>
        </is>
      </c>
      <c r="D1062" t="n">
        <v>8996</v>
      </c>
      <c r="E1062" t="inlineStr">
        <is>
          <t>ANALISTA DE ASEGURAMIENTO DE CALIDAD</t>
        </is>
      </c>
      <c r="F1062" t="inlineStr">
        <is>
          <t>MEXICO</t>
        </is>
      </c>
      <c r="G1062" t="n">
        <v>1404</v>
      </c>
      <c r="H1062" t="inlineStr">
        <is>
          <t>PAULINA IXSHEL DELGADO FRANCO</t>
        </is>
      </c>
      <c r="I1062" t="n">
        <v>8695</v>
      </c>
      <c r="J1062" t="inlineStr">
        <is>
          <t>GERENTE DE GESTION DE PLATAFORMAS</t>
        </is>
      </c>
      <c r="K1062" t="n">
        <v>1</v>
      </c>
      <c r="L1062" t="inlineStr">
        <is>
          <t>PRESIDENCIA EJECUTIVA DEL CONSEJO</t>
        </is>
      </c>
      <c r="M1062" t="n">
        <v>40</v>
      </c>
      <c r="N1062" t="inlineStr">
        <is>
          <t>DIRECCION GENERAL BANCO BASE</t>
        </is>
      </c>
      <c r="O1062" t="n">
        <v>410</v>
      </c>
      <c r="P1062" t="inlineStr">
        <is>
          <t>DIRECCION COMERCIAL</t>
        </is>
      </c>
      <c r="Q1062" t="n">
        <v>4102</v>
      </c>
      <c r="R1062" t="inlineStr">
        <is>
          <t>DIRECCION DE SOLUCIONES</t>
        </is>
      </c>
      <c r="S1062" t="n">
        <v>45340</v>
      </c>
      <c r="T1062" t="inlineStr">
        <is>
          <t>SUBDIRECCION DE OPORTUNIDADES Y MEJORA CONTINUA</t>
        </is>
      </c>
      <c r="U1062" t="n">
        <v>453400</v>
      </c>
      <c r="V1062" t="inlineStr">
        <is>
          <t>SUBDIRECCION DE OPORTUNIDADES Y MEJORA CONTINUA</t>
        </is>
      </c>
      <c r="W1062" t="n">
        <v>134111</v>
      </c>
      <c r="X1062" t="inlineStr">
        <is>
          <t>LOMAS</t>
        </is>
      </c>
      <c r="Y1062" t="n">
        <v>14</v>
      </c>
      <c r="Z1062" t="inlineStr">
        <is>
          <t>TRANSACCIONAL</t>
        </is>
      </c>
      <c r="AA1062" t="n">
        <v>1</v>
      </c>
      <c r="AB1062" t="inlineStr">
        <is>
          <t>NEGOCIO EN MARCHA</t>
        </is>
      </c>
      <c r="AC1062" t="n">
        <v>1</v>
      </c>
      <c r="AD1062" t="inlineStr">
        <is>
          <t>BANCO</t>
        </is>
      </c>
      <c r="AE1062" t="n">
        <v>1</v>
      </c>
      <c r="AF1062" t="inlineStr">
        <is>
          <t>BACK</t>
        </is>
      </c>
      <c r="AG1062" t="n">
        <v>134111</v>
      </c>
      <c r="AH1062" t="inlineStr">
        <is>
          <t>LOMAS</t>
        </is>
      </c>
      <c r="AI1062" t="inlineStr">
        <is>
          <t>DMARTINEZO@BANCOBASE.COM</t>
        </is>
      </c>
      <c r="AJ1062" s="151" t="n">
        <v>46189</v>
      </c>
      <c r="AK1062" s="151" t="n"/>
      <c r="AL1062" s="151" t="n"/>
    </row>
    <row r="1063" hidden="1" s="150">
      <c r="A1063" t="inlineStr">
        <is>
          <t>AFLOREST</t>
        </is>
      </c>
      <c r="B1063" t="n">
        <v>3071</v>
      </c>
      <c r="C1063" t="inlineStr">
        <is>
          <t>ADRIAN FLORES TORRES</t>
        </is>
      </c>
      <c r="D1063" t="n">
        <v>10117</v>
      </c>
      <c r="E1063" t="inlineStr">
        <is>
          <t>PRODUCT OWNER BBD</t>
        </is>
      </c>
      <c r="F1063" t="inlineStr">
        <is>
          <t>GUADALAJARA</t>
        </is>
      </c>
      <c r="G1063" t="n">
        <v>1525</v>
      </c>
      <c r="H1063" t="inlineStr">
        <is>
          <t>TANIA MARIEL RODRIGUEZ ARRANGOIZ</t>
        </is>
      </c>
      <c r="I1063" t="n">
        <v>10307</v>
      </c>
      <c r="J1063" t="inlineStr">
        <is>
          <t>PRODUCT OWNER CANALES</t>
        </is>
      </c>
      <c r="K1063" t="n">
        <v>1</v>
      </c>
      <c r="L1063" t="inlineStr">
        <is>
          <t>PRESIDENCIA EJECUTIVA DEL CONSEJO</t>
        </is>
      </c>
      <c r="M1063" t="n">
        <v>40</v>
      </c>
      <c r="N1063" t="inlineStr">
        <is>
          <t>DIRECCION GENERAL BANCO BASE</t>
        </is>
      </c>
      <c r="O1063" t="n">
        <v>410</v>
      </c>
      <c r="P1063" t="inlineStr">
        <is>
          <t>DIRECCION COMERCIAL</t>
        </is>
      </c>
      <c r="Q1063" t="n">
        <v>4102</v>
      </c>
      <c r="R1063" t="inlineStr">
        <is>
          <t>DIRECCION DE SOLUCIONES</t>
        </is>
      </c>
      <c r="S1063" t="n">
        <v>34000</v>
      </c>
      <c r="T1063" t="inlineStr">
        <is>
          <t>DIRECCION DE SOLUCIONES DE NEGOCIOS DIGITALES</t>
        </is>
      </c>
      <c r="U1063" t="n">
        <v>340000</v>
      </c>
      <c r="V1063" t="inlineStr">
        <is>
          <t>DIRECCION DE SOLUCIONES DE NEGOCIOS DIGITALES</t>
        </is>
      </c>
      <c r="W1063" t="n">
        <v>126107</v>
      </c>
      <c r="X1063" t="inlineStr">
        <is>
          <t>GUADALAJARA</t>
        </is>
      </c>
      <c r="Y1063" t="n">
        <v>9</v>
      </c>
      <c r="Z1063" t="inlineStr">
        <is>
          <t>BANCARIO</t>
        </is>
      </c>
      <c r="AA1063" t="n">
        <v>1</v>
      </c>
      <c r="AB1063" t="inlineStr">
        <is>
          <t>NEGOCIO EN MARCHA</t>
        </is>
      </c>
      <c r="AC1063" t="n">
        <v>1</v>
      </c>
      <c r="AD1063" t="inlineStr">
        <is>
          <t>BANCO</t>
        </is>
      </c>
      <c r="AE1063" t="n">
        <v>1</v>
      </c>
      <c r="AF1063" t="inlineStr">
        <is>
          <t>BACK</t>
        </is>
      </c>
      <c r="AG1063" t="n">
        <v>126107</v>
      </c>
      <c r="AH1063" t="inlineStr">
        <is>
          <t>GUADALAJARA</t>
        </is>
      </c>
      <c r="AI1063" t="inlineStr">
        <is>
          <t>AFLOREST@BANCOBASE.COM</t>
        </is>
      </c>
      <c r="AJ1063" s="151" t="n">
        <v>45383</v>
      </c>
      <c r="AK1063" s="151" t="n"/>
      <c r="AL1063" s="151" t="n"/>
    </row>
    <row r="1064" hidden="1" s="150">
      <c r="A1064" t="inlineStr">
        <is>
          <t>MCOSLA</t>
        </is>
      </c>
      <c r="B1064" t="n">
        <v>2213</v>
      </c>
      <c r="C1064" t="inlineStr">
        <is>
          <t>MANUEL DEL COS LARA</t>
        </is>
      </c>
      <c r="D1064" t="n">
        <v>10308</v>
      </c>
      <c r="E1064" t="inlineStr">
        <is>
          <t>PRODUCT OWNER BBD</t>
        </is>
      </c>
      <c r="F1064" t="inlineStr">
        <is>
          <t>MONTERREY</t>
        </is>
      </c>
      <c r="G1064" t="n">
        <v>1525</v>
      </c>
      <c r="H1064" t="inlineStr">
        <is>
          <t>TANIA MARIEL RODRIGUEZ ARRANGOIZ</t>
        </is>
      </c>
      <c r="I1064" t="n">
        <v>10307</v>
      </c>
      <c r="J1064" t="inlineStr">
        <is>
          <t>PRODUCT OWNER CANALES</t>
        </is>
      </c>
      <c r="K1064" t="n">
        <v>1</v>
      </c>
      <c r="L1064" t="inlineStr">
        <is>
          <t>PRESIDENCIA EJECUTIVA DEL CONSEJO</t>
        </is>
      </c>
      <c r="M1064" t="n">
        <v>40</v>
      </c>
      <c r="N1064" t="inlineStr">
        <is>
          <t>DIRECCION GENERAL BANCO BASE</t>
        </is>
      </c>
      <c r="O1064" t="n">
        <v>410</v>
      </c>
      <c r="P1064" t="inlineStr">
        <is>
          <t>DIRECCION COMERCIAL</t>
        </is>
      </c>
      <c r="Q1064" t="n">
        <v>4102</v>
      </c>
      <c r="R1064" t="inlineStr">
        <is>
          <t>DIRECCION DE SOLUCIONES</t>
        </is>
      </c>
      <c r="S1064" t="n">
        <v>34000</v>
      </c>
      <c r="T1064" t="inlineStr">
        <is>
          <t>DIRECCION DE SOLUCIONES DE NEGOCIOS DIGITALES</t>
        </is>
      </c>
      <c r="U1064" t="n">
        <v>340000</v>
      </c>
      <c r="V1064" t="inlineStr">
        <is>
          <t>DIRECCION DE SOLUCIONES DE NEGOCIOS DIGITALES</t>
        </is>
      </c>
      <c r="W1064" t="n">
        <v>100101</v>
      </c>
      <c r="X1064" t="inlineStr">
        <is>
          <t>CORPORATIVO</t>
        </is>
      </c>
      <c r="Y1064" t="n">
        <v>9</v>
      </c>
      <c r="Z1064" t="inlineStr">
        <is>
          <t>BANCARIO</t>
        </is>
      </c>
      <c r="AA1064" t="n">
        <v>1</v>
      </c>
      <c r="AB1064" t="inlineStr">
        <is>
          <t>NEGOCIO EN MARCHA</t>
        </is>
      </c>
      <c r="AC1064" t="n">
        <v>1</v>
      </c>
      <c r="AD1064" t="inlineStr">
        <is>
          <t>BANCO</t>
        </is>
      </c>
      <c r="AE1064" t="n">
        <v>1</v>
      </c>
      <c r="AF1064" t="inlineStr">
        <is>
          <t>BACK</t>
        </is>
      </c>
      <c r="AG1064" t="n">
        <v>100101</v>
      </c>
      <c r="AH1064" t="inlineStr">
        <is>
          <t>CORPORATIVO</t>
        </is>
      </c>
      <c r="AI1064" t="inlineStr">
        <is>
          <t>MCOSLA@BANCOBASE.COM</t>
        </is>
      </c>
      <c r="AJ1064" s="151" t="n">
        <v>43556</v>
      </c>
      <c r="AK1064" s="151" t="n"/>
      <c r="AL1064" s="151" t="n"/>
    </row>
    <row r="1065" hidden="1" s="150">
      <c r="A1065" t="inlineStr">
        <is>
          <t>YROJAS</t>
        </is>
      </c>
      <c r="B1065" t="n">
        <v>2882</v>
      </c>
      <c r="C1065" t="inlineStr">
        <is>
          <t>ERIKA YASMIN ROJAS CASTELLANOS</t>
        </is>
      </c>
      <c r="D1065" t="n">
        <v>8116</v>
      </c>
      <c r="E1065" t="inlineStr">
        <is>
          <t>PRODUCT OWNER BBD</t>
        </is>
      </c>
      <c r="F1065" t="inlineStr">
        <is>
          <t>MONTERREY</t>
        </is>
      </c>
      <c r="G1065" t="n">
        <v>1525</v>
      </c>
      <c r="H1065" t="inlineStr">
        <is>
          <t>TANIA MARIEL RODRIGUEZ ARRANGOIZ</t>
        </is>
      </c>
      <c r="I1065" t="n">
        <v>10307</v>
      </c>
      <c r="J1065" t="inlineStr">
        <is>
          <t>PRODUCT OWNER CANALES</t>
        </is>
      </c>
      <c r="K1065" t="n">
        <v>1</v>
      </c>
      <c r="L1065" t="inlineStr">
        <is>
          <t>PRESIDENCIA EJECUTIVA DEL CONSEJO</t>
        </is>
      </c>
      <c r="M1065" t="n">
        <v>40</v>
      </c>
      <c r="N1065" t="inlineStr">
        <is>
          <t>DIRECCION GENERAL BANCO BASE</t>
        </is>
      </c>
      <c r="O1065" t="n">
        <v>410</v>
      </c>
      <c r="P1065" t="inlineStr">
        <is>
          <t>DIRECCION COMERCIAL</t>
        </is>
      </c>
      <c r="Q1065" t="n">
        <v>4102</v>
      </c>
      <c r="R1065" t="inlineStr">
        <is>
          <t>DIRECCION DE SOLUCIONES</t>
        </is>
      </c>
      <c r="S1065" t="n">
        <v>34000</v>
      </c>
      <c r="T1065" t="inlineStr">
        <is>
          <t>DIRECCION DE SOLUCIONES DE NEGOCIOS DIGITALES</t>
        </is>
      </c>
      <c r="U1065" t="n">
        <v>340000</v>
      </c>
      <c r="V1065" t="inlineStr">
        <is>
          <t>DIRECCION DE SOLUCIONES DE NEGOCIOS DIGITALES</t>
        </is>
      </c>
      <c r="W1065" t="n">
        <v>100101</v>
      </c>
      <c r="X1065" t="inlineStr">
        <is>
          <t>CORPORATIVO</t>
        </is>
      </c>
      <c r="Y1065" t="n">
        <v>9</v>
      </c>
      <c r="Z1065" t="inlineStr">
        <is>
          <t>BANCARIO</t>
        </is>
      </c>
      <c r="AA1065" t="n">
        <v>1</v>
      </c>
      <c r="AB1065" t="inlineStr">
        <is>
          <t>NEGOCIO EN MARCHA</t>
        </is>
      </c>
      <c r="AC1065" t="n">
        <v>1</v>
      </c>
      <c r="AD1065" t="inlineStr">
        <is>
          <t>BANCO</t>
        </is>
      </c>
      <c r="AE1065" t="n">
        <v>1</v>
      </c>
      <c r="AF1065" t="inlineStr">
        <is>
          <t>BACK</t>
        </is>
      </c>
      <c r="AG1065" t="n">
        <v>100101</v>
      </c>
      <c r="AH1065" t="inlineStr">
        <is>
          <t>CORPORATIVO</t>
        </is>
      </c>
      <c r="AI1065" t="inlineStr">
        <is>
          <t>YROJAS@BANCOBASE.COM</t>
        </is>
      </c>
      <c r="AJ1065" s="151" t="n">
        <v>45037</v>
      </c>
      <c r="AK1065" s="151" t="n"/>
      <c r="AL1065" s="151" t="n"/>
    </row>
    <row r="1066" hidden="1" s="150">
      <c r="A1066" t="inlineStr">
        <is>
          <t>IMEDINA</t>
        </is>
      </c>
      <c r="B1066" t="n">
        <v>2565</v>
      </c>
      <c r="C1066" t="inlineStr">
        <is>
          <t>IRY DELIWIL MEDINA CEJA</t>
        </is>
      </c>
      <c r="D1066" t="n">
        <v>10354</v>
      </c>
      <c r="E1066" t="inlineStr">
        <is>
          <t>GERENTE EXPERIENCIA AL CLIENTE</t>
        </is>
      </c>
      <c r="F1066" t="inlineStr">
        <is>
          <t>MONTERREY</t>
        </is>
      </c>
      <c r="G1066" t="n">
        <v>1525</v>
      </c>
      <c r="H1066" t="inlineStr">
        <is>
          <t>TANIA MARIEL RODRIGUEZ ARRANGOIZ</t>
        </is>
      </c>
      <c r="I1066" t="n">
        <v>10307</v>
      </c>
      <c r="J1066" t="inlineStr">
        <is>
          <t>PRODUCT OWNER CANALES</t>
        </is>
      </c>
      <c r="K1066" t="n">
        <v>1</v>
      </c>
      <c r="L1066" t="inlineStr">
        <is>
          <t>PRESIDENCIA EJECUTIVA DEL CONSEJO</t>
        </is>
      </c>
      <c r="M1066" t="n">
        <v>40</v>
      </c>
      <c r="N1066" t="inlineStr">
        <is>
          <t>DIRECCION GENERAL BANCO BASE</t>
        </is>
      </c>
      <c r="O1066" t="n">
        <v>410</v>
      </c>
      <c r="P1066" t="inlineStr">
        <is>
          <t>DIRECCION COMERCIAL</t>
        </is>
      </c>
      <c r="Q1066" t="n">
        <v>4102</v>
      </c>
      <c r="R1066" t="inlineStr">
        <is>
          <t>DIRECCION DE SOLUCIONES</t>
        </is>
      </c>
      <c r="S1066" t="n">
        <v>45330</v>
      </c>
      <c r="T1066" t="inlineStr">
        <is>
          <t>GERENCIA DE EXPERIENCIA AL CLIENTE</t>
        </is>
      </c>
      <c r="U1066" t="n">
        <v>453300</v>
      </c>
      <c r="V1066" t="inlineStr">
        <is>
          <t>GERENCIA DE EXPERIENCIA AL CLIENTE</t>
        </is>
      </c>
      <c r="W1066" t="n">
        <v>100101</v>
      </c>
      <c r="X1066" t="inlineStr">
        <is>
          <t>CORPORATIVO</t>
        </is>
      </c>
      <c r="Y1066" t="n">
        <v>14</v>
      </c>
      <c r="Z1066" t="inlineStr">
        <is>
          <t>TRANSACCIONAL</t>
        </is>
      </c>
      <c r="AA1066" t="n">
        <v>1</v>
      </c>
      <c r="AB1066" t="inlineStr">
        <is>
          <t>NEGOCIO EN MARCHA</t>
        </is>
      </c>
      <c r="AC1066" t="n">
        <v>1</v>
      </c>
      <c r="AD1066" t="inlineStr">
        <is>
          <t>BANCO</t>
        </is>
      </c>
      <c r="AE1066" t="n">
        <v>1</v>
      </c>
      <c r="AF1066" t="inlineStr">
        <is>
          <t>BACK</t>
        </is>
      </c>
      <c r="AG1066" t="n">
        <v>100101</v>
      </c>
      <c r="AH1066" t="inlineStr">
        <is>
          <t>CORPORATIVO</t>
        </is>
      </c>
      <c r="AI1066" t="inlineStr">
        <is>
          <t>IMEDINA@BANCOBASE.COM</t>
        </is>
      </c>
      <c r="AJ1066" s="151" t="n">
        <v>44494</v>
      </c>
      <c r="AK1066" s="151" t="n"/>
      <c r="AL1066" s="151" t="n"/>
    </row>
    <row r="1067" hidden="1" s="150">
      <c r="A1067" t="inlineStr">
        <is>
          <t>IMARTINEZB</t>
        </is>
      </c>
      <c r="B1067" t="n">
        <v>3179</v>
      </c>
      <c r="C1067" t="inlineStr">
        <is>
          <t>ILSE YENISEI MARTINEZ BARCENAS</t>
        </is>
      </c>
      <c r="D1067" t="n">
        <v>8406</v>
      </c>
      <c r="E1067" t="inlineStr">
        <is>
          <t>ESPECIALISTA EXPERIENCIA AL CLIENTE</t>
        </is>
      </c>
      <c r="F1067" t="inlineStr">
        <is>
          <t>MONTERREY</t>
        </is>
      </c>
      <c r="G1067" t="n">
        <v>2565</v>
      </c>
      <c r="H1067" t="inlineStr">
        <is>
          <t>IRY DELIWIL MEDINA CEJA</t>
        </is>
      </c>
      <c r="I1067" t="n">
        <v>10354</v>
      </c>
      <c r="J1067" t="inlineStr">
        <is>
          <t>GERENTE EXPERIENCIA AL CLIENTE</t>
        </is>
      </c>
      <c r="K1067" t="n">
        <v>1</v>
      </c>
      <c r="L1067" t="inlineStr">
        <is>
          <t>PRESIDENCIA EJECUTIVA DEL CONSEJO</t>
        </is>
      </c>
      <c r="M1067" t="n">
        <v>40</v>
      </c>
      <c r="N1067" t="inlineStr">
        <is>
          <t>DIRECCION GENERAL BANCO BASE</t>
        </is>
      </c>
      <c r="O1067" t="n">
        <v>410</v>
      </c>
      <c r="P1067" t="inlineStr">
        <is>
          <t>DIRECCION COMERCIAL</t>
        </is>
      </c>
      <c r="Q1067" t="n">
        <v>4102</v>
      </c>
      <c r="R1067" t="inlineStr">
        <is>
          <t>DIRECCION DE SOLUCIONES</t>
        </is>
      </c>
      <c r="S1067" t="n">
        <v>45330</v>
      </c>
      <c r="T1067" t="inlineStr">
        <is>
          <t>GERENCIA DE EXPERIENCIA AL CLIENTE</t>
        </is>
      </c>
      <c r="U1067" t="n">
        <v>453300</v>
      </c>
      <c r="V1067" t="inlineStr">
        <is>
          <t>GERENCIA DE EXPERIENCIA AL CLIENTE</t>
        </is>
      </c>
      <c r="W1067" t="n">
        <v>100101</v>
      </c>
      <c r="X1067" t="inlineStr">
        <is>
          <t>CORPORATIVO</t>
        </is>
      </c>
      <c r="Y1067" t="n">
        <v>14</v>
      </c>
      <c r="Z1067" t="inlineStr">
        <is>
          <t>TRANSACCIONAL</t>
        </is>
      </c>
      <c r="AA1067" t="n">
        <v>1</v>
      </c>
      <c r="AB1067" t="inlineStr">
        <is>
          <t>NEGOCIO EN MARCHA</t>
        </is>
      </c>
      <c r="AC1067" t="n">
        <v>1</v>
      </c>
      <c r="AD1067" t="inlineStr">
        <is>
          <t>BANCO</t>
        </is>
      </c>
      <c r="AE1067" t="n">
        <v>1</v>
      </c>
      <c r="AF1067" t="inlineStr">
        <is>
          <t>BACK</t>
        </is>
      </c>
      <c r="AG1067" t="n">
        <v>100101</v>
      </c>
      <c r="AH1067" t="inlineStr">
        <is>
          <t>CORPORATIVO</t>
        </is>
      </c>
      <c r="AI1067" t="inlineStr">
        <is>
          <t>IMARTINEZB@BANCOBASE.COM</t>
        </is>
      </c>
      <c r="AJ1067" s="151" t="n">
        <v>45509</v>
      </c>
      <c r="AK1067" s="151" t="n"/>
      <c r="AL1067" s="151" t="n"/>
    </row>
    <row r="1068" hidden="1" s="150">
      <c r="A1068" t="inlineStr">
        <is>
          <t>LROMEROD</t>
        </is>
      </c>
      <c r="B1068" t="n">
        <v>3173</v>
      </c>
      <c r="C1068" t="inlineStr">
        <is>
          <t>LOURDES ROMERO DE PAZ</t>
        </is>
      </c>
      <c r="D1068" t="n">
        <v>10254</v>
      </c>
      <c r="E1068" t="inlineStr">
        <is>
          <t>ESPECIALISTA EXPERIENCIA AL CLIENTE</t>
        </is>
      </c>
      <c r="F1068" t="inlineStr">
        <is>
          <t>MONTERREY</t>
        </is>
      </c>
      <c r="G1068" t="n">
        <v>2565</v>
      </c>
      <c r="H1068" t="inlineStr">
        <is>
          <t>IRY DELIWIL MEDINA CEJA</t>
        </is>
      </c>
      <c r="I1068" t="n">
        <v>10354</v>
      </c>
      <c r="J1068" t="inlineStr">
        <is>
          <t>GERENTE EXPERIENCIA AL CLIENTE</t>
        </is>
      </c>
      <c r="K1068" t="n">
        <v>1</v>
      </c>
      <c r="L1068" t="inlineStr">
        <is>
          <t>PRESIDENCIA EJECUTIVA DEL CONSEJO</t>
        </is>
      </c>
      <c r="M1068" t="n">
        <v>40</v>
      </c>
      <c r="N1068" t="inlineStr">
        <is>
          <t>DIRECCION GENERAL BANCO BASE</t>
        </is>
      </c>
      <c r="O1068" t="n">
        <v>410</v>
      </c>
      <c r="P1068" t="inlineStr">
        <is>
          <t>DIRECCION COMERCIAL</t>
        </is>
      </c>
      <c r="Q1068" t="n">
        <v>4102</v>
      </c>
      <c r="R1068" t="inlineStr">
        <is>
          <t>DIRECCION DE SOLUCIONES</t>
        </is>
      </c>
      <c r="S1068" t="n">
        <v>45330</v>
      </c>
      <c r="T1068" t="inlineStr">
        <is>
          <t>GERENCIA DE EXPERIENCIA AL CLIENTE</t>
        </is>
      </c>
      <c r="U1068" t="n">
        <v>453300</v>
      </c>
      <c r="V1068" t="inlineStr">
        <is>
          <t>GERENCIA DE EXPERIENCIA AL CLIENTE</t>
        </is>
      </c>
      <c r="W1068" t="n">
        <v>100101</v>
      </c>
      <c r="X1068" t="inlineStr">
        <is>
          <t>CORPORATIVO</t>
        </is>
      </c>
      <c r="Y1068" t="n">
        <v>14</v>
      </c>
      <c r="Z1068" t="inlineStr">
        <is>
          <t>TRANSACCIONAL</t>
        </is>
      </c>
      <c r="AA1068" t="n">
        <v>1</v>
      </c>
      <c r="AB1068" t="inlineStr">
        <is>
          <t>NEGOCIO EN MARCHA</t>
        </is>
      </c>
      <c r="AC1068" t="n">
        <v>1</v>
      </c>
      <c r="AD1068" t="inlineStr">
        <is>
          <t>BANCO</t>
        </is>
      </c>
      <c r="AE1068" t="n">
        <v>1</v>
      </c>
      <c r="AF1068" t="inlineStr">
        <is>
          <t>BACK</t>
        </is>
      </c>
      <c r="AG1068" t="n">
        <v>100101</v>
      </c>
      <c r="AH1068" t="inlineStr">
        <is>
          <t>CORPORATIVO</t>
        </is>
      </c>
      <c r="AI1068" t="inlineStr">
        <is>
          <t>LROMEROD@BANCOBASE.COM</t>
        </is>
      </c>
      <c r="AJ1068" s="151" t="n">
        <v>45505</v>
      </c>
      <c r="AK1068" s="151" t="n"/>
      <c r="AL1068" s="151" t="n"/>
    </row>
    <row r="1069" hidden="1" s="150">
      <c r="A1069" t="inlineStr">
        <is>
          <t>SCHAPA</t>
        </is>
      </c>
      <c r="B1069" t="n">
        <v>621</v>
      </c>
      <c r="C1069" t="inlineStr">
        <is>
          <t>SUSANA MARTHA CHAPA RHI SAUSI</t>
        </is>
      </c>
      <c r="D1069" t="n">
        <v>120</v>
      </c>
      <c r="E1069" t="inlineStr">
        <is>
          <t>ESPECIALISTA DE DISEÑO</t>
        </is>
      </c>
      <c r="F1069" t="inlineStr">
        <is>
          <t>MONTERREY</t>
        </is>
      </c>
      <c r="G1069" t="n">
        <v>2565</v>
      </c>
      <c r="H1069" t="inlineStr">
        <is>
          <t>IRY DELIWIL MEDINA CEJA</t>
        </is>
      </c>
      <c r="I1069" t="n">
        <v>10354</v>
      </c>
      <c r="J1069" t="inlineStr">
        <is>
          <t>GERENTE EXPERIENCIA AL CLIENTE</t>
        </is>
      </c>
      <c r="K1069" t="n">
        <v>1</v>
      </c>
      <c r="L1069" t="inlineStr">
        <is>
          <t>PRESIDENCIA EJECUTIVA DEL CONSEJO</t>
        </is>
      </c>
      <c r="M1069" t="n">
        <v>40</v>
      </c>
      <c r="N1069" t="inlineStr">
        <is>
          <t>DIRECCION GENERAL BANCO BASE</t>
        </is>
      </c>
      <c r="O1069" t="n">
        <v>410</v>
      </c>
      <c r="P1069" t="inlineStr">
        <is>
          <t>DIRECCION COMERCIAL</t>
        </is>
      </c>
      <c r="Q1069" t="n">
        <v>4102</v>
      </c>
      <c r="R1069" t="inlineStr">
        <is>
          <t>DIRECCION DE SOLUCIONES</t>
        </is>
      </c>
      <c r="S1069" t="n">
        <v>45330</v>
      </c>
      <c r="T1069" t="inlineStr">
        <is>
          <t>GERENCIA DE EXPERIENCIA AL CLIENTE</t>
        </is>
      </c>
      <c r="U1069" t="n">
        <v>453300</v>
      </c>
      <c r="V1069" t="inlineStr">
        <is>
          <t>GERENCIA DE EXPERIENCIA AL CLIENTE</t>
        </is>
      </c>
      <c r="W1069" t="n">
        <v>100101</v>
      </c>
      <c r="X1069" t="inlineStr">
        <is>
          <t>CORPORATIVO</t>
        </is>
      </c>
      <c r="Y1069" t="n">
        <v>14</v>
      </c>
      <c r="Z1069" t="inlineStr">
        <is>
          <t>TRANSACCIONAL</t>
        </is>
      </c>
      <c r="AA1069" t="n">
        <v>1</v>
      </c>
      <c r="AB1069" t="inlineStr">
        <is>
          <t>NEGOCIO EN MARCHA</t>
        </is>
      </c>
      <c r="AC1069" t="n">
        <v>1</v>
      </c>
      <c r="AD1069" t="inlineStr">
        <is>
          <t>BANCO</t>
        </is>
      </c>
      <c r="AE1069" t="n">
        <v>1</v>
      </c>
      <c r="AF1069" t="inlineStr">
        <is>
          <t>BACK</t>
        </is>
      </c>
      <c r="AG1069" t="n">
        <v>100101</v>
      </c>
      <c r="AH1069" t="inlineStr">
        <is>
          <t>CORPORATIVO</t>
        </is>
      </c>
      <c r="AI1069" t="inlineStr">
        <is>
          <t>SCHAPA@BANCOBASE.COM</t>
        </is>
      </c>
      <c r="AJ1069" s="151" t="n">
        <v>40339</v>
      </c>
      <c r="AK1069" s="151" t="n"/>
      <c r="AL1069" s="151" t="n"/>
    </row>
    <row r="1070" hidden="1" s="150">
      <c r="A1070" t="inlineStr">
        <is>
          <t>AAGUILARM</t>
        </is>
      </c>
      <c r="B1070" t="n">
        <v>2444</v>
      </c>
      <c r="C1070" t="inlineStr">
        <is>
          <t>ANNAKARLA ILEANA AGUILAR MORALES</t>
        </is>
      </c>
      <c r="D1070" t="n">
        <v>10293</v>
      </c>
      <c r="E1070" t="inlineStr">
        <is>
          <t>ANALISTA DE DISEÑO</t>
        </is>
      </c>
      <c r="F1070" t="inlineStr">
        <is>
          <t>MONTERREY</t>
        </is>
      </c>
      <c r="G1070" t="n">
        <v>2565</v>
      </c>
      <c r="H1070" t="inlineStr">
        <is>
          <t>IRY DELIWIL MEDINA CEJA</t>
        </is>
      </c>
      <c r="I1070" t="n">
        <v>10354</v>
      </c>
      <c r="J1070" t="inlineStr">
        <is>
          <t>GERENTE EXPERIENCIA AL CLIENTE</t>
        </is>
      </c>
      <c r="K1070" t="n">
        <v>1</v>
      </c>
      <c r="L1070" t="inlineStr">
        <is>
          <t>PRESIDENCIA EJECUTIVA DEL CONSEJO</t>
        </is>
      </c>
      <c r="M1070" t="n">
        <v>40</v>
      </c>
      <c r="N1070" t="inlineStr">
        <is>
          <t>DIRECCION GENERAL BANCO BASE</t>
        </is>
      </c>
      <c r="O1070" t="n">
        <v>410</v>
      </c>
      <c r="P1070" t="inlineStr">
        <is>
          <t>DIRECCION COMERCIAL</t>
        </is>
      </c>
      <c r="Q1070" t="n">
        <v>4102</v>
      </c>
      <c r="R1070" t="inlineStr">
        <is>
          <t>DIRECCION DE SOLUCIONES</t>
        </is>
      </c>
      <c r="S1070" t="n">
        <v>45330</v>
      </c>
      <c r="T1070" t="inlineStr">
        <is>
          <t>GERENCIA DE EXPERIENCIA AL CLIENTE</t>
        </is>
      </c>
      <c r="U1070" t="n">
        <v>453300</v>
      </c>
      <c r="V1070" t="inlineStr">
        <is>
          <t>GERENCIA DE EXPERIENCIA AL CLIENTE</t>
        </is>
      </c>
      <c r="W1070" t="n">
        <v>100101</v>
      </c>
      <c r="X1070" t="inlineStr">
        <is>
          <t>CORPORATIVO</t>
        </is>
      </c>
      <c r="Y1070" t="n">
        <v>14</v>
      </c>
      <c r="Z1070" t="inlineStr">
        <is>
          <t>TRANSACCIONAL</t>
        </is>
      </c>
      <c r="AA1070" t="n">
        <v>1</v>
      </c>
      <c r="AB1070" t="inlineStr">
        <is>
          <t>NEGOCIO EN MARCHA</t>
        </is>
      </c>
      <c r="AC1070" t="n">
        <v>1</v>
      </c>
      <c r="AD1070" t="inlineStr">
        <is>
          <t>BANCO</t>
        </is>
      </c>
      <c r="AE1070" t="n">
        <v>1</v>
      </c>
      <c r="AF1070" t="inlineStr">
        <is>
          <t>BACK</t>
        </is>
      </c>
      <c r="AG1070" t="n">
        <v>100101</v>
      </c>
      <c r="AH1070" t="inlineStr">
        <is>
          <t>CORPORATIVO</t>
        </is>
      </c>
      <c r="AI1070" t="inlineStr">
        <is>
          <t>AAGUILARM@BANCOBASE.COM</t>
        </is>
      </c>
      <c r="AJ1070" s="151" t="n">
        <v>44138</v>
      </c>
      <c r="AK1070" s="151" t="n"/>
      <c r="AL1070" s="151" t="n"/>
    </row>
    <row r="1071" hidden="1" s="150">
      <c r="A1071" t="inlineStr">
        <is>
          <t>IFERNANDEZ</t>
        </is>
      </c>
      <c r="B1071" t="n">
        <v>3258</v>
      </c>
      <c r="C1071" t="inlineStr">
        <is>
          <t>DIANA INES FERNANDEZ PEREZ</t>
        </is>
      </c>
      <c r="D1071" t="n">
        <v>8454</v>
      </c>
      <c r="E1071" t="inlineStr">
        <is>
          <t>ANALISTA DE DISEÑO</t>
        </is>
      </c>
      <c r="F1071" t="inlineStr">
        <is>
          <t>MONTERREY</t>
        </is>
      </c>
      <c r="G1071" t="n">
        <v>2565</v>
      </c>
      <c r="H1071" t="inlineStr">
        <is>
          <t>IRY DELIWIL MEDINA CEJA</t>
        </is>
      </c>
      <c r="I1071" t="n">
        <v>10354</v>
      </c>
      <c r="J1071" t="inlineStr">
        <is>
          <t>GERENTE EXPERIENCIA AL CLIENTE</t>
        </is>
      </c>
      <c r="K1071" t="n">
        <v>1</v>
      </c>
      <c r="L1071" t="inlineStr">
        <is>
          <t>PRESIDENCIA EJECUTIVA DEL CONSEJO</t>
        </is>
      </c>
      <c r="M1071" t="n">
        <v>40</v>
      </c>
      <c r="N1071" t="inlineStr">
        <is>
          <t>DIRECCION GENERAL BANCO BASE</t>
        </is>
      </c>
      <c r="O1071" t="n">
        <v>410</v>
      </c>
      <c r="P1071" t="inlineStr">
        <is>
          <t>DIRECCION COMERCIAL</t>
        </is>
      </c>
      <c r="Q1071" t="n">
        <v>4102</v>
      </c>
      <c r="R1071" t="inlineStr">
        <is>
          <t>DIRECCION DE SOLUCIONES</t>
        </is>
      </c>
      <c r="S1071" t="n">
        <v>45330</v>
      </c>
      <c r="T1071" t="inlineStr">
        <is>
          <t>GERENCIA DE EXPERIENCIA AL CLIENTE</t>
        </is>
      </c>
      <c r="U1071" t="n">
        <v>453300</v>
      </c>
      <c r="V1071" t="inlineStr">
        <is>
          <t>GERENCIA DE EXPERIENCIA AL CLIENTE</t>
        </is>
      </c>
      <c r="W1071" t="n">
        <v>100101</v>
      </c>
      <c r="X1071" t="inlineStr">
        <is>
          <t>CORPORATIVO</t>
        </is>
      </c>
      <c r="Y1071" t="n">
        <v>14</v>
      </c>
      <c r="Z1071" t="inlineStr">
        <is>
          <t>TRANSACCIONAL</t>
        </is>
      </c>
      <c r="AA1071" t="n">
        <v>1</v>
      </c>
      <c r="AB1071" t="inlineStr">
        <is>
          <t>NEGOCIO EN MARCHA</t>
        </is>
      </c>
      <c r="AC1071" t="n">
        <v>1</v>
      </c>
      <c r="AD1071" t="inlineStr">
        <is>
          <t>BANCO</t>
        </is>
      </c>
      <c r="AE1071" t="n">
        <v>1</v>
      </c>
      <c r="AF1071" t="inlineStr">
        <is>
          <t>BACK</t>
        </is>
      </c>
      <c r="AG1071" t="n">
        <v>100101</v>
      </c>
      <c r="AH1071" t="inlineStr">
        <is>
          <t>CORPORATIVO</t>
        </is>
      </c>
      <c r="AI1071" t="inlineStr">
        <is>
          <t>IFERNANDEZ@BANCOBASE.COM</t>
        </is>
      </c>
      <c r="AJ1071" s="151" t="n">
        <v>45600</v>
      </c>
      <c r="AK1071" s="151" t="n"/>
      <c r="AL1071" s="151" t="n"/>
    </row>
    <row r="1072" hidden="1" s="150">
      <c r="A1072" t="inlineStr">
        <is>
          <t>CTEIJO</t>
        </is>
      </c>
      <c r="B1072" t="n">
        <v>3697</v>
      </c>
      <c r="C1072" t="inlineStr">
        <is>
          <t>CLAUDIA TEIJO CABALLERO</t>
        </is>
      </c>
      <c r="D1072" t="n">
        <v>8932</v>
      </c>
      <c r="E1072" t="inlineStr">
        <is>
          <t>ANALISTA DE DESPLIEGUE DE BANCA DIGITAL</t>
        </is>
      </c>
      <c r="F1072" t="inlineStr">
        <is>
          <t>MEXICO</t>
        </is>
      </c>
      <c r="G1072" t="n">
        <v>1525</v>
      </c>
      <c r="H1072" t="inlineStr">
        <is>
          <t>TANIA MARIEL RODRIGUEZ ARRANGOIZ</t>
        </is>
      </c>
      <c r="I1072" t="n">
        <v>10307</v>
      </c>
      <c r="J1072" t="inlineStr">
        <is>
          <t>PRODUCT OWNER CANALES</t>
        </is>
      </c>
      <c r="K1072" t="n">
        <v>1</v>
      </c>
      <c r="L1072" t="inlineStr">
        <is>
          <t>PRESIDENCIA EJECUTIVA DEL CONSEJO</t>
        </is>
      </c>
      <c r="M1072" t="n">
        <v>40</v>
      </c>
      <c r="N1072" t="inlineStr">
        <is>
          <t>DIRECCION GENERAL BANCO BASE</t>
        </is>
      </c>
      <c r="O1072" t="n">
        <v>410</v>
      </c>
      <c r="P1072" t="inlineStr">
        <is>
          <t>DIRECCION COMERCIAL</t>
        </is>
      </c>
      <c r="Q1072" t="n">
        <v>4560</v>
      </c>
      <c r="R1072" t="inlineStr">
        <is>
          <t>DIRECCION DE ATRACCION Y VENTAS</t>
        </is>
      </c>
      <c r="S1072" t="n">
        <v>45640</v>
      </c>
      <c r="T1072" t="inlineStr">
        <is>
          <t>DESPLIEGUE DE BANCA DIGITAL</t>
        </is>
      </c>
      <c r="U1072" t="n">
        <v>456400</v>
      </c>
      <c r="V1072" t="inlineStr">
        <is>
          <t>DESPLIEGUE DE BANCA DIGITAL</t>
        </is>
      </c>
      <c r="W1072" t="n">
        <v>134111</v>
      </c>
      <c r="X1072" t="inlineStr">
        <is>
          <t>LOMAS</t>
        </is>
      </c>
      <c r="Y1072" t="n">
        <v>14</v>
      </c>
      <c r="Z1072" t="inlineStr">
        <is>
          <t>TRANSACCIONAL</t>
        </is>
      </c>
      <c r="AA1072" t="n">
        <v>1</v>
      </c>
      <c r="AB1072" t="inlineStr">
        <is>
          <t>NEGOCIO EN MARCHA</t>
        </is>
      </c>
      <c r="AC1072" t="n">
        <v>1</v>
      </c>
      <c r="AD1072" t="inlineStr">
        <is>
          <t>BANCO</t>
        </is>
      </c>
      <c r="AE1072" t="n">
        <v>2</v>
      </c>
      <c r="AF1072" t="inlineStr">
        <is>
          <t>MIDDLE</t>
        </is>
      </c>
      <c r="AG1072" t="n">
        <v>134111</v>
      </c>
      <c r="AH1072" t="inlineStr">
        <is>
          <t>LOMAS</t>
        </is>
      </c>
      <c r="AI1072" t="inlineStr">
        <is>
          <t>CTEIJO@BANCOBASE.COM</t>
        </is>
      </c>
      <c r="AJ1072" s="151" t="n">
        <v>45992</v>
      </c>
      <c r="AK1072" s="151" t="n"/>
      <c r="AL1072" s="151" t="n"/>
    </row>
    <row r="1073" hidden="1" s="150">
      <c r="A1073" t="inlineStr">
        <is>
          <t>VALATORRE</t>
        </is>
      </c>
      <c r="B1073" t="n">
        <v>1451</v>
      </c>
      <c r="C1073" t="inlineStr">
        <is>
          <t>VERONICA IVONNE ALATORRE DE LA VEGA</t>
        </is>
      </c>
      <c r="D1073" t="n">
        <v>9934</v>
      </c>
      <c r="E1073" t="inlineStr">
        <is>
          <t>SUBDIRECTOR NACIONAL DE BANCA TRANSACCIONAL E INVERSIONES</t>
        </is>
      </c>
      <c r="F1073" t="inlineStr">
        <is>
          <t>MEXICO</t>
        </is>
      </c>
      <c r="G1073" t="n">
        <v>3795</v>
      </c>
      <c r="H1073" t="inlineStr">
        <is>
          <t>JUAN ANTONIO OCHOA MONE</t>
        </is>
      </c>
      <c r="I1073" t="n">
        <v>5053</v>
      </c>
      <c r="J1073" t="inlineStr">
        <is>
          <t>DIRECTOR DE SOLUCIONES</t>
        </is>
      </c>
      <c r="K1073" t="n">
        <v>1</v>
      </c>
      <c r="L1073" t="inlineStr">
        <is>
          <t>PRESIDENCIA EJECUTIVA DEL CONSEJO</t>
        </is>
      </c>
      <c r="M1073" t="n">
        <v>40</v>
      </c>
      <c r="N1073" t="inlineStr">
        <is>
          <t>DIRECCION GENERAL BANCO BASE</t>
        </is>
      </c>
      <c r="O1073" t="n">
        <v>410</v>
      </c>
      <c r="P1073" t="inlineStr">
        <is>
          <t>DIRECCION COMERCIAL</t>
        </is>
      </c>
      <c r="Q1073" t="n">
        <v>4102</v>
      </c>
      <c r="R1073" t="inlineStr">
        <is>
          <t>DIRECCION DE SOLUCIONES</t>
        </is>
      </c>
      <c r="S1073" t="n">
        <v>45310</v>
      </c>
      <c r="T1073" t="inlineStr">
        <is>
          <t>SUBDIRECCION NACIONAL DE BANCA TRANSACCIONAL</t>
        </is>
      </c>
      <c r="U1073" t="n">
        <v>453100</v>
      </c>
      <c r="V1073" t="inlineStr">
        <is>
          <t>SUBDIRECCION NACIONAL DE BANCA TRANSACCIONAL</t>
        </is>
      </c>
      <c r="W1073" t="n">
        <v>134111</v>
      </c>
      <c r="X1073" t="inlineStr">
        <is>
          <t>LOMAS</t>
        </is>
      </c>
      <c r="Y1073" t="n">
        <v>14</v>
      </c>
      <c r="Z1073" t="inlineStr">
        <is>
          <t>TRANSACCIONAL</t>
        </is>
      </c>
      <c r="AA1073" t="n">
        <v>1</v>
      </c>
      <c r="AB1073" t="inlineStr">
        <is>
          <t>NEGOCIO EN MARCHA</t>
        </is>
      </c>
      <c r="AC1073" t="n">
        <v>1</v>
      </c>
      <c r="AD1073" t="inlineStr">
        <is>
          <t>BANCO</t>
        </is>
      </c>
      <c r="AE1073" t="n">
        <v>3</v>
      </c>
      <c r="AF1073" t="inlineStr">
        <is>
          <t>FRONT</t>
        </is>
      </c>
      <c r="AG1073" t="n">
        <v>134111</v>
      </c>
      <c r="AH1073" t="inlineStr">
        <is>
          <t>LOMAS</t>
        </is>
      </c>
      <c r="AI1073" t="inlineStr">
        <is>
          <t>VALATORRE@BANCOBASE.COM</t>
        </is>
      </c>
      <c r="AJ1073" s="151" t="n">
        <v>42380</v>
      </c>
      <c r="AK1073" s="151" t="n"/>
      <c r="AL1073" s="151" t="n"/>
    </row>
    <row r="1074" hidden="1" s="150">
      <c r="A1074" t="inlineStr">
        <is>
          <t>EBARRERA</t>
        </is>
      </c>
      <c r="B1074" t="n">
        <v>1846</v>
      </c>
      <c r="C1074" t="inlineStr">
        <is>
          <t>ESTEBAN BARRERA GONZALEZ</t>
        </is>
      </c>
      <c r="D1074" t="n">
        <v>10273</v>
      </c>
      <c r="E1074" t="inlineStr">
        <is>
          <t>GERENTE DE CUSTOMER SUCCESS</t>
        </is>
      </c>
      <c r="F1074" t="inlineStr">
        <is>
          <t>TELETRABAJO</t>
        </is>
      </c>
      <c r="G1074" t="n">
        <v>1451</v>
      </c>
      <c r="H1074" t="inlineStr">
        <is>
          <t>VERONICA IVONNE ALATORRE DE LA VEGA</t>
        </is>
      </c>
      <c r="I1074" t="n">
        <v>9934</v>
      </c>
      <c r="J1074" t="inlineStr">
        <is>
          <t>SUBDIRECTOR NACIONAL DE BANCA TRANSACCIONAL E INVERSIONES</t>
        </is>
      </c>
      <c r="K1074" t="n">
        <v>1</v>
      </c>
      <c r="L1074" t="inlineStr">
        <is>
          <t>PRESIDENCIA EJECUTIVA DEL CONSEJO</t>
        </is>
      </c>
      <c r="M1074" t="n">
        <v>40</v>
      </c>
      <c r="N1074" t="inlineStr">
        <is>
          <t>DIRECCION GENERAL BANCO BASE</t>
        </is>
      </c>
      <c r="O1074" t="n">
        <v>410</v>
      </c>
      <c r="P1074" t="inlineStr">
        <is>
          <t>DIRECCION COMERCIAL</t>
        </is>
      </c>
      <c r="Q1074" t="n">
        <v>4102</v>
      </c>
      <c r="R1074" t="inlineStr">
        <is>
          <t>DIRECCION DE SOLUCIONES</t>
        </is>
      </c>
      <c r="S1074" t="n">
        <v>45310</v>
      </c>
      <c r="T1074" t="inlineStr">
        <is>
          <t>SUBDIRECCION NACIONAL DE BANCA TRANSACCIONAL</t>
        </is>
      </c>
      <c r="U1074" t="n">
        <v>453200</v>
      </c>
      <c r="V1074" t="inlineStr">
        <is>
          <t>GERENCIA CUSTOMER SUCCESS</t>
        </is>
      </c>
      <c r="W1074" t="n">
        <v>126113</v>
      </c>
      <c r="X1074" t="inlineStr">
        <is>
          <t>REYNOSA</t>
        </is>
      </c>
      <c r="Y1074" t="n">
        <v>14</v>
      </c>
      <c r="Z1074" t="inlineStr">
        <is>
          <t>TRANSACCIONAL</t>
        </is>
      </c>
      <c r="AA1074" t="n">
        <v>1</v>
      </c>
      <c r="AB1074" t="inlineStr">
        <is>
          <t>NEGOCIO EN MARCHA</t>
        </is>
      </c>
      <c r="AC1074" t="n">
        <v>1</v>
      </c>
      <c r="AD1074" t="inlineStr">
        <is>
          <t>BANCO</t>
        </is>
      </c>
      <c r="AE1074" t="n">
        <v>1</v>
      </c>
      <c r="AF1074" t="inlineStr">
        <is>
          <t>BACK</t>
        </is>
      </c>
      <c r="AG1074" t="n">
        <v>126113</v>
      </c>
      <c r="AH1074" t="inlineStr">
        <is>
          <t>REYNOSA</t>
        </is>
      </c>
      <c r="AI1074" t="inlineStr">
        <is>
          <t>EBARRERA@BANCOBASE.COM</t>
        </is>
      </c>
      <c r="AJ1074" s="151" t="n">
        <v>42996</v>
      </c>
      <c r="AK1074" s="151" t="n"/>
      <c r="AL1074" s="151" t="n"/>
    </row>
    <row r="1075" hidden="1" s="150">
      <c r="A1075" t="inlineStr">
        <is>
          <t>JDURAN</t>
        </is>
      </c>
      <c r="B1075" t="n">
        <v>3619</v>
      </c>
      <c r="C1075" t="inlineStr">
        <is>
          <t>JUAN GERARDO DURAN FAZ</t>
        </is>
      </c>
      <c r="D1075" t="n">
        <v>8062</v>
      </c>
      <c r="E1075" t="inlineStr">
        <is>
          <t>EJECUTIVO CUSTOMER SUCCESS</t>
        </is>
      </c>
      <c r="F1075" t="inlineStr">
        <is>
          <t>MONTERREY</t>
        </is>
      </c>
      <c r="G1075" t="n">
        <v>1846</v>
      </c>
      <c r="H1075" t="inlineStr">
        <is>
          <t>ESTEBAN BARRERA GONZALEZ</t>
        </is>
      </c>
      <c r="I1075" t="n">
        <v>10273</v>
      </c>
      <c r="J1075" t="inlineStr">
        <is>
          <t>GERENTE DE CUSTOMER SUCCESS</t>
        </is>
      </c>
      <c r="K1075" t="n">
        <v>1</v>
      </c>
      <c r="L1075" t="inlineStr">
        <is>
          <t>PRESIDENCIA EJECUTIVA DEL CONSEJO</t>
        </is>
      </c>
      <c r="M1075" t="n">
        <v>40</v>
      </c>
      <c r="N1075" t="inlineStr">
        <is>
          <t>DIRECCION GENERAL BANCO BASE</t>
        </is>
      </c>
      <c r="O1075" t="n">
        <v>410</v>
      </c>
      <c r="P1075" t="inlineStr">
        <is>
          <t>DIRECCION COMERCIAL</t>
        </is>
      </c>
      <c r="Q1075" t="n">
        <v>4102</v>
      </c>
      <c r="R1075" t="inlineStr">
        <is>
          <t>DIRECCION DE SOLUCIONES</t>
        </is>
      </c>
      <c r="S1075" t="n">
        <v>45310</v>
      </c>
      <c r="T1075" t="inlineStr">
        <is>
          <t>SUBDIRECCION NACIONAL DE BANCA TRANSACCIONAL</t>
        </is>
      </c>
      <c r="U1075" t="n">
        <v>453200</v>
      </c>
      <c r="V1075" t="inlineStr">
        <is>
          <t>GERENCIA CUSTOMER SUCCESS</t>
        </is>
      </c>
      <c r="W1075" t="n">
        <v>126125</v>
      </c>
      <c r="X1075" t="inlineStr">
        <is>
          <t>PLAZA 401</t>
        </is>
      </c>
      <c r="Y1075" t="n">
        <v>14</v>
      </c>
      <c r="Z1075" t="inlineStr">
        <is>
          <t>TRANSACCIONAL</t>
        </is>
      </c>
      <c r="AA1075" t="n">
        <v>1</v>
      </c>
      <c r="AB1075" t="inlineStr">
        <is>
          <t>NEGOCIO EN MARCHA</t>
        </is>
      </c>
      <c r="AC1075" t="n">
        <v>1</v>
      </c>
      <c r="AD1075" t="inlineStr">
        <is>
          <t>BANCO</t>
        </is>
      </c>
      <c r="AE1075" t="n">
        <v>1</v>
      </c>
      <c r="AF1075" t="inlineStr">
        <is>
          <t>BACK</t>
        </is>
      </c>
      <c r="AG1075" t="n">
        <v>126102</v>
      </c>
      <c r="AH1075" t="inlineStr">
        <is>
          <t>MONTERREY</t>
        </is>
      </c>
      <c r="AI1075" t="inlineStr">
        <is>
          <t>JDURAN@BANCOBASE.COM</t>
        </is>
      </c>
      <c r="AJ1075" s="151" t="n">
        <v>45946</v>
      </c>
      <c r="AK1075" s="151" t="n"/>
      <c r="AL1075" s="151" t="n"/>
    </row>
    <row r="1076" hidden="1" s="150">
      <c r="A1076" t="inlineStr">
        <is>
          <t>APEREZM</t>
        </is>
      </c>
      <c r="B1076" t="n">
        <v>1492</v>
      </c>
      <c r="C1076" t="inlineStr">
        <is>
          <t>ANTONIO MIGUEL PEREZ MARTINEZ</t>
        </is>
      </c>
      <c r="D1076" t="n">
        <v>9892</v>
      </c>
      <c r="E1076" t="inlineStr">
        <is>
          <t>EJECUTIVO CUSTOMER SUCCESS</t>
        </is>
      </c>
      <c r="F1076" t="inlineStr">
        <is>
          <t>CANCUN</t>
        </is>
      </c>
      <c r="G1076" t="n">
        <v>1846</v>
      </c>
      <c r="H1076" t="inlineStr">
        <is>
          <t>ESTEBAN BARRERA GONZALEZ</t>
        </is>
      </c>
      <c r="I1076" t="n">
        <v>10273</v>
      </c>
      <c r="J1076" t="inlineStr">
        <is>
          <t>GERENTE DE CUSTOMER SUCCESS</t>
        </is>
      </c>
      <c r="K1076" t="n">
        <v>1</v>
      </c>
      <c r="L1076" t="inlineStr">
        <is>
          <t>PRESIDENCIA EJECUTIVA DEL CONSEJO</t>
        </is>
      </c>
      <c r="M1076" t="n">
        <v>40</v>
      </c>
      <c r="N1076" t="inlineStr">
        <is>
          <t>DIRECCION GENERAL BANCO BASE</t>
        </is>
      </c>
      <c r="O1076" t="n">
        <v>410</v>
      </c>
      <c r="P1076" t="inlineStr">
        <is>
          <t>DIRECCION COMERCIAL</t>
        </is>
      </c>
      <c r="Q1076" t="n">
        <v>4102</v>
      </c>
      <c r="R1076" t="inlineStr">
        <is>
          <t>DIRECCION DE SOLUCIONES</t>
        </is>
      </c>
      <c r="S1076" t="n">
        <v>45310</v>
      </c>
      <c r="T1076" t="inlineStr">
        <is>
          <t>SUBDIRECCION NACIONAL DE BANCA TRANSACCIONAL</t>
        </is>
      </c>
      <c r="U1076" t="n">
        <v>453200</v>
      </c>
      <c r="V1076" t="inlineStr">
        <is>
          <t>GERENCIA CUSTOMER SUCCESS</t>
        </is>
      </c>
      <c r="W1076" t="n">
        <v>126121</v>
      </c>
      <c r="X1076" t="inlineStr">
        <is>
          <t>CANCUN</t>
        </is>
      </c>
      <c r="Y1076" t="n">
        <v>14</v>
      </c>
      <c r="Z1076" t="inlineStr">
        <is>
          <t>TRANSACCIONAL</t>
        </is>
      </c>
      <c r="AA1076" t="n">
        <v>1</v>
      </c>
      <c r="AB1076" t="inlineStr">
        <is>
          <t>NEGOCIO EN MARCHA</t>
        </is>
      </c>
      <c r="AC1076" t="n">
        <v>1</v>
      </c>
      <c r="AD1076" t="inlineStr">
        <is>
          <t>BANCO</t>
        </is>
      </c>
      <c r="AE1076" t="n">
        <v>1</v>
      </c>
      <c r="AF1076" t="inlineStr">
        <is>
          <t>BACK</t>
        </is>
      </c>
      <c r="AG1076" t="n">
        <v>126121</v>
      </c>
      <c r="AH1076" t="inlineStr">
        <is>
          <t>CANCUN</t>
        </is>
      </c>
      <c r="AI1076" t="inlineStr">
        <is>
          <t>APEREZM@BANCOBASE.COM</t>
        </is>
      </c>
      <c r="AJ1076" s="151" t="n">
        <v>42422</v>
      </c>
      <c r="AK1076" s="151" t="n"/>
      <c r="AL1076" s="151" t="n"/>
    </row>
    <row r="1077" hidden="1" s="150">
      <c r="A1077" t="inlineStr">
        <is>
          <t>MMORALESG</t>
        </is>
      </c>
      <c r="B1077" t="n">
        <v>3078</v>
      </c>
      <c r="C1077" t="inlineStr">
        <is>
          <t>MARIA DE LOS ANGELES MORALES GARCIA</t>
        </is>
      </c>
      <c r="D1077" t="n">
        <v>9131</v>
      </c>
      <c r="E1077" t="inlineStr">
        <is>
          <t>EJECUTIVO CUSTOMER SUCCESS</t>
        </is>
      </c>
      <c r="F1077" t="inlineStr">
        <is>
          <t>MEXICO</t>
        </is>
      </c>
      <c r="G1077" t="n">
        <v>1846</v>
      </c>
      <c r="H1077" t="inlineStr">
        <is>
          <t>ESTEBAN BARRERA GONZALEZ</t>
        </is>
      </c>
      <c r="I1077" t="n">
        <v>10273</v>
      </c>
      <c r="J1077" t="inlineStr">
        <is>
          <t>GERENTE DE CUSTOMER SUCCESS</t>
        </is>
      </c>
      <c r="K1077" t="n">
        <v>1</v>
      </c>
      <c r="L1077" t="inlineStr">
        <is>
          <t>PRESIDENCIA EJECUTIVA DEL CONSEJO</t>
        </is>
      </c>
      <c r="M1077" t="n">
        <v>40</v>
      </c>
      <c r="N1077" t="inlineStr">
        <is>
          <t>DIRECCION GENERAL BANCO BASE</t>
        </is>
      </c>
      <c r="O1077" t="n">
        <v>410</v>
      </c>
      <c r="P1077" t="inlineStr">
        <is>
          <t>DIRECCION COMERCIAL</t>
        </is>
      </c>
      <c r="Q1077" t="n">
        <v>4102</v>
      </c>
      <c r="R1077" t="inlineStr">
        <is>
          <t>DIRECCION DE SOLUCIONES</t>
        </is>
      </c>
      <c r="S1077" t="n">
        <v>45310</v>
      </c>
      <c r="T1077" t="inlineStr">
        <is>
          <t>SUBDIRECCION NACIONAL DE BANCA TRANSACCIONAL</t>
        </is>
      </c>
      <c r="U1077" t="n">
        <v>453200</v>
      </c>
      <c r="V1077" t="inlineStr">
        <is>
          <t>GERENCIA CUSTOMER SUCCESS</t>
        </is>
      </c>
      <c r="W1077" t="n">
        <v>134111</v>
      </c>
      <c r="X1077" t="inlineStr">
        <is>
          <t>LOMAS</t>
        </is>
      </c>
      <c r="Y1077" t="n">
        <v>14</v>
      </c>
      <c r="Z1077" t="inlineStr">
        <is>
          <t>TRANSACCIONAL</t>
        </is>
      </c>
      <c r="AA1077" t="n">
        <v>1</v>
      </c>
      <c r="AB1077" t="inlineStr">
        <is>
          <t>NEGOCIO EN MARCHA</t>
        </is>
      </c>
      <c r="AC1077" t="n">
        <v>1</v>
      </c>
      <c r="AD1077" t="inlineStr">
        <is>
          <t>BANCO</t>
        </is>
      </c>
      <c r="AE1077" t="n">
        <v>1</v>
      </c>
      <c r="AF1077" t="inlineStr">
        <is>
          <t>BACK</t>
        </is>
      </c>
      <c r="AG1077" t="n">
        <v>134111</v>
      </c>
      <c r="AH1077" t="inlineStr">
        <is>
          <t>LOMAS</t>
        </is>
      </c>
      <c r="AI1077" t="inlineStr">
        <is>
          <t>MMORALESG@BANCOBASE.COM</t>
        </is>
      </c>
      <c r="AJ1077" s="151" t="n">
        <v>45398</v>
      </c>
      <c r="AK1077" s="151" t="n"/>
      <c r="AL1077" s="151" t="n"/>
    </row>
    <row r="1078" hidden="1" s="150">
      <c r="A1078" t="inlineStr">
        <is>
          <t>JGARCIAGA</t>
        </is>
      </c>
      <c r="B1078" t="n">
        <v>2875</v>
      </c>
      <c r="C1078" t="inlineStr">
        <is>
          <t>JIMENA GARCIA GARCIDUEÑAS</t>
        </is>
      </c>
      <c r="D1078" t="n">
        <v>9870</v>
      </c>
      <c r="E1078" t="inlineStr">
        <is>
          <t>EJECUTIVO CUSTOMER SUCCESS</t>
        </is>
      </c>
      <c r="F1078" t="inlineStr">
        <is>
          <t>LEON</t>
        </is>
      </c>
      <c r="G1078" t="n">
        <v>1846</v>
      </c>
      <c r="H1078" t="inlineStr">
        <is>
          <t>ESTEBAN BARRERA GONZALEZ</t>
        </is>
      </c>
      <c r="I1078" t="n">
        <v>10273</v>
      </c>
      <c r="J1078" t="inlineStr">
        <is>
          <t>GERENTE DE CUSTOMER SUCCESS</t>
        </is>
      </c>
      <c r="K1078" t="n">
        <v>1</v>
      </c>
      <c r="L1078" t="inlineStr">
        <is>
          <t>PRESIDENCIA EJECUTIVA DEL CONSEJO</t>
        </is>
      </c>
      <c r="M1078" t="n">
        <v>40</v>
      </c>
      <c r="N1078" t="inlineStr">
        <is>
          <t>DIRECCION GENERAL BANCO BASE</t>
        </is>
      </c>
      <c r="O1078" t="n">
        <v>410</v>
      </c>
      <c r="P1078" t="inlineStr">
        <is>
          <t>DIRECCION COMERCIAL</t>
        </is>
      </c>
      <c r="Q1078" t="n">
        <v>4102</v>
      </c>
      <c r="R1078" t="inlineStr">
        <is>
          <t>DIRECCION DE SOLUCIONES</t>
        </is>
      </c>
      <c r="S1078" t="n">
        <v>45310</v>
      </c>
      <c r="T1078" t="inlineStr">
        <is>
          <t>SUBDIRECCION NACIONAL DE BANCA TRANSACCIONAL</t>
        </is>
      </c>
      <c r="U1078" t="n">
        <v>453200</v>
      </c>
      <c r="V1078" t="inlineStr">
        <is>
          <t>GERENCIA CUSTOMER SUCCESS</t>
        </is>
      </c>
      <c r="W1078" t="n">
        <v>126128</v>
      </c>
      <c r="X1078" t="inlineStr">
        <is>
          <t>LEON</t>
        </is>
      </c>
      <c r="Y1078" t="n">
        <v>14</v>
      </c>
      <c r="Z1078" t="inlineStr">
        <is>
          <t>TRANSACCIONAL</t>
        </is>
      </c>
      <c r="AA1078" t="n">
        <v>1</v>
      </c>
      <c r="AB1078" t="inlineStr">
        <is>
          <t>NEGOCIO EN MARCHA</t>
        </is>
      </c>
      <c r="AC1078" t="n">
        <v>1</v>
      </c>
      <c r="AD1078" t="inlineStr">
        <is>
          <t>BANCO</t>
        </is>
      </c>
      <c r="AE1078" t="n">
        <v>1</v>
      </c>
      <c r="AF1078" t="inlineStr">
        <is>
          <t>BACK</t>
        </is>
      </c>
      <c r="AG1078" t="n">
        <v>126128</v>
      </c>
      <c r="AH1078" t="inlineStr">
        <is>
          <t>LEON</t>
        </is>
      </c>
      <c r="AI1078" t="inlineStr">
        <is>
          <t>JGARCIAGA@BANCOBASE.COM</t>
        </is>
      </c>
      <c r="AJ1078" s="151" t="n">
        <v>45019</v>
      </c>
      <c r="AK1078" s="151" t="n"/>
      <c r="AL1078" s="151" t="n"/>
    </row>
    <row r="1079" hidden="1" s="150">
      <c r="A1079" t="inlineStr">
        <is>
          <t>LCASAS</t>
        </is>
      </c>
      <c r="B1079" t="n">
        <v>3433</v>
      </c>
      <c r="C1079" t="inlineStr">
        <is>
          <t>LUIS ORLANDO CASAS HERNANDEZ</t>
        </is>
      </c>
      <c r="D1079" t="n">
        <v>10115</v>
      </c>
      <c r="E1079" t="inlineStr">
        <is>
          <t>EJECUTIVO CUSTOMER SUCCESS</t>
        </is>
      </c>
      <c r="F1079" t="inlineStr">
        <is>
          <t>MONTERREY</t>
        </is>
      </c>
      <c r="G1079" t="n">
        <v>1846</v>
      </c>
      <c r="H1079" t="inlineStr">
        <is>
          <t>ESTEBAN BARRERA GONZALEZ</t>
        </is>
      </c>
      <c r="I1079" t="n">
        <v>10273</v>
      </c>
      <c r="J1079" t="inlineStr">
        <is>
          <t>GERENTE DE CUSTOMER SUCCESS</t>
        </is>
      </c>
      <c r="K1079" t="n">
        <v>1</v>
      </c>
      <c r="L1079" t="inlineStr">
        <is>
          <t>PRESIDENCIA EJECUTIVA DEL CONSEJO</t>
        </is>
      </c>
      <c r="M1079" t="n">
        <v>40</v>
      </c>
      <c r="N1079" t="inlineStr">
        <is>
          <t>DIRECCION GENERAL BANCO BASE</t>
        </is>
      </c>
      <c r="O1079" t="n">
        <v>410</v>
      </c>
      <c r="P1079" t="inlineStr">
        <is>
          <t>DIRECCION COMERCIAL</t>
        </is>
      </c>
      <c r="Q1079" t="n">
        <v>4102</v>
      </c>
      <c r="R1079" t="inlineStr">
        <is>
          <t>DIRECCION DE SOLUCIONES</t>
        </is>
      </c>
      <c r="S1079" t="n">
        <v>45310</v>
      </c>
      <c r="T1079" t="inlineStr">
        <is>
          <t>SUBDIRECCION NACIONAL DE BANCA TRANSACCIONAL</t>
        </is>
      </c>
      <c r="U1079" t="n">
        <v>453200</v>
      </c>
      <c r="V1079" t="inlineStr">
        <is>
          <t>GERENCIA CUSTOMER SUCCESS</t>
        </is>
      </c>
      <c r="W1079" t="n">
        <v>126125</v>
      </c>
      <c r="X1079" t="inlineStr">
        <is>
          <t>PLAZA 401</t>
        </is>
      </c>
      <c r="Y1079" t="n">
        <v>14</v>
      </c>
      <c r="Z1079" t="inlineStr">
        <is>
          <t>TRANSACCIONAL</t>
        </is>
      </c>
      <c r="AA1079" t="n">
        <v>1</v>
      </c>
      <c r="AB1079" t="inlineStr">
        <is>
          <t>NEGOCIO EN MARCHA</t>
        </is>
      </c>
      <c r="AC1079" t="n">
        <v>1</v>
      </c>
      <c r="AD1079" t="inlineStr">
        <is>
          <t>BANCO</t>
        </is>
      </c>
      <c r="AE1079" t="n">
        <v>1</v>
      </c>
      <c r="AF1079" t="inlineStr">
        <is>
          <t>BACK</t>
        </is>
      </c>
      <c r="AG1079" t="n">
        <v>126102</v>
      </c>
      <c r="AH1079" t="inlineStr">
        <is>
          <t>MONTERREY</t>
        </is>
      </c>
      <c r="AI1079" t="inlineStr">
        <is>
          <t>LCASAS@BANCOBASE.COM</t>
        </is>
      </c>
      <c r="AJ1079" s="151" t="n">
        <v>45796</v>
      </c>
      <c r="AK1079" s="151" t="n"/>
      <c r="AL1079" s="151" t="n"/>
    </row>
    <row r="1080" hidden="1" s="150">
      <c r="A1080" t="inlineStr">
        <is>
          <t>PARVIZU</t>
        </is>
      </c>
      <c r="B1080" t="n">
        <v>3515</v>
      </c>
      <c r="C1080" t="inlineStr">
        <is>
          <t>PAMELA ARVIZU LORETO</t>
        </is>
      </c>
      <c r="D1080" t="n">
        <v>9547</v>
      </c>
      <c r="E1080" t="inlineStr">
        <is>
          <t>EJECUTIVO CUSTOMER SUCCESS</t>
        </is>
      </c>
      <c r="F1080" t="inlineStr">
        <is>
          <t>MONTERREY</t>
        </is>
      </c>
      <c r="G1080" t="n">
        <v>1846</v>
      </c>
      <c r="H1080" t="inlineStr">
        <is>
          <t>ESTEBAN BARRERA GONZALEZ</t>
        </is>
      </c>
      <c r="I1080" t="n">
        <v>10273</v>
      </c>
      <c r="J1080" t="inlineStr">
        <is>
          <t>GERENTE DE CUSTOMER SUCCESS</t>
        </is>
      </c>
      <c r="K1080" t="n">
        <v>1</v>
      </c>
      <c r="L1080" t="inlineStr">
        <is>
          <t>PRESIDENCIA EJECUTIVA DEL CONSEJO</t>
        </is>
      </c>
      <c r="M1080" t="n">
        <v>40</v>
      </c>
      <c r="N1080" t="inlineStr">
        <is>
          <t>DIRECCION GENERAL BANCO BASE</t>
        </is>
      </c>
      <c r="O1080" t="n">
        <v>410</v>
      </c>
      <c r="P1080" t="inlineStr">
        <is>
          <t>DIRECCION COMERCIAL</t>
        </is>
      </c>
      <c r="Q1080" t="n">
        <v>4102</v>
      </c>
      <c r="R1080" t="inlineStr">
        <is>
          <t>DIRECCION DE SOLUCIONES</t>
        </is>
      </c>
      <c r="S1080" t="n">
        <v>45310</v>
      </c>
      <c r="T1080" t="inlineStr">
        <is>
          <t>SUBDIRECCION NACIONAL DE BANCA TRANSACCIONAL</t>
        </is>
      </c>
      <c r="U1080" t="n">
        <v>453200</v>
      </c>
      <c r="V1080" t="inlineStr">
        <is>
          <t>GERENCIA CUSTOMER SUCCESS</t>
        </is>
      </c>
      <c r="W1080" t="n">
        <v>126102</v>
      </c>
      <c r="X1080" t="inlineStr">
        <is>
          <t>VALLE ORIENTE</t>
        </is>
      </c>
      <c r="Y1080" t="n">
        <v>14</v>
      </c>
      <c r="Z1080" t="inlineStr">
        <is>
          <t>TRANSACCIONAL</t>
        </is>
      </c>
      <c r="AA1080" t="n">
        <v>1</v>
      </c>
      <c r="AB1080" t="inlineStr">
        <is>
          <t>NEGOCIO EN MARCHA</t>
        </is>
      </c>
      <c r="AC1080" t="n">
        <v>1</v>
      </c>
      <c r="AD1080" t="inlineStr">
        <is>
          <t>BANCO</t>
        </is>
      </c>
      <c r="AE1080" t="n">
        <v>1</v>
      </c>
      <c r="AF1080" t="inlineStr">
        <is>
          <t>BACK</t>
        </is>
      </c>
      <c r="AG1080" t="n">
        <v>126102</v>
      </c>
      <c r="AH1080" t="inlineStr">
        <is>
          <t>MONTERREY</t>
        </is>
      </c>
      <c r="AI1080" t="inlineStr">
        <is>
          <t>PARVIZU@BANCOBASE.COM</t>
        </is>
      </c>
      <c r="AJ1080" s="151" t="n">
        <v>45873</v>
      </c>
      <c r="AK1080" s="151" t="n"/>
      <c r="AL1080" s="151" t="n"/>
    </row>
    <row r="1081" hidden="1" s="150">
      <c r="A1081" t="inlineStr">
        <is>
          <t>JGRAJALES</t>
        </is>
      </c>
      <c r="B1081" t="n">
        <v>3876</v>
      </c>
      <c r="C1081" t="inlineStr">
        <is>
          <t>JOEL BENJAMIN GRAJALES CARBAJAL</t>
        </is>
      </c>
      <c r="D1081" t="n">
        <v>9982</v>
      </c>
      <c r="E1081" t="inlineStr">
        <is>
          <t>EJECUTIVO CUSTOMER SUCCESS</t>
        </is>
      </c>
      <c r="F1081" t="inlineStr">
        <is>
          <t>MEXICO</t>
        </is>
      </c>
      <c r="G1081" t="n">
        <v>1846</v>
      </c>
      <c r="H1081" t="inlineStr">
        <is>
          <t>ESTEBAN BARRERA GONZALEZ</t>
        </is>
      </c>
      <c r="I1081" t="n">
        <v>10273</v>
      </c>
      <c r="J1081" t="inlineStr">
        <is>
          <t>GERENTE DE CUSTOMER SUCCESS</t>
        </is>
      </c>
      <c r="K1081" t="n">
        <v>1</v>
      </c>
      <c r="L1081" t="inlineStr">
        <is>
          <t>PRESIDENCIA EJECUTIVA DEL CONSEJO</t>
        </is>
      </c>
      <c r="M1081" t="n">
        <v>40</v>
      </c>
      <c r="N1081" t="inlineStr">
        <is>
          <t>DIRECCION GENERAL BANCO BASE</t>
        </is>
      </c>
      <c r="O1081" t="n">
        <v>410</v>
      </c>
      <c r="P1081" t="inlineStr">
        <is>
          <t>DIRECCION COMERCIAL</t>
        </is>
      </c>
      <c r="Q1081" t="n">
        <v>4102</v>
      </c>
      <c r="R1081" t="inlineStr">
        <is>
          <t>DIRECCION DE SOLUCIONES</t>
        </is>
      </c>
      <c r="S1081" t="n">
        <v>45310</v>
      </c>
      <c r="T1081" t="inlineStr">
        <is>
          <t>SUBDIRECCION NACIONAL DE BANCA TRANSACCIONAL</t>
        </is>
      </c>
      <c r="U1081" t="n">
        <v>453200</v>
      </c>
      <c r="V1081" t="inlineStr">
        <is>
          <t>GERENCIA CUSTOMER SUCCESS</t>
        </is>
      </c>
      <c r="W1081" t="n">
        <v>134111</v>
      </c>
      <c r="X1081" t="inlineStr">
        <is>
          <t>LOMAS</t>
        </is>
      </c>
      <c r="Y1081" t="n">
        <v>14</v>
      </c>
      <c r="Z1081" t="inlineStr">
        <is>
          <t>TRANSACCIONAL</t>
        </is>
      </c>
      <c r="AA1081" t="n">
        <v>1</v>
      </c>
      <c r="AB1081" t="inlineStr">
        <is>
          <t>NEGOCIO EN MARCHA</t>
        </is>
      </c>
      <c r="AC1081" t="n">
        <v>1</v>
      </c>
      <c r="AD1081" t="inlineStr">
        <is>
          <t>BANCO</t>
        </is>
      </c>
      <c r="AE1081" t="n">
        <v>1</v>
      </c>
      <c r="AF1081" t="inlineStr">
        <is>
          <t>BACK</t>
        </is>
      </c>
      <c r="AG1081" t="n">
        <v>134111</v>
      </c>
      <c r="AH1081" t="inlineStr">
        <is>
          <t>LOMAS</t>
        </is>
      </c>
      <c r="AI1081" t="inlineStr">
        <is>
          <t>JGRAJALES@BANCOBASE.COM</t>
        </is>
      </c>
      <c r="AJ1081" s="151" t="n">
        <v>46160</v>
      </c>
      <c r="AK1081" s="151" t="n"/>
      <c r="AL1081" s="151" t="n"/>
    </row>
    <row r="1082" hidden="1" s="150">
      <c r="A1082" t="inlineStr">
        <is>
          <t>NDELGADO</t>
        </is>
      </c>
      <c r="B1082" t="n">
        <v>3897</v>
      </c>
      <c r="C1082" t="inlineStr">
        <is>
          <t>NATHALYA DENEB DELGADO CABRIALES</t>
        </is>
      </c>
      <c r="D1082" t="n">
        <v>10113</v>
      </c>
      <c r="E1082" t="inlineStr">
        <is>
          <t>EJECUTIVO CUSTOMER SUCCESS</t>
        </is>
      </c>
      <c r="F1082" t="inlineStr">
        <is>
          <t>MONTERREY</t>
        </is>
      </c>
      <c r="G1082" t="n">
        <v>1846</v>
      </c>
      <c r="H1082" t="inlineStr">
        <is>
          <t>ESTEBAN BARRERA GONZALEZ</t>
        </is>
      </c>
      <c r="I1082" t="n">
        <v>10273</v>
      </c>
      <c r="J1082" t="inlineStr">
        <is>
          <t>GERENTE DE CUSTOMER SUCCESS</t>
        </is>
      </c>
      <c r="K1082" t="n">
        <v>1</v>
      </c>
      <c r="L1082" t="inlineStr">
        <is>
          <t>PRESIDENCIA EJECUTIVA DEL CONSEJO</t>
        </is>
      </c>
      <c r="M1082" t="n">
        <v>40</v>
      </c>
      <c r="N1082" t="inlineStr">
        <is>
          <t>DIRECCION GENERAL BANCO BASE</t>
        </is>
      </c>
      <c r="O1082" t="n">
        <v>410</v>
      </c>
      <c r="P1082" t="inlineStr">
        <is>
          <t>DIRECCION COMERCIAL</t>
        </is>
      </c>
      <c r="Q1082" t="n">
        <v>4102</v>
      </c>
      <c r="R1082" t="inlineStr">
        <is>
          <t>DIRECCION DE SOLUCIONES</t>
        </is>
      </c>
      <c r="S1082" t="n">
        <v>45310</v>
      </c>
      <c r="T1082" t="inlineStr">
        <is>
          <t>SUBDIRECCION NACIONAL DE BANCA TRANSACCIONAL</t>
        </is>
      </c>
      <c r="U1082" t="n">
        <v>453200</v>
      </c>
      <c r="V1082" t="inlineStr">
        <is>
          <t>GERENCIA CUSTOMER SUCCESS</t>
        </is>
      </c>
      <c r="W1082" t="n">
        <v>126102</v>
      </c>
      <c r="X1082" t="inlineStr">
        <is>
          <t>VALLE ORIENTE</t>
        </is>
      </c>
      <c r="Y1082" t="n">
        <v>14</v>
      </c>
      <c r="Z1082" t="inlineStr">
        <is>
          <t>TRANSACCIONAL</t>
        </is>
      </c>
      <c r="AA1082" t="n">
        <v>1</v>
      </c>
      <c r="AB1082" t="inlineStr">
        <is>
          <t>NEGOCIO EN MARCHA</t>
        </is>
      </c>
      <c r="AC1082" t="n">
        <v>1</v>
      </c>
      <c r="AD1082" t="inlineStr">
        <is>
          <t>BANCO</t>
        </is>
      </c>
      <c r="AE1082" t="n">
        <v>1</v>
      </c>
      <c r="AF1082" t="inlineStr">
        <is>
          <t>BACK</t>
        </is>
      </c>
      <c r="AG1082" t="n">
        <v>126102</v>
      </c>
      <c r="AH1082" t="inlineStr">
        <is>
          <t>MONTERREY</t>
        </is>
      </c>
      <c r="AI1082" t="inlineStr">
        <is>
          <t>NDELGADO@BANCOBASE.COM</t>
        </is>
      </c>
      <c r="AJ1082" s="151" t="n">
        <v>46174</v>
      </c>
      <c r="AK1082" s="151" t="n"/>
      <c r="AL1082" s="151" t="n"/>
    </row>
    <row r="1083" hidden="1" s="150">
      <c r="A1083" t="inlineStr">
        <is>
          <t>KMENDEZ</t>
        </is>
      </c>
      <c r="B1083" t="n">
        <v>3063</v>
      </c>
      <c r="C1083" t="inlineStr">
        <is>
          <t>KARLA ALEJANDRA MENDEZ RIESTRA</t>
        </is>
      </c>
      <c r="D1083" t="n">
        <v>8962</v>
      </c>
      <c r="E1083" t="inlineStr">
        <is>
          <t>GERENTE DE VINCULACION TRANSACCIONAL</t>
        </is>
      </c>
      <c r="F1083" t="inlineStr">
        <is>
          <t>GUADALAJARA</t>
        </is>
      </c>
      <c r="G1083" t="n">
        <v>1451</v>
      </c>
      <c r="H1083" t="inlineStr">
        <is>
          <t>VERONICA IVONNE ALATORRE DE LA VEGA</t>
        </is>
      </c>
      <c r="I1083" t="n">
        <v>9934</v>
      </c>
      <c r="J1083" t="inlineStr">
        <is>
          <t>SUBDIRECTOR NACIONAL DE BANCA TRANSACCIONAL E INVERSIONES</t>
        </is>
      </c>
      <c r="K1083" t="n">
        <v>1</v>
      </c>
      <c r="L1083" t="inlineStr">
        <is>
          <t>PRESIDENCIA EJECUTIVA DEL CONSEJO</t>
        </is>
      </c>
      <c r="M1083" t="n">
        <v>40</v>
      </c>
      <c r="N1083" t="inlineStr">
        <is>
          <t>DIRECCION GENERAL BANCO BASE</t>
        </is>
      </c>
      <c r="O1083" t="n">
        <v>410</v>
      </c>
      <c r="P1083" t="inlineStr">
        <is>
          <t>DIRECCION COMERCIAL</t>
        </is>
      </c>
      <c r="Q1083" t="n">
        <v>4102</v>
      </c>
      <c r="R1083" t="inlineStr">
        <is>
          <t>DIRECCION DE SOLUCIONES</t>
        </is>
      </c>
      <c r="S1083" t="n">
        <v>45310</v>
      </c>
      <c r="T1083" t="inlineStr">
        <is>
          <t>SUBDIRECCION NACIONAL DE BANCA TRANSACCIONAL</t>
        </is>
      </c>
      <c r="U1083" t="n">
        <v>453130</v>
      </c>
      <c r="V1083" t="inlineStr">
        <is>
          <t>GERENCIA DE VINCULACION TRANSACCIONAL</t>
        </is>
      </c>
      <c r="W1083" t="n">
        <v>126107</v>
      </c>
      <c r="X1083" t="inlineStr">
        <is>
          <t>GUADALAJARA</t>
        </is>
      </c>
      <c r="Y1083" t="n">
        <v>14</v>
      </c>
      <c r="Z1083" t="inlineStr">
        <is>
          <t>TRANSACCIONAL</t>
        </is>
      </c>
      <c r="AA1083" t="n">
        <v>1</v>
      </c>
      <c r="AB1083" t="inlineStr">
        <is>
          <t>NEGOCIO EN MARCHA</t>
        </is>
      </c>
      <c r="AC1083" t="n">
        <v>1</v>
      </c>
      <c r="AD1083" t="inlineStr">
        <is>
          <t>BANCO</t>
        </is>
      </c>
      <c r="AE1083" t="n">
        <v>2</v>
      </c>
      <c r="AF1083" t="inlineStr">
        <is>
          <t>MIDDLE</t>
        </is>
      </c>
      <c r="AG1083" t="n">
        <v>126107</v>
      </c>
      <c r="AH1083" t="inlineStr">
        <is>
          <t>GUADALAJARA</t>
        </is>
      </c>
      <c r="AI1083" t="inlineStr">
        <is>
          <t>KMENDEZ@BANCOBASE.COM</t>
        </is>
      </c>
      <c r="AJ1083" s="151" t="n">
        <v>45370</v>
      </c>
      <c r="AK1083" s="151" t="n"/>
      <c r="AL1083" s="151" t="n"/>
    </row>
    <row r="1084" hidden="1" s="150">
      <c r="A1084" t="inlineStr">
        <is>
          <t>AHERNANDEP</t>
        </is>
      </c>
      <c r="B1084" t="n">
        <v>1327</v>
      </c>
      <c r="C1084" t="inlineStr">
        <is>
          <t>ADRIANA HERNANDEZ PEÑA</t>
        </is>
      </c>
      <c r="D1084" t="n">
        <v>8961</v>
      </c>
      <c r="E1084" t="inlineStr">
        <is>
          <t>GERENTE DE VINCULACION TRANSACCIONAL</t>
        </is>
      </c>
      <c r="F1084" t="inlineStr">
        <is>
          <t>MONTERREY</t>
        </is>
      </c>
      <c r="G1084" t="n">
        <v>1451</v>
      </c>
      <c r="H1084" t="inlineStr">
        <is>
          <t>VERONICA IVONNE ALATORRE DE LA VEGA</t>
        </is>
      </c>
      <c r="I1084" t="n">
        <v>9934</v>
      </c>
      <c r="J1084" t="inlineStr">
        <is>
          <t>SUBDIRECTOR NACIONAL DE BANCA TRANSACCIONAL E INVERSIONES</t>
        </is>
      </c>
      <c r="K1084" t="n">
        <v>1</v>
      </c>
      <c r="L1084" t="inlineStr">
        <is>
          <t>PRESIDENCIA EJECUTIVA DEL CONSEJO</t>
        </is>
      </c>
      <c r="M1084" t="n">
        <v>40</v>
      </c>
      <c r="N1084" t="inlineStr">
        <is>
          <t>DIRECCION GENERAL BANCO BASE</t>
        </is>
      </c>
      <c r="O1084" t="n">
        <v>410</v>
      </c>
      <c r="P1084" t="inlineStr">
        <is>
          <t>DIRECCION COMERCIAL</t>
        </is>
      </c>
      <c r="Q1084" t="n">
        <v>4102</v>
      </c>
      <c r="R1084" t="inlineStr">
        <is>
          <t>DIRECCION DE SOLUCIONES</t>
        </is>
      </c>
      <c r="S1084" t="n">
        <v>45310</v>
      </c>
      <c r="T1084" t="inlineStr">
        <is>
          <t>SUBDIRECCION NACIONAL DE BANCA TRANSACCIONAL</t>
        </is>
      </c>
      <c r="U1084" t="n">
        <v>453130</v>
      </c>
      <c r="V1084" t="inlineStr">
        <is>
          <t>GERENCIA DE VINCULACION TRANSACCIONAL</t>
        </is>
      </c>
      <c r="W1084" t="n">
        <v>126102</v>
      </c>
      <c r="X1084" t="inlineStr">
        <is>
          <t>VALLE ORIENTE</t>
        </is>
      </c>
      <c r="Y1084" t="n">
        <v>14</v>
      </c>
      <c r="Z1084" t="inlineStr">
        <is>
          <t>TRANSACCIONAL</t>
        </is>
      </c>
      <c r="AA1084" t="n">
        <v>1</v>
      </c>
      <c r="AB1084" t="inlineStr">
        <is>
          <t>NEGOCIO EN MARCHA</t>
        </is>
      </c>
      <c r="AC1084" t="n">
        <v>1</v>
      </c>
      <c r="AD1084" t="inlineStr">
        <is>
          <t>BANCO</t>
        </is>
      </c>
      <c r="AE1084" t="n">
        <v>2</v>
      </c>
      <c r="AF1084" t="inlineStr">
        <is>
          <t>MIDDLE</t>
        </is>
      </c>
      <c r="AG1084" t="n">
        <v>126102</v>
      </c>
      <c r="AH1084" t="inlineStr">
        <is>
          <t>MONTERREY</t>
        </is>
      </c>
      <c r="AI1084" t="inlineStr">
        <is>
          <t>AHERNANDEP@BANCOBASE.COM</t>
        </is>
      </c>
      <c r="AJ1084" s="151" t="n">
        <v>42186</v>
      </c>
      <c r="AK1084" s="151" t="n"/>
      <c r="AL1084" s="151" t="n"/>
    </row>
    <row r="1085" hidden="1" s="150">
      <c r="A1085" t="inlineStr">
        <is>
          <t>ERODRIGUER</t>
        </is>
      </c>
      <c r="B1085" t="n">
        <v>1650</v>
      </c>
      <c r="C1085" t="inlineStr">
        <is>
          <t>EDGAR RODRIGUEZ ROJAS</t>
        </is>
      </c>
      <c r="D1085" t="n">
        <v>8351</v>
      </c>
      <c r="E1085" t="inlineStr">
        <is>
          <t>GERENTE DE VINCULACION TRANSACCIONAL</t>
        </is>
      </c>
      <c r="F1085" t="inlineStr">
        <is>
          <t>MEXICO</t>
        </is>
      </c>
      <c r="G1085" t="n">
        <v>1451</v>
      </c>
      <c r="H1085" t="inlineStr">
        <is>
          <t>VERONICA IVONNE ALATORRE DE LA VEGA</t>
        </is>
      </c>
      <c r="I1085" t="n">
        <v>9934</v>
      </c>
      <c r="J1085" t="inlineStr">
        <is>
          <t>SUBDIRECTOR NACIONAL DE BANCA TRANSACCIONAL E INVERSIONES</t>
        </is>
      </c>
      <c r="K1085" t="n">
        <v>1</v>
      </c>
      <c r="L1085" t="inlineStr">
        <is>
          <t>PRESIDENCIA EJECUTIVA DEL CONSEJO</t>
        </is>
      </c>
      <c r="M1085" t="n">
        <v>40</v>
      </c>
      <c r="N1085" t="inlineStr">
        <is>
          <t>DIRECCION GENERAL BANCO BASE</t>
        </is>
      </c>
      <c r="O1085" t="n">
        <v>410</v>
      </c>
      <c r="P1085" t="inlineStr">
        <is>
          <t>DIRECCION COMERCIAL</t>
        </is>
      </c>
      <c r="Q1085" t="n">
        <v>4102</v>
      </c>
      <c r="R1085" t="inlineStr">
        <is>
          <t>DIRECCION DE SOLUCIONES</t>
        </is>
      </c>
      <c r="S1085" t="n">
        <v>45310</v>
      </c>
      <c r="T1085" t="inlineStr">
        <is>
          <t>SUBDIRECCION NACIONAL DE BANCA TRANSACCIONAL</t>
        </is>
      </c>
      <c r="U1085" t="n">
        <v>453130</v>
      </c>
      <c r="V1085" t="inlineStr">
        <is>
          <t>GERENCIA DE VINCULACION TRANSACCIONAL</t>
        </is>
      </c>
      <c r="W1085" t="n">
        <v>134111</v>
      </c>
      <c r="X1085" t="inlineStr">
        <is>
          <t>LOMAS</t>
        </is>
      </c>
      <c r="Y1085" t="n">
        <v>14</v>
      </c>
      <c r="Z1085" t="inlineStr">
        <is>
          <t>TRANSACCIONAL</t>
        </is>
      </c>
      <c r="AA1085" t="n">
        <v>1</v>
      </c>
      <c r="AB1085" t="inlineStr">
        <is>
          <t>NEGOCIO EN MARCHA</t>
        </is>
      </c>
      <c r="AC1085" t="n">
        <v>1</v>
      </c>
      <c r="AD1085" t="inlineStr">
        <is>
          <t>BANCO</t>
        </is>
      </c>
      <c r="AE1085" t="n">
        <v>2</v>
      </c>
      <c r="AF1085" t="inlineStr">
        <is>
          <t>MIDDLE</t>
        </is>
      </c>
      <c r="AG1085" t="n">
        <v>134111</v>
      </c>
      <c r="AH1085" t="inlineStr">
        <is>
          <t>LOMAS</t>
        </is>
      </c>
      <c r="AI1085" t="inlineStr">
        <is>
          <t>ERODRIGUER@BANCOBASE.COM</t>
        </is>
      </c>
      <c r="AJ1085" s="151" t="n">
        <v>42681</v>
      </c>
      <c r="AK1085" s="151" t="n"/>
      <c r="AL1085" s="151" t="n"/>
    </row>
    <row r="1086" hidden="1" s="150">
      <c r="A1086" t="inlineStr">
        <is>
          <t>FLOPEZ</t>
        </is>
      </c>
      <c r="B1086" t="n">
        <v>1526</v>
      </c>
      <c r="C1086" t="inlineStr">
        <is>
          <t>FERNANDO LOPEZ REGALADO</t>
        </is>
      </c>
      <c r="D1086" t="n">
        <v>9964</v>
      </c>
      <c r="E1086" t="inlineStr">
        <is>
          <t>GERENTE DE INVERSIONES</t>
        </is>
      </c>
      <c r="F1086" t="inlineStr">
        <is>
          <t>MEXICO</t>
        </is>
      </c>
      <c r="G1086" t="n">
        <v>1451</v>
      </c>
      <c r="H1086" t="inlineStr">
        <is>
          <t>VERONICA IVONNE ALATORRE DE LA VEGA</t>
        </is>
      </c>
      <c r="I1086" t="n">
        <v>9934</v>
      </c>
      <c r="J1086" t="inlineStr">
        <is>
          <t>SUBDIRECTOR NACIONAL DE BANCA TRANSACCIONAL E INVERSIONES</t>
        </is>
      </c>
      <c r="K1086" t="n">
        <v>1</v>
      </c>
      <c r="L1086" t="inlineStr">
        <is>
          <t>PRESIDENCIA EJECUTIVA DEL CONSEJO</t>
        </is>
      </c>
      <c r="M1086" t="n">
        <v>40</v>
      </c>
      <c r="N1086" t="inlineStr">
        <is>
          <t>DIRECCION GENERAL BANCO BASE</t>
        </is>
      </c>
      <c r="O1086" t="n">
        <v>410</v>
      </c>
      <c r="P1086" t="inlineStr">
        <is>
          <t>DIRECCION COMERCIAL</t>
        </is>
      </c>
      <c r="Q1086" t="n">
        <v>4102</v>
      </c>
      <c r="R1086" t="inlineStr">
        <is>
          <t>DIRECCION DE SOLUCIONES</t>
        </is>
      </c>
      <c r="S1086" t="n">
        <v>45310</v>
      </c>
      <c r="T1086" t="inlineStr">
        <is>
          <t>SUBDIRECCION NACIONAL DE BANCA TRANSACCIONAL</t>
        </is>
      </c>
      <c r="U1086" t="n">
        <v>453120</v>
      </c>
      <c r="V1086" t="inlineStr">
        <is>
          <t>GERENCIA INVERSIONES CDMX Y OCCIDENTE</t>
        </is>
      </c>
      <c r="W1086" t="n">
        <v>134111</v>
      </c>
      <c r="X1086" t="inlineStr">
        <is>
          <t>LOMAS</t>
        </is>
      </c>
      <c r="Y1086" t="n">
        <v>14</v>
      </c>
      <c r="Z1086" t="inlineStr">
        <is>
          <t>TRANSACCIONAL</t>
        </is>
      </c>
      <c r="AA1086" t="n">
        <v>1</v>
      </c>
      <c r="AB1086" t="inlineStr">
        <is>
          <t>NEGOCIO EN MARCHA</t>
        </is>
      </c>
      <c r="AC1086" t="n">
        <v>2</v>
      </c>
      <c r="AD1086" t="inlineStr">
        <is>
          <t>CASA DE BOLSA</t>
        </is>
      </c>
      <c r="AE1086" t="n">
        <v>3</v>
      </c>
      <c r="AF1086" t="inlineStr">
        <is>
          <t>FRONT</t>
        </is>
      </c>
      <c r="AG1086" t="n">
        <v>134111</v>
      </c>
      <c r="AH1086" t="inlineStr">
        <is>
          <t>LOMAS</t>
        </is>
      </c>
      <c r="AI1086" t="inlineStr">
        <is>
          <t>FLOPEZ@BANCOBASE.COM</t>
        </is>
      </c>
      <c r="AJ1086" s="151" t="n">
        <v>42464</v>
      </c>
      <c r="AK1086" s="151" t="n"/>
      <c r="AL1086" s="151" t="n"/>
    </row>
    <row r="1087" hidden="1" s="150">
      <c r="A1087" t="inlineStr">
        <is>
          <t>ATREJOB</t>
        </is>
      </c>
      <c r="B1087" t="n">
        <v>3775</v>
      </c>
      <c r="C1087" t="inlineStr">
        <is>
          <t>ALVIS TREJO BECERRIL</t>
        </is>
      </c>
      <c r="D1087" t="n">
        <v>9827</v>
      </c>
      <c r="E1087" t="inlineStr">
        <is>
          <t>ESPECIALISTA DE INVERSION</t>
        </is>
      </c>
      <c r="F1087" t="inlineStr">
        <is>
          <t>QUERETARO</t>
        </is>
      </c>
      <c r="G1087" t="n">
        <v>1526</v>
      </c>
      <c r="H1087" t="inlineStr">
        <is>
          <t>FERNANDO LOPEZ REGALADO</t>
        </is>
      </c>
      <c r="I1087" t="n">
        <v>9964</v>
      </c>
      <c r="J1087" t="inlineStr">
        <is>
          <t>GERENTE DE INVERSIONES</t>
        </is>
      </c>
      <c r="K1087" t="n">
        <v>1</v>
      </c>
      <c r="L1087" t="inlineStr">
        <is>
          <t>PRESIDENCIA EJECUTIVA DEL CONSEJO</t>
        </is>
      </c>
      <c r="M1087" t="n">
        <v>40</v>
      </c>
      <c r="N1087" t="inlineStr">
        <is>
          <t>DIRECCION GENERAL BANCO BASE</t>
        </is>
      </c>
      <c r="O1087" t="n">
        <v>410</v>
      </c>
      <c r="P1087" t="inlineStr">
        <is>
          <t>DIRECCION COMERCIAL</t>
        </is>
      </c>
      <c r="Q1087" t="n">
        <v>4102</v>
      </c>
      <c r="R1087" t="inlineStr">
        <is>
          <t>DIRECCION DE SOLUCIONES</t>
        </is>
      </c>
      <c r="S1087" t="n">
        <v>45310</v>
      </c>
      <c r="T1087" t="inlineStr">
        <is>
          <t>SUBDIRECCION NACIONAL DE BANCA TRANSACCIONAL</t>
        </is>
      </c>
      <c r="U1087" t="n">
        <v>453120</v>
      </c>
      <c r="V1087" t="inlineStr">
        <is>
          <t>GERENCIA INVERSIONES CDMX Y OCCIDENTE</t>
        </is>
      </c>
      <c r="W1087" t="n">
        <v>126112</v>
      </c>
      <c r="X1087" t="inlineStr">
        <is>
          <t>QUERETARO</t>
        </is>
      </c>
      <c r="Y1087" t="n">
        <v>14</v>
      </c>
      <c r="Z1087" t="inlineStr">
        <is>
          <t>TRANSACCIONAL</t>
        </is>
      </c>
      <c r="AA1087" t="n">
        <v>1</v>
      </c>
      <c r="AB1087" t="inlineStr">
        <is>
          <t>NEGOCIO EN MARCHA</t>
        </is>
      </c>
      <c r="AC1087" t="n">
        <v>1</v>
      </c>
      <c r="AD1087" t="inlineStr">
        <is>
          <t>BANCO</t>
        </is>
      </c>
      <c r="AE1087" t="n">
        <v>3</v>
      </c>
      <c r="AF1087" t="inlineStr">
        <is>
          <t>FRONT</t>
        </is>
      </c>
      <c r="AG1087" t="n">
        <v>126112</v>
      </c>
      <c r="AH1087" t="inlineStr">
        <is>
          <t>QUERETARO</t>
        </is>
      </c>
      <c r="AI1087" t="inlineStr">
        <is>
          <t>ATREJOB@BANCOBASE.COM</t>
        </is>
      </c>
      <c r="AJ1087" s="151" t="n">
        <v>46083</v>
      </c>
      <c r="AK1087" s="151" t="n"/>
      <c r="AL1087" s="151" t="n"/>
    </row>
    <row r="1088" hidden="1" s="150">
      <c r="A1088" t="inlineStr">
        <is>
          <t>EESPINOSAB</t>
        </is>
      </c>
      <c r="B1088" t="n">
        <v>3326</v>
      </c>
      <c r="C1088" t="inlineStr">
        <is>
          <t>ETHEL VANESSA ESPINOSA BUENDIA</t>
        </is>
      </c>
      <c r="D1088" t="n">
        <v>9684</v>
      </c>
      <c r="E1088" t="inlineStr">
        <is>
          <t>ESPECIALISTA DE INVERSION</t>
        </is>
      </c>
      <c r="F1088" t="inlineStr">
        <is>
          <t>MEXICO</t>
        </is>
      </c>
      <c r="G1088" t="n">
        <v>1526</v>
      </c>
      <c r="H1088" t="inlineStr">
        <is>
          <t>FERNANDO LOPEZ REGALADO</t>
        </is>
      </c>
      <c r="I1088" t="n">
        <v>9964</v>
      </c>
      <c r="J1088" t="inlineStr">
        <is>
          <t>GERENTE DE INVERSIONES</t>
        </is>
      </c>
      <c r="K1088" t="n">
        <v>1</v>
      </c>
      <c r="L1088" t="inlineStr">
        <is>
          <t>PRESIDENCIA EJECUTIVA DEL CONSEJO</t>
        </is>
      </c>
      <c r="M1088" t="n">
        <v>40</v>
      </c>
      <c r="N1088" t="inlineStr">
        <is>
          <t>DIRECCION GENERAL BANCO BASE</t>
        </is>
      </c>
      <c r="O1088" t="n">
        <v>410</v>
      </c>
      <c r="P1088" t="inlineStr">
        <is>
          <t>DIRECCION COMERCIAL</t>
        </is>
      </c>
      <c r="Q1088" t="n">
        <v>4102</v>
      </c>
      <c r="R1088" t="inlineStr">
        <is>
          <t>DIRECCION DE SOLUCIONES</t>
        </is>
      </c>
      <c r="S1088" t="n">
        <v>45310</v>
      </c>
      <c r="T1088" t="inlineStr">
        <is>
          <t>SUBDIRECCION NACIONAL DE BANCA TRANSACCIONAL</t>
        </is>
      </c>
      <c r="U1088" t="n">
        <v>453120</v>
      </c>
      <c r="V1088" t="inlineStr">
        <is>
          <t>GERENCIA INVERSIONES CDMX Y OCCIDENTE</t>
        </is>
      </c>
      <c r="W1088" t="n">
        <v>134111</v>
      </c>
      <c r="X1088" t="inlineStr">
        <is>
          <t>LOMAS</t>
        </is>
      </c>
      <c r="Y1088" t="n">
        <v>14</v>
      </c>
      <c r="Z1088" t="inlineStr">
        <is>
          <t>TRANSACCIONAL</t>
        </is>
      </c>
      <c r="AA1088" t="n">
        <v>1</v>
      </c>
      <c r="AB1088" t="inlineStr">
        <is>
          <t>NEGOCIO EN MARCHA</t>
        </is>
      </c>
      <c r="AC1088" t="n">
        <v>2</v>
      </c>
      <c r="AD1088" t="inlineStr">
        <is>
          <t>CASA DE BOLSA</t>
        </is>
      </c>
      <c r="AE1088" t="n">
        <v>3</v>
      </c>
      <c r="AF1088" t="inlineStr">
        <is>
          <t>FRONT</t>
        </is>
      </c>
      <c r="AG1088" t="n">
        <v>134111</v>
      </c>
      <c r="AH1088" t="inlineStr">
        <is>
          <t>LOMAS</t>
        </is>
      </c>
      <c r="AI1088" t="inlineStr">
        <is>
          <t>EESPINOSAB@BANCOBASE.COM</t>
        </is>
      </c>
      <c r="AJ1088" s="151" t="n">
        <v>45692</v>
      </c>
      <c r="AK1088" s="151" t="n"/>
      <c r="AL1088" s="151" t="n"/>
    </row>
    <row r="1089" hidden="1" s="150">
      <c r="A1089" t="inlineStr">
        <is>
          <t>ICASTILLOT</t>
        </is>
      </c>
      <c r="B1089" t="n">
        <v>2179</v>
      </c>
      <c r="C1089" t="inlineStr">
        <is>
          <t>ISAAC ERICK CASTILLO TORRES</t>
        </is>
      </c>
      <c r="D1089" t="n">
        <v>10010</v>
      </c>
      <c r="E1089" t="inlineStr">
        <is>
          <t>ESPECIALISTA DE INVERSION</t>
        </is>
      </c>
      <c r="F1089" t="inlineStr">
        <is>
          <t>MEXICO</t>
        </is>
      </c>
      <c r="G1089" t="n">
        <v>1526</v>
      </c>
      <c r="H1089" t="inlineStr">
        <is>
          <t>FERNANDO LOPEZ REGALADO</t>
        </is>
      </c>
      <c r="I1089" t="n">
        <v>9964</v>
      </c>
      <c r="J1089" t="inlineStr">
        <is>
          <t>GERENTE DE INVERSIONES</t>
        </is>
      </c>
      <c r="K1089" t="n">
        <v>1</v>
      </c>
      <c r="L1089" t="inlineStr">
        <is>
          <t>PRESIDENCIA EJECUTIVA DEL CONSEJO</t>
        </is>
      </c>
      <c r="M1089" t="n">
        <v>40</v>
      </c>
      <c r="N1089" t="inlineStr">
        <is>
          <t>DIRECCION GENERAL BANCO BASE</t>
        </is>
      </c>
      <c r="O1089" t="n">
        <v>410</v>
      </c>
      <c r="P1089" t="inlineStr">
        <is>
          <t>DIRECCION COMERCIAL</t>
        </is>
      </c>
      <c r="Q1089" t="n">
        <v>4102</v>
      </c>
      <c r="R1089" t="inlineStr">
        <is>
          <t>DIRECCION DE SOLUCIONES</t>
        </is>
      </c>
      <c r="S1089" t="n">
        <v>45310</v>
      </c>
      <c r="T1089" t="inlineStr">
        <is>
          <t>SUBDIRECCION NACIONAL DE BANCA TRANSACCIONAL</t>
        </is>
      </c>
      <c r="U1089" t="n">
        <v>453120</v>
      </c>
      <c r="V1089" t="inlineStr">
        <is>
          <t>GERENCIA INVERSIONES CDMX Y OCCIDENTE</t>
        </is>
      </c>
      <c r="W1089" t="n">
        <v>134111</v>
      </c>
      <c r="X1089" t="inlineStr">
        <is>
          <t>LOMAS</t>
        </is>
      </c>
      <c r="Y1089" t="n">
        <v>14</v>
      </c>
      <c r="Z1089" t="inlineStr">
        <is>
          <t>TRANSACCIONAL</t>
        </is>
      </c>
      <c r="AA1089" t="n">
        <v>1</v>
      </c>
      <c r="AB1089" t="inlineStr">
        <is>
          <t>NEGOCIO EN MARCHA</t>
        </is>
      </c>
      <c r="AC1089" t="n">
        <v>1</v>
      </c>
      <c r="AD1089" t="inlineStr">
        <is>
          <t>BANCO</t>
        </is>
      </c>
      <c r="AE1089" t="n">
        <v>3</v>
      </c>
      <c r="AF1089" t="inlineStr">
        <is>
          <t>FRONT</t>
        </is>
      </c>
      <c r="AG1089" t="n">
        <v>134111</v>
      </c>
      <c r="AH1089" t="inlineStr">
        <is>
          <t>LOMAS</t>
        </is>
      </c>
      <c r="AI1089" t="inlineStr">
        <is>
          <t>ICASTILLOT@BANCOBASE.COM</t>
        </is>
      </c>
      <c r="AJ1089" s="151" t="n">
        <v>43503</v>
      </c>
      <c r="AK1089" s="151" t="n"/>
      <c r="AL1089" s="151" t="n"/>
    </row>
    <row r="1090" hidden="1" s="150">
      <c r="A1090" t="inlineStr">
        <is>
          <t>JUACOSTA</t>
        </is>
      </c>
      <c r="B1090" t="n">
        <v>1992</v>
      </c>
      <c r="C1090" t="inlineStr">
        <is>
          <t>JUAN CARLOS ACOSTA ROSAS</t>
        </is>
      </c>
      <c r="D1090" t="n">
        <v>9820</v>
      </c>
      <c r="E1090" t="inlineStr">
        <is>
          <t>ESPECIALISTA DE INVERSION P. FISICA</t>
        </is>
      </c>
      <c r="F1090" t="inlineStr">
        <is>
          <t>MEXICO</t>
        </is>
      </c>
      <c r="G1090" t="n">
        <v>1526</v>
      </c>
      <c r="H1090" t="inlineStr">
        <is>
          <t>FERNANDO LOPEZ REGALADO</t>
        </is>
      </c>
      <c r="I1090" t="n">
        <v>9964</v>
      </c>
      <c r="J1090" t="inlineStr">
        <is>
          <t>GERENTE DE INVERSIONES</t>
        </is>
      </c>
      <c r="K1090" t="n">
        <v>1</v>
      </c>
      <c r="L1090" t="inlineStr">
        <is>
          <t>PRESIDENCIA EJECUTIVA DEL CONSEJO</t>
        </is>
      </c>
      <c r="M1090" t="n">
        <v>40</v>
      </c>
      <c r="N1090" t="inlineStr">
        <is>
          <t>DIRECCION GENERAL BANCO BASE</t>
        </is>
      </c>
      <c r="O1090" t="n">
        <v>410</v>
      </c>
      <c r="P1090" t="inlineStr">
        <is>
          <t>DIRECCION COMERCIAL</t>
        </is>
      </c>
      <c r="Q1090" t="n">
        <v>4102</v>
      </c>
      <c r="R1090" t="inlineStr">
        <is>
          <t>DIRECCION DE SOLUCIONES</t>
        </is>
      </c>
      <c r="S1090" t="n">
        <v>45310</v>
      </c>
      <c r="T1090" t="inlineStr">
        <is>
          <t>SUBDIRECCION NACIONAL DE BANCA TRANSACCIONAL</t>
        </is>
      </c>
      <c r="U1090" t="n">
        <v>453120</v>
      </c>
      <c r="V1090" t="inlineStr">
        <is>
          <t>GERENCIA INVERSIONES CDMX Y OCCIDENTE</t>
        </is>
      </c>
      <c r="W1090" t="n">
        <v>134111</v>
      </c>
      <c r="X1090" t="inlineStr">
        <is>
          <t>LOMAS</t>
        </is>
      </c>
      <c r="Y1090" t="n">
        <v>14</v>
      </c>
      <c r="Z1090" t="inlineStr">
        <is>
          <t>TRANSACCIONAL</t>
        </is>
      </c>
      <c r="AA1090" t="n">
        <v>1</v>
      </c>
      <c r="AB1090" t="inlineStr">
        <is>
          <t>NEGOCIO EN MARCHA</t>
        </is>
      </c>
      <c r="AC1090" t="n">
        <v>1</v>
      </c>
      <c r="AD1090" t="inlineStr">
        <is>
          <t>BANCO</t>
        </is>
      </c>
      <c r="AE1090" t="n">
        <v>3</v>
      </c>
      <c r="AF1090" t="inlineStr">
        <is>
          <t>FRONT</t>
        </is>
      </c>
      <c r="AG1090" t="n">
        <v>134111</v>
      </c>
      <c r="AH1090" t="inlineStr">
        <is>
          <t>LOMAS</t>
        </is>
      </c>
      <c r="AI1090" t="inlineStr">
        <is>
          <t>JUACOSTA@BANCOBASE.COM</t>
        </is>
      </c>
      <c r="AJ1090" s="151" t="n">
        <v>43209</v>
      </c>
      <c r="AK1090" s="151" t="n"/>
      <c r="AL1090" s="151" t="n"/>
    </row>
    <row r="1091" hidden="1" s="150">
      <c r="A1091" t="inlineStr">
        <is>
          <t>MGARCIAMO</t>
        </is>
      </c>
      <c r="B1091" t="n">
        <v>3097</v>
      </c>
      <c r="C1091" t="inlineStr">
        <is>
          <t>MARCO OCTAVIO GARCIA MONTOYA</t>
        </is>
      </c>
      <c r="D1091" t="n">
        <v>8676</v>
      </c>
      <c r="E1091" t="inlineStr">
        <is>
          <t>ESPECIALISTA DE INVERSION</t>
        </is>
      </c>
      <c r="F1091" t="inlineStr">
        <is>
          <t>GUADALAJARA</t>
        </is>
      </c>
      <c r="G1091" t="n">
        <v>1526</v>
      </c>
      <c r="H1091" t="inlineStr">
        <is>
          <t>FERNANDO LOPEZ REGALADO</t>
        </is>
      </c>
      <c r="I1091" t="n">
        <v>9964</v>
      </c>
      <c r="J1091" t="inlineStr">
        <is>
          <t>GERENTE DE INVERSIONES</t>
        </is>
      </c>
      <c r="K1091" t="n">
        <v>1</v>
      </c>
      <c r="L1091" t="inlineStr">
        <is>
          <t>PRESIDENCIA EJECUTIVA DEL CONSEJO</t>
        </is>
      </c>
      <c r="M1091" t="n">
        <v>40</v>
      </c>
      <c r="N1091" t="inlineStr">
        <is>
          <t>DIRECCION GENERAL BANCO BASE</t>
        </is>
      </c>
      <c r="O1091" t="n">
        <v>410</v>
      </c>
      <c r="P1091" t="inlineStr">
        <is>
          <t>DIRECCION COMERCIAL</t>
        </is>
      </c>
      <c r="Q1091" t="n">
        <v>4102</v>
      </c>
      <c r="R1091" t="inlineStr">
        <is>
          <t>DIRECCION DE SOLUCIONES</t>
        </is>
      </c>
      <c r="S1091" t="n">
        <v>45310</v>
      </c>
      <c r="T1091" t="inlineStr">
        <is>
          <t>SUBDIRECCION NACIONAL DE BANCA TRANSACCIONAL</t>
        </is>
      </c>
      <c r="U1091" t="n">
        <v>453120</v>
      </c>
      <c r="V1091" t="inlineStr">
        <is>
          <t>GERENCIA INVERSIONES CDMX Y OCCIDENTE</t>
        </is>
      </c>
      <c r="W1091" t="n">
        <v>126107</v>
      </c>
      <c r="X1091" t="inlineStr">
        <is>
          <t>GUADALAJARA</t>
        </is>
      </c>
      <c r="Y1091" t="n">
        <v>14</v>
      </c>
      <c r="Z1091" t="inlineStr">
        <is>
          <t>TRANSACCIONAL</t>
        </is>
      </c>
      <c r="AA1091" t="n">
        <v>1</v>
      </c>
      <c r="AB1091" t="inlineStr">
        <is>
          <t>NEGOCIO EN MARCHA</t>
        </is>
      </c>
      <c r="AC1091" t="n">
        <v>1</v>
      </c>
      <c r="AD1091" t="inlineStr">
        <is>
          <t>BANCO</t>
        </is>
      </c>
      <c r="AE1091" t="n">
        <v>3</v>
      </c>
      <c r="AF1091" t="inlineStr">
        <is>
          <t>FRONT</t>
        </is>
      </c>
      <c r="AG1091" t="n">
        <v>126107</v>
      </c>
      <c r="AH1091" t="inlineStr">
        <is>
          <t>GUADALAJARA</t>
        </is>
      </c>
      <c r="AI1091" t="inlineStr">
        <is>
          <t>MGARCIAMO@BANCOBASE.COM</t>
        </is>
      </c>
      <c r="AJ1091" s="151" t="n">
        <v>45398</v>
      </c>
      <c r="AK1091" s="151" t="n"/>
      <c r="AL1091" s="151" t="n"/>
    </row>
    <row r="1092" hidden="1" s="150">
      <c r="A1092" t="inlineStr">
        <is>
          <t>ASANCHEZM</t>
        </is>
      </c>
      <c r="B1092" t="n">
        <v>3111</v>
      </c>
      <c r="C1092" t="inlineStr">
        <is>
          <t>SOFIA ALEJANDRA SANCHEZ MEDINA</t>
        </is>
      </c>
      <c r="D1092" t="n">
        <v>9893</v>
      </c>
      <c r="E1092" t="inlineStr">
        <is>
          <t>EJECUTIVO DE OPERACIONES MD</t>
        </is>
      </c>
      <c r="F1092" t="inlineStr">
        <is>
          <t>MEXICO</t>
        </is>
      </c>
      <c r="G1092" t="n">
        <v>1526</v>
      </c>
      <c r="H1092" t="inlineStr">
        <is>
          <t>FERNANDO LOPEZ REGALADO</t>
        </is>
      </c>
      <c r="I1092" t="n">
        <v>9964</v>
      </c>
      <c r="J1092" t="inlineStr">
        <is>
          <t>GERENTE DE INVERSIONES</t>
        </is>
      </c>
      <c r="K1092" t="n">
        <v>1</v>
      </c>
      <c r="L1092" t="inlineStr">
        <is>
          <t>PRESIDENCIA EJECUTIVA DEL CONSEJO</t>
        </is>
      </c>
      <c r="M1092" t="n">
        <v>40</v>
      </c>
      <c r="N1092" t="inlineStr">
        <is>
          <t>DIRECCION GENERAL BANCO BASE</t>
        </is>
      </c>
      <c r="O1092" t="n">
        <v>410</v>
      </c>
      <c r="P1092" t="inlineStr">
        <is>
          <t>DIRECCION COMERCIAL</t>
        </is>
      </c>
      <c r="Q1092" t="n">
        <v>4102</v>
      </c>
      <c r="R1092" t="inlineStr">
        <is>
          <t>DIRECCION DE SOLUCIONES</t>
        </is>
      </c>
      <c r="S1092" t="n">
        <v>45310</v>
      </c>
      <c r="T1092" t="inlineStr">
        <is>
          <t>SUBDIRECCION NACIONAL DE BANCA TRANSACCIONAL</t>
        </is>
      </c>
      <c r="U1092" t="n">
        <v>453120</v>
      </c>
      <c r="V1092" t="inlineStr">
        <is>
          <t>GERENCIA INVERSIONES CDMX Y OCCIDENTE</t>
        </is>
      </c>
      <c r="W1092" t="n">
        <v>134111</v>
      </c>
      <c r="X1092" t="inlineStr">
        <is>
          <t>LOMAS</t>
        </is>
      </c>
      <c r="Y1092" t="n">
        <v>14</v>
      </c>
      <c r="Z1092" t="inlineStr">
        <is>
          <t>TRANSACCIONAL</t>
        </is>
      </c>
      <c r="AA1092" t="n">
        <v>1</v>
      </c>
      <c r="AB1092" t="inlineStr">
        <is>
          <t>NEGOCIO EN MARCHA</t>
        </is>
      </c>
      <c r="AC1092" t="n">
        <v>1</v>
      </c>
      <c r="AD1092" t="inlineStr">
        <is>
          <t>BANCO</t>
        </is>
      </c>
      <c r="AE1092" t="n">
        <v>3</v>
      </c>
      <c r="AF1092" t="inlineStr">
        <is>
          <t>FRONT</t>
        </is>
      </c>
      <c r="AG1092" t="n">
        <v>134111</v>
      </c>
      <c r="AH1092" t="inlineStr">
        <is>
          <t>LOMAS</t>
        </is>
      </c>
      <c r="AI1092" t="inlineStr">
        <is>
          <t>ASANCHEZM@BANCOBASE.COM</t>
        </is>
      </c>
      <c r="AJ1092" s="151" t="n">
        <v>45419</v>
      </c>
      <c r="AK1092" s="151" t="n"/>
      <c r="AL1092" s="151" t="n"/>
    </row>
    <row r="1093" hidden="1" s="150">
      <c r="A1093" t="inlineStr">
        <is>
          <t>CAGUILAR</t>
        </is>
      </c>
      <c r="B1093" t="n">
        <v>1889</v>
      </c>
      <c r="C1093" t="inlineStr">
        <is>
          <t>CESAR ARTURO AGUILAR DIAZ</t>
        </is>
      </c>
      <c r="D1093" t="n">
        <v>10125</v>
      </c>
      <c r="E1093" t="inlineStr">
        <is>
          <t>EJECUTIVO DE OPERACIONES MD</t>
        </is>
      </c>
      <c r="F1093" t="inlineStr">
        <is>
          <t>MEXICO</t>
        </is>
      </c>
      <c r="G1093" t="n">
        <v>1526</v>
      </c>
      <c r="H1093" t="inlineStr">
        <is>
          <t>FERNANDO LOPEZ REGALADO</t>
        </is>
      </c>
      <c r="I1093" t="n">
        <v>9964</v>
      </c>
      <c r="J1093" t="inlineStr">
        <is>
          <t>GERENTE DE INVERSIONES</t>
        </is>
      </c>
      <c r="K1093" t="n">
        <v>1</v>
      </c>
      <c r="L1093" t="inlineStr">
        <is>
          <t>PRESIDENCIA EJECUTIVA DEL CONSEJO</t>
        </is>
      </c>
      <c r="M1093" t="n">
        <v>40</v>
      </c>
      <c r="N1093" t="inlineStr">
        <is>
          <t>DIRECCION GENERAL BANCO BASE</t>
        </is>
      </c>
      <c r="O1093" t="n">
        <v>410</v>
      </c>
      <c r="P1093" t="inlineStr">
        <is>
          <t>DIRECCION COMERCIAL</t>
        </is>
      </c>
      <c r="Q1093" t="n">
        <v>4102</v>
      </c>
      <c r="R1093" t="inlineStr">
        <is>
          <t>DIRECCION DE SOLUCIONES</t>
        </is>
      </c>
      <c r="S1093" t="n">
        <v>45310</v>
      </c>
      <c r="T1093" t="inlineStr">
        <is>
          <t>SUBDIRECCION NACIONAL DE BANCA TRANSACCIONAL</t>
        </is>
      </c>
      <c r="U1093" t="n">
        <v>453120</v>
      </c>
      <c r="V1093" t="inlineStr">
        <is>
          <t>GERENCIA INVERSIONES CDMX Y OCCIDENTE</t>
        </is>
      </c>
      <c r="W1093" t="n">
        <v>134111</v>
      </c>
      <c r="X1093" t="inlineStr">
        <is>
          <t>LOMAS</t>
        </is>
      </c>
      <c r="Y1093" t="n">
        <v>14</v>
      </c>
      <c r="Z1093" t="inlineStr">
        <is>
          <t>TRANSACCIONAL</t>
        </is>
      </c>
      <c r="AA1093" t="n">
        <v>1</v>
      </c>
      <c r="AB1093" t="inlineStr">
        <is>
          <t>NEGOCIO EN MARCHA</t>
        </is>
      </c>
      <c r="AC1093" t="n">
        <v>2</v>
      </c>
      <c r="AD1093" t="inlineStr">
        <is>
          <t>CASA DE BOLSA</t>
        </is>
      </c>
      <c r="AE1093" t="n">
        <v>2</v>
      </c>
      <c r="AF1093" t="inlineStr">
        <is>
          <t>MIDDLE</t>
        </is>
      </c>
      <c r="AG1093" t="n">
        <v>134111</v>
      </c>
      <c r="AH1093" t="inlineStr">
        <is>
          <t>LOMAS</t>
        </is>
      </c>
      <c r="AI1093" t="inlineStr">
        <is>
          <t>CAGUILAR@BANCOBASE.COM</t>
        </is>
      </c>
      <c r="AJ1093" s="151" t="n">
        <v>43055</v>
      </c>
      <c r="AK1093" s="151" t="n"/>
      <c r="AL1093" s="151" t="n"/>
    </row>
    <row r="1094" hidden="1" s="150">
      <c r="A1094" t="inlineStr">
        <is>
          <t>DMUNOZ</t>
        </is>
      </c>
      <c r="B1094" t="n">
        <v>2510</v>
      </c>
      <c r="C1094" t="inlineStr">
        <is>
          <t>DIANA FERNANDA MUÑOZ SANTILLAN</t>
        </is>
      </c>
      <c r="D1094" t="n">
        <v>8420</v>
      </c>
      <c r="E1094" t="inlineStr">
        <is>
          <t>EJECUTIVO DE OPERACIONES P. FISICA</t>
        </is>
      </c>
      <c r="F1094" t="inlineStr">
        <is>
          <t>GUADALAJARA</t>
        </is>
      </c>
      <c r="G1094" t="n">
        <v>1526</v>
      </c>
      <c r="H1094" t="inlineStr">
        <is>
          <t>FERNANDO LOPEZ REGALADO</t>
        </is>
      </c>
      <c r="I1094" t="n">
        <v>9964</v>
      </c>
      <c r="J1094" t="inlineStr">
        <is>
          <t>GERENTE DE INVERSIONES</t>
        </is>
      </c>
      <c r="K1094" t="n">
        <v>1</v>
      </c>
      <c r="L1094" t="inlineStr">
        <is>
          <t>PRESIDENCIA EJECUTIVA DEL CONSEJO</t>
        </is>
      </c>
      <c r="M1094" t="n">
        <v>40</v>
      </c>
      <c r="N1094" t="inlineStr">
        <is>
          <t>DIRECCION GENERAL BANCO BASE</t>
        </is>
      </c>
      <c r="O1094" t="n">
        <v>410</v>
      </c>
      <c r="P1094" t="inlineStr">
        <is>
          <t>DIRECCION COMERCIAL</t>
        </is>
      </c>
      <c r="Q1094" t="n">
        <v>4102</v>
      </c>
      <c r="R1094" t="inlineStr">
        <is>
          <t>DIRECCION DE SOLUCIONES</t>
        </is>
      </c>
      <c r="S1094" t="n">
        <v>45310</v>
      </c>
      <c r="T1094" t="inlineStr">
        <is>
          <t>SUBDIRECCION NACIONAL DE BANCA TRANSACCIONAL</t>
        </is>
      </c>
      <c r="U1094" t="n">
        <v>453120</v>
      </c>
      <c r="V1094" t="inlineStr">
        <is>
          <t>GERENCIA INVERSIONES CDMX Y OCCIDENTE</t>
        </is>
      </c>
      <c r="W1094" t="n">
        <v>126107</v>
      </c>
      <c r="X1094" t="inlineStr">
        <is>
          <t>GUADALAJARA</t>
        </is>
      </c>
      <c r="Y1094" t="n">
        <v>14</v>
      </c>
      <c r="Z1094" t="inlineStr">
        <is>
          <t>TRANSACCIONAL</t>
        </is>
      </c>
      <c r="AA1094" t="n">
        <v>1</v>
      </c>
      <c r="AB1094" t="inlineStr">
        <is>
          <t>NEGOCIO EN MARCHA</t>
        </is>
      </c>
      <c r="AC1094" t="n">
        <v>1</v>
      </c>
      <c r="AD1094" t="inlineStr">
        <is>
          <t>BANCO</t>
        </is>
      </c>
      <c r="AE1094" t="n">
        <v>2</v>
      </c>
      <c r="AF1094" t="inlineStr">
        <is>
          <t>MIDDLE</t>
        </is>
      </c>
      <c r="AG1094" t="n">
        <v>126107</v>
      </c>
      <c r="AH1094" t="inlineStr">
        <is>
          <t>GUADALAJARA</t>
        </is>
      </c>
      <c r="AI1094" t="inlineStr">
        <is>
          <t>DMUNOZ@BANCOBASE.COM</t>
        </is>
      </c>
      <c r="AJ1094" s="151" t="n">
        <v>44356</v>
      </c>
      <c r="AK1094" s="151" t="n"/>
      <c r="AL1094" s="151" t="n"/>
    </row>
    <row r="1095" hidden="1" s="150">
      <c r="A1095" t="inlineStr">
        <is>
          <t>GROBLESN</t>
        </is>
      </c>
      <c r="B1095" t="n">
        <v>2201</v>
      </c>
      <c r="C1095" t="inlineStr">
        <is>
          <t>GABRIELA GUADALUPE ROBLES NECOHECHEA</t>
        </is>
      </c>
      <c r="D1095" t="n">
        <v>8483</v>
      </c>
      <c r="E1095" t="inlineStr">
        <is>
          <t>EJECUTIVO DE OPERACIONES MD</t>
        </is>
      </c>
      <c r="F1095" t="inlineStr">
        <is>
          <t>GUADALAJARA</t>
        </is>
      </c>
      <c r="G1095" t="n">
        <v>1526</v>
      </c>
      <c r="H1095" t="inlineStr">
        <is>
          <t>FERNANDO LOPEZ REGALADO</t>
        </is>
      </c>
      <c r="I1095" t="n">
        <v>9964</v>
      </c>
      <c r="J1095" t="inlineStr">
        <is>
          <t>GERENTE DE INVERSIONES</t>
        </is>
      </c>
      <c r="K1095" t="n">
        <v>1</v>
      </c>
      <c r="L1095" t="inlineStr">
        <is>
          <t>PRESIDENCIA EJECUTIVA DEL CONSEJO</t>
        </is>
      </c>
      <c r="M1095" t="n">
        <v>40</v>
      </c>
      <c r="N1095" t="inlineStr">
        <is>
          <t>DIRECCION GENERAL BANCO BASE</t>
        </is>
      </c>
      <c r="O1095" t="n">
        <v>410</v>
      </c>
      <c r="P1095" t="inlineStr">
        <is>
          <t>DIRECCION COMERCIAL</t>
        </is>
      </c>
      <c r="Q1095" t="n">
        <v>4102</v>
      </c>
      <c r="R1095" t="inlineStr">
        <is>
          <t>DIRECCION DE SOLUCIONES</t>
        </is>
      </c>
      <c r="S1095" t="n">
        <v>45310</v>
      </c>
      <c r="T1095" t="inlineStr">
        <is>
          <t>SUBDIRECCION NACIONAL DE BANCA TRANSACCIONAL</t>
        </is>
      </c>
      <c r="U1095" t="n">
        <v>453120</v>
      </c>
      <c r="V1095" t="inlineStr">
        <is>
          <t>GERENCIA INVERSIONES CDMX Y OCCIDENTE</t>
        </is>
      </c>
      <c r="W1095" t="n">
        <v>126107</v>
      </c>
      <c r="X1095" t="inlineStr">
        <is>
          <t>GUADALAJARA</t>
        </is>
      </c>
      <c r="Y1095" t="n">
        <v>14</v>
      </c>
      <c r="Z1095" t="inlineStr">
        <is>
          <t>TRANSACCIONAL</t>
        </is>
      </c>
      <c r="AA1095" t="n">
        <v>1</v>
      </c>
      <c r="AB1095" t="inlineStr">
        <is>
          <t>NEGOCIO EN MARCHA</t>
        </is>
      </c>
      <c r="AC1095" t="n">
        <v>1</v>
      </c>
      <c r="AD1095" t="inlineStr">
        <is>
          <t>BANCO</t>
        </is>
      </c>
      <c r="AE1095" t="n">
        <v>2</v>
      </c>
      <c r="AF1095" t="inlineStr">
        <is>
          <t>MIDDLE</t>
        </is>
      </c>
      <c r="AG1095" t="n">
        <v>126107</v>
      </c>
      <c r="AH1095" t="inlineStr">
        <is>
          <t>GUADALAJARA</t>
        </is>
      </c>
      <c r="AI1095" t="inlineStr">
        <is>
          <t>GROBLESN@CASADEBOLSABASE.COM</t>
        </is>
      </c>
      <c r="AJ1095" s="151" t="n">
        <v>43543</v>
      </c>
      <c r="AK1095" s="151" t="n"/>
      <c r="AL1095" s="151" t="n"/>
    </row>
    <row r="1096" hidden="1" s="150">
      <c r="A1096" t="inlineStr">
        <is>
          <t>LSOLANO</t>
        </is>
      </c>
      <c r="B1096" t="n">
        <v>3289</v>
      </c>
      <c r="C1096" t="inlineStr">
        <is>
          <t>LUIS ADOLFO SOLANO CARRASCO</t>
        </is>
      </c>
      <c r="D1096" t="n">
        <v>8349</v>
      </c>
      <c r="E1096" t="inlineStr">
        <is>
          <t>EJECUTIVO DE OPERACIONES P. FISICA</t>
        </is>
      </c>
      <c r="F1096" t="inlineStr">
        <is>
          <t>MEXICO</t>
        </is>
      </c>
      <c r="G1096" t="n">
        <v>1526</v>
      </c>
      <c r="H1096" t="inlineStr">
        <is>
          <t>FERNANDO LOPEZ REGALADO</t>
        </is>
      </c>
      <c r="I1096" t="n">
        <v>9964</v>
      </c>
      <c r="J1096" t="inlineStr">
        <is>
          <t>GERENTE DE INVERSIONES</t>
        </is>
      </c>
      <c r="K1096" t="n">
        <v>1</v>
      </c>
      <c r="L1096" t="inlineStr">
        <is>
          <t>PRESIDENCIA EJECUTIVA DEL CONSEJO</t>
        </is>
      </c>
      <c r="M1096" t="n">
        <v>40</v>
      </c>
      <c r="N1096" t="inlineStr">
        <is>
          <t>DIRECCION GENERAL BANCO BASE</t>
        </is>
      </c>
      <c r="O1096" t="n">
        <v>410</v>
      </c>
      <c r="P1096" t="inlineStr">
        <is>
          <t>DIRECCION COMERCIAL</t>
        </is>
      </c>
      <c r="Q1096" t="n">
        <v>4530</v>
      </c>
      <c r="R1096" t="inlineStr">
        <is>
          <t>DIRECCION DESARROLLO TRANSACCIONAL E INVERSION</t>
        </is>
      </c>
      <c r="S1096" t="n">
        <v>45310</v>
      </c>
      <c r="T1096" t="inlineStr">
        <is>
          <t>SUBDIRECCION NACIONAL DE BANCA TRANSACCIONAL</t>
        </is>
      </c>
      <c r="U1096" t="n">
        <v>453120</v>
      </c>
      <c r="V1096" t="inlineStr">
        <is>
          <t>GERENCIA INVERSIONES CDMX Y OCCIDENTE</t>
        </is>
      </c>
      <c r="W1096" t="n">
        <v>134111</v>
      </c>
      <c r="X1096" t="inlineStr">
        <is>
          <t>LOMAS</t>
        </is>
      </c>
      <c r="Y1096" t="n">
        <v>14</v>
      </c>
      <c r="Z1096" t="inlineStr">
        <is>
          <t>TRANSACCIONAL</t>
        </is>
      </c>
      <c r="AA1096" t="n">
        <v>1</v>
      </c>
      <c r="AB1096" t="inlineStr">
        <is>
          <t>NEGOCIO EN MARCHA</t>
        </is>
      </c>
      <c r="AC1096" t="n">
        <v>1</v>
      </c>
      <c r="AD1096" t="inlineStr">
        <is>
          <t>BANCO</t>
        </is>
      </c>
      <c r="AE1096" t="n">
        <v>2</v>
      </c>
      <c r="AF1096" t="inlineStr">
        <is>
          <t>MIDDLE</t>
        </is>
      </c>
      <c r="AG1096" t="n">
        <v>134111</v>
      </c>
      <c r="AH1096" t="inlineStr">
        <is>
          <t>LOMAS</t>
        </is>
      </c>
      <c r="AI1096" t="inlineStr">
        <is>
          <t>LSOLANO@BANCOBASE.COM</t>
        </is>
      </c>
      <c r="AJ1096" s="151" t="n">
        <v>45628</v>
      </c>
      <c r="AK1096" s="151" t="n"/>
      <c r="AL1096" s="151" t="n"/>
    </row>
    <row r="1097" hidden="1" s="150">
      <c r="A1097" t="inlineStr">
        <is>
          <t>MCHEJADE</t>
        </is>
      </c>
      <c r="B1097" t="n">
        <v>1519</v>
      </c>
      <c r="C1097" t="inlineStr">
        <is>
          <t>MARIO CHEJADE ESPINOSA</t>
        </is>
      </c>
      <c r="D1097" t="n">
        <v>9773</v>
      </c>
      <c r="E1097" t="inlineStr">
        <is>
          <t>GERENTE DE INVERSIONES</t>
        </is>
      </c>
      <c r="F1097" t="inlineStr">
        <is>
          <t>MONTERREY</t>
        </is>
      </c>
      <c r="G1097" t="n">
        <v>1451</v>
      </c>
      <c r="H1097" t="inlineStr">
        <is>
          <t>VERONICA IVONNE ALATORRE DE LA VEGA</t>
        </is>
      </c>
      <c r="I1097" t="n">
        <v>9934</v>
      </c>
      <c r="J1097" t="inlineStr">
        <is>
          <t>SUBDIRECTOR NACIONAL DE BANCA TRANSACCIONAL E INVERSIONES</t>
        </is>
      </c>
      <c r="K1097" t="n">
        <v>1</v>
      </c>
      <c r="L1097" t="inlineStr">
        <is>
          <t>PRESIDENCIA EJECUTIVA DEL CONSEJO</t>
        </is>
      </c>
      <c r="M1097" t="n">
        <v>40</v>
      </c>
      <c r="N1097" t="inlineStr">
        <is>
          <t>DIRECCION GENERAL BANCO BASE</t>
        </is>
      </c>
      <c r="O1097" t="n">
        <v>410</v>
      </c>
      <c r="P1097" t="inlineStr">
        <is>
          <t>DIRECCION COMERCIAL</t>
        </is>
      </c>
      <c r="Q1097" t="n">
        <v>4102</v>
      </c>
      <c r="R1097" t="inlineStr">
        <is>
          <t>DIRECCION DE SOLUCIONES</t>
        </is>
      </c>
      <c r="S1097" t="n">
        <v>45310</v>
      </c>
      <c r="T1097" t="inlineStr">
        <is>
          <t>SUBDIRECCION NACIONAL DE BANCA TRANSACCIONAL</t>
        </is>
      </c>
      <c r="U1097" t="n">
        <v>453140</v>
      </c>
      <c r="V1097" t="inlineStr">
        <is>
          <t>GERENCIA INVERSIONES NORTE Y FORANEAS</t>
        </is>
      </c>
      <c r="W1097" t="n">
        <v>126102</v>
      </c>
      <c r="X1097" t="inlineStr">
        <is>
          <t>VALLE ORIENTE</t>
        </is>
      </c>
      <c r="Y1097" t="n">
        <v>14</v>
      </c>
      <c r="Z1097" t="inlineStr">
        <is>
          <t>TRANSACCIONAL</t>
        </is>
      </c>
      <c r="AA1097" t="n">
        <v>1</v>
      </c>
      <c r="AB1097" t="inlineStr">
        <is>
          <t>NEGOCIO EN MARCHA</t>
        </is>
      </c>
      <c r="AC1097" t="n">
        <v>2</v>
      </c>
      <c r="AD1097" t="inlineStr">
        <is>
          <t>CASA DE BOLSA</t>
        </is>
      </c>
      <c r="AE1097" t="n">
        <v>3</v>
      </c>
      <c r="AF1097" t="inlineStr">
        <is>
          <t>FRONT</t>
        </is>
      </c>
      <c r="AG1097" t="n">
        <v>126102</v>
      </c>
      <c r="AH1097" t="inlineStr">
        <is>
          <t>MONTERREY</t>
        </is>
      </c>
      <c r="AI1097" t="inlineStr">
        <is>
          <t>MCHEJADE@CASADEBOLSABASE.COM</t>
        </is>
      </c>
      <c r="AJ1097" s="151" t="n">
        <v>42445</v>
      </c>
      <c r="AK1097" s="151" t="n"/>
      <c r="AL1097" s="151" t="n"/>
    </row>
    <row r="1098" hidden="1" s="150">
      <c r="A1098" t="inlineStr">
        <is>
          <t>DBEJARANO</t>
        </is>
      </c>
      <c r="B1098" t="n">
        <v>299</v>
      </c>
      <c r="C1098" t="inlineStr">
        <is>
          <t>DIANA BEJARANO TAMEZ</t>
        </is>
      </c>
      <c r="D1098" t="n">
        <v>9954</v>
      </c>
      <c r="E1098" t="inlineStr">
        <is>
          <t>ESPECIALISTA DE INVERSION BURSATIL</t>
        </is>
      </c>
      <c r="F1098" t="inlineStr">
        <is>
          <t>MONTERREY</t>
        </is>
      </c>
      <c r="G1098" t="n">
        <v>1519</v>
      </c>
      <c r="H1098" t="inlineStr">
        <is>
          <t>MARIO CHEJADE ESPINOSA</t>
        </is>
      </c>
      <c r="I1098" t="n">
        <v>9773</v>
      </c>
      <c r="J1098" t="inlineStr">
        <is>
          <t>GERENTE DE INVERSIONES</t>
        </is>
      </c>
      <c r="K1098" t="n">
        <v>1</v>
      </c>
      <c r="L1098" t="inlineStr">
        <is>
          <t>PRESIDENCIA EJECUTIVA DEL CONSEJO</t>
        </is>
      </c>
      <c r="M1098" t="n">
        <v>40</v>
      </c>
      <c r="N1098" t="inlineStr">
        <is>
          <t>DIRECCION GENERAL BANCO BASE</t>
        </is>
      </c>
      <c r="O1098" t="n">
        <v>410</v>
      </c>
      <c r="P1098" t="inlineStr">
        <is>
          <t>DIRECCION COMERCIAL</t>
        </is>
      </c>
      <c r="Q1098" t="n">
        <v>4102</v>
      </c>
      <c r="R1098" t="inlineStr">
        <is>
          <t>DIRECCION DE SOLUCIONES</t>
        </is>
      </c>
      <c r="S1098" t="n">
        <v>45310</v>
      </c>
      <c r="T1098" t="inlineStr">
        <is>
          <t>SUBDIRECCION NACIONAL DE BANCA TRANSACCIONAL</t>
        </is>
      </c>
      <c r="U1098" t="n">
        <v>453140</v>
      </c>
      <c r="V1098" t="inlineStr">
        <is>
          <t>GERENCIA INVERSIONES NORTE Y FORANEAS</t>
        </is>
      </c>
      <c r="W1098" t="n">
        <v>126102</v>
      </c>
      <c r="X1098" t="inlineStr">
        <is>
          <t>VALLE ORIENTE</t>
        </is>
      </c>
      <c r="Y1098" t="n">
        <v>14</v>
      </c>
      <c r="Z1098" t="inlineStr">
        <is>
          <t>TRANSACCIONAL</t>
        </is>
      </c>
      <c r="AA1098" t="n">
        <v>1</v>
      </c>
      <c r="AB1098" t="inlineStr">
        <is>
          <t>NEGOCIO EN MARCHA</t>
        </is>
      </c>
      <c r="AC1098" t="n">
        <v>1</v>
      </c>
      <c r="AD1098" t="inlineStr">
        <is>
          <t>BANCO</t>
        </is>
      </c>
      <c r="AE1098" t="n">
        <v>3</v>
      </c>
      <c r="AF1098" t="inlineStr">
        <is>
          <t>FRONT</t>
        </is>
      </c>
      <c r="AG1098" t="n">
        <v>126102</v>
      </c>
      <c r="AH1098" t="inlineStr">
        <is>
          <t>MONTERREY</t>
        </is>
      </c>
      <c r="AI1098" t="inlineStr">
        <is>
          <t>DBEJARANO@BANCOBASE.COM</t>
        </is>
      </c>
      <c r="AJ1098" s="151" t="n">
        <v>38672</v>
      </c>
      <c r="AK1098" s="151" t="n"/>
      <c r="AL1098" s="151" t="n"/>
    </row>
    <row r="1099" hidden="1" s="150">
      <c r="A1099" t="inlineStr">
        <is>
          <t>DLECHUGA</t>
        </is>
      </c>
      <c r="B1099" t="n">
        <v>1827</v>
      </c>
      <c r="C1099" t="inlineStr">
        <is>
          <t>DIANA YAZMIN LECHUGA JIMENEZ</t>
        </is>
      </c>
      <c r="D1099" t="n">
        <v>9682</v>
      </c>
      <c r="E1099" t="inlineStr">
        <is>
          <t>ESPECIALISTA DE INVERSION</t>
        </is>
      </c>
      <c r="F1099" t="inlineStr">
        <is>
          <t>MONTERREY</t>
        </is>
      </c>
      <c r="G1099" t="n">
        <v>1519</v>
      </c>
      <c r="H1099" t="inlineStr">
        <is>
          <t>MARIO CHEJADE ESPINOSA</t>
        </is>
      </c>
      <c r="I1099" t="n">
        <v>9773</v>
      </c>
      <c r="J1099" t="inlineStr">
        <is>
          <t>GERENTE DE INVERSIONES</t>
        </is>
      </c>
      <c r="K1099" t="n">
        <v>1</v>
      </c>
      <c r="L1099" t="inlineStr">
        <is>
          <t>PRESIDENCIA EJECUTIVA DEL CONSEJO</t>
        </is>
      </c>
      <c r="M1099" t="n">
        <v>40</v>
      </c>
      <c r="N1099" t="inlineStr">
        <is>
          <t>DIRECCION GENERAL BANCO BASE</t>
        </is>
      </c>
      <c r="O1099" t="n">
        <v>410</v>
      </c>
      <c r="P1099" t="inlineStr">
        <is>
          <t>DIRECCION COMERCIAL</t>
        </is>
      </c>
      <c r="Q1099" t="n">
        <v>4102</v>
      </c>
      <c r="R1099" t="inlineStr">
        <is>
          <t>DIRECCION DE SOLUCIONES</t>
        </is>
      </c>
      <c r="S1099" t="n">
        <v>45310</v>
      </c>
      <c r="T1099" t="inlineStr">
        <is>
          <t>SUBDIRECCION NACIONAL DE BANCA TRANSACCIONAL</t>
        </is>
      </c>
      <c r="U1099" t="n">
        <v>453140</v>
      </c>
      <c r="V1099" t="inlineStr">
        <is>
          <t>GERENCIA INVERSIONES NORTE Y FORANEAS</t>
        </is>
      </c>
      <c r="W1099" t="n">
        <v>126102</v>
      </c>
      <c r="X1099" t="inlineStr">
        <is>
          <t>VALLE ORIENTE</t>
        </is>
      </c>
      <c r="Y1099" t="n">
        <v>14</v>
      </c>
      <c r="Z1099" t="inlineStr">
        <is>
          <t>TRANSACCIONAL</t>
        </is>
      </c>
      <c r="AA1099" t="n">
        <v>1</v>
      </c>
      <c r="AB1099" t="inlineStr">
        <is>
          <t>NEGOCIO EN MARCHA</t>
        </is>
      </c>
      <c r="AC1099" t="n">
        <v>2</v>
      </c>
      <c r="AD1099" t="inlineStr">
        <is>
          <t>CASA DE BOLSA</t>
        </is>
      </c>
      <c r="AE1099" t="n">
        <v>3</v>
      </c>
      <c r="AF1099" t="inlineStr">
        <is>
          <t>FRONT</t>
        </is>
      </c>
      <c r="AG1099" t="n">
        <v>126102</v>
      </c>
      <c r="AH1099" t="inlineStr">
        <is>
          <t>MONTERREY</t>
        </is>
      </c>
      <c r="AI1099" t="inlineStr">
        <is>
          <t>DLECHUGA@BANCOBASE.COM</t>
        </is>
      </c>
      <c r="AJ1099" s="151" t="n">
        <v>42971</v>
      </c>
      <c r="AK1099" s="151" t="n"/>
      <c r="AL1099" s="151" t="n"/>
    </row>
    <row r="1100" hidden="1" s="150">
      <c r="A1100" t="inlineStr">
        <is>
          <t>FMEDELLIN</t>
        </is>
      </c>
      <c r="B1100" t="n">
        <v>1276</v>
      </c>
      <c r="C1100" t="inlineStr">
        <is>
          <t>FLOR ELVIRA MEDELLIN MARTINEZ</t>
        </is>
      </c>
      <c r="D1100" t="n">
        <v>9617</v>
      </c>
      <c r="E1100" t="inlineStr">
        <is>
          <t>ESPECIALISTA DE INVERSION P. FISICA</t>
        </is>
      </c>
      <c r="F1100" t="inlineStr">
        <is>
          <t>MONTERREY</t>
        </is>
      </c>
      <c r="G1100" t="n">
        <v>1519</v>
      </c>
      <c r="H1100" t="inlineStr">
        <is>
          <t>MARIO CHEJADE ESPINOSA</t>
        </is>
      </c>
      <c r="I1100" t="n">
        <v>9773</v>
      </c>
      <c r="J1100" t="inlineStr">
        <is>
          <t>GERENTE DE INVERSIONES</t>
        </is>
      </c>
      <c r="K1100" t="n">
        <v>1</v>
      </c>
      <c r="L1100" t="inlineStr">
        <is>
          <t>PRESIDENCIA EJECUTIVA DEL CONSEJO</t>
        </is>
      </c>
      <c r="M1100" t="n">
        <v>40</v>
      </c>
      <c r="N1100" t="inlineStr">
        <is>
          <t>DIRECCION GENERAL BANCO BASE</t>
        </is>
      </c>
      <c r="O1100" t="n">
        <v>410</v>
      </c>
      <c r="P1100" t="inlineStr">
        <is>
          <t>DIRECCION COMERCIAL</t>
        </is>
      </c>
      <c r="Q1100" t="n">
        <v>4102</v>
      </c>
      <c r="R1100" t="inlineStr">
        <is>
          <t>DIRECCION DE SOLUCIONES</t>
        </is>
      </c>
      <c r="S1100" t="n">
        <v>45310</v>
      </c>
      <c r="T1100" t="inlineStr">
        <is>
          <t>SUBDIRECCION NACIONAL DE BANCA TRANSACCIONAL</t>
        </is>
      </c>
      <c r="U1100" t="n">
        <v>453140</v>
      </c>
      <c r="V1100" t="inlineStr">
        <is>
          <t>GERENCIA INVERSIONES NORTE Y FORANEAS</t>
        </is>
      </c>
      <c r="W1100" t="n">
        <v>126125</v>
      </c>
      <c r="X1100" t="inlineStr">
        <is>
          <t>PLAZA 401</t>
        </is>
      </c>
      <c r="Y1100" t="n">
        <v>14</v>
      </c>
      <c r="Z1100" t="inlineStr">
        <is>
          <t>TRANSACCIONAL</t>
        </is>
      </c>
      <c r="AA1100" t="n">
        <v>1</v>
      </c>
      <c r="AB1100" t="inlineStr">
        <is>
          <t>NEGOCIO EN MARCHA</t>
        </is>
      </c>
      <c r="AC1100" t="n">
        <v>1</v>
      </c>
      <c r="AD1100" t="inlineStr">
        <is>
          <t>BANCO</t>
        </is>
      </c>
      <c r="AE1100" t="n">
        <v>3</v>
      </c>
      <c r="AF1100" t="inlineStr">
        <is>
          <t>FRONT</t>
        </is>
      </c>
      <c r="AG1100" t="n">
        <v>126102</v>
      </c>
      <c r="AH1100" t="inlineStr">
        <is>
          <t>MONTERREY</t>
        </is>
      </c>
      <c r="AI1100" t="inlineStr">
        <is>
          <t>FMEDELLIN@BANCOBASE.COM</t>
        </is>
      </c>
      <c r="AJ1100" s="151" t="n">
        <v>42072</v>
      </c>
      <c r="AK1100" s="151" t="n"/>
      <c r="AL1100" s="151" t="n"/>
    </row>
    <row r="1101" hidden="1" s="150">
      <c r="A1101" t="inlineStr">
        <is>
          <t>HMARTINEZM</t>
        </is>
      </c>
      <c r="B1101" t="n">
        <v>1521</v>
      </c>
      <c r="C1101" t="inlineStr">
        <is>
          <t>HILDA GABRIELA MARTINEZ MARROQUIN</t>
        </is>
      </c>
      <c r="D1101" t="n">
        <v>9770</v>
      </c>
      <c r="E1101" t="inlineStr">
        <is>
          <t>ESPECIALISTA DE INVERSION BURSATIL</t>
        </is>
      </c>
      <c r="F1101" t="inlineStr">
        <is>
          <t>MONTERREY</t>
        </is>
      </c>
      <c r="G1101" t="n">
        <v>1519</v>
      </c>
      <c r="H1101" t="inlineStr">
        <is>
          <t>MARIO CHEJADE ESPINOSA</t>
        </is>
      </c>
      <c r="I1101" t="n">
        <v>9773</v>
      </c>
      <c r="J1101" t="inlineStr">
        <is>
          <t>GERENTE DE INVERSIONES</t>
        </is>
      </c>
      <c r="K1101" t="n">
        <v>1</v>
      </c>
      <c r="L1101" t="inlineStr">
        <is>
          <t>PRESIDENCIA EJECUTIVA DEL CONSEJO</t>
        </is>
      </c>
      <c r="M1101" t="n">
        <v>40</v>
      </c>
      <c r="N1101" t="inlineStr">
        <is>
          <t>DIRECCION GENERAL BANCO BASE</t>
        </is>
      </c>
      <c r="O1101" t="n">
        <v>410</v>
      </c>
      <c r="P1101" t="inlineStr">
        <is>
          <t>DIRECCION COMERCIAL</t>
        </is>
      </c>
      <c r="Q1101" t="n">
        <v>4102</v>
      </c>
      <c r="R1101" t="inlineStr">
        <is>
          <t>DIRECCION DE SOLUCIONES</t>
        </is>
      </c>
      <c r="S1101" t="n">
        <v>45310</v>
      </c>
      <c r="T1101" t="inlineStr">
        <is>
          <t>SUBDIRECCION NACIONAL DE BANCA TRANSACCIONAL</t>
        </is>
      </c>
      <c r="U1101" t="n">
        <v>453140</v>
      </c>
      <c r="V1101" t="inlineStr">
        <is>
          <t>GERENCIA INVERSIONES NORTE Y FORANEAS</t>
        </is>
      </c>
      <c r="W1101" t="n">
        <v>126102</v>
      </c>
      <c r="X1101" t="inlineStr">
        <is>
          <t>VALLE ORIENTE</t>
        </is>
      </c>
      <c r="Y1101" t="n">
        <v>14</v>
      </c>
      <c r="Z1101" t="inlineStr">
        <is>
          <t>TRANSACCIONAL</t>
        </is>
      </c>
      <c r="AA1101" t="n">
        <v>1</v>
      </c>
      <c r="AB1101" t="inlineStr">
        <is>
          <t>NEGOCIO EN MARCHA</t>
        </is>
      </c>
      <c r="AC1101" t="n">
        <v>2</v>
      </c>
      <c r="AD1101" t="inlineStr">
        <is>
          <t>CASA DE BOLSA</t>
        </is>
      </c>
      <c r="AE1101" t="n">
        <v>3</v>
      </c>
      <c r="AF1101" t="inlineStr">
        <is>
          <t>FRONT</t>
        </is>
      </c>
      <c r="AG1101" t="n">
        <v>126102</v>
      </c>
      <c r="AH1101" t="inlineStr">
        <is>
          <t>MONTERREY</t>
        </is>
      </c>
      <c r="AI1101" t="inlineStr">
        <is>
          <t>HMARTINEZM@CASADEBOLSABASE.COM</t>
        </is>
      </c>
      <c r="AJ1101" s="151" t="n">
        <v>42451</v>
      </c>
      <c r="AK1101" s="151" t="n"/>
      <c r="AL1101" s="151" t="n"/>
    </row>
    <row r="1102" hidden="1" s="150">
      <c r="A1102" t="inlineStr">
        <is>
          <t>JMARTINEZJ</t>
        </is>
      </c>
      <c r="B1102" t="n">
        <v>3172</v>
      </c>
      <c r="C1102" t="inlineStr">
        <is>
          <t>JOSE ALFREDO MARTINEZ JIMENEZ</t>
        </is>
      </c>
      <c r="D1102" t="n">
        <v>8687</v>
      </c>
      <c r="E1102" t="inlineStr">
        <is>
          <t>ESPECIALISTA DE INVERSION</t>
        </is>
      </c>
      <c r="F1102" t="inlineStr">
        <is>
          <t>MONTERREY</t>
        </is>
      </c>
      <c r="G1102" t="n">
        <v>1519</v>
      </c>
      <c r="H1102" t="inlineStr">
        <is>
          <t>MARIO CHEJADE ESPINOSA</t>
        </is>
      </c>
      <c r="I1102" t="n">
        <v>9773</v>
      </c>
      <c r="J1102" t="inlineStr">
        <is>
          <t>GERENTE DE INVERSIONES</t>
        </is>
      </c>
      <c r="K1102" t="n">
        <v>1</v>
      </c>
      <c r="L1102" t="inlineStr">
        <is>
          <t>PRESIDENCIA EJECUTIVA DEL CONSEJO</t>
        </is>
      </c>
      <c r="M1102" t="n">
        <v>40</v>
      </c>
      <c r="N1102" t="inlineStr">
        <is>
          <t>DIRECCION GENERAL BANCO BASE</t>
        </is>
      </c>
      <c r="O1102" t="n">
        <v>410</v>
      </c>
      <c r="P1102" t="inlineStr">
        <is>
          <t>DIRECCION COMERCIAL</t>
        </is>
      </c>
      <c r="Q1102" t="n">
        <v>4102</v>
      </c>
      <c r="R1102" t="inlineStr">
        <is>
          <t>DIRECCION DE SOLUCIONES</t>
        </is>
      </c>
      <c r="S1102" t="n">
        <v>45310</v>
      </c>
      <c r="T1102" t="inlineStr">
        <is>
          <t>SUBDIRECCION NACIONAL DE BANCA TRANSACCIONAL</t>
        </is>
      </c>
      <c r="U1102" t="n">
        <v>453140</v>
      </c>
      <c r="V1102" t="inlineStr">
        <is>
          <t>GERENCIA INVERSIONES NORTE Y FORANEAS</t>
        </is>
      </c>
      <c r="W1102" t="n">
        <v>126102</v>
      </c>
      <c r="X1102" t="inlineStr">
        <is>
          <t>VALLE ORIENTE</t>
        </is>
      </c>
      <c r="Y1102" t="n">
        <v>14</v>
      </c>
      <c r="Z1102" t="inlineStr">
        <is>
          <t>TRANSACCIONAL</t>
        </is>
      </c>
      <c r="AA1102" t="n">
        <v>1</v>
      </c>
      <c r="AB1102" t="inlineStr">
        <is>
          <t>NEGOCIO EN MARCHA</t>
        </is>
      </c>
      <c r="AC1102" t="n">
        <v>1</v>
      </c>
      <c r="AD1102" t="inlineStr">
        <is>
          <t>BANCO</t>
        </is>
      </c>
      <c r="AE1102" t="n">
        <v>3</v>
      </c>
      <c r="AF1102" t="inlineStr">
        <is>
          <t>FRONT</t>
        </is>
      </c>
      <c r="AG1102" t="n">
        <v>126102</v>
      </c>
      <c r="AH1102" t="inlineStr">
        <is>
          <t>MONTERREY</t>
        </is>
      </c>
      <c r="AI1102" t="inlineStr">
        <is>
          <t>JMARTINEZJ@BANCOBASE.COM</t>
        </is>
      </c>
      <c r="AJ1102" s="151" t="n">
        <v>45505</v>
      </c>
      <c r="AK1102" s="151" t="n"/>
      <c r="AL1102" s="151" t="n"/>
    </row>
    <row r="1103" hidden="1" s="150">
      <c r="A1103" t="inlineStr">
        <is>
          <t>KLOPEZ</t>
        </is>
      </c>
      <c r="B1103" t="n">
        <v>798</v>
      </c>
      <c r="C1103" t="inlineStr">
        <is>
          <t>KARLA IVONNE LOPEZ SANCHEZ</t>
        </is>
      </c>
      <c r="D1103" t="n">
        <v>9440</v>
      </c>
      <c r="E1103" t="inlineStr">
        <is>
          <t>ESPECIALISTA DE INVERSION BURSATIL</t>
        </is>
      </c>
      <c r="F1103" t="inlineStr">
        <is>
          <t>MONTERREY</t>
        </is>
      </c>
      <c r="G1103" t="n">
        <v>1519</v>
      </c>
      <c r="H1103" t="inlineStr">
        <is>
          <t>MARIO CHEJADE ESPINOSA</t>
        </is>
      </c>
      <c r="I1103" t="n">
        <v>9773</v>
      </c>
      <c r="J1103" t="inlineStr">
        <is>
          <t>GERENTE DE INVERSIONES</t>
        </is>
      </c>
      <c r="K1103" t="n">
        <v>1</v>
      </c>
      <c r="L1103" t="inlineStr">
        <is>
          <t>PRESIDENCIA EJECUTIVA DEL CONSEJO</t>
        </is>
      </c>
      <c r="M1103" t="n">
        <v>40</v>
      </c>
      <c r="N1103" t="inlineStr">
        <is>
          <t>DIRECCION GENERAL BANCO BASE</t>
        </is>
      </c>
      <c r="O1103" t="n">
        <v>410</v>
      </c>
      <c r="P1103" t="inlineStr">
        <is>
          <t>DIRECCION COMERCIAL</t>
        </is>
      </c>
      <c r="Q1103" t="n">
        <v>4102</v>
      </c>
      <c r="R1103" t="inlineStr">
        <is>
          <t>DIRECCION DE SOLUCIONES</t>
        </is>
      </c>
      <c r="S1103" t="n">
        <v>45310</v>
      </c>
      <c r="T1103" t="inlineStr">
        <is>
          <t>SUBDIRECCION NACIONAL DE BANCA TRANSACCIONAL</t>
        </is>
      </c>
      <c r="U1103" t="n">
        <v>453140</v>
      </c>
      <c r="V1103" t="inlineStr">
        <is>
          <t>GERENCIA INVERSIONES NORTE Y FORANEAS</t>
        </is>
      </c>
      <c r="W1103" t="n">
        <v>126102</v>
      </c>
      <c r="X1103" t="inlineStr">
        <is>
          <t>VALLE ORIENTE</t>
        </is>
      </c>
      <c r="Y1103" t="n">
        <v>14</v>
      </c>
      <c r="Z1103" t="inlineStr">
        <is>
          <t>TRANSACCIONAL</t>
        </is>
      </c>
      <c r="AA1103" t="n">
        <v>1</v>
      </c>
      <c r="AB1103" t="inlineStr">
        <is>
          <t>NEGOCIO EN MARCHA</t>
        </is>
      </c>
      <c r="AC1103" t="n">
        <v>1</v>
      </c>
      <c r="AD1103" t="inlineStr">
        <is>
          <t>BANCO</t>
        </is>
      </c>
      <c r="AE1103" t="n">
        <v>3</v>
      </c>
      <c r="AF1103" t="inlineStr">
        <is>
          <t>FRONT</t>
        </is>
      </c>
      <c r="AG1103" t="n">
        <v>126102</v>
      </c>
      <c r="AH1103" t="inlineStr">
        <is>
          <t>MONTERREY</t>
        </is>
      </c>
      <c r="AI1103" t="inlineStr">
        <is>
          <t>KLOPEZ@BANCOBASE.COM</t>
        </is>
      </c>
      <c r="AJ1103" s="151" t="n">
        <v>40429</v>
      </c>
      <c r="AK1103" s="151" t="n"/>
      <c r="AL1103" s="151" t="n"/>
    </row>
    <row r="1104" hidden="1" s="150">
      <c r="A1104" t="inlineStr">
        <is>
          <t>LPATTERSON</t>
        </is>
      </c>
      <c r="B1104" t="n">
        <v>1370</v>
      </c>
      <c r="C1104" t="inlineStr">
        <is>
          <t>LETICIA PATTERSON VIDALES</t>
        </is>
      </c>
      <c r="D1104" t="n">
        <v>9614</v>
      </c>
      <c r="E1104" t="inlineStr">
        <is>
          <t>ESPECIALISTA DE INVERSION BURSATIL</t>
        </is>
      </c>
      <c r="F1104" t="inlineStr">
        <is>
          <t>MONTERREY</t>
        </is>
      </c>
      <c r="G1104" t="n">
        <v>1519</v>
      </c>
      <c r="H1104" t="inlineStr">
        <is>
          <t>MARIO CHEJADE ESPINOSA</t>
        </is>
      </c>
      <c r="I1104" t="n">
        <v>9773</v>
      </c>
      <c r="J1104" t="inlineStr">
        <is>
          <t>GERENTE DE INVERSIONES</t>
        </is>
      </c>
      <c r="K1104" t="n">
        <v>1</v>
      </c>
      <c r="L1104" t="inlineStr">
        <is>
          <t>PRESIDENCIA EJECUTIVA DEL CONSEJO</t>
        </is>
      </c>
      <c r="M1104" t="n">
        <v>40</v>
      </c>
      <c r="N1104" t="inlineStr">
        <is>
          <t>DIRECCION GENERAL BANCO BASE</t>
        </is>
      </c>
      <c r="O1104" t="n">
        <v>410</v>
      </c>
      <c r="P1104" t="inlineStr">
        <is>
          <t>DIRECCION COMERCIAL</t>
        </is>
      </c>
      <c r="Q1104" t="n">
        <v>4102</v>
      </c>
      <c r="R1104" t="inlineStr">
        <is>
          <t>DIRECCION DE SOLUCIONES</t>
        </is>
      </c>
      <c r="S1104" t="n">
        <v>45310</v>
      </c>
      <c r="T1104" t="inlineStr">
        <is>
          <t>SUBDIRECCION NACIONAL DE BANCA TRANSACCIONAL</t>
        </is>
      </c>
      <c r="U1104" t="n">
        <v>453140</v>
      </c>
      <c r="V1104" t="inlineStr">
        <is>
          <t>GERENCIA INVERSIONES NORTE Y FORANEAS</t>
        </is>
      </c>
      <c r="W1104" t="n">
        <v>126102</v>
      </c>
      <c r="X1104" t="inlineStr">
        <is>
          <t>VALLE ORIENTE</t>
        </is>
      </c>
      <c r="Y1104" t="n">
        <v>14</v>
      </c>
      <c r="Z1104" t="inlineStr">
        <is>
          <t>TRANSACCIONAL</t>
        </is>
      </c>
      <c r="AA1104" t="n">
        <v>1</v>
      </c>
      <c r="AB1104" t="inlineStr">
        <is>
          <t>NEGOCIO EN MARCHA</t>
        </is>
      </c>
      <c r="AC1104" t="n">
        <v>2</v>
      </c>
      <c r="AD1104" t="inlineStr">
        <is>
          <t>CASA DE BOLSA</t>
        </is>
      </c>
      <c r="AE1104" t="n">
        <v>3</v>
      </c>
      <c r="AF1104" t="inlineStr">
        <is>
          <t>FRONT</t>
        </is>
      </c>
      <c r="AG1104" t="n">
        <v>126102</v>
      </c>
      <c r="AH1104" t="inlineStr">
        <is>
          <t>MONTERREY</t>
        </is>
      </c>
      <c r="AI1104" t="inlineStr">
        <is>
          <t>LPATTERSON@CASADEBOLSABASE.COM</t>
        </is>
      </c>
      <c r="AJ1104" s="151" t="n">
        <v>42264</v>
      </c>
      <c r="AK1104" s="151" t="n"/>
      <c r="AL1104" s="151" t="n"/>
    </row>
    <row r="1105" hidden="1" s="150">
      <c r="A1105" t="inlineStr">
        <is>
          <t>LTORRES</t>
        </is>
      </c>
      <c r="B1105" t="n">
        <v>1400</v>
      </c>
      <c r="C1105" t="inlineStr">
        <is>
          <t>MA. DE LOURDES DEL ROCIO TORRES CUEVAS</t>
        </is>
      </c>
      <c r="D1105" t="n">
        <v>9642</v>
      </c>
      <c r="E1105" t="inlineStr">
        <is>
          <t>ESPECIALISTA DE INVERSION P. FISICA</t>
        </is>
      </c>
      <c r="F1105" t="inlineStr">
        <is>
          <t>MONTERREY</t>
        </is>
      </c>
      <c r="G1105" t="n">
        <v>1519</v>
      </c>
      <c r="H1105" t="inlineStr">
        <is>
          <t>MARIO CHEJADE ESPINOSA</t>
        </is>
      </c>
      <c r="I1105" t="n">
        <v>9773</v>
      </c>
      <c r="J1105" t="inlineStr">
        <is>
          <t>GERENTE DE INVERSIONES</t>
        </is>
      </c>
      <c r="K1105" t="n">
        <v>1</v>
      </c>
      <c r="L1105" t="inlineStr">
        <is>
          <t>PRESIDENCIA EJECUTIVA DEL CONSEJO</t>
        </is>
      </c>
      <c r="M1105" t="n">
        <v>40</v>
      </c>
      <c r="N1105" t="inlineStr">
        <is>
          <t>DIRECCION GENERAL BANCO BASE</t>
        </is>
      </c>
      <c r="O1105" t="n">
        <v>410</v>
      </c>
      <c r="P1105" t="inlineStr">
        <is>
          <t>DIRECCION COMERCIAL</t>
        </is>
      </c>
      <c r="Q1105" t="n">
        <v>4102</v>
      </c>
      <c r="R1105" t="inlineStr">
        <is>
          <t>DIRECCION DE SOLUCIONES</t>
        </is>
      </c>
      <c r="S1105" t="n">
        <v>45310</v>
      </c>
      <c r="T1105" t="inlineStr">
        <is>
          <t>SUBDIRECCION NACIONAL DE BANCA TRANSACCIONAL</t>
        </is>
      </c>
      <c r="U1105" t="n">
        <v>453140</v>
      </c>
      <c r="V1105" t="inlineStr">
        <is>
          <t>GERENCIA INVERSIONES NORTE Y FORANEAS</t>
        </is>
      </c>
      <c r="W1105" t="n">
        <v>126125</v>
      </c>
      <c r="X1105" t="inlineStr">
        <is>
          <t>PLAZA 401</t>
        </is>
      </c>
      <c r="Y1105" t="n">
        <v>14</v>
      </c>
      <c r="Z1105" t="inlineStr">
        <is>
          <t>TRANSACCIONAL</t>
        </is>
      </c>
      <c r="AA1105" t="n">
        <v>1</v>
      </c>
      <c r="AB1105" t="inlineStr">
        <is>
          <t>NEGOCIO EN MARCHA</t>
        </is>
      </c>
      <c r="AC1105" t="n">
        <v>1</v>
      </c>
      <c r="AD1105" t="inlineStr">
        <is>
          <t>BANCO</t>
        </is>
      </c>
      <c r="AE1105" t="n">
        <v>3</v>
      </c>
      <c r="AF1105" t="inlineStr">
        <is>
          <t>FRONT</t>
        </is>
      </c>
      <c r="AG1105" t="n">
        <v>126102</v>
      </c>
      <c r="AH1105" t="inlineStr">
        <is>
          <t>MONTERREY</t>
        </is>
      </c>
      <c r="AI1105" t="inlineStr">
        <is>
          <t>LTORRES@BANCOBASE.COM</t>
        </is>
      </c>
      <c r="AJ1105" s="151" t="n">
        <v>42317</v>
      </c>
      <c r="AK1105" s="151" t="n"/>
      <c r="AL1105" s="151" t="n"/>
    </row>
    <row r="1106" hidden="1" s="150">
      <c r="A1106" t="inlineStr">
        <is>
          <t>ALANDEROS</t>
        </is>
      </c>
      <c r="B1106" t="n">
        <v>3184</v>
      </c>
      <c r="C1106" t="inlineStr">
        <is>
          <t>LESLY ABIGAIL LANDEROS SANCHEZ</t>
        </is>
      </c>
      <c r="D1106" t="n">
        <v>10255</v>
      </c>
      <c r="E1106" t="inlineStr">
        <is>
          <t>EJECUTIVO DE OPERACIONES P. FISICA</t>
        </is>
      </c>
      <c r="F1106" t="inlineStr">
        <is>
          <t>MONTERREY</t>
        </is>
      </c>
      <c r="G1106" t="n">
        <v>1519</v>
      </c>
      <c r="H1106" t="inlineStr">
        <is>
          <t>MARIO CHEJADE ESPINOSA</t>
        </is>
      </c>
      <c r="I1106" t="n">
        <v>9773</v>
      </c>
      <c r="J1106" t="inlineStr">
        <is>
          <t>GERENTE DE INVERSIONES</t>
        </is>
      </c>
      <c r="K1106" t="n">
        <v>1</v>
      </c>
      <c r="L1106" t="inlineStr">
        <is>
          <t>PRESIDENCIA EJECUTIVA DEL CONSEJO</t>
        </is>
      </c>
      <c r="M1106" t="n">
        <v>40</v>
      </c>
      <c r="N1106" t="inlineStr">
        <is>
          <t>DIRECCION GENERAL BANCO BASE</t>
        </is>
      </c>
      <c r="O1106" t="n">
        <v>410</v>
      </c>
      <c r="P1106" t="inlineStr">
        <is>
          <t>DIRECCION COMERCIAL</t>
        </is>
      </c>
      <c r="Q1106" t="n">
        <v>4102</v>
      </c>
      <c r="R1106" t="inlineStr">
        <is>
          <t>DIRECCION DE SOLUCIONES</t>
        </is>
      </c>
      <c r="S1106" t="n">
        <v>45310</v>
      </c>
      <c r="T1106" t="inlineStr">
        <is>
          <t>SUBDIRECCION NACIONAL DE BANCA TRANSACCIONAL</t>
        </is>
      </c>
      <c r="U1106" t="n">
        <v>453140</v>
      </c>
      <c r="V1106" t="inlineStr">
        <is>
          <t>GERENCIA INVERSIONES NORTE Y FORANEAS</t>
        </is>
      </c>
      <c r="W1106" t="n">
        <v>126125</v>
      </c>
      <c r="X1106" t="inlineStr">
        <is>
          <t>PLAZA 401</t>
        </is>
      </c>
      <c r="Y1106" t="n">
        <v>14</v>
      </c>
      <c r="Z1106" t="inlineStr">
        <is>
          <t>TRANSACCIONAL</t>
        </is>
      </c>
      <c r="AA1106" t="n">
        <v>1</v>
      </c>
      <c r="AB1106" t="inlineStr">
        <is>
          <t>NEGOCIO EN MARCHA</t>
        </is>
      </c>
      <c r="AC1106" t="n">
        <v>2</v>
      </c>
      <c r="AD1106" t="inlineStr">
        <is>
          <t>CASA DE BOLSA</t>
        </is>
      </c>
      <c r="AE1106" t="n">
        <v>2</v>
      </c>
      <c r="AF1106" t="inlineStr">
        <is>
          <t>MIDDLE</t>
        </is>
      </c>
      <c r="AG1106" t="n">
        <v>126102</v>
      </c>
      <c r="AH1106" t="inlineStr">
        <is>
          <t>MONTERREY</t>
        </is>
      </c>
      <c r="AI1106" t="inlineStr">
        <is>
          <t>ALANDEROS@BANCOBASE.COM</t>
        </is>
      </c>
      <c r="AJ1106" s="151" t="n">
        <v>45523</v>
      </c>
      <c r="AK1106" s="151" t="n"/>
      <c r="AL1106" s="151" t="n"/>
    </row>
    <row r="1107" hidden="1" s="150">
      <c r="A1107" t="inlineStr">
        <is>
          <t>ANUNEZ</t>
        </is>
      </c>
      <c r="B1107" t="n">
        <v>1869</v>
      </c>
      <c r="C1107" t="inlineStr">
        <is>
          <t>ADAVEL NUÑEZ CRUZ</t>
        </is>
      </c>
      <c r="D1107" t="n">
        <v>534165</v>
      </c>
      <c r="E1107" t="inlineStr">
        <is>
          <t>EJECUTIVO DE OPERACIONES P. FISICA</t>
        </is>
      </c>
      <c r="F1107" t="inlineStr">
        <is>
          <t>MONTERREY</t>
        </is>
      </c>
      <c r="G1107" t="n">
        <v>1519</v>
      </c>
      <c r="H1107" t="inlineStr">
        <is>
          <t>MARIO CHEJADE ESPINOSA</t>
        </is>
      </c>
      <c r="I1107" t="n">
        <v>9773</v>
      </c>
      <c r="J1107" t="inlineStr">
        <is>
          <t>GERENTE DE INVERSIONES</t>
        </is>
      </c>
      <c r="K1107" t="n">
        <v>1</v>
      </c>
      <c r="L1107" t="inlineStr">
        <is>
          <t>PRESIDENCIA EJECUTIVA DEL CONSEJO</t>
        </is>
      </c>
      <c r="M1107" t="n">
        <v>40</v>
      </c>
      <c r="N1107" t="inlineStr">
        <is>
          <t>DIRECCION GENERAL BANCO BASE</t>
        </is>
      </c>
      <c r="O1107" t="n">
        <v>410</v>
      </c>
      <c r="P1107" t="inlineStr">
        <is>
          <t>DIRECCION COMERCIAL</t>
        </is>
      </c>
      <c r="Q1107" t="n">
        <v>4102</v>
      </c>
      <c r="R1107" t="inlineStr">
        <is>
          <t>DIRECCION DE SOLUCIONES</t>
        </is>
      </c>
      <c r="S1107" t="n">
        <v>45310</v>
      </c>
      <c r="T1107" t="inlineStr">
        <is>
          <t>SUBDIRECCION NACIONAL DE BANCA TRANSACCIONAL</t>
        </is>
      </c>
      <c r="U1107" t="n">
        <v>453140</v>
      </c>
      <c r="V1107" t="inlineStr">
        <is>
          <t>GERENCIA INVERSIONES NORTE Y FORANEAS</t>
        </is>
      </c>
      <c r="W1107" t="n">
        <v>126125</v>
      </c>
      <c r="X1107" t="inlineStr">
        <is>
          <t>PLAZA 401</t>
        </is>
      </c>
      <c r="Y1107" t="n">
        <v>14</v>
      </c>
      <c r="Z1107" t="inlineStr">
        <is>
          <t>TRANSACCIONAL</t>
        </is>
      </c>
      <c r="AA1107" t="n">
        <v>1</v>
      </c>
      <c r="AB1107" t="inlineStr">
        <is>
          <t>NEGOCIO EN MARCHA</t>
        </is>
      </c>
      <c r="AC1107" t="n">
        <v>2</v>
      </c>
      <c r="AD1107" t="inlineStr">
        <is>
          <t>CASA DE BOLSA</t>
        </is>
      </c>
      <c r="AE1107" t="n">
        <v>2</v>
      </c>
      <c r="AF1107" t="inlineStr">
        <is>
          <t>MIDDLE</t>
        </is>
      </c>
      <c r="AG1107" t="n">
        <v>126102</v>
      </c>
      <c r="AH1107" t="inlineStr">
        <is>
          <t>MONTERREY</t>
        </is>
      </c>
      <c r="AI1107" t="inlineStr">
        <is>
          <t>ANUNEZ@BANCOBASE.COM</t>
        </is>
      </c>
      <c r="AJ1107" s="151" t="n">
        <v>43031</v>
      </c>
      <c r="AK1107" s="151" t="n"/>
      <c r="AL1107" s="151" t="n"/>
    </row>
    <row r="1108" hidden="1" s="150">
      <c r="A1108" t="inlineStr">
        <is>
          <t>ATORRER</t>
        </is>
      </c>
      <c r="B1108" t="n">
        <v>3221</v>
      </c>
      <c r="C1108" t="inlineStr">
        <is>
          <t>ANGEL ALBERTO TORRES RODRIGUEZ</t>
        </is>
      </c>
      <c r="D1108" t="n">
        <v>8469</v>
      </c>
      <c r="E1108" t="inlineStr">
        <is>
          <t>EJECUTIVO DE OPERACIONES MD</t>
        </is>
      </c>
      <c r="F1108" t="inlineStr">
        <is>
          <t>MONTERREY</t>
        </is>
      </c>
      <c r="G1108" t="n">
        <v>1519</v>
      </c>
      <c r="H1108" t="inlineStr">
        <is>
          <t>MARIO CHEJADE ESPINOSA</t>
        </is>
      </c>
      <c r="I1108" t="n">
        <v>9773</v>
      </c>
      <c r="J1108" t="inlineStr">
        <is>
          <t>GERENTE DE INVERSIONES</t>
        </is>
      </c>
      <c r="K1108" t="n">
        <v>1</v>
      </c>
      <c r="L1108" t="inlineStr">
        <is>
          <t>PRESIDENCIA EJECUTIVA DEL CONSEJO</t>
        </is>
      </c>
      <c r="M1108" t="n">
        <v>40</v>
      </c>
      <c r="N1108" t="inlineStr">
        <is>
          <t>DIRECCION GENERAL BANCO BASE</t>
        </is>
      </c>
      <c r="O1108" t="n">
        <v>410</v>
      </c>
      <c r="P1108" t="inlineStr">
        <is>
          <t>DIRECCION COMERCIAL</t>
        </is>
      </c>
      <c r="Q1108" t="n">
        <v>4102</v>
      </c>
      <c r="R1108" t="inlineStr">
        <is>
          <t>DIRECCION DE SOLUCIONES</t>
        </is>
      </c>
      <c r="S1108" t="n">
        <v>45310</v>
      </c>
      <c r="T1108" t="inlineStr">
        <is>
          <t>SUBDIRECCION NACIONAL DE BANCA TRANSACCIONAL</t>
        </is>
      </c>
      <c r="U1108" t="n">
        <v>453140</v>
      </c>
      <c r="V1108" t="inlineStr">
        <is>
          <t>GERENCIA INVERSIONES NORTE Y FORANEAS</t>
        </is>
      </c>
      <c r="W1108" t="n">
        <v>126102</v>
      </c>
      <c r="X1108" t="inlineStr">
        <is>
          <t>VALLE ORIENTE</t>
        </is>
      </c>
      <c r="Y1108" t="n">
        <v>14</v>
      </c>
      <c r="Z1108" t="inlineStr">
        <is>
          <t>TRANSACCIONAL</t>
        </is>
      </c>
      <c r="AA1108" t="n">
        <v>1</v>
      </c>
      <c r="AB1108" t="inlineStr">
        <is>
          <t>NEGOCIO EN MARCHA</t>
        </is>
      </c>
      <c r="AC1108" t="n">
        <v>1</v>
      </c>
      <c r="AD1108" t="inlineStr">
        <is>
          <t>BANCO</t>
        </is>
      </c>
      <c r="AE1108" t="n">
        <v>1</v>
      </c>
      <c r="AF1108" t="inlineStr">
        <is>
          <t>BACK</t>
        </is>
      </c>
      <c r="AG1108" t="n">
        <v>126102</v>
      </c>
      <c r="AH1108" t="inlineStr">
        <is>
          <t>MONTERREY</t>
        </is>
      </c>
      <c r="AI1108" t="inlineStr">
        <is>
          <t>ATORRER@BANCOBASE.COM</t>
        </is>
      </c>
      <c r="AJ1108" s="151" t="n">
        <v>45572</v>
      </c>
      <c r="AK1108" s="151" t="n"/>
      <c r="AL1108" s="151" t="n"/>
    </row>
    <row r="1109" hidden="1" s="150">
      <c r="A1109" t="inlineStr">
        <is>
          <t>CHERNANDED</t>
        </is>
      </c>
      <c r="B1109" t="n">
        <v>3432</v>
      </c>
      <c r="C1109" t="inlineStr">
        <is>
          <t>CARLOS HERNANDEZ DE LOS SANTOS</t>
        </is>
      </c>
      <c r="D1109" t="n">
        <v>9922</v>
      </c>
      <c r="E1109" t="inlineStr">
        <is>
          <t>EJECUTIVO DE OPERACIONES MD</t>
        </is>
      </c>
      <c r="F1109" t="inlineStr">
        <is>
          <t>MONTERREY</t>
        </is>
      </c>
      <c r="G1109" t="n">
        <v>1519</v>
      </c>
      <c r="H1109" t="inlineStr">
        <is>
          <t>MARIO CHEJADE ESPINOSA</t>
        </is>
      </c>
      <c r="I1109" t="n">
        <v>9773</v>
      </c>
      <c r="J1109" t="inlineStr">
        <is>
          <t>GERENTE DE INVERSIONES</t>
        </is>
      </c>
      <c r="K1109" t="n">
        <v>1</v>
      </c>
      <c r="L1109" t="inlineStr">
        <is>
          <t>PRESIDENCIA EJECUTIVA DEL CONSEJO</t>
        </is>
      </c>
      <c r="M1109" t="n">
        <v>40</v>
      </c>
      <c r="N1109" t="inlineStr">
        <is>
          <t>DIRECCION GENERAL BANCO BASE</t>
        </is>
      </c>
      <c r="O1109" t="n">
        <v>410</v>
      </c>
      <c r="P1109" t="inlineStr">
        <is>
          <t>DIRECCION COMERCIAL</t>
        </is>
      </c>
      <c r="Q1109" t="n">
        <v>4102</v>
      </c>
      <c r="R1109" t="inlineStr">
        <is>
          <t>DIRECCION DE SOLUCIONES</t>
        </is>
      </c>
      <c r="S1109" t="n">
        <v>45310</v>
      </c>
      <c r="T1109" t="inlineStr">
        <is>
          <t>SUBDIRECCION NACIONAL DE BANCA TRANSACCIONAL</t>
        </is>
      </c>
      <c r="U1109" t="n">
        <v>453140</v>
      </c>
      <c r="V1109" t="inlineStr">
        <is>
          <t>GERENCIA INVERSIONES NORTE Y FORANEAS</t>
        </is>
      </c>
      <c r="W1109" t="n">
        <v>126102</v>
      </c>
      <c r="X1109" t="inlineStr">
        <is>
          <t>VALLE ORIENTE</t>
        </is>
      </c>
      <c r="Y1109" t="n">
        <v>14</v>
      </c>
      <c r="Z1109" t="inlineStr">
        <is>
          <t>TRANSACCIONAL</t>
        </is>
      </c>
      <c r="AA1109" t="n">
        <v>1</v>
      </c>
      <c r="AB1109" t="inlineStr">
        <is>
          <t>NEGOCIO EN MARCHA</t>
        </is>
      </c>
      <c r="AC1109" t="n">
        <v>1</v>
      </c>
      <c r="AD1109" t="inlineStr">
        <is>
          <t>BANCO</t>
        </is>
      </c>
      <c r="AE1109" t="n">
        <v>1</v>
      </c>
      <c r="AF1109" t="inlineStr">
        <is>
          <t>BACK</t>
        </is>
      </c>
      <c r="AG1109" t="n">
        <v>126102</v>
      </c>
      <c r="AH1109" t="inlineStr">
        <is>
          <t>MONTERREY</t>
        </is>
      </c>
      <c r="AI1109" t="inlineStr">
        <is>
          <t>CHERNANDED@BANCOBASE.COM</t>
        </is>
      </c>
      <c r="AJ1109" s="151" t="n">
        <v>45796</v>
      </c>
      <c r="AK1109" s="151" t="n"/>
      <c r="AL1109" s="151" t="n"/>
    </row>
    <row r="1110" hidden="1" s="150">
      <c r="A1110" t="inlineStr">
        <is>
          <t>ASANCHEZ</t>
        </is>
      </c>
      <c r="B1110" t="n">
        <v>224</v>
      </c>
      <c r="C1110" t="inlineStr">
        <is>
          <t>ABAT ANEL SANCHEZ MIRELES</t>
        </is>
      </c>
      <c r="D1110" t="n">
        <v>10267</v>
      </c>
      <c r="E1110" t="inlineStr">
        <is>
          <t>PRODUCT OWNER DIVISAS</t>
        </is>
      </c>
      <c r="F1110" t="inlineStr">
        <is>
          <t>MONTERREY</t>
        </is>
      </c>
      <c r="G1110" t="n">
        <v>3795</v>
      </c>
      <c r="H1110" t="inlineStr">
        <is>
          <t>JUAN ANTONIO OCHOA MONE</t>
        </is>
      </c>
      <c r="I1110" t="n">
        <v>5053</v>
      </c>
      <c r="J1110" t="inlineStr">
        <is>
          <t>DIRECTOR DE SOLUCIONES</t>
        </is>
      </c>
      <c r="K1110" t="n">
        <v>1</v>
      </c>
      <c r="L1110" t="inlineStr">
        <is>
          <t>PRESIDENCIA EJECUTIVA DEL CONSEJO</t>
        </is>
      </c>
      <c r="M1110" t="n">
        <v>40</v>
      </c>
      <c r="N1110" t="inlineStr">
        <is>
          <t>DIRECCION GENERAL BANCO BASE</t>
        </is>
      </c>
      <c r="O1110" t="n">
        <v>410</v>
      </c>
      <c r="P1110" t="inlineStr">
        <is>
          <t>DIRECCION COMERCIAL</t>
        </is>
      </c>
      <c r="Q1110" t="n">
        <v>4102</v>
      </c>
      <c r="R1110" t="inlineStr">
        <is>
          <t>DIRECCION DE SOLUCIONES</t>
        </is>
      </c>
      <c r="S1110" t="n">
        <v>45100</v>
      </c>
      <c r="T1110" t="inlineStr">
        <is>
          <t>DIRECCION DE DESARROLLO DE NEGOCIO DERIVADOS Y FX</t>
        </is>
      </c>
      <c r="U1110" t="n">
        <v>451100</v>
      </c>
      <c r="V1110" t="inlineStr">
        <is>
          <t>SUBDIRECCION DE PRODUCTO DE DIVISAS</t>
        </is>
      </c>
      <c r="W1110" t="n">
        <v>100101</v>
      </c>
      <c r="X1110" t="inlineStr">
        <is>
          <t>CORPORATIVO</t>
        </is>
      </c>
      <c r="Y1110" t="n">
        <v>15</v>
      </c>
      <c r="Z1110" t="inlineStr">
        <is>
          <t>DERIVADOS</t>
        </is>
      </c>
      <c r="AA1110" t="n">
        <v>1</v>
      </c>
      <c r="AB1110" t="inlineStr">
        <is>
          <t>NEGOCIO EN MARCHA</t>
        </is>
      </c>
      <c r="AC1110" t="n">
        <v>1</v>
      </c>
      <c r="AD1110" t="inlineStr">
        <is>
          <t>BANCO</t>
        </is>
      </c>
      <c r="AE1110" t="n">
        <v>2</v>
      </c>
      <c r="AF1110" t="inlineStr">
        <is>
          <t>MIDDLE</t>
        </is>
      </c>
      <c r="AG1110" t="n">
        <v>100101</v>
      </c>
      <c r="AH1110" t="inlineStr">
        <is>
          <t>CORPORATIVO</t>
        </is>
      </c>
      <c r="AI1110" t="inlineStr">
        <is>
          <t>ASANCHEZ@BANCOBASE.COM</t>
        </is>
      </c>
      <c r="AJ1110" s="151" t="n">
        <v>37653</v>
      </c>
      <c r="AK1110" s="151" t="n"/>
      <c r="AL1110" s="151" t="n"/>
    </row>
    <row r="1111" hidden="1" s="150">
      <c r="A1111" t="inlineStr">
        <is>
          <t>IBASURTO</t>
        </is>
      </c>
      <c r="B1111" t="n">
        <v>1891</v>
      </c>
      <c r="C1111" t="inlineStr">
        <is>
          <t>IRVING BASURTO OROZCO</t>
        </is>
      </c>
      <c r="D1111" t="n">
        <v>9031</v>
      </c>
      <c r="E1111" t="inlineStr">
        <is>
          <t>ESPECIALISTA DE DIVISAS</t>
        </is>
      </c>
      <c r="F1111" t="inlineStr">
        <is>
          <t>MONTERREY</t>
        </is>
      </c>
      <c r="G1111" t="n">
        <v>224</v>
      </c>
      <c r="H1111" t="inlineStr">
        <is>
          <t>ABAT ANEL SANCHEZ MIRELES</t>
        </is>
      </c>
      <c r="I1111" t="n">
        <v>10267</v>
      </c>
      <c r="J1111" t="inlineStr">
        <is>
          <t>PRODUCT OWNER DIVISAS</t>
        </is>
      </c>
      <c r="K1111" t="n">
        <v>1</v>
      </c>
      <c r="L1111" t="inlineStr">
        <is>
          <t>PRESIDENCIA EJECUTIVA DEL CONSEJO</t>
        </is>
      </c>
      <c r="M1111" t="n">
        <v>40</v>
      </c>
      <c r="N1111" t="inlineStr">
        <is>
          <t>DIRECCION GENERAL BANCO BASE</t>
        </is>
      </c>
      <c r="O1111" t="n">
        <v>410</v>
      </c>
      <c r="P1111" t="inlineStr">
        <is>
          <t>DIRECCION COMERCIAL</t>
        </is>
      </c>
      <c r="Q1111" t="n">
        <v>4102</v>
      </c>
      <c r="R1111" t="inlineStr">
        <is>
          <t>DIRECCION DE SOLUCIONES</t>
        </is>
      </c>
      <c r="S1111" t="n">
        <v>45100</v>
      </c>
      <c r="T1111" t="inlineStr">
        <is>
          <t>DIRECCION DE DESARROLLO DE NEGOCIO DERIVADOS Y FX</t>
        </is>
      </c>
      <c r="U1111" t="n">
        <v>451100</v>
      </c>
      <c r="V1111" t="inlineStr">
        <is>
          <t>SUBDIRECCION DE PRODUCTO DE DIVISAS</t>
        </is>
      </c>
      <c r="W1111" t="n">
        <v>126102</v>
      </c>
      <c r="X1111" t="inlineStr">
        <is>
          <t>VALLE ORIENTE</t>
        </is>
      </c>
      <c r="Y1111" t="n">
        <v>15</v>
      </c>
      <c r="Z1111" t="inlineStr">
        <is>
          <t>DERIVADOS</t>
        </is>
      </c>
      <c r="AA1111" t="n">
        <v>1</v>
      </c>
      <c r="AB1111" t="inlineStr">
        <is>
          <t>NEGOCIO EN MARCHA</t>
        </is>
      </c>
      <c r="AC1111" t="n">
        <v>1</v>
      </c>
      <c r="AD1111" t="inlineStr">
        <is>
          <t>BANCO</t>
        </is>
      </c>
      <c r="AE1111" t="n">
        <v>2</v>
      </c>
      <c r="AF1111" t="inlineStr">
        <is>
          <t>MIDDLE</t>
        </is>
      </c>
      <c r="AG1111" t="n">
        <v>126102</v>
      </c>
      <c r="AH1111" t="inlineStr">
        <is>
          <t>MONTERREY</t>
        </is>
      </c>
      <c r="AI1111" t="inlineStr">
        <is>
          <t>IBASURTO@BANCOBASE.COM</t>
        </is>
      </c>
      <c r="AJ1111" s="151" t="n">
        <v>43061</v>
      </c>
      <c r="AK1111" s="151" t="n"/>
      <c r="AL1111" s="151" t="n"/>
    </row>
    <row r="1112" hidden="1" s="150">
      <c r="A1112" t="inlineStr">
        <is>
          <t>MCASTROLO</t>
        </is>
      </c>
      <c r="B1112" t="n">
        <v>2817</v>
      </c>
      <c r="C1112" t="inlineStr">
        <is>
          <t>MARLENE CASTRO LOPEZ</t>
        </is>
      </c>
      <c r="D1112" t="n">
        <v>8998</v>
      </c>
      <c r="E1112" t="inlineStr">
        <is>
          <t>ANALISTA FUNCIONAL DIVISAS</t>
        </is>
      </c>
      <c r="F1112" t="inlineStr">
        <is>
          <t>MONTERREY</t>
        </is>
      </c>
      <c r="G1112" t="n">
        <v>224</v>
      </c>
      <c r="H1112" t="inlineStr">
        <is>
          <t>ABAT ANEL SANCHEZ MIRELES</t>
        </is>
      </c>
      <c r="I1112" t="n">
        <v>10267</v>
      </c>
      <c r="J1112" t="inlineStr">
        <is>
          <t>PRODUCT OWNER DIVISAS</t>
        </is>
      </c>
      <c r="K1112" t="n">
        <v>1</v>
      </c>
      <c r="L1112" t="inlineStr">
        <is>
          <t>PRESIDENCIA EJECUTIVA DEL CONSEJO</t>
        </is>
      </c>
      <c r="M1112" t="n">
        <v>40</v>
      </c>
      <c r="N1112" t="inlineStr">
        <is>
          <t>DIRECCION GENERAL BANCO BASE</t>
        </is>
      </c>
      <c r="O1112" t="n">
        <v>410</v>
      </c>
      <c r="P1112" t="inlineStr">
        <is>
          <t>DIRECCION COMERCIAL</t>
        </is>
      </c>
      <c r="Q1112" t="n">
        <v>4102</v>
      </c>
      <c r="R1112" t="inlineStr">
        <is>
          <t>DIRECCION DE SOLUCIONES</t>
        </is>
      </c>
      <c r="S1112" t="n">
        <v>45100</v>
      </c>
      <c r="T1112" t="inlineStr">
        <is>
          <t>DIRECCION DE DESARROLLO DE NEGOCIO DERIVADOS Y FX</t>
        </is>
      </c>
      <c r="U1112" t="n">
        <v>451100</v>
      </c>
      <c r="V1112" t="inlineStr">
        <is>
          <t>SUBDIRECCION DE PRODUCTO DE DIVISAS</t>
        </is>
      </c>
      <c r="W1112" t="n">
        <v>126102</v>
      </c>
      <c r="X1112" t="inlineStr">
        <is>
          <t>VALLE ORIENTE</t>
        </is>
      </c>
      <c r="Y1112" t="n">
        <v>15</v>
      </c>
      <c r="Z1112" t="inlineStr">
        <is>
          <t>DERIVADOS</t>
        </is>
      </c>
      <c r="AA1112" t="n">
        <v>1</v>
      </c>
      <c r="AB1112" t="inlineStr">
        <is>
          <t>NEGOCIO EN MARCHA</t>
        </is>
      </c>
      <c r="AC1112" t="n">
        <v>1</v>
      </c>
      <c r="AD1112" t="inlineStr">
        <is>
          <t>BANCO</t>
        </is>
      </c>
      <c r="AE1112" t="n">
        <v>2</v>
      </c>
      <c r="AF1112" t="inlineStr">
        <is>
          <t>MIDDLE</t>
        </is>
      </c>
      <c r="AG1112" t="n">
        <v>126102</v>
      </c>
      <c r="AH1112" t="inlineStr">
        <is>
          <t>MONTERREY</t>
        </is>
      </c>
      <c r="AI1112" t="inlineStr">
        <is>
          <t>MCASTROLO@BANCOBASE.COM</t>
        </is>
      </c>
      <c r="AJ1112" s="151" t="n">
        <v>44958</v>
      </c>
      <c r="AK1112" s="151" t="n"/>
      <c r="AL1112" s="151" t="n"/>
    </row>
    <row r="1113" hidden="1" s="150">
      <c r="A1113" t="inlineStr">
        <is>
          <t>OTORREST</t>
        </is>
      </c>
      <c r="B1113" t="n">
        <v>3890</v>
      </c>
      <c r="C1113" t="inlineStr">
        <is>
          <t>OSCAR GABRIEL TORRES TREVIÑO</t>
        </is>
      </c>
      <c r="D1113" t="n">
        <v>5110</v>
      </c>
      <c r="E1113" t="inlineStr">
        <is>
          <t>ANALISTA DE DIVISAS</t>
        </is>
      </c>
      <c r="F1113" t="inlineStr">
        <is>
          <t>MONTERREY</t>
        </is>
      </c>
      <c r="G1113" t="n">
        <v>224</v>
      </c>
      <c r="H1113" t="inlineStr">
        <is>
          <t>ABAT ANEL SANCHEZ MIRELES</t>
        </is>
      </c>
      <c r="I1113" t="n">
        <v>10267</v>
      </c>
      <c r="J1113" t="inlineStr">
        <is>
          <t>PRODUCT OWNER DIVISAS</t>
        </is>
      </c>
      <c r="K1113" t="n">
        <v>1</v>
      </c>
      <c r="L1113" t="inlineStr">
        <is>
          <t>PRESIDENCIA EJECUTIVA DEL CONSEJO</t>
        </is>
      </c>
      <c r="M1113" t="n">
        <v>40</v>
      </c>
      <c r="N1113" t="inlineStr">
        <is>
          <t>DIRECCION GENERAL BANCO BASE</t>
        </is>
      </c>
      <c r="O1113" t="n">
        <v>410</v>
      </c>
      <c r="P1113" t="inlineStr">
        <is>
          <t>DIRECCION COMERCIAL</t>
        </is>
      </c>
      <c r="Q1113" t="n">
        <v>4102</v>
      </c>
      <c r="R1113" t="inlineStr">
        <is>
          <t>DIRECCION DE SOLUCIONES</t>
        </is>
      </c>
      <c r="S1113" t="n">
        <v>45100</v>
      </c>
      <c r="T1113" t="inlineStr">
        <is>
          <t>DIRECCION DE DESARROLLO DE NEGOCIO DERIVADOS Y FX</t>
        </is>
      </c>
      <c r="U1113" t="n">
        <v>451100</v>
      </c>
      <c r="V1113" t="inlineStr">
        <is>
          <t>SUBDIRECCION DE PRODUCTO DE DIVISAS</t>
        </is>
      </c>
      <c r="W1113" t="n">
        <v>126102</v>
      </c>
      <c r="X1113" t="inlineStr">
        <is>
          <t>VALLE ORIENTE</t>
        </is>
      </c>
      <c r="Y1113" t="n">
        <v>15</v>
      </c>
      <c r="Z1113" t="inlineStr">
        <is>
          <t>DERIVADOS</t>
        </is>
      </c>
      <c r="AA1113" t="n">
        <v>1</v>
      </c>
      <c r="AB1113" t="inlineStr">
        <is>
          <t>NEGOCIO EN MARCHA</t>
        </is>
      </c>
      <c r="AC1113" t="n">
        <v>1</v>
      </c>
      <c r="AD1113" t="inlineStr">
        <is>
          <t>BANCO</t>
        </is>
      </c>
      <c r="AE1113" t="n">
        <v>2</v>
      </c>
      <c r="AF1113" t="inlineStr">
        <is>
          <t>MIDDLE</t>
        </is>
      </c>
      <c r="AG1113" t="n">
        <v>126102</v>
      </c>
      <c r="AH1113" t="inlineStr">
        <is>
          <t>MONTERREY</t>
        </is>
      </c>
      <c r="AI1113" t="inlineStr">
        <is>
          <t>OTORREST@BANCOBASE.COM</t>
        </is>
      </c>
      <c r="AJ1113" s="151" t="n">
        <v>46174</v>
      </c>
      <c r="AK1113" s="151" t="n"/>
      <c r="AL1113" s="151" t="n"/>
    </row>
    <row r="1114" hidden="1" s="150">
      <c r="A1114" t="inlineStr">
        <is>
          <t>TTERRAZAS</t>
        </is>
      </c>
      <c r="B1114" t="n">
        <v>1010</v>
      </c>
      <c r="C1114" t="inlineStr">
        <is>
          <t>TATIANA TERRAZAS CAZARES</t>
        </is>
      </c>
      <c r="D1114" t="n">
        <v>10287</v>
      </c>
      <c r="E1114" t="inlineStr">
        <is>
          <t>PRODUCT OWNER FACILIDADES Y FINANCIAMIENTO</t>
        </is>
      </c>
      <c r="F1114" t="inlineStr">
        <is>
          <t>MONTERREY</t>
        </is>
      </c>
      <c r="G1114" t="n">
        <v>3795</v>
      </c>
      <c r="H1114" t="inlineStr">
        <is>
          <t>JUAN ANTONIO OCHOA MONE</t>
        </is>
      </c>
      <c r="I1114" t="n">
        <v>5053</v>
      </c>
      <c r="J1114" t="inlineStr">
        <is>
          <t>DIRECTOR DE SOLUCIONES</t>
        </is>
      </c>
      <c r="K1114" t="n">
        <v>1</v>
      </c>
      <c r="L1114" t="inlineStr">
        <is>
          <t>PRESIDENCIA EJECUTIVA DEL CONSEJO</t>
        </is>
      </c>
      <c r="M1114" t="n">
        <v>40</v>
      </c>
      <c r="N1114" t="inlineStr">
        <is>
          <t>DIRECCION GENERAL BANCO BASE</t>
        </is>
      </c>
      <c r="O1114" t="n">
        <v>410</v>
      </c>
      <c r="P1114" t="inlineStr">
        <is>
          <t>DIRECCION COMERCIAL</t>
        </is>
      </c>
      <c r="Q1114" t="n">
        <v>4102</v>
      </c>
      <c r="R1114" t="inlineStr">
        <is>
          <t>DIRECCION DE SOLUCIONES</t>
        </is>
      </c>
      <c r="S1114" t="n">
        <v>45100</v>
      </c>
      <c r="T1114" t="inlineStr">
        <is>
          <t>DIRECCION DE DESARROLLO DE NEGOCIO DERIVADOS Y FX</t>
        </is>
      </c>
      <c r="U1114" t="n">
        <v>451200</v>
      </c>
      <c r="V1114" t="inlineStr">
        <is>
          <t>SUBDIRECCION DE FACILIDADES BANCARIAS</t>
        </is>
      </c>
      <c r="W1114" t="n">
        <v>100101</v>
      </c>
      <c r="X1114" t="inlineStr">
        <is>
          <t>CORPORATIVO</t>
        </is>
      </c>
      <c r="Y1114" t="n">
        <v>15</v>
      </c>
      <c r="Z1114" t="inlineStr">
        <is>
          <t>DERIVADOS</t>
        </is>
      </c>
      <c r="AA1114" t="n">
        <v>1</v>
      </c>
      <c r="AB1114" t="inlineStr">
        <is>
          <t>NEGOCIO EN MARCHA</t>
        </is>
      </c>
      <c r="AC1114" t="n">
        <v>1</v>
      </c>
      <c r="AD1114" t="inlineStr">
        <is>
          <t>BANCO</t>
        </is>
      </c>
      <c r="AE1114" t="n">
        <v>2</v>
      </c>
      <c r="AF1114" t="inlineStr">
        <is>
          <t>MIDDLE</t>
        </is>
      </c>
      <c r="AG1114" t="n">
        <v>100101</v>
      </c>
      <c r="AH1114" t="inlineStr">
        <is>
          <t>CORPORATIVO</t>
        </is>
      </c>
      <c r="AI1114" t="inlineStr">
        <is>
          <t>TTERRAZAS@BANCOBASE.COM</t>
        </is>
      </c>
      <c r="AJ1114" s="151" t="n">
        <v>41352</v>
      </c>
      <c r="AK1114" s="151" t="n"/>
      <c r="AL1114" s="151" t="n"/>
    </row>
    <row r="1115" hidden="1" s="150">
      <c r="A1115" t="inlineStr">
        <is>
          <t>MSANCHEZH</t>
        </is>
      </c>
      <c r="B1115" t="n">
        <v>3908</v>
      </c>
      <c r="C1115" t="inlineStr">
        <is>
          <t>MAYLIN SANCHEZ HERNANDEZ</t>
        </is>
      </c>
      <c r="D1115" t="n">
        <v>8471</v>
      </c>
      <c r="E1115" t="inlineStr">
        <is>
          <t>ANALISTA DE FACILIDADES CAMBIARIAS</t>
        </is>
      </c>
      <c r="F1115" t="inlineStr">
        <is>
          <t>MONTERREY</t>
        </is>
      </c>
      <c r="G1115" t="n">
        <v>1010</v>
      </c>
      <c r="H1115" t="inlineStr">
        <is>
          <t>TATIANA TERRAZAS CAZARES</t>
        </is>
      </c>
      <c r="I1115" t="n">
        <v>10287</v>
      </c>
      <c r="J1115" t="inlineStr">
        <is>
          <t>PRODUCT OWNER FACILIDADES Y FINANCIAMIENTO</t>
        </is>
      </c>
      <c r="K1115" t="n">
        <v>1</v>
      </c>
      <c r="L1115" t="inlineStr">
        <is>
          <t>PRESIDENCIA EJECUTIVA DEL CONSEJO</t>
        </is>
      </c>
      <c r="M1115" t="n">
        <v>40</v>
      </c>
      <c r="N1115" t="inlineStr">
        <is>
          <t>DIRECCION GENERAL BANCO BASE</t>
        </is>
      </c>
      <c r="O1115" t="n">
        <v>410</v>
      </c>
      <c r="P1115" t="inlineStr">
        <is>
          <t>DIRECCION COMERCIAL</t>
        </is>
      </c>
      <c r="Q1115" t="n">
        <v>4102</v>
      </c>
      <c r="R1115" t="inlineStr">
        <is>
          <t>DIRECCION DE SOLUCIONES</t>
        </is>
      </c>
      <c r="S1115" t="n">
        <v>45100</v>
      </c>
      <c r="T1115" t="inlineStr">
        <is>
          <t>DIRECCION DE DESARROLLO DE NEGOCIO DERIVADOS Y FX</t>
        </is>
      </c>
      <c r="U1115" t="n">
        <v>451200</v>
      </c>
      <c r="V1115" t="inlineStr">
        <is>
          <t>SUBDIRECCION DE FACILIDADES BANCARIAS</t>
        </is>
      </c>
      <c r="W1115" t="n">
        <v>126102</v>
      </c>
      <c r="X1115" t="inlineStr">
        <is>
          <t>VALLE ORIENTE</t>
        </is>
      </c>
      <c r="Y1115" t="n">
        <v>15</v>
      </c>
      <c r="Z1115" t="inlineStr">
        <is>
          <t>DERIVADOS</t>
        </is>
      </c>
      <c r="AA1115" t="n">
        <v>1</v>
      </c>
      <c r="AB1115" t="inlineStr">
        <is>
          <t>NEGOCIO EN MARCHA</t>
        </is>
      </c>
      <c r="AC1115" t="n">
        <v>1</v>
      </c>
      <c r="AD1115" t="inlineStr">
        <is>
          <t>BANCO</t>
        </is>
      </c>
      <c r="AE1115" t="n">
        <v>2</v>
      </c>
      <c r="AF1115" t="inlineStr">
        <is>
          <t>MIDDLE</t>
        </is>
      </c>
      <c r="AG1115" t="n">
        <v>126102</v>
      </c>
      <c r="AH1115" t="inlineStr">
        <is>
          <t>MONTERREY</t>
        </is>
      </c>
      <c r="AI1115" t="inlineStr">
        <is>
          <t>MSANCHEZH@BANCOBASE.COM</t>
        </is>
      </c>
      <c r="AJ1115" s="151" t="n">
        <v>46189</v>
      </c>
      <c r="AK1115" s="151" t="n"/>
      <c r="AL1115" s="151" t="n"/>
    </row>
    <row r="1116" hidden="1" s="150">
      <c r="A1116" t="inlineStr">
        <is>
          <t>MCAMPA</t>
        </is>
      </c>
      <c r="B1116" t="n">
        <v>2019</v>
      </c>
      <c r="C1116" t="inlineStr">
        <is>
          <t>MARTIN CAMPA RANGEL</t>
        </is>
      </c>
      <c r="D1116" t="n">
        <v>10297</v>
      </c>
      <c r="E1116" t="inlineStr">
        <is>
          <t>ESPECIALISTA DE MEJORA DE PROCESOS</t>
        </is>
      </c>
      <c r="F1116" t="inlineStr">
        <is>
          <t>MONTERREY</t>
        </is>
      </c>
      <c r="G1116" t="n">
        <v>1010</v>
      </c>
      <c r="H1116" t="inlineStr">
        <is>
          <t>TATIANA TERRAZAS CAZARES</t>
        </is>
      </c>
      <c r="I1116" t="n">
        <v>10287</v>
      </c>
      <c r="J1116" t="inlineStr">
        <is>
          <t>PRODUCT OWNER FACILIDADES Y FINANCIAMIENTO</t>
        </is>
      </c>
      <c r="K1116" t="n">
        <v>1</v>
      </c>
      <c r="L1116" t="inlineStr">
        <is>
          <t>PRESIDENCIA EJECUTIVA DEL CONSEJO</t>
        </is>
      </c>
      <c r="M1116" t="n">
        <v>40</v>
      </c>
      <c r="N1116" t="inlineStr">
        <is>
          <t>DIRECCION GENERAL BANCO BASE</t>
        </is>
      </c>
      <c r="O1116" t="n">
        <v>410</v>
      </c>
      <c r="P1116" t="inlineStr">
        <is>
          <t>DIRECCION COMERCIAL</t>
        </is>
      </c>
      <c r="Q1116" t="n">
        <v>4102</v>
      </c>
      <c r="R1116" t="inlineStr">
        <is>
          <t>DIRECCION DE SOLUCIONES</t>
        </is>
      </c>
      <c r="S1116" t="n">
        <v>45100</v>
      </c>
      <c r="T1116" t="inlineStr">
        <is>
          <t>DIRECCION DE DESARROLLO DE NEGOCIO DERIVADOS Y FX</t>
        </is>
      </c>
      <c r="U1116" t="n">
        <v>451200</v>
      </c>
      <c r="V1116" t="inlineStr">
        <is>
          <t>SUBDIRECCION DE FACILIDADES BANCARIAS</t>
        </is>
      </c>
      <c r="W1116" t="n">
        <v>100101</v>
      </c>
      <c r="X1116" t="inlineStr">
        <is>
          <t>CORPORATIVO</t>
        </is>
      </c>
      <c r="Y1116" t="n">
        <v>13</v>
      </c>
      <c r="Z1116" t="inlineStr">
        <is>
          <t>FINANCIAMIENTO</t>
        </is>
      </c>
      <c r="AA1116" t="n">
        <v>1</v>
      </c>
      <c r="AB1116" t="inlineStr">
        <is>
          <t>NEGOCIO EN MARCHA</t>
        </is>
      </c>
      <c r="AC1116" t="n">
        <v>1</v>
      </c>
      <c r="AD1116" t="inlineStr">
        <is>
          <t>BANCO</t>
        </is>
      </c>
      <c r="AE1116" t="n">
        <v>1</v>
      </c>
      <c r="AF1116" t="inlineStr">
        <is>
          <t>BACK</t>
        </is>
      </c>
      <c r="AG1116" t="n">
        <v>126102</v>
      </c>
      <c r="AH1116" t="inlineStr">
        <is>
          <t>MONTERREY</t>
        </is>
      </c>
      <c r="AI1116" t="inlineStr">
        <is>
          <t>MCAMPA@BANCOBASE.COM</t>
        </is>
      </c>
      <c r="AJ1116" s="151" t="n">
        <v>43252</v>
      </c>
      <c r="AK1116" s="151" t="n"/>
      <c r="AL1116" s="151" t="n"/>
    </row>
    <row r="1117" hidden="1" s="150">
      <c r="A1117" t="inlineStr">
        <is>
          <t>MTAMAYO</t>
        </is>
      </c>
      <c r="B1117" t="n">
        <v>1572</v>
      </c>
      <c r="C1117" t="inlineStr">
        <is>
          <t>MARIA DEL PILAR TAMAYO BELLO</t>
        </is>
      </c>
      <c r="D1117" t="n">
        <v>9033</v>
      </c>
      <c r="E1117" t="inlineStr">
        <is>
          <t>PRODUCT OWNER DERIVADOS</t>
        </is>
      </c>
      <c r="F1117" t="inlineStr">
        <is>
          <t>MONTERREY</t>
        </is>
      </c>
      <c r="G1117" t="n">
        <v>3795</v>
      </c>
      <c r="H1117" t="inlineStr">
        <is>
          <t>JUAN ANTONIO OCHOA MONE</t>
        </is>
      </c>
      <c r="I1117" t="n">
        <v>5053</v>
      </c>
      <c r="J1117" t="inlineStr">
        <is>
          <t>DIRECTOR DE SOLUCIONES</t>
        </is>
      </c>
      <c r="K1117" t="n">
        <v>1</v>
      </c>
      <c r="L1117" t="inlineStr">
        <is>
          <t>PRESIDENCIA EJECUTIVA DEL CONSEJO</t>
        </is>
      </c>
      <c r="M1117" t="n">
        <v>40</v>
      </c>
      <c r="N1117" t="inlineStr">
        <is>
          <t>DIRECCION GENERAL BANCO BASE</t>
        </is>
      </c>
      <c r="O1117" t="n">
        <v>410</v>
      </c>
      <c r="P1117" t="inlineStr">
        <is>
          <t>DIRECCION COMERCIAL</t>
        </is>
      </c>
      <c r="Q1117" t="n">
        <v>4102</v>
      </c>
      <c r="R1117" t="inlineStr">
        <is>
          <t>DIRECCION DE SOLUCIONES</t>
        </is>
      </c>
      <c r="S1117" t="n">
        <v>45100</v>
      </c>
      <c r="T1117" t="inlineStr">
        <is>
          <t>DIRECCION DE DESARROLLO DE NEGOCIO DERIVADOS Y FX</t>
        </is>
      </c>
      <c r="U1117" t="n">
        <v>451500</v>
      </c>
      <c r="V1117" t="inlineStr">
        <is>
          <t>SUBDIRECCION DE PROCESOS DERIVADOS</t>
        </is>
      </c>
      <c r="W1117" t="n">
        <v>100101</v>
      </c>
      <c r="X1117" t="inlineStr">
        <is>
          <t>CORPORATIVO</t>
        </is>
      </c>
      <c r="Y1117" t="n">
        <v>15</v>
      </c>
      <c r="Z1117" t="inlineStr">
        <is>
          <t>DERIVADOS</t>
        </is>
      </c>
      <c r="AA1117" t="n">
        <v>1</v>
      </c>
      <c r="AB1117" t="inlineStr">
        <is>
          <t>NEGOCIO EN MARCHA</t>
        </is>
      </c>
      <c r="AC1117" t="n">
        <v>1</v>
      </c>
      <c r="AD1117" t="inlineStr">
        <is>
          <t>BANCO</t>
        </is>
      </c>
      <c r="AE1117" t="n">
        <v>2</v>
      </c>
      <c r="AF1117" t="inlineStr">
        <is>
          <t>MIDDLE</t>
        </is>
      </c>
      <c r="AG1117" t="n">
        <v>100101</v>
      </c>
      <c r="AH1117" t="inlineStr">
        <is>
          <t>CORPORATIVO</t>
        </is>
      </c>
      <c r="AI1117" t="inlineStr">
        <is>
          <t>MTAMAYO@BANCOBASE.COM</t>
        </is>
      </c>
      <c r="AJ1117" s="151" t="n">
        <v>42522</v>
      </c>
      <c r="AK1117" s="151" t="n"/>
      <c r="AL1117" s="151" t="n"/>
    </row>
    <row r="1118" hidden="1" s="150">
      <c r="A1118" t="inlineStr">
        <is>
          <t>BSANCHEZM</t>
        </is>
      </c>
      <c r="B1118" t="n">
        <v>2558</v>
      </c>
      <c r="C1118" t="inlineStr">
        <is>
          <t>BETSABE SANCHEZ MARES</t>
        </is>
      </c>
      <c r="D1118" t="n">
        <v>8220</v>
      </c>
      <c r="E1118" t="inlineStr">
        <is>
          <t>ESPECIALISTA FUNCIONAL DE DERIVADOS</t>
        </is>
      </c>
      <c r="F1118" t="inlineStr">
        <is>
          <t>MONTERREY</t>
        </is>
      </c>
      <c r="G1118" t="n">
        <v>1572</v>
      </c>
      <c r="H1118" t="inlineStr">
        <is>
          <t>MARIA DEL PILAR TAMAYO BELLO</t>
        </is>
      </c>
      <c r="I1118" t="n">
        <v>9033</v>
      </c>
      <c r="J1118" t="inlineStr">
        <is>
          <t>PRODUCT OWNER DERIVADOS</t>
        </is>
      </c>
      <c r="K1118" t="n">
        <v>1</v>
      </c>
      <c r="L1118" t="inlineStr">
        <is>
          <t>PRESIDENCIA EJECUTIVA DEL CONSEJO</t>
        </is>
      </c>
      <c r="M1118" t="n">
        <v>40</v>
      </c>
      <c r="N1118" t="inlineStr">
        <is>
          <t>DIRECCION GENERAL BANCO BASE</t>
        </is>
      </c>
      <c r="O1118" t="n">
        <v>410</v>
      </c>
      <c r="P1118" t="inlineStr">
        <is>
          <t>DIRECCION COMERCIAL</t>
        </is>
      </c>
      <c r="Q1118" t="n">
        <v>4102</v>
      </c>
      <c r="R1118" t="inlineStr">
        <is>
          <t>DIRECCION DE SOLUCIONES</t>
        </is>
      </c>
      <c r="S1118" t="n">
        <v>45100</v>
      </c>
      <c r="T1118" t="inlineStr">
        <is>
          <t>DIRECCION DE DESARROLLO DE NEGOCIO DERIVADOS Y FX</t>
        </is>
      </c>
      <c r="U1118" t="n">
        <v>451500</v>
      </c>
      <c r="V1118" t="inlineStr">
        <is>
          <t>SUBDIRECCION DE PROCESOS DERIVADOS</t>
        </is>
      </c>
      <c r="W1118" t="n">
        <v>100101</v>
      </c>
      <c r="X1118" t="inlineStr">
        <is>
          <t>CORPORATIVO</t>
        </is>
      </c>
      <c r="Y1118" t="n">
        <v>15</v>
      </c>
      <c r="Z1118" t="inlineStr">
        <is>
          <t>DERIVADOS</t>
        </is>
      </c>
      <c r="AA1118" t="n">
        <v>1</v>
      </c>
      <c r="AB1118" t="inlineStr">
        <is>
          <t>NEGOCIO EN MARCHA</t>
        </is>
      </c>
      <c r="AC1118" t="n">
        <v>1</v>
      </c>
      <c r="AD1118" t="inlineStr">
        <is>
          <t>BANCO</t>
        </is>
      </c>
      <c r="AE1118" t="n">
        <v>2</v>
      </c>
      <c r="AF1118" t="inlineStr">
        <is>
          <t>MIDDLE</t>
        </is>
      </c>
      <c r="AG1118" t="n">
        <v>100101</v>
      </c>
      <c r="AH1118" t="inlineStr">
        <is>
          <t>CORPORATIVO</t>
        </is>
      </c>
      <c r="AI1118" t="inlineStr">
        <is>
          <t>BSANCHEZM@BANCOBASE.COM</t>
        </is>
      </c>
      <c r="AJ1118" s="151" t="n">
        <v>44501</v>
      </c>
      <c r="AK1118" s="151" t="n"/>
      <c r="AL1118" s="151" t="n"/>
    </row>
    <row r="1119" hidden="1" s="150">
      <c r="A1119" t="inlineStr">
        <is>
          <t>MFLORESR</t>
        </is>
      </c>
      <c r="B1119" t="n">
        <v>2247</v>
      </c>
      <c r="C1119" t="inlineStr">
        <is>
          <t>MAXWELL ALEJANDRO FLORES REYES</t>
        </is>
      </c>
      <c r="D1119" t="n">
        <v>8221</v>
      </c>
      <c r="E1119" t="inlineStr">
        <is>
          <t>ANALISTA DE PRODUCTOS DERIVADOS</t>
        </is>
      </c>
      <c r="F1119" t="inlineStr">
        <is>
          <t>MONTERREY</t>
        </is>
      </c>
      <c r="G1119" t="n">
        <v>1572</v>
      </c>
      <c r="H1119" t="inlineStr">
        <is>
          <t>MARIA DEL PILAR TAMAYO BELLO</t>
        </is>
      </c>
      <c r="I1119" t="n">
        <v>9033</v>
      </c>
      <c r="J1119" t="inlineStr">
        <is>
          <t>PRODUCT OWNER DERIVADOS</t>
        </is>
      </c>
      <c r="K1119" t="n">
        <v>1</v>
      </c>
      <c r="L1119" t="inlineStr">
        <is>
          <t>PRESIDENCIA EJECUTIVA DEL CONSEJO</t>
        </is>
      </c>
      <c r="M1119" t="n">
        <v>40</v>
      </c>
      <c r="N1119" t="inlineStr">
        <is>
          <t>DIRECCION GENERAL BANCO BASE</t>
        </is>
      </c>
      <c r="O1119" t="n">
        <v>410</v>
      </c>
      <c r="P1119" t="inlineStr">
        <is>
          <t>DIRECCION COMERCIAL</t>
        </is>
      </c>
      <c r="Q1119" t="n">
        <v>4102</v>
      </c>
      <c r="R1119" t="inlineStr">
        <is>
          <t>DIRECCION DE SOLUCIONES</t>
        </is>
      </c>
      <c r="S1119" t="n">
        <v>45100</v>
      </c>
      <c r="T1119" t="inlineStr">
        <is>
          <t>DIRECCION DE DESARROLLO DE NEGOCIO DERIVADOS Y FX</t>
        </is>
      </c>
      <c r="U1119" t="n">
        <v>451500</v>
      </c>
      <c r="V1119" t="inlineStr">
        <is>
          <t>SUBDIRECCION DE PROCESOS DERIVADOS</t>
        </is>
      </c>
      <c r="W1119" t="n">
        <v>100101</v>
      </c>
      <c r="X1119" t="inlineStr">
        <is>
          <t>CORPORATIVO</t>
        </is>
      </c>
      <c r="Y1119" t="n">
        <v>15</v>
      </c>
      <c r="Z1119" t="inlineStr">
        <is>
          <t>DERIVADOS</t>
        </is>
      </c>
      <c r="AA1119" t="n">
        <v>1</v>
      </c>
      <c r="AB1119" t="inlineStr">
        <is>
          <t>NEGOCIO EN MARCHA</t>
        </is>
      </c>
      <c r="AC1119" t="n">
        <v>1</v>
      </c>
      <c r="AD1119" t="inlineStr">
        <is>
          <t>BANCO</t>
        </is>
      </c>
      <c r="AE1119" t="n">
        <v>2</v>
      </c>
      <c r="AF1119" t="inlineStr">
        <is>
          <t>MIDDLE</t>
        </is>
      </c>
      <c r="AG1119" t="n">
        <v>100101</v>
      </c>
      <c r="AH1119" t="inlineStr">
        <is>
          <t>CORPORATIVO</t>
        </is>
      </c>
      <c r="AI1119" t="inlineStr">
        <is>
          <t>MFLORESR@BANCOBASE.COM</t>
        </is>
      </c>
      <c r="AJ1119" s="151" t="n">
        <v>43601</v>
      </c>
      <c r="AK1119" s="151" t="n"/>
      <c r="AL1119" s="151" t="n"/>
    </row>
    <row r="1120" hidden="1" s="150">
      <c r="A1120" t="inlineStr">
        <is>
          <t>MDELREAL</t>
        </is>
      </c>
      <c r="B1120" t="n">
        <v>2239</v>
      </c>
      <c r="C1120" t="inlineStr">
        <is>
          <t>MELODY ESTEFANIA DEL REAL ROBLES</t>
        </is>
      </c>
      <c r="D1120" t="n">
        <v>8098</v>
      </c>
      <c r="E1120" t="inlineStr">
        <is>
          <t>PRODUCT OWNER CAPTACION</t>
        </is>
      </c>
      <c r="F1120" t="inlineStr">
        <is>
          <t>MONTERREY</t>
        </is>
      </c>
      <c r="G1120" t="n">
        <v>3795</v>
      </c>
      <c r="H1120" t="inlineStr">
        <is>
          <t>JUAN ANTONIO OCHOA MONE</t>
        </is>
      </c>
      <c r="I1120" t="n">
        <v>5053</v>
      </c>
      <c r="J1120" t="inlineStr">
        <is>
          <t>DIRECTOR DE SOLUCIONES</t>
        </is>
      </c>
      <c r="K1120" t="n">
        <v>1</v>
      </c>
      <c r="L1120" t="inlineStr">
        <is>
          <t>PRESIDENCIA EJECUTIVA DEL CONSEJO</t>
        </is>
      </c>
      <c r="M1120" t="n">
        <v>40</v>
      </c>
      <c r="N1120" t="inlineStr">
        <is>
          <t>DIRECCION GENERAL BANCO BASE</t>
        </is>
      </c>
      <c r="O1120" t="n">
        <v>410</v>
      </c>
      <c r="P1120" t="inlineStr">
        <is>
          <t>DIRECCION COMERCIAL</t>
        </is>
      </c>
      <c r="Q1120" t="n">
        <v>4560</v>
      </c>
      <c r="R1120" t="inlineStr">
        <is>
          <t>DIRECCION DE ATRACCION Y VENTAS</t>
        </is>
      </c>
      <c r="S1120" t="n">
        <v>45150</v>
      </c>
      <c r="T1120" t="inlineStr">
        <is>
          <t>SUBDIRECCION DE PROCESOS DERIVADOS</t>
        </is>
      </c>
      <c r="U1120" t="n">
        <v>451500</v>
      </c>
      <c r="V1120" t="inlineStr">
        <is>
          <t>SUBDIRECCION DE PROCESOS DERIVADOS</t>
        </is>
      </c>
      <c r="W1120" t="n">
        <v>126102</v>
      </c>
      <c r="X1120" t="inlineStr">
        <is>
          <t>VALLE ORIENTE</t>
        </is>
      </c>
      <c r="Y1120" t="n">
        <v>14</v>
      </c>
      <c r="Z1120" t="inlineStr">
        <is>
          <t>TRANSACCIONAL</t>
        </is>
      </c>
      <c r="AA1120" t="n">
        <v>1</v>
      </c>
      <c r="AB1120" t="inlineStr">
        <is>
          <t>NEGOCIO EN MARCHA</t>
        </is>
      </c>
      <c r="AC1120" t="n">
        <v>1</v>
      </c>
      <c r="AD1120" t="inlineStr">
        <is>
          <t>BANCO</t>
        </is>
      </c>
      <c r="AE1120" t="n">
        <v>2</v>
      </c>
      <c r="AF1120" t="inlineStr">
        <is>
          <t>MIDDLE</t>
        </is>
      </c>
      <c r="AG1120" t="n">
        <v>126102</v>
      </c>
      <c r="AH1120" t="inlineStr">
        <is>
          <t>MONTERREY</t>
        </is>
      </c>
      <c r="AI1120" t="inlineStr">
        <is>
          <t>MDELREAL@BANCOBASE.COM</t>
        </is>
      </c>
      <c r="AJ1120" s="151" t="n">
        <v>43593</v>
      </c>
      <c r="AK1120" s="151" t="n"/>
      <c r="AL1120" s="151" t="n"/>
    </row>
    <row r="1121" hidden="1" s="150">
      <c r="A1121" t="inlineStr">
        <is>
          <t>LPEREZM</t>
        </is>
      </c>
      <c r="B1121" t="n">
        <v>3282</v>
      </c>
      <c r="C1121" t="inlineStr">
        <is>
          <t>ALVARO LEONARDO PEREZ MENDOZA</t>
        </is>
      </c>
      <c r="D1121" t="n">
        <v>8437</v>
      </c>
      <c r="E1121" t="inlineStr">
        <is>
          <t>ANALISTA PRODUCTOS TRANSACCIONALES Y DE INVERSION</t>
        </is>
      </c>
      <c r="F1121" t="inlineStr">
        <is>
          <t>MONTERREY</t>
        </is>
      </c>
      <c r="G1121" t="n">
        <v>2239</v>
      </c>
      <c r="H1121" t="inlineStr">
        <is>
          <t>MELODY ESTEFANIA DEL REAL ROBLES</t>
        </is>
      </c>
      <c r="I1121" t="n">
        <v>8098</v>
      </c>
      <c r="J1121" t="inlineStr">
        <is>
          <t>PRODUCT OWNER CAPTACION</t>
        </is>
      </c>
      <c r="K1121" t="n">
        <v>1</v>
      </c>
      <c r="L1121" t="inlineStr">
        <is>
          <t>PRESIDENCIA EJECUTIVA DEL CONSEJO</t>
        </is>
      </c>
      <c r="M1121" t="n">
        <v>40</v>
      </c>
      <c r="N1121" t="inlineStr">
        <is>
          <t>DIRECCION GENERAL BANCO BASE</t>
        </is>
      </c>
      <c r="O1121" t="n">
        <v>410</v>
      </c>
      <c r="P1121" t="inlineStr">
        <is>
          <t>DIRECCION COMERCIAL</t>
        </is>
      </c>
      <c r="Q1121" t="n">
        <v>4102</v>
      </c>
      <c r="R1121" t="inlineStr">
        <is>
          <t>DIRECCION DE SOLUCIONES</t>
        </is>
      </c>
      <c r="S1121" t="n">
        <v>45340</v>
      </c>
      <c r="T1121" t="inlineStr">
        <is>
          <t>SUBDIRECCION DE OPORTUNIDADES Y MEJORA CONTINUA</t>
        </is>
      </c>
      <c r="U1121" t="n">
        <v>453400</v>
      </c>
      <c r="V1121" t="inlineStr">
        <is>
          <t>SUBDIRECCION DE OPORTUNIDADES Y MEJORA CONTINUA</t>
        </is>
      </c>
      <c r="W1121" t="n">
        <v>100101</v>
      </c>
      <c r="X1121" t="inlineStr">
        <is>
          <t>CORPORATIVO</t>
        </is>
      </c>
      <c r="Y1121" t="n">
        <v>14</v>
      </c>
      <c r="Z1121" t="inlineStr">
        <is>
          <t>TRANSACCIONAL</t>
        </is>
      </c>
      <c r="AA1121" t="n">
        <v>1</v>
      </c>
      <c r="AB1121" t="inlineStr">
        <is>
          <t>NEGOCIO EN MARCHA</t>
        </is>
      </c>
      <c r="AC1121" t="n">
        <v>1</v>
      </c>
      <c r="AD1121" t="inlineStr">
        <is>
          <t>BANCO</t>
        </is>
      </c>
      <c r="AE1121" t="n">
        <v>1</v>
      </c>
      <c r="AF1121" t="inlineStr">
        <is>
          <t>BACK</t>
        </is>
      </c>
      <c r="AG1121" t="n">
        <v>100101</v>
      </c>
      <c r="AH1121" t="inlineStr">
        <is>
          <t>CORPORATIVO</t>
        </is>
      </c>
      <c r="AI1121" t="inlineStr">
        <is>
          <t>LPEREZM@BANCOBASE.COM</t>
        </is>
      </c>
      <c r="AJ1121" s="151" t="n">
        <v>45628</v>
      </c>
      <c r="AK1121" s="151" t="n"/>
      <c r="AL1121" s="151" t="n"/>
    </row>
    <row r="1122" hidden="1" s="150">
      <c r="A1122" t="inlineStr">
        <is>
          <t>MLOPEZR</t>
        </is>
      </c>
      <c r="B1122" t="n">
        <v>2970</v>
      </c>
      <c r="C1122" t="inlineStr">
        <is>
          <t>MARIA TAMARA LOPEZ ROMO</t>
        </is>
      </c>
      <c r="D1122" t="n">
        <v>8467</v>
      </c>
      <c r="E1122" t="inlineStr">
        <is>
          <t>ESPECIALISTA DE MEJORA Y DESARROLLO DE PRODUCTO</t>
        </is>
      </c>
      <c r="F1122" t="inlineStr">
        <is>
          <t>MONTERREY</t>
        </is>
      </c>
      <c r="G1122" t="n">
        <v>2239</v>
      </c>
      <c r="H1122" t="inlineStr">
        <is>
          <t>MELODY ESTEFANIA DEL REAL ROBLES</t>
        </is>
      </c>
      <c r="I1122" t="n">
        <v>8098</v>
      </c>
      <c r="J1122" t="inlineStr">
        <is>
          <t>PRODUCT OWNER CAPTACION</t>
        </is>
      </c>
      <c r="K1122" t="n">
        <v>1</v>
      </c>
      <c r="L1122" t="inlineStr">
        <is>
          <t>PRESIDENCIA EJECUTIVA DEL CONSEJO</t>
        </is>
      </c>
      <c r="M1122" t="n">
        <v>40</v>
      </c>
      <c r="N1122" t="inlineStr">
        <is>
          <t>DIRECCION GENERAL BANCO BASE</t>
        </is>
      </c>
      <c r="O1122" t="n">
        <v>410</v>
      </c>
      <c r="P1122" t="inlineStr">
        <is>
          <t>DIRECCION COMERCIAL</t>
        </is>
      </c>
      <c r="Q1122" t="n">
        <v>4102</v>
      </c>
      <c r="R1122" t="inlineStr">
        <is>
          <t>DIRECCION DE SOLUCIONES</t>
        </is>
      </c>
      <c r="S1122" t="n">
        <v>45340</v>
      </c>
      <c r="T1122" t="inlineStr">
        <is>
          <t>SUBDIRECCION DE OPORTUNIDADES Y MEJORA CONTINUA</t>
        </is>
      </c>
      <c r="U1122" t="n">
        <v>453400</v>
      </c>
      <c r="V1122" t="inlineStr">
        <is>
          <t>SUBDIRECCION DE OPORTUNIDADES Y MEJORA CONTINUA</t>
        </is>
      </c>
      <c r="W1122" t="n">
        <v>100101</v>
      </c>
      <c r="X1122" t="inlineStr">
        <is>
          <t>CORPORATIVO</t>
        </is>
      </c>
      <c r="Y1122" t="n">
        <v>14</v>
      </c>
      <c r="Z1122" t="inlineStr">
        <is>
          <t>TRANSACCIONAL</t>
        </is>
      </c>
      <c r="AA1122" t="n">
        <v>1</v>
      </c>
      <c r="AB1122" t="inlineStr">
        <is>
          <t>NEGOCIO EN MARCHA</t>
        </is>
      </c>
      <c r="AC1122" t="n">
        <v>1</v>
      </c>
      <c r="AD1122" t="inlineStr">
        <is>
          <t>BANCO</t>
        </is>
      </c>
      <c r="AE1122" t="n">
        <v>1</v>
      </c>
      <c r="AF1122" t="inlineStr">
        <is>
          <t>BACK</t>
        </is>
      </c>
      <c r="AG1122" t="n">
        <v>100101</v>
      </c>
      <c r="AH1122" t="inlineStr">
        <is>
          <t>CORPORATIVO</t>
        </is>
      </c>
      <c r="AI1122" t="inlineStr">
        <is>
          <t>MLOPEZR@BANCOBASE.COM</t>
        </is>
      </c>
      <c r="AJ1122" s="151" t="n">
        <v>45201</v>
      </c>
      <c r="AK1122" s="151" t="n"/>
      <c r="AL1122" s="151" t="n"/>
    </row>
    <row r="1123" hidden="1" s="150">
      <c r="A1123" t="inlineStr">
        <is>
          <t>ALAGUILAR</t>
        </is>
      </c>
      <c r="B1123" t="n">
        <v>2425</v>
      </c>
      <c r="C1123" t="inlineStr">
        <is>
          <t>ALINA ALEXANDRA AGUILAR AGUIRRE</t>
        </is>
      </c>
      <c r="D1123" t="n">
        <v>11</v>
      </c>
      <c r="E1123" t="inlineStr">
        <is>
          <t>DIRECTOR DE MERCADOTECNIA</t>
        </is>
      </c>
      <c r="F1123" t="inlineStr">
        <is>
          <t>MEXICO</t>
        </is>
      </c>
      <c r="G1123" t="n">
        <v>1512</v>
      </c>
      <c r="H1123" t="inlineStr">
        <is>
          <t>ARTURO MANUEL GUERRA ANZALDUA</t>
        </is>
      </c>
      <c r="I1123" t="n">
        <v>9649</v>
      </c>
      <c r="J1123" t="inlineStr">
        <is>
          <t>DIRECTOR COMERCIAL NACIONAL</t>
        </is>
      </c>
      <c r="K1123" t="n">
        <v>1</v>
      </c>
      <c r="L1123" t="inlineStr">
        <is>
          <t>PRESIDENCIA EJECUTIVA DEL CONSEJO</t>
        </is>
      </c>
      <c r="M1123" t="n">
        <v>40</v>
      </c>
      <c r="N1123" t="inlineStr">
        <is>
          <t>DIRECCION GENERAL BANCO BASE</t>
        </is>
      </c>
      <c r="O1123" t="n">
        <v>410</v>
      </c>
      <c r="P1123" t="inlineStr">
        <is>
          <t>DIRECCION COMERCIAL</t>
        </is>
      </c>
      <c r="Q1123" t="n">
        <v>4390</v>
      </c>
      <c r="R1123" t="inlineStr">
        <is>
          <t>DIRECCION DE MERCADOTECNIA</t>
        </is>
      </c>
      <c r="S1123" t="n">
        <v>43900</v>
      </c>
      <c r="T1123" t="inlineStr">
        <is>
          <t>DIRECCION DE MERCADOTECNIA</t>
        </is>
      </c>
      <c r="U1123" t="n">
        <v>439000</v>
      </c>
      <c r="V1123" t="inlineStr">
        <is>
          <t>DIRECCION DE MERCADOTECNIA</t>
        </is>
      </c>
      <c r="W1123" t="n">
        <v>134111</v>
      </c>
      <c r="X1123" t="inlineStr">
        <is>
          <t>LOMAS</t>
        </is>
      </c>
      <c r="Y1123" t="n">
        <v>4</v>
      </c>
      <c r="Z1123" t="inlineStr">
        <is>
          <t>CORPORATIVO</t>
        </is>
      </c>
      <c r="AA1123" t="n">
        <v>1</v>
      </c>
      <c r="AB1123" t="inlineStr">
        <is>
          <t>NEGOCIO EN MARCHA</t>
        </is>
      </c>
      <c r="AC1123" t="n">
        <v>1</v>
      </c>
      <c r="AD1123" t="inlineStr">
        <is>
          <t>BANCO</t>
        </is>
      </c>
      <c r="AE1123" t="n">
        <v>1</v>
      </c>
      <c r="AF1123" t="inlineStr">
        <is>
          <t>BACK</t>
        </is>
      </c>
      <c r="AG1123" t="n">
        <v>134111</v>
      </c>
      <c r="AH1123" t="inlineStr">
        <is>
          <t>LOMAS</t>
        </is>
      </c>
      <c r="AI1123" t="inlineStr">
        <is>
          <t>ALAGUILAR@BANCOBASE.COM</t>
        </is>
      </c>
      <c r="AJ1123" s="151" t="n">
        <v>44075</v>
      </c>
      <c r="AK1123" s="151" t="n"/>
      <c r="AL1123" s="151" t="n"/>
    </row>
    <row r="1124" hidden="1" s="150">
      <c r="A1124" t="inlineStr">
        <is>
          <t>YRUIZ</t>
        </is>
      </c>
      <c r="B1124" t="n">
        <v>1920</v>
      </c>
      <c r="C1124" t="inlineStr">
        <is>
          <t>YANETH RUIZ HERNANDEZ</t>
        </is>
      </c>
      <c r="D1124" t="n">
        <v>9620</v>
      </c>
      <c r="E1124" t="inlineStr">
        <is>
          <t>GERENTE DE INVESTIGACION DE MERCADO</t>
        </is>
      </c>
      <c r="F1124" t="inlineStr">
        <is>
          <t>MONTERREY</t>
        </is>
      </c>
      <c r="G1124" t="n">
        <v>2425</v>
      </c>
      <c r="H1124" t="inlineStr">
        <is>
          <t>ALINA ALEXANDRA AGUILAR AGUIRRE</t>
        </is>
      </c>
      <c r="I1124" t="n">
        <v>11</v>
      </c>
      <c r="J1124" t="inlineStr">
        <is>
          <t>DIRECTOR DE MERCADOTECNIA</t>
        </is>
      </c>
      <c r="K1124" t="n">
        <v>1</v>
      </c>
      <c r="L1124" t="inlineStr">
        <is>
          <t>PRESIDENCIA EJECUTIVA DEL CONSEJO</t>
        </is>
      </c>
      <c r="M1124" t="n">
        <v>40</v>
      </c>
      <c r="N1124" t="inlineStr">
        <is>
          <t>DIRECCION GENERAL BANCO BASE</t>
        </is>
      </c>
      <c r="O1124" t="n">
        <v>410</v>
      </c>
      <c r="P1124" t="inlineStr">
        <is>
          <t>DIRECCION COMERCIAL</t>
        </is>
      </c>
      <c r="Q1124" t="n">
        <v>4390</v>
      </c>
      <c r="R1124" t="inlineStr">
        <is>
          <t>DIRECCION DE MERCADOTECNIA</t>
        </is>
      </c>
      <c r="S1124" t="n">
        <v>43910</v>
      </c>
      <c r="T1124" t="inlineStr">
        <is>
          <t>INTELIGENCIA DE MERCADO</t>
        </is>
      </c>
      <c r="U1124" t="n">
        <v>439000</v>
      </c>
      <c r="V1124" t="inlineStr">
        <is>
          <t>DIRECCION DE MERCADOTECNIA</t>
        </is>
      </c>
      <c r="W1124" t="n">
        <v>100101</v>
      </c>
      <c r="X1124" t="inlineStr">
        <is>
          <t>CORPORATIVO</t>
        </is>
      </c>
      <c r="Y1124" t="n">
        <v>4</v>
      </c>
      <c r="Z1124" t="inlineStr">
        <is>
          <t>CORPORATIVO</t>
        </is>
      </c>
      <c r="AA1124" t="n">
        <v>1</v>
      </c>
      <c r="AB1124" t="inlineStr">
        <is>
          <t>NEGOCIO EN MARCHA</t>
        </is>
      </c>
      <c r="AC1124" t="n">
        <v>1</v>
      </c>
      <c r="AD1124" t="inlineStr">
        <is>
          <t>BANCO</t>
        </is>
      </c>
      <c r="AE1124" t="n">
        <v>1</v>
      </c>
      <c r="AF1124" t="inlineStr">
        <is>
          <t>BACK</t>
        </is>
      </c>
      <c r="AG1124" t="n">
        <v>100101</v>
      </c>
      <c r="AH1124" t="inlineStr">
        <is>
          <t>CORPORATIVO</t>
        </is>
      </c>
      <c r="AI1124" t="inlineStr">
        <is>
          <t>YRUIZ@BANCOBASE.COM</t>
        </is>
      </c>
      <c r="AJ1124" s="151" t="n">
        <v>43132</v>
      </c>
      <c r="AK1124" s="151" t="n"/>
      <c r="AL1124" s="151" t="n"/>
    </row>
    <row r="1125" hidden="1" s="150">
      <c r="A1125" t="inlineStr">
        <is>
          <t>AALVAREZG</t>
        </is>
      </c>
      <c r="B1125" t="n">
        <v>3003</v>
      </c>
      <c r="C1125" t="inlineStr">
        <is>
          <t>ANGIE JACQUELINE ALVAREZ GUERRA</t>
        </is>
      </c>
      <c r="D1125" t="n">
        <v>8274</v>
      </c>
      <c r="E1125" t="inlineStr">
        <is>
          <t>ANALISTA INVESTIGACION DE MERCADOS</t>
        </is>
      </c>
      <c r="F1125" t="inlineStr">
        <is>
          <t>MONTERREY</t>
        </is>
      </c>
      <c r="G1125" t="n">
        <v>1920</v>
      </c>
      <c r="H1125" t="inlineStr">
        <is>
          <t>YANETH RUIZ HERNANDEZ</t>
        </is>
      </c>
      <c r="I1125" t="n">
        <v>9620</v>
      </c>
      <c r="J1125" t="inlineStr">
        <is>
          <t>GERENTE DE INVESTIGACION DE MERCADO</t>
        </is>
      </c>
      <c r="K1125" t="n">
        <v>1</v>
      </c>
      <c r="L1125" t="inlineStr">
        <is>
          <t>PRESIDENCIA EJECUTIVA DEL CONSEJO</t>
        </is>
      </c>
      <c r="M1125" t="n">
        <v>40</v>
      </c>
      <c r="N1125" t="inlineStr">
        <is>
          <t>DIRECCION GENERAL BANCO BASE</t>
        </is>
      </c>
      <c r="O1125" t="n">
        <v>410</v>
      </c>
      <c r="P1125" t="inlineStr">
        <is>
          <t>DIRECCION COMERCIAL</t>
        </is>
      </c>
      <c r="Q1125" t="n">
        <v>4390</v>
      </c>
      <c r="R1125" t="inlineStr">
        <is>
          <t>DIRECCION DE MERCADOTECNIA</t>
        </is>
      </c>
      <c r="S1125" t="n">
        <v>43910</v>
      </c>
      <c r="T1125" t="inlineStr">
        <is>
          <t>INTELIGENCIA DE MERCADO</t>
        </is>
      </c>
      <c r="U1125" t="n">
        <v>439000</v>
      </c>
      <c r="V1125" t="inlineStr">
        <is>
          <t>DIRECCION DE MERCADOTECNIA</t>
        </is>
      </c>
      <c r="W1125" t="n">
        <v>100101</v>
      </c>
      <c r="X1125" t="inlineStr">
        <is>
          <t>CORPORATIVO</t>
        </is>
      </c>
      <c r="Y1125" t="n">
        <v>4</v>
      </c>
      <c r="Z1125" t="inlineStr">
        <is>
          <t>CORPORATIVO</t>
        </is>
      </c>
      <c r="AA1125" t="n">
        <v>1</v>
      </c>
      <c r="AB1125" t="inlineStr">
        <is>
          <t>NEGOCIO EN MARCHA</t>
        </is>
      </c>
      <c r="AC1125" t="n">
        <v>1</v>
      </c>
      <c r="AD1125" t="inlineStr">
        <is>
          <t>BANCO</t>
        </is>
      </c>
      <c r="AE1125" t="n">
        <v>1</v>
      </c>
      <c r="AF1125" t="inlineStr">
        <is>
          <t>BACK</t>
        </is>
      </c>
      <c r="AG1125" t="n">
        <v>100101</v>
      </c>
      <c r="AH1125" t="inlineStr">
        <is>
          <t>CORPORATIVO</t>
        </is>
      </c>
      <c r="AI1125" t="inlineStr">
        <is>
          <t>AALVAREZG@BANCOBASE.COM</t>
        </is>
      </c>
      <c r="AJ1125" s="151" t="n">
        <v>45292</v>
      </c>
      <c r="AK1125" s="151" t="n"/>
      <c r="AL1125" s="151" t="n"/>
    </row>
    <row r="1126" hidden="1" s="150">
      <c r="A1126" t="inlineStr">
        <is>
          <t>JVARGASP</t>
        </is>
      </c>
      <c r="B1126" t="n">
        <v>3365</v>
      </c>
      <c r="C1126" t="inlineStr">
        <is>
          <t>JOSE CARLOS VARGAS PALACIOS</t>
        </is>
      </c>
      <c r="D1126" t="n">
        <v>10236</v>
      </c>
      <c r="E1126" t="inlineStr">
        <is>
          <t>GERENTE DE MERCADOTECNIA DIGITAL</t>
        </is>
      </c>
      <c r="F1126" t="inlineStr">
        <is>
          <t>MEXICO</t>
        </is>
      </c>
      <c r="G1126" t="n">
        <v>2425</v>
      </c>
      <c r="H1126" t="inlineStr">
        <is>
          <t>ALINA ALEXANDRA AGUILAR AGUIRRE</t>
        </is>
      </c>
      <c r="I1126" t="n">
        <v>11</v>
      </c>
      <c r="J1126" t="inlineStr">
        <is>
          <t>DIRECTOR DE MERCADOTECNIA</t>
        </is>
      </c>
      <c r="K1126" t="n">
        <v>1</v>
      </c>
      <c r="L1126" t="inlineStr">
        <is>
          <t>PRESIDENCIA EJECUTIVA DEL CONSEJO</t>
        </is>
      </c>
      <c r="M1126" t="n">
        <v>40</v>
      </c>
      <c r="N1126" t="inlineStr">
        <is>
          <t>DIRECCION GENERAL BANCO BASE</t>
        </is>
      </c>
      <c r="O1126" t="n">
        <v>410</v>
      </c>
      <c r="P1126" t="inlineStr">
        <is>
          <t>DIRECCION COMERCIAL</t>
        </is>
      </c>
      <c r="Q1126" t="n">
        <v>4390</v>
      </c>
      <c r="R1126" t="inlineStr">
        <is>
          <t>DIRECCION DE MERCADOTECNIA</t>
        </is>
      </c>
      <c r="S1126" t="n">
        <v>43920</v>
      </c>
      <c r="T1126" t="inlineStr">
        <is>
          <t>GERENCIA DE MERCADOTECNIA</t>
        </is>
      </c>
      <c r="U1126" t="n">
        <v>439000</v>
      </c>
      <c r="V1126" t="inlineStr">
        <is>
          <t>DIRECCION DE MERCADOTECNIA</t>
        </is>
      </c>
      <c r="W1126" t="n">
        <v>134111</v>
      </c>
      <c r="X1126" t="inlineStr">
        <is>
          <t>LOMAS</t>
        </is>
      </c>
      <c r="Y1126" t="n">
        <v>4</v>
      </c>
      <c r="Z1126" t="inlineStr">
        <is>
          <t>CORPORATIVO</t>
        </is>
      </c>
      <c r="AA1126" t="n">
        <v>1</v>
      </c>
      <c r="AB1126" t="inlineStr">
        <is>
          <t>NEGOCIO EN MARCHA</t>
        </is>
      </c>
      <c r="AC1126" t="n">
        <v>1</v>
      </c>
      <c r="AD1126" t="inlineStr">
        <is>
          <t>BANCO</t>
        </is>
      </c>
      <c r="AE1126" t="n">
        <v>1</v>
      </c>
      <c r="AF1126" t="inlineStr">
        <is>
          <t>BACK</t>
        </is>
      </c>
      <c r="AG1126" t="n">
        <v>134111</v>
      </c>
      <c r="AH1126" t="inlineStr">
        <is>
          <t>LOMAS</t>
        </is>
      </c>
      <c r="AI1126" t="inlineStr">
        <is>
          <t>JVARGASP@BANCOBASE.COM</t>
        </is>
      </c>
      <c r="AJ1126" s="151" t="n">
        <v>45734</v>
      </c>
      <c r="AK1126" s="151" t="n"/>
      <c r="AL1126" s="151" t="n"/>
    </row>
    <row r="1127" hidden="1" s="150">
      <c r="A1127" t="inlineStr">
        <is>
          <t>AVICENCIO</t>
        </is>
      </c>
      <c r="B1127" t="n">
        <v>2886</v>
      </c>
      <c r="C1127" t="inlineStr">
        <is>
          <t>ANA PAOLA VICENCIO AGUILAR</t>
        </is>
      </c>
      <c r="D1127" t="n">
        <v>9257</v>
      </c>
      <c r="E1127" t="inlineStr">
        <is>
          <t>ESPECIALISTA DE MERCADOTECNIA DIGITAL</t>
        </is>
      </c>
      <c r="F1127" t="inlineStr">
        <is>
          <t>MONTERREY</t>
        </is>
      </c>
      <c r="G1127" t="n">
        <v>3365</v>
      </c>
      <c r="H1127" t="inlineStr">
        <is>
          <t>JOSE CARLOS VARGAS PALACIOS</t>
        </is>
      </c>
      <c r="I1127" t="n">
        <v>10236</v>
      </c>
      <c r="J1127" t="inlineStr">
        <is>
          <t>GERENTE DE MERCADOTECNIA DIGITAL</t>
        </is>
      </c>
      <c r="K1127" t="n">
        <v>1</v>
      </c>
      <c r="L1127" t="inlineStr">
        <is>
          <t>PRESIDENCIA EJECUTIVA DEL CONSEJO</t>
        </is>
      </c>
      <c r="M1127" t="n">
        <v>40</v>
      </c>
      <c r="N1127" t="inlineStr">
        <is>
          <t>DIRECCION GENERAL BANCO BASE</t>
        </is>
      </c>
      <c r="O1127" t="n">
        <v>410</v>
      </c>
      <c r="P1127" t="inlineStr">
        <is>
          <t>DIRECCION COMERCIAL</t>
        </is>
      </c>
      <c r="Q1127" t="n">
        <v>4390</v>
      </c>
      <c r="R1127" t="inlineStr">
        <is>
          <t>DIRECCION DE MERCADOTECNIA</t>
        </is>
      </c>
      <c r="S1127" t="n">
        <v>43920</v>
      </c>
      <c r="T1127" t="inlineStr">
        <is>
          <t>GERENCIA DE MERCADOTECNIA</t>
        </is>
      </c>
      <c r="U1127" t="n">
        <v>439000</v>
      </c>
      <c r="V1127" t="inlineStr">
        <is>
          <t>DIRECCION DE MERCADOTECNIA</t>
        </is>
      </c>
      <c r="W1127" t="n">
        <v>100101</v>
      </c>
      <c r="X1127" t="inlineStr">
        <is>
          <t>CORPORATIVO</t>
        </is>
      </c>
      <c r="Y1127" t="n">
        <v>4</v>
      </c>
      <c r="Z1127" t="inlineStr">
        <is>
          <t>CORPORATIVO</t>
        </is>
      </c>
      <c r="AA1127" t="n">
        <v>1</v>
      </c>
      <c r="AB1127" t="inlineStr">
        <is>
          <t>NEGOCIO EN MARCHA</t>
        </is>
      </c>
      <c r="AC1127" t="n">
        <v>1</v>
      </c>
      <c r="AD1127" t="inlineStr">
        <is>
          <t>BANCO</t>
        </is>
      </c>
      <c r="AE1127" t="n">
        <v>1</v>
      </c>
      <c r="AF1127" t="inlineStr">
        <is>
          <t>BACK</t>
        </is>
      </c>
      <c r="AG1127" t="n">
        <v>100101</v>
      </c>
      <c r="AH1127" t="inlineStr">
        <is>
          <t>CORPORATIVO</t>
        </is>
      </c>
      <c r="AI1127" t="inlineStr">
        <is>
          <t>AVICENCIO@BANCOBASE.COM</t>
        </is>
      </c>
      <c r="AJ1127" s="151" t="n">
        <v>45048</v>
      </c>
      <c r="AK1127" s="151" t="n"/>
      <c r="AL1127" s="151" t="n"/>
    </row>
    <row r="1128" hidden="1" s="150">
      <c r="A1128" t="inlineStr">
        <is>
          <t>IARAGON</t>
        </is>
      </c>
      <c r="B1128" t="n">
        <v>99546</v>
      </c>
      <c r="C1128" t="inlineStr">
        <is>
          <t>ISABELLA SOFIA ARAGON SANDINO</t>
        </is>
      </c>
      <c r="D1128" t="n">
        <v>7024</v>
      </c>
      <c r="E1128" t="inlineStr">
        <is>
          <t>PRACTICANTE</t>
        </is>
      </c>
      <c r="F1128" t="inlineStr">
        <is>
          <t>MONTERREY</t>
        </is>
      </c>
      <c r="G1128" t="n">
        <v>3365</v>
      </c>
      <c r="H1128" t="inlineStr">
        <is>
          <t>JOSE CARLOS VARGAS PALACIOS</t>
        </is>
      </c>
      <c r="I1128" t="n">
        <v>10236</v>
      </c>
      <c r="J1128" t="inlineStr">
        <is>
          <t>GERENTE DE MERCADOTECNIA DIGITAL</t>
        </is>
      </c>
      <c r="K1128" t="n">
        <v>1</v>
      </c>
      <c r="L1128" t="inlineStr">
        <is>
          <t>PRESIDENCIA EJECUTIVA DEL CONSEJO</t>
        </is>
      </c>
      <c r="M1128" t="n">
        <v>40</v>
      </c>
      <c r="N1128" t="inlineStr">
        <is>
          <t>DIRECCION GENERAL BANCO BASE</t>
        </is>
      </c>
      <c r="O1128" t="n">
        <v>410</v>
      </c>
      <c r="P1128" t="inlineStr">
        <is>
          <t>DIRECCION COMERCIAL</t>
        </is>
      </c>
      <c r="Q1128" t="n">
        <v>4390</v>
      </c>
      <c r="R1128" t="inlineStr">
        <is>
          <t>DIRECCION DE MERCADOTECNIA</t>
        </is>
      </c>
      <c r="S1128" t="n">
        <v>43920</v>
      </c>
      <c r="T1128" t="inlineStr">
        <is>
          <t>GERENCIA DE MERCADOTECNIA</t>
        </is>
      </c>
      <c r="U1128" t="n">
        <v>439000</v>
      </c>
      <c r="V1128" t="inlineStr">
        <is>
          <t>DIRECCION DE MERCADOTECNIA</t>
        </is>
      </c>
      <c r="W1128" t="n">
        <v>100101</v>
      </c>
      <c r="X1128" t="inlineStr">
        <is>
          <t>CORPORATIVO</t>
        </is>
      </c>
      <c r="Y1128" t="n">
        <v>4</v>
      </c>
      <c r="Z1128" t="inlineStr">
        <is>
          <t>CORPORATIVO</t>
        </is>
      </c>
      <c r="AA1128" t="n">
        <v>1</v>
      </c>
      <c r="AB1128" t="inlineStr">
        <is>
          <t>NEGOCIO EN MARCHA</t>
        </is>
      </c>
      <c r="AC1128" t="n">
        <v>1</v>
      </c>
      <c r="AD1128" t="inlineStr">
        <is>
          <t>BANCO</t>
        </is>
      </c>
      <c r="AE1128" t="n">
        <v>1</v>
      </c>
      <c r="AF1128" t="inlineStr">
        <is>
          <t>BACK</t>
        </is>
      </c>
      <c r="AG1128" t="n">
        <v>100101</v>
      </c>
      <c r="AH1128" t="inlineStr">
        <is>
          <t>CORPORATIVO</t>
        </is>
      </c>
      <c r="AI1128" t="inlineStr">
        <is>
          <t>IARAGON@BANCOBASE.COM</t>
        </is>
      </c>
      <c r="AJ1128" s="151" t="n">
        <v>46219</v>
      </c>
      <c r="AK1128" s="151" t="n"/>
      <c r="AL1128" s="151" t="n"/>
    </row>
    <row r="1129" hidden="1" s="150">
      <c r="A1129" t="inlineStr">
        <is>
          <t>GMALDONADO</t>
        </is>
      </c>
      <c r="B1129" t="n">
        <v>3828</v>
      </c>
      <c r="C1129" t="inlineStr">
        <is>
          <t>GIOMARA SARAHY MALDONADO RUBIO</t>
        </is>
      </c>
      <c r="D1129" t="n">
        <v>9738</v>
      </c>
      <c r="E1129" t="inlineStr">
        <is>
          <t>DISEÑADOR</t>
        </is>
      </c>
      <c r="F1129" t="inlineStr">
        <is>
          <t>MONTERREY</t>
        </is>
      </c>
      <c r="I1129" t="n">
        <v>9930</v>
      </c>
      <c r="J1129" t="inlineStr">
        <is>
          <t>COORDINADOR DE CANALES Y DISEÑO</t>
        </is>
      </c>
      <c r="K1129" t="n">
        <v>1</v>
      </c>
      <c r="L1129" t="inlineStr">
        <is>
          <t>PRESIDENCIA EJECUTIVA DEL CONSEJO</t>
        </is>
      </c>
      <c r="M1129" t="n">
        <v>40</v>
      </c>
      <c r="N1129" t="inlineStr">
        <is>
          <t>DIRECCION GENERAL BANCO BASE</t>
        </is>
      </c>
      <c r="O1129" t="n">
        <v>410</v>
      </c>
      <c r="P1129" t="inlineStr">
        <is>
          <t>DIRECCION COMERCIAL</t>
        </is>
      </c>
      <c r="Q1129" t="n">
        <v>4390</v>
      </c>
      <c r="R1129" t="inlineStr">
        <is>
          <t>DIRECCION DE MERCADOTECNIA</t>
        </is>
      </c>
      <c r="S1129" t="n">
        <v>43920</v>
      </c>
      <c r="T1129" t="inlineStr">
        <is>
          <t>GERENCIA DE MERCADOTECNIA</t>
        </is>
      </c>
      <c r="U1129" t="n">
        <v>439000</v>
      </c>
      <c r="V1129" t="inlineStr">
        <is>
          <t>DIRECCION DE MERCADOTECNIA</t>
        </is>
      </c>
      <c r="W1129" t="n">
        <v>100101</v>
      </c>
      <c r="X1129" t="inlineStr">
        <is>
          <t>CORPORATIVO</t>
        </is>
      </c>
      <c r="Y1129" t="n">
        <v>4</v>
      </c>
      <c r="Z1129" t="inlineStr">
        <is>
          <t>CORPORATIVO</t>
        </is>
      </c>
      <c r="AA1129" t="n">
        <v>1</v>
      </c>
      <c r="AB1129" t="inlineStr">
        <is>
          <t>NEGOCIO EN MARCHA</t>
        </is>
      </c>
      <c r="AC1129" t="n">
        <v>1</v>
      </c>
      <c r="AD1129" t="inlineStr">
        <is>
          <t>BANCO</t>
        </is>
      </c>
      <c r="AE1129" t="n">
        <v>1</v>
      </c>
      <c r="AF1129" t="inlineStr">
        <is>
          <t>BACK</t>
        </is>
      </c>
      <c r="AG1129" t="n">
        <v>100101</v>
      </c>
      <c r="AH1129" t="inlineStr">
        <is>
          <t>CORPORATIVO</t>
        </is>
      </c>
      <c r="AI1129" t="inlineStr">
        <is>
          <t>GMALDONADO@BANCOBASE.COM</t>
        </is>
      </c>
      <c r="AJ1129" s="151" t="n">
        <v>46128</v>
      </c>
      <c r="AK1129" s="151" t="n"/>
      <c r="AL1129" s="151" t="n"/>
    </row>
    <row r="1130" hidden="1" s="150">
      <c r="A1130" t="inlineStr">
        <is>
          <t>MCARDENASL</t>
        </is>
      </c>
      <c r="B1130" t="n">
        <v>3907</v>
      </c>
      <c r="C1130" t="inlineStr">
        <is>
          <t>MARIA AURORA CARDENAS LONGORIA</t>
        </is>
      </c>
      <c r="D1130" t="n">
        <v>9003</v>
      </c>
      <c r="E1130" t="inlineStr">
        <is>
          <t>ESPECIALISTA DE MERCADOTECNIA DIGITAL</t>
        </is>
      </c>
      <c r="F1130" t="inlineStr">
        <is>
          <t>MONTERREY</t>
        </is>
      </c>
      <c r="G1130" t="n">
        <v>3365</v>
      </c>
      <c r="H1130" t="inlineStr">
        <is>
          <t>JOSE CARLOS VARGAS PALACIOS</t>
        </is>
      </c>
      <c r="I1130" t="n">
        <v>10236</v>
      </c>
      <c r="J1130" t="inlineStr">
        <is>
          <t>GERENTE DE MERCADOTECNIA DIGITAL</t>
        </is>
      </c>
      <c r="K1130" t="n">
        <v>1</v>
      </c>
      <c r="L1130" t="inlineStr">
        <is>
          <t>PRESIDENCIA EJECUTIVA DEL CONSEJO</t>
        </is>
      </c>
      <c r="M1130" t="n">
        <v>40</v>
      </c>
      <c r="N1130" t="inlineStr">
        <is>
          <t>DIRECCION GENERAL BANCO BASE</t>
        </is>
      </c>
      <c r="O1130" t="n">
        <v>410</v>
      </c>
      <c r="P1130" t="inlineStr">
        <is>
          <t>DIRECCION COMERCIAL</t>
        </is>
      </c>
      <c r="Q1130" t="n">
        <v>4390</v>
      </c>
      <c r="R1130" t="inlineStr">
        <is>
          <t>DIRECCION DE MERCADOTECNIA</t>
        </is>
      </c>
      <c r="S1130" t="n">
        <v>43920</v>
      </c>
      <c r="T1130" t="inlineStr">
        <is>
          <t>GERENCIA DE MERCADOTECNIA</t>
        </is>
      </c>
      <c r="U1130" t="n">
        <v>439000</v>
      </c>
      <c r="V1130" t="inlineStr">
        <is>
          <t>DIRECCION DE MERCADOTECNIA</t>
        </is>
      </c>
      <c r="W1130" t="n">
        <v>100101</v>
      </c>
      <c r="X1130" t="inlineStr">
        <is>
          <t>CORPORATIVO</t>
        </is>
      </c>
      <c r="Y1130" t="n">
        <v>4</v>
      </c>
      <c r="Z1130" t="inlineStr">
        <is>
          <t>CORPORATIVO</t>
        </is>
      </c>
      <c r="AA1130" t="n">
        <v>1</v>
      </c>
      <c r="AB1130" t="inlineStr">
        <is>
          <t>NEGOCIO EN MARCHA</t>
        </is>
      </c>
      <c r="AC1130" t="n">
        <v>1</v>
      </c>
      <c r="AD1130" t="inlineStr">
        <is>
          <t>BANCO</t>
        </is>
      </c>
      <c r="AE1130" t="n">
        <v>1</v>
      </c>
      <c r="AF1130" t="inlineStr">
        <is>
          <t>BACK</t>
        </is>
      </c>
      <c r="AG1130" t="n">
        <v>100101</v>
      </c>
      <c r="AH1130" t="inlineStr">
        <is>
          <t>CORPORATIVO</t>
        </is>
      </c>
      <c r="AI1130" t="inlineStr">
        <is>
          <t>MCARDENASL@BANCOBASE.COM</t>
        </is>
      </c>
      <c r="AJ1130" s="151" t="n">
        <v>46189</v>
      </c>
      <c r="AK1130" s="151" t="n"/>
      <c r="AL1130" s="151" t="n"/>
    </row>
    <row r="1131" hidden="1" s="150">
      <c r="A1131" t="inlineStr">
        <is>
          <t>CCARDENAC</t>
        </is>
      </c>
      <c r="B1131" t="n">
        <v>2185</v>
      </c>
      <c r="C1131" t="inlineStr">
        <is>
          <t>CELIA MARIA CARDENAS CAMPOS</t>
        </is>
      </c>
      <c r="D1131" t="n">
        <v>9739</v>
      </c>
      <c r="E1131" t="inlineStr">
        <is>
          <t>GERENTE DE MARCA</t>
        </is>
      </c>
      <c r="F1131" t="inlineStr">
        <is>
          <t>MONTERREY</t>
        </is>
      </c>
      <c r="G1131" t="n">
        <v>2425</v>
      </c>
      <c r="H1131" t="inlineStr">
        <is>
          <t>ALINA ALEXANDRA AGUILAR AGUIRRE</t>
        </is>
      </c>
      <c r="I1131" t="n">
        <v>11</v>
      </c>
      <c r="J1131" t="inlineStr">
        <is>
          <t>DIRECTOR DE MERCADOTECNIA</t>
        </is>
      </c>
      <c r="K1131" t="n">
        <v>1</v>
      </c>
      <c r="L1131" t="inlineStr">
        <is>
          <t>PRESIDENCIA EJECUTIVA DEL CONSEJO</t>
        </is>
      </c>
      <c r="M1131" t="n">
        <v>40</v>
      </c>
      <c r="N1131" t="inlineStr">
        <is>
          <t>DIRECCION GENERAL BANCO BASE</t>
        </is>
      </c>
      <c r="O1131" t="n">
        <v>410</v>
      </c>
      <c r="P1131" t="inlineStr">
        <is>
          <t>DIRECCION COMERCIAL</t>
        </is>
      </c>
      <c r="Q1131" t="n">
        <v>4390</v>
      </c>
      <c r="R1131" t="inlineStr">
        <is>
          <t>DIRECCION DE MERCADOTECNIA</t>
        </is>
      </c>
      <c r="S1131" t="n">
        <v>43920</v>
      </c>
      <c r="T1131" t="inlineStr">
        <is>
          <t>GERENCIA DE MERCADOTECNIA</t>
        </is>
      </c>
      <c r="U1131" t="n">
        <v>439000</v>
      </c>
      <c r="V1131" t="inlineStr">
        <is>
          <t>DIRECCION DE MERCADOTECNIA</t>
        </is>
      </c>
      <c r="W1131" t="n">
        <v>100101</v>
      </c>
      <c r="X1131" t="inlineStr">
        <is>
          <t>CORPORATIVO</t>
        </is>
      </c>
      <c r="Y1131" t="n">
        <v>4</v>
      </c>
      <c r="Z1131" t="inlineStr">
        <is>
          <t>CORPORATIVO</t>
        </is>
      </c>
      <c r="AA1131" t="n">
        <v>1</v>
      </c>
      <c r="AB1131" t="inlineStr">
        <is>
          <t>NEGOCIO EN MARCHA</t>
        </is>
      </c>
      <c r="AC1131" t="n">
        <v>1</v>
      </c>
      <c r="AD1131" t="inlineStr">
        <is>
          <t>BANCO</t>
        </is>
      </c>
      <c r="AE1131" t="n">
        <v>1</v>
      </c>
      <c r="AF1131" t="inlineStr">
        <is>
          <t>BACK</t>
        </is>
      </c>
      <c r="AG1131" t="n">
        <v>100101</v>
      </c>
      <c r="AH1131" t="inlineStr">
        <is>
          <t>CORPORATIVO</t>
        </is>
      </c>
      <c r="AI1131" t="inlineStr">
        <is>
          <t>CCARDENAC@BANCOBASE.COM</t>
        </is>
      </c>
      <c r="AJ1131" s="151" t="n">
        <v>43525</v>
      </c>
      <c r="AK1131" s="151" t="n"/>
      <c r="AL1131" s="151" t="n"/>
    </row>
    <row r="1132" hidden="1" s="150">
      <c r="A1132" t="inlineStr">
        <is>
          <t>GALVAREZM</t>
        </is>
      </c>
      <c r="B1132" t="n">
        <v>3360</v>
      </c>
      <c r="C1132" t="inlineStr">
        <is>
          <t>GIOVANNA MONSERRAT ALVAREZ MARTINEZ</t>
        </is>
      </c>
      <c r="D1132" t="n">
        <v>8560</v>
      </c>
      <c r="E1132" t="inlineStr">
        <is>
          <t>ANALISTA DE CONTENIDO</t>
        </is>
      </c>
      <c r="F1132" t="inlineStr">
        <is>
          <t>MONTERREY</t>
        </is>
      </c>
      <c r="G1132" t="n">
        <v>2185</v>
      </c>
      <c r="H1132" t="inlineStr">
        <is>
          <t>CELIA MARIA CARDENAS CAMPOS</t>
        </is>
      </c>
      <c r="I1132" t="n">
        <v>9739</v>
      </c>
      <c r="J1132" t="inlineStr">
        <is>
          <t>GERENTE DE MARCA</t>
        </is>
      </c>
      <c r="K1132" t="n">
        <v>1</v>
      </c>
      <c r="L1132" t="inlineStr">
        <is>
          <t>PRESIDENCIA EJECUTIVA DEL CONSEJO</t>
        </is>
      </c>
      <c r="M1132" t="n">
        <v>40</v>
      </c>
      <c r="N1132" t="inlineStr">
        <is>
          <t>DIRECCION GENERAL BANCO BASE</t>
        </is>
      </c>
      <c r="O1132" t="n">
        <v>410</v>
      </c>
      <c r="P1132" t="inlineStr">
        <is>
          <t>DIRECCION COMERCIAL</t>
        </is>
      </c>
      <c r="Q1132" t="n">
        <v>4390</v>
      </c>
      <c r="R1132" t="inlineStr">
        <is>
          <t>DIRECCION DE MERCADOTECNIA</t>
        </is>
      </c>
      <c r="S1132" t="n">
        <v>43920</v>
      </c>
      <c r="T1132" t="inlineStr">
        <is>
          <t>GERENCIA DE MERCADOTECNIA</t>
        </is>
      </c>
      <c r="U1132" t="n">
        <v>439000</v>
      </c>
      <c r="V1132" t="inlineStr">
        <is>
          <t>DIRECCION DE MERCADOTECNIA</t>
        </is>
      </c>
      <c r="W1132" t="n">
        <v>100101</v>
      </c>
      <c r="X1132" t="inlineStr">
        <is>
          <t>CORPORATIVO</t>
        </is>
      </c>
      <c r="Y1132" t="n">
        <v>4</v>
      </c>
      <c r="Z1132" t="inlineStr">
        <is>
          <t>CORPORATIVO</t>
        </is>
      </c>
      <c r="AA1132" t="n">
        <v>1</v>
      </c>
      <c r="AB1132" t="inlineStr">
        <is>
          <t>NEGOCIO EN MARCHA</t>
        </is>
      </c>
      <c r="AC1132" t="n">
        <v>1</v>
      </c>
      <c r="AD1132" t="inlineStr">
        <is>
          <t>BANCO</t>
        </is>
      </c>
      <c r="AE1132" t="n">
        <v>1</v>
      </c>
      <c r="AF1132" t="inlineStr">
        <is>
          <t>BACK</t>
        </is>
      </c>
      <c r="AG1132" t="n">
        <v>100101</v>
      </c>
      <c r="AH1132" t="inlineStr">
        <is>
          <t>CORPORATIVO</t>
        </is>
      </c>
      <c r="AI1132" t="inlineStr">
        <is>
          <t>GALVAREZM@BANCOBASE.COM</t>
        </is>
      </c>
      <c r="AJ1132" s="151" t="n">
        <v>45734</v>
      </c>
      <c r="AK1132" s="151" t="n"/>
      <c r="AL1132" s="151" t="n"/>
    </row>
    <row r="1133" hidden="1" s="150">
      <c r="A1133" t="inlineStr">
        <is>
          <t>RBECERRA</t>
        </is>
      </c>
      <c r="B1133" t="n">
        <v>3871</v>
      </c>
      <c r="C1133" t="inlineStr">
        <is>
          <t>ROSA KARELY BECERRA ENRIQUEZ</t>
        </is>
      </c>
      <c r="D1133" t="n">
        <v>9989</v>
      </c>
      <c r="E1133" t="inlineStr">
        <is>
          <t>ESPECIALISTA DE CONTENIDO</t>
        </is>
      </c>
      <c r="F1133" t="inlineStr">
        <is>
          <t>MONTERREY</t>
        </is>
      </c>
      <c r="G1133" t="n">
        <v>2185</v>
      </c>
      <c r="H1133" t="inlineStr">
        <is>
          <t>CELIA MARIA CARDENAS CAMPOS</t>
        </is>
      </c>
      <c r="I1133" t="n">
        <v>9739</v>
      </c>
      <c r="J1133" t="inlineStr">
        <is>
          <t>GERENTE DE MARCA</t>
        </is>
      </c>
      <c r="K1133" t="n">
        <v>1</v>
      </c>
      <c r="L1133" t="inlineStr">
        <is>
          <t>PRESIDENCIA EJECUTIVA DEL CONSEJO</t>
        </is>
      </c>
      <c r="M1133" t="n">
        <v>40</v>
      </c>
      <c r="N1133" t="inlineStr">
        <is>
          <t>DIRECCION GENERAL BANCO BASE</t>
        </is>
      </c>
      <c r="O1133" t="n">
        <v>410</v>
      </c>
      <c r="P1133" t="inlineStr">
        <is>
          <t>DIRECCION COMERCIAL</t>
        </is>
      </c>
      <c r="Q1133" t="n">
        <v>4390</v>
      </c>
      <c r="R1133" t="inlineStr">
        <is>
          <t>DIRECCION DE MERCADOTECNIA</t>
        </is>
      </c>
      <c r="S1133" t="n">
        <v>43920</v>
      </c>
      <c r="T1133" t="inlineStr">
        <is>
          <t>GERENCIA DE MERCADOTECNIA</t>
        </is>
      </c>
      <c r="U1133" t="n">
        <v>439000</v>
      </c>
      <c r="V1133" t="inlineStr">
        <is>
          <t>DIRECCION DE MERCADOTECNIA</t>
        </is>
      </c>
      <c r="W1133" t="n">
        <v>100101</v>
      </c>
      <c r="X1133" t="inlineStr">
        <is>
          <t>CORPORATIVO</t>
        </is>
      </c>
      <c r="Y1133" t="n">
        <v>4</v>
      </c>
      <c r="Z1133" t="inlineStr">
        <is>
          <t>CORPORATIVO</t>
        </is>
      </c>
      <c r="AA1133" t="n">
        <v>1</v>
      </c>
      <c r="AB1133" t="inlineStr">
        <is>
          <t>NEGOCIO EN MARCHA</t>
        </is>
      </c>
      <c r="AC1133" t="n">
        <v>1</v>
      </c>
      <c r="AD1133" t="inlineStr">
        <is>
          <t>BANCO</t>
        </is>
      </c>
      <c r="AE1133" t="n">
        <v>1</v>
      </c>
      <c r="AF1133" t="inlineStr">
        <is>
          <t>BACK</t>
        </is>
      </c>
      <c r="AG1133" t="n">
        <v>100101</v>
      </c>
      <c r="AH1133" t="inlineStr">
        <is>
          <t>CORPORATIVO</t>
        </is>
      </c>
      <c r="AI1133" t="inlineStr">
        <is>
          <t>RBECERRA@BANCOBASE.COM</t>
        </is>
      </c>
      <c r="AJ1133" s="151" t="n">
        <v>46160</v>
      </c>
      <c r="AK1133" s="151" t="n"/>
      <c r="AL1133" s="151" t="n"/>
    </row>
    <row r="1134" hidden="1" s="150">
      <c r="A1134" t="inlineStr">
        <is>
          <t>JGARCIAPU</t>
        </is>
      </c>
      <c r="B1134" t="n">
        <v>3898</v>
      </c>
      <c r="C1134" t="inlineStr">
        <is>
          <t>JULIO CESAR GARCIA PUENTE</t>
        </is>
      </c>
      <c r="D1134" t="n">
        <v>8756</v>
      </c>
      <c r="E1134" t="inlineStr">
        <is>
          <t>ESPECIALISTA DE CONTENIDO</t>
        </is>
      </c>
      <c r="F1134" t="inlineStr">
        <is>
          <t>MONTERREY</t>
        </is>
      </c>
      <c r="G1134" t="n">
        <v>2185</v>
      </c>
      <c r="H1134" t="inlineStr">
        <is>
          <t>CELIA MARIA CARDENAS CAMPOS</t>
        </is>
      </c>
      <c r="I1134" t="n">
        <v>9739</v>
      </c>
      <c r="J1134" t="inlineStr">
        <is>
          <t>GERENTE DE MARCA</t>
        </is>
      </c>
      <c r="K1134" t="n">
        <v>1</v>
      </c>
      <c r="L1134" t="inlineStr">
        <is>
          <t>PRESIDENCIA EJECUTIVA DEL CONSEJO</t>
        </is>
      </c>
      <c r="M1134" t="n">
        <v>40</v>
      </c>
      <c r="N1134" t="inlineStr">
        <is>
          <t>DIRECCION GENERAL BANCO BASE</t>
        </is>
      </c>
      <c r="O1134" t="n">
        <v>410</v>
      </c>
      <c r="P1134" t="inlineStr">
        <is>
          <t>DIRECCION COMERCIAL</t>
        </is>
      </c>
      <c r="Q1134" t="n">
        <v>4390</v>
      </c>
      <c r="R1134" t="inlineStr">
        <is>
          <t>DIRECCION DE MERCADOTECNIA</t>
        </is>
      </c>
      <c r="S1134" t="n">
        <v>43920</v>
      </c>
      <c r="T1134" t="inlineStr">
        <is>
          <t>GERENCIA DE MERCADOTECNIA</t>
        </is>
      </c>
      <c r="U1134" t="n">
        <v>439000</v>
      </c>
      <c r="V1134" t="inlineStr">
        <is>
          <t>DIRECCION DE MERCADOTECNIA</t>
        </is>
      </c>
      <c r="W1134" t="n">
        <v>100101</v>
      </c>
      <c r="X1134" t="inlineStr">
        <is>
          <t>CORPORATIVO</t>
        </is>
      </c>
      <c r="Y1134" t="n">
        <v>4</v>
      </c>
      <c r="Z1134" t="inlineStr">
        <is>
          <t>CORPORATIVO</t>
        </is>
      </c>
      <c r="AA1134" t="n">
        <v>1</v>
      </c>
      <c r="AB1134" t="inlineStr">
        <is>
          <t>NEGOCIO EN MARCHA</t>
        </is>
      </c>
      <c r="AC1134" t="n">
        <v>1</v>
      </c>
      <c r="AD1134" t="inlineStr">
        <is>
          <t>BANCO</t>
        </is>
      </c>
      <c r="AE1134" t="n">
        <v>1</v>
      </c>
      <c r="AF1134" t="inlineStr">
        <is>
          <t>BACK</t>
        </is>
      </c>
      <c r="AG1134" t="n">
        <v>126102</v>
      </c>
      <c r="AH1134" t="inlineStr">
        <is>
          <t>MONTERREY</t>
        </is>
      </c>
      <c r="AI1134" t="inlineStr">
        <is>
          <t>JGARCIAPU@BANCOBASE.COM</t>
        </is>
      </c>
      <c r="AJ1134" s="151" t="n">
        <v>46174</v>
      </c>
      <c r="AK1134" s="151" t="n"/>
      <c r="AL1134" s="151" t="n"/>
    </row>
    <row r="1135" hidden="1" s="150">
      <c r="A1135" t="inlineStr">
        <is>
          <t>ERIOJAS</t>
        </is>
      </c>
      <c r="B1135" t="n">
        <v>1105</v>
      </c>
      <c r="C1135" t="inlineStr">
        <is>
          <t>EDUARDO RIOJAS RULLAN</t>
        </is>
      </c>
      <c r="D1135" t="n">
        <v>9919</v>
      </c>
      <c r="E1135" t="inlineStr">
        <is>
          <t>DIRECTOR DE MERCADOS FINANCIEROS Y BURSATIL</t>
        </is>
      </c>
      <c r="F1135" t="inlineStr">
        <is>
          <t>MONTERREY</t>
        </is>
      </c>
      <c r="G1135" t="n">
        <v>386</v>
      </c>
      <c r="H1135" t="inlineStr">
        <is>
          <t>JULIO RICARDO ESCANDON JIMENEZ</t>
        </is>
      </c>
      <c r="I1135" t="n">
        <v>10324</v>
      </c>
      <c r="J1135" t="inlineStr">
        <is>
          <t>DIRECTOR GENERAL</t>
        </is>
      </c>
      <c r="K1135" t="n">
        <v>1</v>
      </c>
      <c r="L1135" t="inlineStr">
        <is>
          <t>PRESIDENCIA EJECUTIVA DEL CONSEJO</t>
        </is>
      </c>
      <c r="M1135" t="n">
        <v>40</v>
      </c>
      <c r="N1135" t="inlineStr">
        <is>
          <t>DIRECCION GENERAL BANCO BASE</t>
        </is>
      </c>
      <c r="O1135" t="n">
        <v>480</v>
      </c>
      <c r="P1135" t="inlineStr">
        <is>
          <t>DIRECCION DE MERCADOS FINANCIEROS Y BURSATIL</t>
        </is>
      </c>
      <c r="Q1135" t="n">
        <v>4800</v>
      </c>
      <c r="R1135" t="inlineStr">
        <is>
          <t>DIRECCION DE MERCADOS FINANCIEROS Y BURSATIL</t>
        </is>
      </c>
      <c r="S1135" t="n">
        <v>48000</v>
      </c>
      <c r="T1135" t="inlineStr">
        <is>
          <t>DIRECCION DE MERCADOS FINANCIEROS Y BURSATIL</t>
        </is>
      </c>
      <c r="U1135" t="n">
        <v>480000</v>
      </c>
      <c r="V1135" t="inlineStr">
        <is>
          <t>DIRECCION DE MERCADOS FINANCIEROS Y BURSATIL</t>
        </is>
      </c>
      <c r="W1135" t="n">
        <v>100101</v>
      </c>
      <c r="X1135" t="inlineStr">
        <is>
          <t>CORPORATIVO</t>
        </is>
      </c>
      <c r="Y1135" t="n">
        <v>8</v>
      </c>
      <c r="Z1135" t="inlineStr">
        <is>
          <t>BURSATIL</t>
        </is>
      </c>
      <c r="AA1135" t="n">
        <v>1</v>
      </c>
      <c r="AB1135" t="inlineStr">
        <is>
          <t>NEGOCIO EN MARCHA</t>
        </is>
      </c>
      <c r="AC1135" t="n">
        <v>1</v>
      </c>
      <c r="AD1135" t="inlineStr">
        <is>
          <t>BANCO</t>
        </is>
      </c>
      <c r="AE1135" t="n">
        <v>1</v>
      </c>
      <c r="AF1135" t="inlineStr">
        <is>
          <t>BACK</t>
        </is>
      </c>
      <c r="AG1135" t="n">
        <v>100101</v>
      </c>
      <c r="AH1135" t="inlineStr">
        <is>
          <t>CORPORATIVO</t>
        </is>
      </c>
      <c r="AI1135" t="inlineStr">
        <is>
          <t>ERIOJAS@BANCOBASE.COM</t>
        </is>
      </c>
      <c r="AJ1135" s="151" t="n">
        <v>41320</v>
      </c>
      <c r="AK1135" s="151" t="n"/>
      <c r="AL1135" s="151" t="n"/>
    </row>
    <row r="1136" hidden="1" s="150">
      <c r="A1136" t="inlineStr">
        <is>
          <t>CDELIMA</t>
        </is>
      </c>
      <c r="B1136" t="n">
        <v>1026</v>
      </c>
      <c r="C1136" t="inlineStr">
        <is>
          <t>CHRISTIAN EDUARD DE LIMA VERDE AYMES</t>
        </is>
      </c>
      <c r="D1136" t="n">
        <v>10002</v>
      </c>
      <c r="E1136" t="inlineStr">
        <is>
          <t>DIRECTOR OPERACIONES NEGOCIO BURSATIL</t>
        </is>
      </c>
      <c r="F1136" t="inlineStr">
        <is>
          <t>MONTERREY</t>
        </is>
      </c>
      <c r="G1136" t="n">
        <v>1105</v>
      </c>
      <c r="H1136" t="inlineStr">
        <is>
          <t>EDUARDO RIOJAS RULLAN</t>
        </is>
      </c>
      <c r="I1136" t="n">
        <v>9919</v>
      </c>
      <c r="J1136" t="inlineStr">
        <is>
          <t>DIRECTOR DE MERCADOS FINANCIEROS Y BURSATIL</t>
        </is>
      </c>
      <c r="K1136" t="n">
        <v>1</v>
      </c>
      <c r="L1136" t="inlineStr">
        <is>
          <t>PRESIDENCIA EJECUTIVA DEL CONSEJO</t>
        </is>
      </c>
      <c r="M1136" t="n">
        <v>40</v>
      </c>
      <c r="N1136" t="inlineStr">
        <is>
          <t>DIRECCION GENERAL BANCO BASE</t>
        </is>
      </c>
      <c r="O1136" t="n">
        <v>480</v>
      </c>
      <c r="P1136" t="inlineStr">
        <is>
          <t>DIRECCION DE MERCADOS FINANCIEROS Y BURSATIL</t>
        </is>
      </c>
      <c r="Q1136" t="n">
        <v>4830</v>
      </c>
      <c r="R1136" t="inlineStr">
        <is>
          <t>DIRECCION OPERACIONES CASA DE BOLSA</t>
        </is>
      </c>
      <c r="S1136" t="n">
        <v>48300</v>
      </c>
      <c r="T1136" t="inlineStr">
        <is>
          <t>DIRECCION OPERACIONES CASA DE BOLSA</t>
        </is>
      </c>
      <c r="U1136" t="n">
        <v>483000</v>
      </c>
      <c r="V1136" t="inlineStr">
        <is>
          <t>DIRECCION OPERACIONES CASA DE BOLSA</t>
        </is>
      </c>
      <c r="W1136" t="n">
        <v>126102</v>
      </c>
      <c r="X1136" t="inlineStr">
        <is>
          <t>VALLE ORIENTE</t>
        </is>
      </c>
      <c r="Y1136" t="n">
        <v>8</v>
      </c>
      <c r="Z1136" t="inlineStr">
        <is>
          <t>BURSATIL</t>
        </is>
      </c>
      <c r="AA1136" t="n">
        <v>1</v>
      </c>
      <c r="AB1136" t="inlineStr">
        <is>
          <t>NEGOCIO EN MARCHA</t>
        </is>
      </c>
      <c r="AC1136" t="n">
        <v>1</v>
      </c>
      <c r="AD1136" t="inlineStr">
        <is>
          <t>BANCO</t>
        </is>
      </c>
      <c r="AE1136" t="n">
        <v>1</v>
      </c>
      <c r="AF1136" t="inlineStr">
        <is>
          <t>BACK</t>
        </is>
      </c>
      <c r="AG1136" t="n">
        <v>100101</v>
      </c>
      <c r="AH1136" t="inlineStr">
        <is>
          <t>CORPORATIVO</t>
        </is>
      </c>
      <c r="AI1136" t="inlineStr">
        <is>
          <t>CDELIMA@CASADEBOLSABASE.COM</t>
        </is>
      </c>
      <c r="AJ1136" s="151" t="n">
        <v>41396</v>
      </c>
      <c r="AK1136" s="151" t="n"/>
      <c r="AL1136" s="151" t="n"/>
    </row>
    <row r="1137" hidden="1" s="150">
      <c r="A1137" t="inlineStr">
        <is>
          <t>RMARTINEZ</t>
        </is>
      </c>
      <c r="B1137" t="n">
        <v>863</v>
      </c>
      <c r="C1137" t="inlineStr">
        <is>
          <t>RICARDO MARTINEZ DEL ANGEL</t>
        </is>
      </c>
      <c r="D1137" t="n">
        <v>9955</v>
      </c>
      <c r="E1137" t="inlineStr">
        <is>
          <t>GERENTE DE VENTAS INSTITUCIONAL</t>
        </is>
      </c>
      <c r="F1137" t="inlineStr">
        <is>
          <t>MEXICO</t>
        </is>
      </c>
      <c r="G1137" t="n">
        <v>1026</v>
      </c>
      <c r="H1137" t="inlineStr">
        <is>
          <t>CHRISTIAN EDUARD DE LIMA VERDE AYMES</t>
        </is>
      </c>
      <c r="I1137" t="n">
        <v>10002</v>
      </c>
      <c r="J1137" t="inlineStr">
        <is>
          <t>DIRECTOR OPERACIONES NEGOCIO BURSATIL</t>
        </is>
      </c>
      <c r="K1137" t="n">
        <v>1</v>
      </c>
      <c r="L1137" t="inlineStr">
        <is>
          <t>PRESIDENCIA EJECUTIVA DEL CONSEJO</t>
        </is>
      </c>
      <c r="M1137" t="n">
        <v>40</v>
      </c>
      <c r="N1137" t="inlineStr">
        <is>
          <t>DIRECCION GENERAL BANCO BASE</t>
        </is>
      </c>
      <c r="O1137" t="n">
        <v>480</v>
      </c>
      <c r="P1137" t="inlineStr">
        <is>
          <t>DIRECCION DE MERCADOS FINANCIEROS Y BURSATIL</t>
        </is>
      </c>
      <c r="Q1137" t="n">
        <v>4830</v>
      </c>
      <c r="R1137" t="inlineStr">
        <is>
          <t>DIRECCION OPERACIONES CASA DE BOLSA</t>
        </is>
      </c>
      <c r="S1137" t="n">
        <v>48300</v>
      </c>
      <c r="T1137" t="inlineStr">
        <is>
          <t>DIRECCION OPERACIONES CASA DE BOLSA</t>
        </is>
      </c>
      <c r="U1137" t="n">
        <v>483000</v>
      </c>
      <c r="V1137" t="inlineStr">
        <is>
          <t>DIRECCION OPERACIONES CASA DE BOLSA</t>
        </is>
      </c>
      <c r="W1137" t="n">
        <v>134111</v>
      </c>
      <c r="X1137" t="inlineStr">
        <is>
          <t>LOMAS</t>
        </is>
      </c>
      <c r="Y1137" t="n">
        <v>8</v>
      </c>
      <c r="Z1137" t="inlineStr">
        <is>
          <t>BURSATIL</t>
        </is>
      </c>
      <c r="AA1137" t="n">
        <v>1</v>
      </c>
      <c r="AB1137" t="inlineStr">
        <is>
          <t>NEGOCIO EN MARCHA</t>
        </is>
      </c>
      <c r="AC1137" t="n">
        <v>1</v>
      </c>
      <c r="AD1137" t="inlineStr">
        <is>
          <t>BANCO</t>
        </is>
      </c>
      <c r="AE1137" t="n">
        <v>3</v>
      </c>
      <c r="AF1137" t="inlineStr">
        <is>
          <t>FRONT</t>
        </is>
      </c>
      <c r="AG1137" t="n">
        <v>134111</v>
      </c>
      <c r="AH1137" t="inlineStr">
        <is>
          <t>LOMAS</t>
        </is>
      </c>
      <c r="AI1137" t="inlineStr">
        <is>
          <t>RMARTINEZ@BANCOBASE.COM</t>
        </is>
      </c>
      <c r="AJ1137" s="151" t="n">
        <v>40988</v>
      </c>
      <c r="AK1137" s="151" t="n"/>
      <c r="AL1137" s="151" t="n"/>
    </row>
    <row r="1138" hidden="1" s="150">
      <c r="A1138" t="inlineStr">
        <is>
          <t>JBRIONES</t>
        </is>
      </c>
      <c r="B1138" t="n">
        <v>3143</v>
      </c>
      <c r="C1138" t="inlineStr">
        <is>
          <t>LUIS JORGE BRIONES RAMIREZ</t>
        </is>
      </c>
      <c r="D1138" t="n">
        <v>9973</v>
      </c>
      <c r="E1138" t="inlineStr">
        <is>
          <t>PROMOTOR VENTAS INSTITUCIONAL</t>
        </is>
      </c>
      <c r="F1138" t="inlineStr">
        <is>
          <t>MEXICO</t>
        </is>
      </c>
      <c r="G1138" t="n">
        <v>863</v>
      </c>
      <c r="H1138" t="inlineStr">
        <is>
          <t>RICARDO MARTINEZ DEL ANGEL</t>
        </is>
      </c>
      <c r="I1138" t="n">
        <v>9955</v>
      </c>
      <c r="J1138" t="inlineStr">
        <is>
          <t>GERENTE DE VENTAS INSTITUCIONAL</t>
        </is>
      </c>
      <c r="K1138" t="n">
        <v>1</v>
      </c>
      <c r="L1138" t="inlineStr">
        <is>
          <t>PRESIDENCIA EJECUTIVA DEL CONSEJO</t>
        </is>
      </c>
      <c r="M1138" t="n">
        <v>40</v>
      </c>
      <c r="N1138" t="inlineStr">
        <is>
          <t>DIRECCION GENERAL BANCO BASE</t>
        </is>
      </c>
      <c r="O1138" t="n">
        <v>480</v>
      </c>
      <c r="P1138" t="inlineStr">
        <is>
          <t>DIRECCION DE MERCADOS FINANCIEROS Y BURSATIL</t>
        </is>
      </c>
      <c r="Q1138" t="n">
        <v>4830</v>
      </c>
      <c r="R1138" t="inlineStr">
        <is>
          <t>DIRECCION OPERACIONES CASA DE BOLSA</t>
        </is>
      </c>
      <c r="S1138" t="n">
        <v>48300</v>
      </c>
      <c r="T1138" t="inlineStr">
        <is>
          <t>DIRECCION OPERACIONES CASA DE BOLSA</t>
        </is>
      </c>
      <c r="U1138" t="n">
        <v>483000</v>
      </c>
      <c r="V1138" t="inlineStr">
        <is>
          <t>DIRECCION OPERACIONES CASA DE BOLSA</t>
        </is>
      </c>
      <c r="W1138" t="n">
        <v>134111</v>
      </c>
      <c r="X1138" t="inlineStr">
        <is>
          <t>LOMAS</t>
        </is>
      </c>
      <c r="Y1138" t="n">
        <v>8</v>
      </c>
      <c r="Z1138" t="inlineStr">
        <is>
          <t>BURSATIL</t>
        </is>
      </c>
      <c r="AA1138" t="n">
        <v>1</v>
      </c>
      <c r="AB1138" t="inlineStr">
        <is>
          <t>NEGOCIO EN MARCHA</t>
        </is>
      </c>
      <c r="AC1138" t="n">
        <v>1</v>
      </c>
      <c r="AD1138" t="inlineStr">
        <is>
          <t>BANCO</t>
        </is>
      </c>
      <c r="AE1138" t="n">
        <v>3</v>
      </c>
      <c r="AF1138" t="inlineStr">
        <is>
          <t>FRONT</t>
        </is>
      </c>
      <c r="AG1138" t="n">
        <v>134111</v>
      </c>
      <c r="AH1138" t="inlineStr">
        <is>
          <t>LOMAS</t>
        </is>
      </c>
      <c r="AI1138" t="inlineStr">
        <is>
          <t>JBRIONES@BANCOBASE.COM</t>
        </is>
      </c>
      <c r="AJ1138" s="151" t="n">
        <v>45460</v>
      </c>
      <c r="AK1138" s="151" t="n"/>
      <c r="AL1138" s="151" t="n"/>
    </row>
    <row r="1139" hidden="1" s="150">
      <c r="A1139" t="inlineStr">
        <is>
          <t>ALUCIO</t>
        </is>
      </c>
      <c r="B1139" t="n">
        <v>2917</v>
      </c>
      <c r="C1139" t="inlineStr">
        <is>
          <t>ANGELA JANICE LUCIO MORALES</t>
        </is>
      </c>
      <c r="D1139" t="n">
        <v>10082</v>
      </c>
      <c r="E1139" t="inlineStr">
        <is>
          <t>ESPECIALISTA DE VENTAS INSTITUCIONAL</t>
        </is>
      </c>
      <c r="F1139" t="inlineStr">
        <is>
          <t>MEXICO</t>
        </is>
      </c>
      <c r="G1139" t="n">
        <v>863</v>
      </c>
      <c r="H1139" t="inlineStr">
        <is>
          <t>RICARDO MARTINEZ DEL ANGEL</t>
        </is>
      </c>
      <c r="I1139" t="n">
        <v>9955</v>
      </c>
      <c r="J1139" t="inlineStr">
        <is>
          <t>GERENTE DE VENTAS INSTITUCIONAL</t>
        </is>
      </c>
      <c r="K1139" t="n">
        <v>1</v>
      </c>
      <c r="L1139" t="inlineStr">
        <is>
          <t>PRESIDENCIA EJECUTIVA DEL CONSEJO</t>
        </is>
      </c>
      <c r="M1139" t="n">
        <v>40</v>
      </c>
      <c r="N1139" t="inlineStr">
        <is>
          <t>DIRECCION GENERAL BANCO BASE</t>
        </is>
      </c>
      <c r="O1139" t="n">
        <v>480</v>
      </c>
      <c r="P1139" t="inlineStr">
        <is>
          <t>DIRECCION DE MERCADOS FINANCIEROS Y BURSATIL</t>
        </is>
      </c>
      <c r="Q1139" t="n">
        <v>4830</v>
      </c>
      <c r="R1139" t="inlineStr">
        <is>
          <t>DIRECCION OPERACIONES CASA DE BOLSA</t>
        </is>
      </c>
      <c r="S1139" t="n">
        <v>48300</v>
      </c>
      <c r="T1139" t="inlineStr">
        <is>
          <t>DIRECCION OPERACIONES CASA DE BOLSA</t>
        </is>
      </c>
      <c r="U1139" t="n">
        <v>483000</v>
      </c>
      <c r="V1139" t="inlineStr">
        <is>
          <t>DIRECCION OPERACIONES CASA DE BOLSA</t>
        </is>
      </c>
      <c r="W1139" t="n">
        <v>134111</v>
      </c>
      <c r="X1139" t="inlineStr">
        <is>
          <t>LOMAS</t>
        </is>
      </c>
      <c r="Y1139" t="n">
        <v>8</v>
      </c>
      <c r="Z1139" t="inlineStr">
        <is>
          <t>BURSATIL</t>
        </is>
      </c>
      <c r="AA1139" t="n">
        <v>1</v>
      </c>
      <c r="AB1139" t="inlineStr">
        <is>
          <t>NEGOCIO EN MARCHA</t>
        </is>
      </c>
      <c r="AC1139" t="n">
        <v>2</v>
      </c>
      <c r="AD1139" t="inlineStr">
        <is>
          <t>CASA DE BOLSA</t>
        </is>
      </c>
      <c r="AE1139" t="n">
        <v>2</v>
      </c>
      <c r="AF1139" t="inlineStr">
        <is>
          <t>MIDDLE</t>
        </is>
      </c>
      <c r="AG1139" t="n">
        <v>134111</v>
      </c>
      <c r="AH1139" t="inlineStr">
        <is>
          <t>LOMAS</t>
        </is>
      </c>
      <c r="AI1139" t="inlineStr">
        <is>
          <t>ALUCIO@BANCOBASE.COM</t>
        </is>
      </c>
      <c r="AJ1139" s="151" t="n">
        <v>45130</v>
      </c>
      <c r="AK1139" s="151" t="n"/>
      <c r="AL1139" s="151" t="n"/>
    </row>
    <row r="1140" hidden="1" s="150">
      <c r="A1140" t="inlineStr">
        <is>
          <t>GPEREZM</t>
        </is>
      </c>
      <c r="B1140" t="n">
        <v>1725</v>
      </c>
      <c r="C1140" t="inlineStr">
        <is>
          <t>GRISEL MARGARITA PEREZ MALDONADO</t>
        </is>
      </c>
      <c r="D1140" t="n">
        <v>8928</v>
      </c>
      <c r="E1140" t="inlineStr">
        <is>
          <t>ESPECIALISTA DE VENTAS INSTITUCIONAL</t>
        </is>
      </c>
      <c r="F1140" t="inlineStr">
        <is>
          <t>MEXICO</t>
        </is>
      </c>
      <c r="G1140" t="n">
        <v>863</v>
      </c>
      <c r="H1140" t="inlineStr">
        <is>
          <t>RICARDO MARTINEZ DEL ANGEL</t>
        </is>
      </c>
      <c r="I1140" t="n">
        <v>9955</v>
      </c>
      <c r="J1140" t="inlineStr">
        <is>
          <t>GERENTE DE VENTAS INSTITUCIONAL</t>
        </is>
      </c>
      <c r="K1140" t="n">
        <v>1</v>
      </c>
      <c r="L1140" t="inlineStr">
        <is>
          <t>PRESIDENCIA EJECUTIVA DEL CONSEJO</t>
        </is>
      </c>
      <c r="M1140" t="n">
        <v>40</v>
      </c>
      <c r="N1140" t="inlineStr">
        <is>
          <t>DIRECCION GENERAL BANCO BASE</t>
        </is>
      </c>
      <c r="O1140" t="n">
        <v>480</v>
      </c>
      <c r="P1140" t="inlineStr">
        <is>
          <t>DIRECCION DE MERCADOS FINANCIEROS Y BURSATIL</t>
        </is>
      </c>
      <c r="Q1140" t="n">
        <v>4830</v>
      </c>
      <c r="R1140" t="inlineStr">
        <is>
          <t>DIRECCION OPERACIONES CASA DE BOLSA</t>
        </is>
      </c>
      <c r="S1140" t="n">
        <v>48300</v>
      </c>
      <c r="T1140" t="inlineStr">
        <is>
          <t>DIRECCION OPERACIONES CASA DE BOLSA</t>
        </is>
      </c>
      <c r="U1140" t="n">
        <v>483000</v>
      </c>
      <c r="V1140" t="inlineStr">
        <is>
          <t>DIRECCION OPERACIONES CASA DE BOLSA</t>
        </is>
      </c>
      <c r="W1140" t="n">
        <v>134111</v>
      </c>
      <c r="X1140" t="inlineStr">
        <is>
          <t>LOMAS</t>
        </is>
      </c>
      <c r="Y1140" t="n">
        <v>8</v>
      </c>
      <c r="Z1140" t="inlineStr">
        <is>
          <t>BURSATIL</t>
        </is>
      </c>
      <c r="AA1140" t="n">
        <v>1</v>
      </c>
      <c r="AB1140" t="inlineStr">
        <is>
          <t>NEGOCIO EN MARCHA</t>
        </is>
      </c>
      <c r="AC1140" t="n">
        <v>2</v>
      </c>
      <c r="AD1140" t="inlineStr">
        <is>
          <t>CASA DE BOLSA</t>
        </is>
      </c>
      <c r="AE1140" t="n">
        <v>3</v>
      </c>
      <c r="AF1140" t="inlineStr">
        <is>
          <t>FRONT</t>
        </is>
      </c>
      <c r="AG1140" t="n">
        <v>134111</v>
      </c>
      <c r="AH1140" t="inlineStr">
        <is>
          <t>LOMAS</t>
        </is>
      </c>
      <c r="AI1140" t="inlineStr">
        <is>
          <t>GPEREZM@BANCOBASE.COM</t>
        </is>
      </c>
      <c r="AJ1140" s="151" t="n">
        <v>46023</v>
      </c>
      <c r="AK1140" s="151" t="n"/>
      <c r="AL1140" s="151" t="n"/>
    </row>
    <row r="1141" hidden="1" s="150">
      <c r="A1141" t="inlineStr">
        <is>
          <t>JCARRENO</t>
        </is>
      </c>
      <c r="B1141" t="n">
        <v>497</v>
      </c>
      <c r="C1141" t="inlineStr">
        <is>
          <t>JOSE FRANCISCO CARREÑO MENDIVIL</t>
        </is>
      </c>
      <c r="D1141" t="n">
        <v>9921</v>
      </c>
      <c r="E1141" t="inlineStr">
        <is>
          <t>OPERADOR MESA DE DINERO</t>
        </is>
      </c>
      <c r="F1141" t="inlineStr">
        <is>
          <t>MONTERREY</t>
        </is>
      </c>
      <c r="G1141" t="n">
        <v>1026</v>
      </c>
      <c r="H1141" t="inlineStr">
        <is>
          <t>CHRISTIAN EDUARD DE LIMA VERDE AYMES</t>
        </is>
      </c>
      <c r="I1141" t="n">
        <v>10002</v>
      </c>
      <c r="J1141" t="inlineStr">
        <is>
          <t>DIRECTOR OPERACIONES NEGOCIO BURSATIL</t>
        </is>
      </c>
      <c r="K1141" t="n">
        <v>1</v>
      </c>
      <c r="L1141" t="inlineStr">
        <is>
          <t>PRESIDENCIA EJECUTIVA DEL CONSEJO</t>
        </is>
      </c>
      <c r="M1141" t="n">
        <v>40</v>
      </c>
      <c r="N1141" t="inlineStr">
        <is>
          <t>DIRECCION GENERAL BANCO BASE</t>
        </is>
      </c>
      <c r="O1141" t="n">
        <v>480</v>
      </c>
      <c r="P1141" t="inlineStr">
        <is>
          <t>DIRECCION DE MERCADOS FINANCIEROS Y BURSATIL</t>
        </is>
      </c>
      <c r="Q1141" t="n">
        <v>4830</v>
      </c>
      <c r="R1141" t="inlineStr">
        <is>
          <t>DIRECCION OPERACIONES CASA DE BOLSA</t>
        </is>
      </c>
      <c r="S1141" t="n">
        <v>48320</v>
      </c>
      <c r="T1141" t="inlineStr">
        <is>
          <t>MESA DE DINERO</t>
        </is>
      </c>
      <c r="U1141" t="n">
        <v>483200</v>
      </c>
      <c r="V1141" t="inlineStr">
        <is>
          <t>MESA DE DINERO</t>
        </is>
      </c>
      <c r="W1141" t="n">
        <v>100101</v>
      </c>
      <c r="X1141" t="inlineStr">
        <is>
          <t>CORPORATIVO</t>
        </is>
      </c>
      <c r="Y1141" t="n">
        <v>8</v>
      </c>
      <c r="Z1141" t="inlineStr">
        <is>
          <t>BURSATIL</t>
        </is>
      </c>
      <c r="AA1141" t="n">
        <v>1</v>
      </c>
      <c r="AB1141" t="inlineStr">
        <is>
          <t>NEGOCIO EN MARCHA</t>
        </is>
      </c>
      <c r="AC1141" t="n">
        <v>1</v>
      </c>
      <c r="AD1141" t="inlineStr">
        <is>
          <t>BANCO</t>
        </is>
      </c>
      <c r="AE1141" t="n">
        <v>2</v>
      </c>
      <c r="AF1141" t="inlineStr">
        <is>
          <t>MIDDLE</t>
        </is>
      </c>
      <c r="AG1141" t="n">
        <v>100101</v>
      </c>
      <c r="AH1141" t="inlineStr">
        <is>
          <t>CORPORATIVO</t>
        </is>
      </c>
      <c r="AI1141" t="inlineStr">
        <is>
          <t>JCARRENO@BANCOBASE.COM</t>
        </is>
      </c>
      <c r="AJ1141" s="151" t="n">
        <v>40316</v>
      </c>
      <c r="AK1141" s="151" t="n"/>
      <c r="AL1141" s="151" t="n"/>
    </row>
    <row r="1142" hidden="1" s="150">
      <c r="A1142" t="inlineStr">
        <is>
          <t>MVELA</t>
        </is>
      </c>
      <c r="B1142" t="n">
        <v>1664</v>
      </c>
      <c r="C1142" t="inlineStr">
        <is>
          <t>MONICA VELA GALVAN</t>
        </is>
      </c>
      <c r="D1142" t="n">
        <v>8380</v>
      </c>
      <c r="E1142" t="inlineStr">
        <is>
          <t>ESPECIALISTA MESA DE DINERO</t>
        </is>
      </c>
      <c r="F1142" t="inlineStr">
        <is>
          <t>MONTERREY</t>
        </is>
      </c>
      <c r="G1142" t="n">
        <v>1026</v>
      </c>
      <c r="H1142" t="inlineStr">
        <is>
          <t>CHRISTIAN EDUARD DE LIMA VERDE AYMES</t>
        </is>
      </c>
      <c r="I1142" t="n">
        <v>10002</v>
      </c>
      <c r="J1142" t="inlineStr">
        <is>
          <t>DIRECTOR OPERACIONES NEGOCIO BURSATIL</t>
        </is>
      </c>
      <c r="K1142" t="n">
        <v>1</v>
      </c>
      <c r="L1142" t="inlineStr">
        <is>
          <t>PRESIDENCIA EJECUTIVA DEL CONSEJO</t>
        </is>
      </c>
      <c r="M1142" t="n">
        <v>40</v>
      </c>
      <c r="N1142" t="inlineStr">
        <is>
          <t>DIRECCION GENERAL BANCO BASE</t>
        </is>
      </c>
      <c r="O1142" t="n">
        <v>480</v>
      </c>
      <c r="P1142" t="inlineStr">
        <is>
          <t>DIRECCION DE MERCADOS FINANCIEROS Y BURSATIL</t>
        </is>
      </c>
      <c r="Q1142" t="n">
        <v>4830</v>
      </c>
      <c r="R1142" t="inlineStr">
        <is>
          <t>DIRECCION OPERACIONES CASA DE BOLSA</t>
        </is>
      </c>
      <c r="S1142" t="n">
        <v>48320</v>
      </c>
      <c r="T1142" t="inlineStr">
        <is>
          <t>MESA DE DINERO</t>
        </is>
      </c>
      <c r="U1142" t="n">
        <v>483200</v>
      </c>
      <c r="V1142" t="inlineStr">
        <is>
          <t>MESA DE DINERO</t>
        </is>
      </c>
      <c r="W1142" t="n">
        <v>100101</v>
      </c>
      <c r="X1142" t="inlineStr">
        <is>
          <t>CORPORATIVO</t>
        </is>
      </c>
      <c r="Y1142" t="n">
        <v>8</v>
      </c>
      <c r="Z1142" t="inlineStr">
        <is>
          <t>BURSATIL</t>
        </is>
      </c>
      <c r="AA1142" t="n">
        <v>1</v>
      </c>
      <c r="AB1142" t="inlineStr">
        <is>
          <t>NEGOCIO EN MARCHA</t>
        </is>
      </c>
      <c r="AC1142" t="n">
        <v>1</v>
      </c>
      <c r="AD1142" t="inlineStr">
        <is>
          <t>BANCO</t>
        </is>
      </c>
      <c r="AE1142" t="n">
        <v>2</v>
      </c>
      <c r="AF1142" t="inlineStr">
        <is>
          <t>MIDDLE</t>
        </is>
      </c>
      <c r="AG1142" t="n">
        <v>100101</v>
      </c>
      <c r="AH1142" t="inlineStr">
        <is>
          <t>CORPORATIVO</t>
        </is>
      </c>
      <c r="AI1142" t="inlineStr">
        <is>
          <t>MVELA@BANCOBASE.COM</t>
        </is>
      </c>
      <c r="AJ1142" s="151" t="n">
        <v>42705</v>
      </c>
      <c r="AK1142" s="151" t="n"/>
      <c r="AL1142" s="151" t="n"/>
    </row>
    <row r="1143" hidden="1" s="150">
      <c r="A1143" t="inlineStr">
        <is>
          <t>RZARATE</t>
        </is>
      </c>
      <c r="B1143" t="n">
        <v>1060</v>
      </c>
      <c r="C1143" t="inlineStr">
        <is>
          <t>ROCIO LUCERO ZARATE GONZALEZ</t>
        </is>
      </c>
      <c r="D1143" t="n">
        <v>9221</v>
      </c>
      <c r="E1143" t="inlineStr">
        <is>
          <t>PROMOTOR VENTAS INSTITUCIONAL</t>
        </is>
      </c>
      <c r="F1143" t="inlineStr">
        <is>
          <t>MONTERREY</t>
        </is>
      </c>
      <c r="G1143" t="n">
        <v>1026</v>
      </c>
      <c r="H1143" t="inlineStr">
        <is>
          <t>CHRISTIAN EDUARD DE LIMA VERDE AYMES</t>
        </is>
      </c>
      <c r="I1143" t="n">
        <v>10002</v>
      </c>
      <c r="J1143" t="inlineStr">
        <is>
          <t>DIRECTOR OPERACIONES NEGOCIO BURSATIL</t>
        </is>
      </c>
      <c r="K1143" t="n">
        <v>1</v>
      </c>
      <c r="L1143" t="inlineStr">
        <is>
          <t>PRESIDENCIA EJECUTIVA DEL CONSEJO</t>
        </is>
      </c>
      <c r="M1143" t="n">
        <v>40</v>
      </c>
      <c r="N1143" t="inlineStr">
        <is>
          <t>DIRECCION GENERAL BANCO BASE</t>
        </is>
      </c>
      <c r="O1143" t="n">
        <v>480</v>
      </c>
      <c r="P1143" t="inlineStr">
        <is>
          <t>DIRECCION DE MERCADOS FINANCIEROS Y BURSATIL</t>
        </is>
      </c>
      <c r="Q1143" t="n">
        <v>4830</v>
      </c>
      <c r="R1143" t="inlineStr">
        <is>
          <t>DIRECCION OPERACIONES CASA DE BOLSA</t>
        </is>
      </c>
      <c r="S1143" t="n">
        <v>48300</v>
      </c>
      <c r="T1143" t="inlineStr">
        <is>
          <t>DIRECCION OPERACIONES CASA DE BOLSA</t>
        </is>
      </c>
      <c r="U1143" t="n">
        <v>483000</v>
      </c>
      <c r="V1143" t="inlineStr">
        <is>
          <t>DIRECCION OPERACIONES CASA DE BOLSA</t>
        </is>
      </c>
      <c r="W1143" t="n">
        <v>100101</v>
      </c>
      <c r="X1143" t="inlineStr">
        <is>
          <t>CORPORATIVO</t>
        </is>
      </c>
      <c r="Y1143" t="n">
        <v>8</v>
      </c>
      <c r="Z1143" t="inlineStr">
        <is>
          <t>BURSATIL</t>
        </is>
      </c>
      <c r="AA1143" t="n">
        <v>1</v>
      </c>
      <c r="AB1143" t="inlineStr">
        <is>
          <t>NEGOCIO EN MARCHA</t>
        </is>
      </c>
      <c r="AC1143" t="n">
        <v>2</v>
      </c>
      <c r="AD1143" t="inlineStr">
        <is>
          <t>CASA DE BOLSA</t>
        </is>
      </c>
      <c r="AE1143" t="n">
        <v>3</v>
      </c>
      <c r="AF1143" t="inlineStr">
        <is>
          <t>FRONT</t>
        </is>
      </c>
      <c r="AG1143" t="n">
        <v>126102</v>
      </c>
      <c r="AH1143" t="inlineStr">
        <is>
          <t>MONTERREY</t>
        </is>
      </c>
      <c r="AI1143" t="inlineStr">
        <is>
          <t>RZARATE@CASADEBOLSABASE.COM</t>
        </is>
      </c>
      <c r="AJ1143" s="151" t="n">
        <v>41512</v>
      </c>
      <c r="AK1143" s="151" t="n"/>
      <c r="AL1143" s="151" t="n"/>
    </row>
    <row r="1144" hidden="1" s="150">
      <c r="A1144" t="inlineStr">
        <is>
          <t>ACARRASCO</t>
        </is>
      </c>
      <c r="B1144" t="n">
        <v>934</v>
      </c>
      <c r="C1144" t="inlineStr">
        <is>
          <t>ADRIANA CARRASCO GONZALEZ</t>
        </is>
      </c>
      <c r="D1144" t="n">
        <v>10074</v>
      </c>
      <c r="E1144" t="inlineStr">
        <is>
          <t>OPERADOR MESA DE DINERO CB</t>
        </is>
      </c>
      <c r="F1144" t="inlineStr">
        <is>
          <t>MONTERREY</t>
        </is>
      </c>
      <c r="G1144" t="n">
        <v>1026</v>
      </c>
      <c r="H1144" t="inlineStr">
        <is>
          <t>CHRISTIAN EDUARD DE LIMA VERDE AYMES</t>
        </is>
      </c>
      <c r="I1144" t="n">
        <v>10002</v>
      </c>
      <c r="J1144" t="inlineStr">
        <is>
          <t>DIRECTOR OPERACIONES NEGOCIO BURSATIL</t>
        </is>
      </c>
      <c r="K1144" t="n">
        <v>1</v>
      </c>
      <c r="L1144" t="inlineStr">
        <is>
          <t>PRESIDENCIA EJECUTIVA DEL CONSEJO</t>
        </is>
      </c>
      <c r="M1144" t="n">
        <v>40</v>
      </c>
      <c r="N1144" t="inlineStr">
        <is>
          <t>DIRECCION GENERAL BANCO BASE</t>
        </is>
      </c>
      <c r="O1144" t="n">
        <v>480</v>
      </c>
      <c r="P1144" t="inlineStr">
        <is>
          <t>DIRECCION DE MERCADOS FINANCIEROS Y BURSATIL</t>
        </is>
      </c>
      <c r="Q1144" t="n">
        <v>4830</v>
      </c>
      <c r="R1144" t="inlineStr">
        <is>
          <t>DIRECCION OPERACIONES CASA DE BOLSA</t>
        </is>
      </c>
      <c r="S1144" t="n">
        <v>48310</v>
      </c>
      <c r="T1144" t="inlineStr">
        <is>
          <t>MESA CASA DE BOLSA</t>
        </is>
      </c>
      <c r="U1144" t="n">
        <v>483100</v>
      </c>
      <c r="V1144" t="inlineStr">
        <is>
          <t>MESA CASA DE BOLSA</t>
        </is>
      </c>
      <c r="W1144" t="n">
        <v>100101</v>
      </c>
      <c r="X1144" t="inlineStr">
        <is>
          <t>CORPORATIVO</t>
        </is>
      </c>
      <c r="Y1144" t="n">
        <v>8</v>
      </c>
      <c r="Z1144" t="inlineStr">
        <is>
          <t>BURSATIL</t>
        </is>
      </c>
      <c r="AA1144" t="n">
        <v>1</v>
      </c>
      <c r="AB1144" t="inlineStr">
        <is>
          <t>NEGOCIO EN MARCHA</t>
        </is>
      </c>
      <c r="AC1144" t="n">
        <v>2</v>
      </c>
      <c r="AD1144" t="inlineStr">
        <is>
          <t>CASA DE BOLSA</t>
        </is>
      </c>
      <c r="AE1144" t="n">
        <v>2</v>
      </c>
      <c r="AF1144" t="inlineStr">
        <is>
          <t>MIDDLE</t>
        </is>
      </c>
      <c r="AG1144" t="n">
        <v>100101</v>
      </c>
      <c r="AH1144" t="inlineStr">
        <is>
          <t>CORPORATIVO</t>
        </is>
      </c>
      <c r="AI1144" t="inlineStr">
        <is>
          <t>ACARRASCO@BANCOBASE.COM</t>
        </is>
      </c>
      <c r="AJ1144" s="151" t="n">
        <v>41137</v>
      </c>
      <c r="AK1144" s="151" t="n"/>
      <c r="AL1144" s="151" t="n"/>
    </row>
    <row r="1145" hidden="1" s="150">
      <c r="A1145" t="inlineStr">
        <is>
          <t>GWELSH</t>
        </is>
      </c>
      <c r="B1145" t="n">
        <v>289</v>
      </c>
      <c r="C1145" t="inlineStr">
        <is>
          <t>GERARDO WELSH CRUZ</t>
        </is>
      </c>
      <c r="D1145" t="n">
        <v>13</v>
      </c>
      <c r="E1145" t="inlineStr">
        <is>
          <t>DIRECTOR DE MESAS</t>
        </is>
      </c>
      <c r="F1145" t="inlineStr">
        <is>
          <t>MONTERREY</t>
        </is>
      </c>
      <c r="G1145" t="n">
        <v>1105</v>
      </c>
      <c r="H1145" t="inlineStr">
        <is>
          <t>EDUARDO RIOJAS RULLAN</t>
        </is>
      </c>
      <c r="I1145" t="n">
        <v>9919</v>
      </c>
      <c r="J1145" t="inlineStr">
        <is>
          <t>DIRECTOR DE MERCADOS FINANCIEROS Y BURSATIL</t>
        </is>
      </c>
      <c r="K1145" t="n">
        <v>1</v>
      </c>
      <c r="L1145" t="inlineStr">
        <is>
          <t>PRESIDENCIA EJECUTIVA DEL CONSEJO</t>
        </is>
      </c>
      <c r="M1145" t="n">
        <v>40</v>
      </c>
      <c r="N1145" t="inlineStr">
        <is>
          <t>DIRECCION GENERAL BANCO BASE</t>
        </is>
      </c>
      <c r="O1145" t="n">
        <v>480</v>
      </c>
      <c r="P1145" t="inlineStr">
        <is>
          <t>DIRECCION DE MERCADOS FINANCIEROS Y BURSATIL</t>
        </is>
      </c>
      <c r="Q1145" t="n">
        <v>4840</v>
      </c>
      <c r="R1145" t="inlineStr">
        <is>
          <t>DIRECCION DE MESAS</t>
        </is>
      </c>
      <c r="S1145" t="n">
        <v>48400</v>
      </c>
      <c r="T1145" t="inlineStr">
        <is>
          <t>DIRECCION DE MESAS</t>
        </is>
      </c>
      <c r="U1145" t="n">
        <v>484000</v>
      </c>
      <c r="V1145" t="inlineStr">
        <is>
          <t>DIRECCION DE MESAS</t>
        </is>
      </c>
      <c r="W1145" t="n">
        <v>100101</v>
      </c>
      <c r="X1145" t="inlineStr">
        <is>
          <t>CORPORATIVO</t>
        </is>
      </c>
      <c r="Y1145" t="n">
        <v>8</v>
      </c>
      <c r="Z1145" t="inlineStr">
        <is>
          <t>BURSATIL</t>
        </is>
      </c>
      <c r="AA1145" t="n">
        <v>1</v>
      </c>
      <c r="AB1145" t="inlineStr">
        <is>
          <t>NEGOCIO EN MARCHA</t>
        </is>
      </c>
      <c r="AC1145" t="n">
        <v>1</v>
      </c>
      <c r="AD1145" t="inlineStr">
        <is>
          <t>BANCO</t>
        </is>
      </c>
      <c r="AE1145" t="n">
        <v>2</v>
      </c>
      <c r="AF1145" t="inlineStr">
        <is>
          <t>MIDDLE</t>
        </is>
      </c>
      <c r="AG1145" t="n">
        <v>100101</v>
      </c>
      <c r="AH1145" t="inlineStr">
        <is>
          <t>CORPORATIVO</t>
        </is>
      </c>
      <c r="AI1145" t="inlineStr">
        <is>
          <t>GWELSH@BANCOBASE.COM</t>
        </is>
      </c>
      <c r="AJ1145" s="151" t="n">
        <v>38551</v>
      </c>
      <c r="AK1145" s="151" t="n"/>
      <c r="AL1145" s="151" t="n"/>
    </row>
    <row r="1146" hidden="1" s="150">
      <c r="A1146" t="inlineStr">
        <is>
          <t>EROSALESM</t>
        </is>
      </c>
      <c r="B1146" t="n">
        <v>2207</v>
      </c>
      <c r="C1146" t="inlineStr">
        <is>
          <t>EDWIN JOAN ROSALES MARTINEZ</t>
        </is>
      </c>
      <c r="D1146" t="n">
        <v>9520</v>
      </c>
      <c r="E1146" t="inlineStr">
        <is>
          <t>SUBDIRECTOR DE MESA DE DERIVADOS</t>
        </is>
      </c>
      <c r="F1146" t="inlineStr">
        <is>
          <t>MONTERREY</t>
        </is>
      </c>
      <c r="G1146" t="n">
        <v>289</v>
      </c>
      <c r="H1146" t="inlineStr">
        <is>
          <t>GERARDO WELSH CRUZ</t>
        </is>
      </c>
      <c r="I1146" t="n">
        <v>13</v>
      </c>
      <c r="J1146" t="inlineStr">
        <is>
          <t>DIRECTOR DE MESAS</t>
        </is>
      </c>
      <c r="K1146" t="n">
        <v>1</v>
      </c>
      <c r="L1146" t="inlineStr">
        <is>
          <t>PRESIDENCIA EJECUTIVA DEL CONSEJO</t>
        </is>
      </c>
      <c r="M1146" t="n">
        <v>40</v>
      </c>
      <c r="N1146" t="inlineStr">
        <is>
          <t>DIRECCION GENERAL BANCO BASE</t>
        </is>
      </c>
      <c r="O1146" t="n">
        <v>480</v>
      </c>
      <c r="P1146" t="inlineStr">
        <is>
          <t>DIRECCION DE MERCADOS FINANCIEROS Y BURSATIL</t>
        </is>
      </c>
      <c r="Q1146" t="n">
        <v>4840</v>
      </c>
      <c r="R1146" t="inlineStr">
        <is>
          <t>DIRECCION DE MESAS</t>
        </is>
      </c>
      <c r="S1146" t="n">
        <v>48420</v>
      </c>
      <c r="T1146" t="inlineStr">
        <is>
          <t>DIRECCION MESA DE DERIVADOS</t>
        </is>
      </c>
      <c r="U1146" t="n">
        <v>484200</v>
      </c>
      <c r="V1146" t="inlineStr">
        <is>
          <t>DIRECCION MESA DE DERIVADOS</t>
        </is>
      </c>
      <c r="W1146" t="n">
        <v>100101</v>
      </c>
      <c r="X1146" t="inlineStr">
        <is>
          <t>CORPORATIVO</t>
        </is>
      </c>
      <c r="Y1146" t="n">
        <v>3</v>
      </c>
      <c r="Z1146" t="inlineStr">
        <is>
          <t>CAMBIARIO</t>
        </is>
      </c>
      <c r="AA1146" t="n">
        <v>1</v>
      </c>
      <c r="AB1146" t="inlineStr">
        <is>
          <t>NEGOCIO EN MARCHA</t>
        </is>
      </c>
      <c r="AC1146" t="n">
        <v>1</v>
      </c>
      <c r="AD1146" t="inlineStr">
        <is>
          <t>BANCO</t>
        </is>
      </c>
      <c r="AE1146" t="n">
        <v>2</v>
      </c>
      <c r="AF1146" t="inlineStr">
        <is>
          <t>MIDDLE</t>
        </is>
      </c>
      <c r="AG1146" t="n">
        <v>100101</v>
      </c>
      <c r="AH1146" t="inlineStr">
        <is>
          <t>CORPORATIVO</t>
        </is>
      </c>
      <c r="AI1146" t="inlineStr">
        <is>
          <t>EROSALESM@BANCOBASE.COM</t>
        </is>
      </c>
      <c r="AJ1146" s="151" t="n">
        <v>43556</v>
      </c>
      <c r="AK1146" s="151" t="n"/>
      <c r="AL1146" s="151" t="n"/>
    </row>
    <row r="1147" hidden="1" s="150">
      <c r="A1147" t="inlineStr">
        <is>
          <t>KVAZQUEZ</t>
        </is>
      </c>
      <c r="B1147" t="n">
        <v>434</v>
      </c>
      <c r="C1147" t="inlineStr">
        <is>
          <t>KARINA VAZQUEZ HERNANDEZ</t>
        </is>
      </c>
      <c r="D1147" t="n">
        <v>133</v>
      </c>
      <c r="E1147" t="inlineStr">
        <is>
          <t>OPERADOR MESA DE DERIVADOS SR</t>
        </is>
      </c>
      <c r="F1147" t="inlineStr">
        <is>
          <t>MONTERREY</t>
        </is>
      </c>
      <c r="G1147" t="n">
        <v>2207</v>
      </c>
      <c r="H1147" t="inlineStr">
        <is>
          <t>EDWIN JOAN ROSALES MARTINEZ</t>
        </is>
      </c>
      <c r="I1147" t="n">
        <v>9520</v>
      </c>
      <c r="J1147" t="inlineStr">
        <is>
          <t>SUBDIRECTOR DE MESA DE DERIVADOS</t>
        </is>
      </c>
      <c r="K1147" t="n">
        <v>1</v>
      </c>
      <c r="L1147" t="inlineStr">
        <is>
          <t>PRESIDENCIA EJECUTIVA DEL CONSEJO</t>
        </is>
      </c>
      <c r="M1147" t="n">
        <v>40</v>
      </c>
      <c r="N1147" t="inlineStr">
        <is>
          <t>DIRECCION GENERAL BANCO BASE</t>
        </is>
      </c>
      <c r="O1147" t="n">
        <v>480</v>
      </c>
      <c r="P1147" t="inlineStr">
        <is>
          <t>DIRECCION DE MERCADOS FINANCIEROS Y BURSATIL</t>
        </is>
      </c>
      <c r="Q1147" t="n">
        <v>4840</v>
      </c>
      <c r="R1147" t="inlineStr">
        <is>
          <t>DIRECCION DE MESAS</t>
        </is>
      </c>
      <c r="S1147" t="n">
        <v>48420</v>
      </c>
      <c r="T1147" t="inlineStr">
        <is>
          <t>DIRECCION MESA DE DERIVADOS</t>
        </is>
      </c>
      <c r="U1147" t="n">
        <v>484200</v>
      </c>
      <c r="V1147" t="inlineStr">
        <is>
          <t>DIRECCION MESA DE DERIVADOS</t>
        </is>
      </c>
      <c r="W1147" t="n">
        <v>100101</v>
      </c>
      <c r="X1147" t="inlineStr">
        <is>
          <t>CORPORATIVO</t>
        </is>
      </c>
      <c r="Y1147" t="n">
        <v>3</v>
      </c>
      <c r="Z1147" t="inlineStr">
        <is>
          <t>CAMBIARIO</t>
        </is>
      </c>
      <c r="AA1147" t="n">
        <v>1</v>
      </c>
      <c r="AB1147" t="inlineStr">
        <is>
          <t>NEGOCIO EN MARCHA</t>
        </is>
      </c>
      <c r="AC1147" t="n">
        <v>1</v>
      </c>
      <c r="AD1147" t="inlineStr">
        <is>
          <t>BANCO</t>
        </is>
      </c>
      <c r="AE1147" t="n">
        <v>2</v>
      </c>
      <c r="AF1147" t="inlineStr">
        <is>
          <t>MIDDLE</t>
        </is>
      </c>
      <c r="AG1147" t="n">
        <v>100101</v>
      </c>
      <c r="AH1147" t="inlineStr">
        <is>
          <t>CORPORATIVO</t>
        </is>
      </c>
      <c r="AI1147" t="inlineStr">
        <is>
          <t>KVAZQUEZ@BANCOBASE.COM</t>
        </is>
      </c>
      <c r="AJ1147" s="151" t="n">
        <v>39417</v>
      </c>
      <c r="AK1147" s="151" t="n"/>
      <c r="AL1147" s="151" t="n"/>
    </row>
    <row r="1148" hidden="1" s="150">
      <c r="A1148" t="inlineStr">
        <is>
          <t>RMARTINEZG</t>
        </is>
      </c>
      <c r="B1148" t="n">
        <v>3648</v>
      </c>
      <c r="C1148" t="inlineStr">
        <is>
          <t>ROGELIO ALEJANDRO MARTINEZ GONZALEZ</t>
        </is>
      </c>
      <c r="D1148" t="n">
        <v>8923</v>
      </c>
      <c r="E1148" t="inlineStr">
        <is>
          <t>OPERADOR MESA DE DERIVADOS SR</t>
        </is>
      </c>
      <c r="F1148" t="inlineStr">
        <is>
          <t>MONTERREY</t>
        </is>
      </c>
      <c r="G1148" t="n">
        <v>2207</v>
      </c>
      <c r="H1148" t="inlineStr">
        <is>
          <t>EDWIN JOAN ROSALES MARTINEZ</t>
        </is>
      </c>
      <c r="I1148" t="n">
        <v>9520</v>
      </c>
      <c r="J1148" t="inlineStr">
        <is>
          <t>SUBDIRECTOR DE MESA DE DERIVADOS</t>
        </is>
      </c>
      <c r="K1148" t="n">
        <v>1</v>
      </c>
      <c r="L1148" t="inlineStr">
        <is>
          <t>PRESIDENCIA EJECUTIVA DEL CONSEJO</t>
        </is>
      </c>
      <c r="M1148" t="n">
        <v>40</v>
      </c>
      <c r="N1148" t="inlineStr">
        <is>
          <t>DIRECCION GENERAL BANCO BASE</t>
        </is>
      </c>
      <c r="O1148" t="n">
        <v>480</v>
      </c>
      <c r="P1148" t="inlineStr">
        <is>
          <t>DIRECCION DE MERCADOS FINANCIEROS Y BURSATIL</t>
        </is>
      </c>
      <c r="Q1148" t="n">
        <v>4840</v>
      </c>
      <c r="R1148" t="inlineStr">
        <is>
          <t>DIRECCION DE MESAS</t>
        </is>
      </c>
      <c r="S1148" t="n">
        <v>48420</v>
      </c>
      <c r="T1148" t="inlineStr">
        <is>
          <t>DIRECCION MESA DE DERIVADOS</t>
        </is>
      </c>
      <c r="U1148" t="n">
        <v>484200</v>
      </c>
      <c r="V1148" t="inlineStr">
        <is>
          <t>DIRECCION MESA DE DERIVADOS</t>
        </is>
      </c>
      <c r="W1148" t="n">
        <v>100101</v>
      </c>
      <c r="X1148" t="inlineStr">
        <is>
          <t>CORPORATIVO</t>
        </is>
      </c>
      <c r="Y1148" t="n">
        <v>3</v>
      </c>
      <c r="Z1148" t="inlineStr">
        <is>
          <t>CAMBIARIO</t>
        </is>
      </c>
      <c r="AA1148" t="n">
        <v>1</v>
      </c>
      <c r="AB1148" t="inlineStr">
        <is>
          <t>NEGOCIO EN MARCHA</t>
        </is>
      </c>
      <c r="AC1148" t="n">
        <v>1</v>
      </c>
      <c r="AD1148" t="inlineStr">
        <is>
          <t>BANCO</t>
        </is>
      </c>
      <c r="AE1148" t="n">
        <v>2</v>
      </c>
      <c r="AF1148" t="inlineStr">
        <is>
          <t>MIDDLE</t>
        </is>
      </c>
      <c r="AG1148" t="n">
        <v>100101</v>
      </c>
      <c r="AH1148" t="inlineStr">
        <is>
          <t>CORPORATIVO</t>
        </is>
      </c>
      <c r="AI1148" t="inlineStr">
        <is>
          <t>RMARTINEZG@BANCOBASE.COM</t>
        </is>
      </c>
      <c r="AJ1148" s="151" t="n">
        <v>45964</v>
      </c>
      <c r="AK1148" s="151" t="n"/>
      <c r="AL1148" s="151" t="n"/>
    </row>
    <row r="1149" hidden="1" s="150">
      <c r="A1149" t="inlineStr">
        <is>
          <t>SDAVALOS</t>
        </is>
      </c>
      <c r="B1149" t="n">
        <v>1319</v>
      </c>
      <c r="C1149" t="inlineStr">
        <is>
          <t>SONIA STEPHANIE DAVALOS RAMIREZ</t>
        </is>
      </c>
      <c r="D1149" t="n">
        <v>8927</v>
      </c>
      <c r="E1149" t="inlineStr">
        <is>
          <t>GERENTE DE MESA DE CAMBIOS Y DERIVADOS</t>
        </is>
      </c>
      <c r="F1149" t="inlineStr">
        <is>
          <t>MONTERREY</t>
        </is>
      </c>
      <c r="G1149" t="n">
        <v>289</v>
      </c>
      <c r="H1149" t="inlineStr">
        <is>
          <t>GERARDO WELSH CRUZ</t>
        </is>
      </c>
      <c r="I1149" t="n">
        <v>13</v>
      </c>
      <c r="J1149" t="inlineStr">
        <is>
          <t>DIRECTOR DE MESAS</t>
        </is>
      </c>
      <c r="K1149" t="n">
        <v>1</v>
      </c>
      <c r="L1149" t="inlineStr">
        <is>
          <t>PRESIDENCIA EJECUTIVA DEL CONSEJO</t>
        </is>
      </c>
      <c r="M1149" t="n">
        <v>40</v>
      </c>
      <c r="N1149" t="inlineStr">
        <is>
          <t>DIRECCION GENERAL BANCO BASE</t>
        </is>
      </c>
      <c r="O1149" t="n">
        <v>480</v>
      </c>
      <c r="P1149" t="inlineStr">
        <is>
          <t>DIRECCION DE MERCADOS FINANCIEROS Y BURSATIL</t>
        </is>
      </c>
      <c r="Q1149" t="n">
        <v>4840</v>
      </c>
      <c r="R1149" t="inlineStr">
        <is>
          <t>DIRECCION DE MESAS</t>
        </is>
      </c>
      <c r="S1149" t="n">
        <v>48410</v>
      </c>
      <c r="T1149" t="inlineStr">
        <is>
          <t>DIRECCION MESA DE CAMBIOS</t>
        </is>
      </c>
      <c r="U1149" t="n">
        <v>484100</v>
      </c>
      <c r="V1149" t="inlineStr">
        <is>
          <t>DIRECCION MESA DE CAMBIOS</t>
        </is>
      </c>
      <c r="W1149" t="n">
        <v>100101</v>
      </c>
      <c r="X1149" t="inlineStr">
        <is>
          <t>CORPORATIVO</t>
        </is>
      </c>
      <c r="Y1149" t="n">
        <v>3</v>
      </c>
      <c r="Z1149" t="inlineStr">
        <is>
          <t>CAMBIARIO</t>
        </is>
      </c>
      <c r="AA1149" t="n">
        <v>1</v>
      </c>
      <c r="AB1149" t="inlineStr">
        <is>
          <t>NEGOCIO EN MARCHA</t>
        </is>
      </c>
      <c r="AC1149" t="n">
        <v>1</v>
      </c>
      <c r="AD1149" t="inlineStr">
        <is>
          <t>BANCO</t>
        </is>
      </c>
      <c r="AE1149" t="n">
        <v>2</v>
      </c>
      <c r="AF1149" t="inlineStr">
        <is>
          <t>MIDDLE</t>
        </is>
      </c>
      <c r="AG1149" t="n">
        <v>100101</v>
      </c>
      <c r="AH1149" t="inlineStr">
        <is>
          <t>CORPORATIVO</t>
        </is>
      </c>
      <c r="AI1149" t="inlineStr">
        <is>
          <t>SDAVALOS@BANCOBASE.COM</t>
        </is>
      </c>
      <c r="AJ1149" s="151" t="n">
        <v>42178</v>
      </c>
      <c r="AK1149" s="151" t="n"/>
      <c r="AL1149" s="151" t="n"/>
    </row>
    <row r="1150" hidden="1" s="150">
      <c r="A1150" t="inlineStr">
        <is>
          <t>ABANDA</t>
        </is>
      </c>
      <c r="B1150" t="n">
        <v>1272</v>
      </c>
      <c r="C1150" t="inlineStr">
        <is>
          <t>ABRAHAM BANDA RODRIGUEZ</t>
        </is>
      </c>
      <c r="D1150" t="n">
        <v>9356</v>
      </c>
      <c r="E1150" t="inlineStr">
        <is>
          <t>OPERADOR DE MESA DE CAMBIOS Y DERIVADOS JR</t>
        </is>
      </c>
      <c r="F1150" t="inlineStr">
        <is>
          <t>MONTERREY</t>
        </is>
      </c>
      <c r="G1150" t="n">
        <v>1319</v>
      </c>
      <c r="H1150" t="inlineStr">
        <is>
          <t>SONIA STEPHANIE DAVALOS RAMIREZ</t>
        </is>
      </c>
      <c r="I1150" t="n">
        <v>8927</v>
      </c>
      <c r="J1150" t="inlineStr">
        <is>
          <t>GERENTE DE MESA DE CAMBIOS Y DERIVADOS</t>
        </is>
      </c>
      <c r="K1150" t="n">
        <v>1</v>
      </c>
      <c r="L1150" t="inlineStr">
        <is>
          <t>PRESIDENCIA EJECUTIVA DEL CONSEJO</t>
        </is>
      </c>
      <c r="M1150" t="n">
        <v>40</v>
      </c>
      <c r="N1150" t="inlineStr">
        <is>
          <t>DIRECCION GENERAL BANCO BASE</t>
        </is>
      </c>
      <c r="O1150" t="n">
        <v>480</v>
      </c>
      <c r="P1150" t="inlineStr">
        <is>
          <t>DIRECCION DE MERCADOS FINANCIEROS Y BURSATIL</t>
        </is>
      </c>
      <c r="Q1150" t="n">
        <v>4840</v>
      </c>
      <c r="R1150" t="inlineStr">
        <is>
          <t>DIRECCION DE MESAS</t>
        </is>
      </c>
      <c r="S1150" t="n">
        <v>48410</v>
      </c>
      <c r="T1150" t="inlineStr">
        <is>
          <t>DIRECCION MESA DE CAMBIOS</t>
        </is>
      </c>
      <c r="U1150" t="n">
        <v>484100</v>
      </c>
      <c r="V1150" t="inlineStr">
        <is>
          <t>DIRECCION MESA DE CAMBIOS</t>
        </is>
      </c>
      <c r="W1150" t="n">
        <v>100101</v>
      </c>
      <c r="X1150" t="inlineStr">
        <is>
          <t>CORPORATIVO</t>
        </is>
      </c>
      <c r="Y1150" t="n">
        <v>3</v>
      </c>
      <c r="Z1150" t="inlineStr">
        <is>
          <t>CAMBIARIO</t>
        </is>
      </c>
      <c r="AA1150" t="n">
        <v>1</v>
      </c>
      <c r="AB1150" t="inlineStr">
        <is>
          <t>NEGOCIO EN MARCHA</t>
        </is>
      </c>
      <c r="AC1150" t="n">
        <v>1</v>
      </c>
      <c r="AD1150" t="inlineStr">
        <is>
          <t>BANCO</t>
        </is>
      </c>
      <c r="AE1150" t="n">
        <v>2</v>
      </c>
      <c r="AF1150" t="inlineStr">
        <is>
          <t>MIDDLE</t>
        </is>
      </c>
      <c r="AG1150" t="n">
        <v>100101</v>
      </c>
      <c r="AH1150" t="inlineStr">
        <is>
          <t>CORPORATIVO</t>
        </is>
      </c>
      <c r="AI1150" t="inlineStr">
        <is>
          <t>ABANDA@BANCOBASE.COM</t>
        </is>
      </c>
      <c r="AJ1150" s="151" t="n">
        <v>42064</v>
      </c>
      <c r="AK1150" s="151" t="n"/>
      <c r="AL1150" s="151" t="n"/>
    </row>
    <row r="1151" hidden="1" s="150">
      <c r="A1151" t="inlineStr">
        <is>
          <t>JOMARTINEZ</t>
        </is>
      </c>
      <c r="B1151" t="n">
        <v>843</v>
      </c>
      <c r="C1151" t="inlineStr">
        <is>
          <t>JOEL MARTINEZ GONZALEZ</t>
        </is>
      </c>
      <c r="D1151" t="n">
        <v>9355</v>
      </c>
      <c r="E1151" t="inlineStr">
        <is>
          <t>OPERADOR DE MESA DE CAMBIOS Y DERIVADOS JR</t>
        </is>
      </c>
      <c r="F1151" t="inlineStr">
        <is>
          <t>MONTERREY</t>
        </is>
      </c>
      <c r="G1151" t="n">
        <v>1319</v>
      </c>
      <c r="H1151" t="inlineStr">
        <is>
          <t>SONIA STEPHANIE DAVALOS RAMIREZ</t>
        </is>
      </c>
      <c r="I1151" t="n">
        <v>8927</v>
      </c>
      <c r="J1151" t="inlineStr">
        <is>
          <t>GERENTE DE MESA DE CAMBIOS Y DERIVADOS</t>
        </is>
      </c>
      <c r="K1151" t="n">
        <v>1</v>
      </c>
      <c r="L1151" t="inlineStr">
        <is>
          <t>PRESIDENCIA EJECUTIVA DEL CONSEJO</t>
        </is>
      </c>
      <c r="M1151" t="n">
        <v>40</v>
      </c>
      <c r="N1151" t="inlineStr">
        <is>
          <t>DIRECCION GENERAL BANCO BASE</t>
        </is>
      </c>
      <c r="O1151" t="n">
        <v>480</v>
      </c>
      <c r="P1151" t="inlineStr">
        <is>
          <t>DIRECCION DE MERCADOS FINANCIEROS Y BURSATIL</t>
        </is>
      </c>
      <c r="Q1151" t="n">
        <v>4840</v>
      </c>
      <c r="R1151" t="inlineStr">
        <is>
          <t>DIRECCION DE MESAS</t>
        </is>
      </c>
      <c r="S1151" t="n">
        <v>48410</v>
      </c>
      <c r="T1151" t="inlineStr">
        <is>
          <t>DIRECCION MESA DE CAMBIOS</t>
        </is>
      </c>
      <c r="U1151" t="n">
        <v>484100</v>
      </c>
      <c r="V1151" t="inlineStr">
        <is>
          <t>DIRECCION MESA DE CAMBIOS</t>
        </is>
      </c>
      <c r="W1151" t="n">
        <v>100101</v>
      </c>
      <c r="X1151" t="inlineStr">
        <is>
          <t>CORPORATIVO</t>
        </is>
      </c>
      <c r="Y1151" t="n">
        <v>3</v>
      </c>
      <c r="Z1151" t="inlineStr">
        <is>
          <t>CAMBIARIO</t>
        </is>
      </c>
      <c r="AA1151" t="n">
        <v>1</v>
      </c>
      <c r="AB1151" t="inlineStr">
        <is>
          <t>NEGOCIO EN MARCHA</t>
        </is>
      </c>
      <c r="AC1151" t="n">
        <v>1</v>
      </c>
      <c r="AD1151" t="inlineStr">
        <is>
          <t>BANCO</t>
        </is>
      </c>
      <c r="AE1151" t="n">
        <v>2</v>
      </c>
      <c r="AF1151" t="inlineStr">
        <is>
          <t>MIDDLE</t>
        </is>
      </c>
      <c r="AG1151" t="n">
        <v>100101</v>
      </c>
      <c r="AH1151" t="inlineStr">
        <is>
          <t>CORPORATIVO</t>
        </is>
      </c>
      <c r="AI1151" t="inlineStr">
        <is>
          <t>JOMARTINEZ@BANCOBASE.COM</t>
        </is>
      </c>
      <c r="AJ1151" s="151" t="n">
        <v>40969</v>
      </c>
      <c r="AK1151" s="151" t="n"/>
      <c r="AL1151" s="151" t="n"/>
    </row>
    <row r="1152" hidden="1" s="150">
      <c r="A1152" t="inlineStr">
        <is>
          <t>JBERMUDEZ</t>
        </is>
      </c>
      <c r="B1152" t="n">
        <v>1253</v>
      </c>
      <c r="C1152" t="inlineStr">
        <is>
          <t>JUAN CARLOS BERMUDEZ ABSALON</t>
        </is>
      </c>
      <c r="D1152" t="n">
        <v>137</v>
      </c>
      <c r="E1152" t="inlineStr">
        <is>
          <t>OPERADOR MESA DE CAMBIOS</t>
        </is>
      </c>
      <c r="F1152" t="inlineStr">
        <is>
          <t>MONTERREY</t>
        </is>
      </c>
      <c r="G1152" t="n">
        <v>289</v>
      </c>
      <c r="H1152" t="inlineStr">
        <is>
          <t>GERARDO WELSH CRUZ</t>
        </is>
      </c>
      <c r="I1152" t="n">
        <v>13</v>
      </c>
      <c r="J1152" t="inlineStr">
        <is>
          <t>DIRECTOR DE MESAS</t>
        </is>
      </c>
      <c r="K1152" t="n">
        <v>1</v>
      </c>
      <c r="L1152" t="inlineStr">
        <is>
          <t>PRESIDENCIA EJECUTIVA DEL CONSEJO</t>
        </is>
      </c>
      <c r="M1152" t="n">
        <v>40</v>
      </c>
      <c r="N1152" t="inlineStr">
        <is>
          <t>DIRECCION GENERAL BANCO BASE</t>
        </is>
      </c>
      <c r="O1152" t="n">
        <v>480</v>
      </c>
      <c r="P1152" t="inlineStr">
        <is>
          <t>DIRECCION DE MERCADOS FINANCIEROS Y BURSATIL</t>
        </is>
      </c>
      <c r="Q1152" t="n">
        <v>4840</v>
      </c>
      <c r="R1152" t="inlineStr">
        <is>
          <t>DIRECCION DE MESAS</t>
        </is>
      </c>
      <c r="S1152" t="n">
        <v>48410</v>
      </c>
      <c r="T1152" t="inlineStr">
        <is>
          <t>DIRECCION MESA DE CAMBIOS</t>
        </is>
      </c>
      <c r="U1152" t="n">
        <v>484100</v>
      </c>
      <c r="V1152" t="inlineStr">
        <is>
          <t>DIRECCION MESA DE CAMBIOS</t>
        </is>
      </c>
      <c r="W1152" t="n">
        <v>100101</v>
      </c>
      <c r="X1152" t="inlineStr">
        <is>
          <t>CORPORATIVO</t>
        </is>
      </c>
      <c r="Y1152" t="n">
        <v>3</v>
      </c>
      <c r="Z1152" t="inlineStr">
        <is>
          <t>CAMBIARIO</t>
        </is>
      </c>
      <c r="AA1152" t="n">
        <v>1</v>
      </c>
      <c r="AB1152" t="inlineStr">
        <is>
          <t>NEGOCIO EN MARCHA</t>
        </is>
      </c>
      <c r="AC1152" t="n">
        <v>1</v>
      </c>
      <c r="AD1152" t="inlineStr">
        <is>
          <t>BANCO</t>
        </is>
      </c>
      <c r="AE1152" t="n">
        <v>2</v>
      </c>
      <c r="AF1152" t="inlineStr">
        <is>
          <t>MIDDLE</t>
        </is>
      </c>
      <c r="AG1152" t="n">
        <v>100101</v>
      </c>
      <c r="AH1152" t="inlineStr">
        <is>
          <t>CORPORATIVO</t>
        </is>
      </c>
      <c r="AI1152" t="inlineStr">
        <is>
          <t>JBERMUDEZ@BANCOBASE.COM</t>
        </is>
      </c>
      <c r="AJ1152" s="151" t="n">
        <v>42038</v>
      </c>
      <c r="AK1152" s="151" t="n"/>
      <c r="AL1152" s="151" t="n"/>
    </row>
    <row r="1153" hidden="1" s="150">
      <c r="A1153" t="inlineStr">
        <is>
          <t>DHERNANDES</t>
        </is>
      </c>
      <c r="B1153" t="n">
        <v>1951</v>
      </c>
      <c r="C1153" t="inlineStr">
        <is>
          <t>DIANA KAREN HERNANDEZ SOTO</t>
        </is>
      </c>
      <c r="D1153" t="n">
        <v>10195</v>
      </c>
      <c r="E1153" t="inlineStr">
        <is>
          <t>GERENTE DE FINANCIAMIENTO CORPORATIVO</t>
        </is>
      </c>
      <c r="F1153" t="inlineStr">
        <is>
          <t>MEXICO</t>
        </is>
      </c>
      <c r="G1153" t="n">
        <v>1105</v>
      </c>
      <c r="H1153" t="inlineStr">
        <is>
          <t>EDUARDO RIOJAS RULLAN</t>
        </is>
      </c>
      <c r="I1153" t="n">
        <v>9919</v>
      </c>
      <c r="J1153" t="inlineStr">
        <is>
          <t>DIRECTOR DE MERCADOS FINANCIEROS Y BURSATIL</t>
        </is>
      </c>
      <c r="K1153" t="n">
        <v>1</v>
      </c>
      <c r="L1153" t="inlineStr">
        <is>
          <t>PRESIDENCIA EJECUTIVA DEL CONSEJO</t>
        </is>
      </c>
      <c r="M1153" t="n">
        <v>40</v>
      </c>
      <c r="N1153" t="inlineStr">
        <is>
          <t>DIRECCION GENERAL BANCO BASE</t>
        </is>
      </c>
      <c r="O1153" t="n">
        <v>480</v>
      </c>
      <c r="P1153" t="inlineStr">
        <is>
          <t>DIRECCION DE MERCADOS FINANCIEROS Y BURSATIL</t>
        </is>
      </c>
      <c r="Q1153" t="n">
        <v>4820</v>
      </c>
      <c r="R1153" t="inlineStr">
        <is>
          <t>DIRECCION DE FINANCIAMIENTO CORPORATIVO</t>
        </is>
      </c>
      <c r="S1153" t="n">
        <v>48200</v>
      </c>
      <c r="T1153" t="inlineStr">
        <is>
          <t>DIRECCION DE FINANCIAMIENTO CORPORATIVO</t>
        </is>
      </c>
      <c r="U1153" t="n">
        <v>482000</v>
      </c>
      <c r="V1153" t="inlineStr">
        <is>
          <t>DIRECCION DE FINANCIAMIENTO CORPORATIVO</t>
        </is>
      </c>
      <c r="W1153" t="n">
        <v>134111</v>
      </c>
      <c r="X1153" t="inlineStr">
        <is>
          <t>LOMAS</t>
        </is>
      </c>
      <c r="Y1153" t="n">
        <v>8</v>
      </c>
      <c r="Z1153" t="inlineStr">
        <is>
          <t>BURSATIL</t>
        </is>
      </c>
      <c r="AA1153" t="n">
        <v>1</v>
      </c>
      <c r="AB1153" t="inlineStr">
        <is>
          <t>NEGOCIO EN MARCHA</t>
        </is>
      </c>
      <c r="AC1153" t="n">
        <v>2</v>
      </c>
      <c r="AD1153" t="inlineStr">
        <is>
          <t>CASA DE BOLSA</t>
        </is>
      </c>
      <c r="AE1153" t="n">
        <v>2</v>
      </c>
      <c r="AF1153" t="inlineStr">
        <is>
          <t>MIDDLE</t>
        </is>
      </c>
      <c r="AG1153" t="n">
        <v>134111</v>
      </c>
      <c r="AH1153" t="inlineStr">
        <is>
          <t>LOMAS</t>
        </is>
      </c>
      <c r="AI1153" t="inlineStr">
        <is>
          <t>DHERNANDES@BANCOBASE.COM</t>
        </is>
      </c>
      <c r="AJ1153" s="151" t="n">
        <v>43157</v>
      </c>
      <c r="AK1153" s="151" t="n"/>
      <c r="AL1153" s="151" t="n"/>
    </row>
    <row r="1154" hidden="1" s="150">
      <c r="A1154" t="inlineStr">
        <is>
          <t>DRAMIREZG</t>
        </is>
      </c>
      <c r="B1154" t="n">
        <v>2799</v>
      </c>
      <c r="C1154" t="inlineStr">
        <is>
          <t>DANIELA RAMIREZ GONZALEZ</t>
        </is>
      </c>
      <c r="D1154" t="n">
        <v>5054</v>
      </c>
      <c r="E1154" t="inlineStr">
        <is>
          <t>ANALISTA DE FINANCIAMIENTO CORPORATIVO</t>
        </is>
      </c>
      <c r="F1154" t="inlineStr">
        <is>
          <t>MEXICO</t>
        </is>
      </c>
      <c r="G1154" t="n">
        <v>1951</v>
      </c>
      <c r="H1154" t="inlineStr">
        <is>
          <t>DIANA KAREN HERNANDEZ SOTO</t>
        </is>
      </c>
      <c r="I1154" t="n">
        <v>10195</v>
      </c>
      <c r="J1154" t="inlineStr">
        <is>
          <t>GERENTE DE FINANCIAMIENTO CORPORATIVO</t>
        </is>
      </c>
      <c r="K1154" t="n">
        <v>1</v>
      </c>
      <c r="L1154" t="inlineStr">
        <is>
          <t>PRESIDENCIA EJECUTIVA DEL CONSEJO</t>
        </is>
      </c>
      <c r="M1154" t="n">
        <v>40</v>
      </c>
      <c r="N1154" t="inlineStr">
        <is>
          <t>DIRECCION GENERAL BANCO BASE</t>
        </is>
      </c>
      <c r="O1154" t="n">
        <v>480</v>
      </c>
      <c r="P1154" t="inlineStr">
        <is>
          <t>DIRECCION DE MERCADOS FINANCIEROS Y BURSATIL</t>
        </is>
      </c>
      <c r="Q1154" t="n">
        <v>4820</v>
      </c>
      <c r="R1154" t="inlineStr">
        <is>
          <t>DIRECCION DE FINANCIAMIENTO CORPORATIVO</t>
        </is>
      </c>
      <c r="S1154" t="n">
        <v>48200</v>
      </c>
      <c r="T1154" t="inlineStr">
        <is>
          <t>DIRECCION DE FINANCIAMIENTO CORPORATIVO</t>
        </is>
      </c>
      <c r="U1154" t="n">
        <v>482000</v>
      </c>
      <c r="V1154" t="inlineStr">
        <is>
          <t>DIRECCION DE FINANCIAMIENTO CORPORATIVO</t>
        </is>
      </c>
      <c r="W1154" t="n">
        <v>134111</v>
      </c>
      <c r="X1154" t="inlineStr">
        <is>
          <t>LOMAS</t>
        </is>
      </c>
      <c r="Y1154" t="n">
        <v>8</v>
      </c>
      <c r="Z1154" t="inlineStr">
        <is>
          <t>BURSATIL</t>
        </is>
      </c>
      <c r="AA1154" t="n">
        <v>1</v>
      </c>
      <c r="AB1154" t="inlineStr">
        <is>
          <t>NEGOCIO EN MARCHA</t>
        </is>
      </c>
      <c r="AC1154" t="n">
        <v>2</v>
      </c>
      <c r="AD1154" t="inlineStr">
        <is>
          <t>CASA DE BOLSA</t>
        </is>
      </c>
      <c r="AE1154" t="n">
        <v>2</v>
      </c>
      <c r="AF1154" t="inlineStr">
        <is>
          <t>MIDDLE</t>
        </is>
      </c>
      <c r="AG1154" t="n">
        <v>134111</v>
      </c>
      <c r="AH1154" t="inlineStr">
        <is>
          <t>LOMAS</t>
        </is>
      </c>
      <c r="AI1154" t="inlineStr">
        <is>
          <t>DRAMIREZG@BANCOBASE.COM</t>
        </is>
      </c>
      <c r="AJ1154" s="151" t="n">
        <v>44928</v>
      </c>
      <c r="AK1154" s="151" t="n"/>
      <c r="AL1154" s="151" t="n"/>
    </row>
    <row r="1155" hidden="1" s="150">
      <c r="A1155" t="inlineStr">
        <is>
          <t>DSOLIS</t>
        </is>
      </c>
      <c r="B1155" t="n">
        <v>1720</v>
      </c>
      <c r="C1155" t="inlineStr">
        <is>
          <t>DIANA SOLIS MARQUEZ</t>
        </is>
      </c>
      <c r="D1155" t="n">
        <v>9963</v>
      </c>
      <c r="E1155" t="inlineStr">
        <is>
          <t>ANALISTA DE FINANCIAMIENTO CORPORATIVO</t>
        </is>
      </c>
      <c r="F1155" t="inlineStr">
        <is>
          <t>MEXICO</t>
        </is>
      </c>
      <c r="G1155" t="n">
        <v>1951</v>
      </c>
      <c r="H1155" t="inlineStr">
        <is>
          <t>DIANA KAREN HERNANDEZ SOTO</t>
        </is>
      </c>
      <c r="I1155" t="n">
        <v>10195</v>
      </c>
      <c r="J1155" t="inlineStr">
        <is>
          <t>GERENTE DE FINANCIAMIENTO CORPORATIVO</t>
        </is>
      </c>
      <c r="K1155" t="n">
        <v>1</v>
      </c>
      <c r="L1155" t="inlineStr">
        <is>
          <t>PRESIDENCIA EJECUTIVA DEL CONSEJO</t>
        </is>
      </c>
      <c r="M1155" t="n">
        <v>40</v>
      </c>
      <c r="N1155" t="inlineStr">
        <is>
          <t>DIRECCION GENERAL BANCO BASE</t>
        </is>
      </c>
      <c r="O1155" t="n">
        <v>480</v>
      </c>
      <c r="P1155" t="inlineStr">
        <is>
          <t>DIRECCION DE MERCADOS FINANCIEROS Y BURSATIL</t>
        </is>
      </c>
      <c r="Q1155" t="n">
        <v>4820</v>
      </c>
      <c r="R1155" t="inlineStr">
        <is>
          <t>DIRECCION DE FINANCIAMIENTO CORPORATIVO</t>
        </is>
      </c>
      <c r="S1155" t="n">
        <v>48200</v>
      </c>
      <c r="T1155" t="inlineStr">
        <is>
          <t>DIRECCION DE FINANCIAMIENTO CORPORATIVO</t>
        </is>
      </c>
      <c r="U1155" t="n">
        <v>482000</v>
      </c>
      <c r="V1155" t="inlineStr">
        <is>
          <t>DIRECCION DE FINANCIAMIENTO CORPORATIVO</t>
        </is>
      </c>
      <c r="W1155" t="n">
        <v>134111</v>
      </c>
      <c r="X1155" t="inlineStr">
        <is>
          <t>LOMAS</t>
        </is>
      </c>
      <c r="Y1155" t="n">
        <v>8</v>
      </c>
      <c r="Z1155" t="inlineStr">
        <is>
          <t>BURSATIL</t>
        </is>
      </c>
      <c r="AA1155" t="n">
        <v>1</v>
      </c>
      <c r="AB1155" t="inlineStr">
        <is>
          <t>NEGOCIO EN MARCHA</t>
        </is>
      </c>
      <c r="AC1155" t="n">
        <v>2</v>
      </c>
      <c r="AD1155" t="inlineStr">
        <is>
          <t>CASA DE BOLSA</t>
        </is>
      </c>
      <c r="AE1155" t="n">
        <v>2</v>
      </c>
      <c r="AF1155" t="inlineStr">
        <is>
          <t>MIDDLE</t>
        </is>
      </c>
      <c r="AG1155" t="n">
        <v>134111</v>
      </c>
      <c r="AH1155" t="inlineStr">
        <is>
          <t>LOMAS</t>
        </is>
      </c>
      <c r="AI1155" t="inlineStr">
        <is>
          <t>DSOLIS@BANCOBASE.COM</t>
        </is>
      </c>
      <c r="AJ1155" s="151" t="n">
        <v>42795</v>
      </c>
      <c r="AK1155" s="151" t="n"/>
      <c r="AL1155" s="151" t="n"/>
    </row>
    <row r="1156" hidden="1" s="150">
      <c r="A1156" t="inlineStr">
        <is>
          <t>PCANO</t>
        </is>
      </c>
      <c r="B1156" t="n">
        <v>3043</v>
      </c>
      <c r="C1156" t="inlineStr">
        <is>
          <t>PAOLA CAROLINA CANO CRUZ</t>
        </is>
      </c>
      <c r="D1156" t="n">
        <v>10402</v>
      </c>
      <c r="E1156" t="inlineStr">
        <is>
          <t>DIRECTOR DE TECNOLOGIA</t>
        </is>
      </c>
      <c r="F1156" t="inlineStr">
        <is>
          <t>MEXICO</t>
        </is>
      </c>
      <c r="G1156" t="n">
        <v>386</v>
      </c>
      <c r="H1156" t="inlineStr">
        <is>
          <t>JULIO RICARDO ESCANDON JIMENEZ</t>
        </is>
      </c>
      <c r="I1156" t="n">
        <v>10324</v>
      </c>
      <c r="J1156" t="inlineStr">
        <is>
          <t>DIRECTOR GENERAL</t>
        </is>
      </c>
      <c r="K1156" t="n">
        <v>1</v>
      </c>
      <c r="L1156" t="inlineStr">
        <is>
          <t>PRESIDENCIA EJECUTIVA DEL CONSEJO</t>
        </is>
      </c>
      <c r="M1156" t="n">
        <v>40</v>
      </c>
      <c r="N1156" t="inlineStr">
        <is>
          <t>DIRECCION GENERAL BANCO BASE</t>
        </is>
      </c>
      <c r="O1156" t="n">
        <v>310</v>
      </c>
      <c r="P1156" t="inlineStr">
        <is>
          <t>DIRECCION DE TECNOLOGIA</t>
        </is>
      </c>
      <c r="Q1156" t="n">
        <v>3100</v>
      </c>
      <c r="R1156" t="inlineStr">
        <is>
          <t>DIRECCION DE TECNOLOGIA</t>
        </is>
      </c>
      <c r="S1156" t="n">
        <v>31000</v>
      </c>
      <c r="T1156" t="inlineStr">
        <is>
          <t>DIRECCION DE TECNOLOGIA</t>
        </is>
      </c>
      <c r="U1156" t="n">
        <v>310000</v>
      </c>
      <c r="V1156" t="inlineStr">
        <is>
          <t>DIRECCION DE TECNOLOGIA</t>
        </is>
      </c>
      <c r="W1156" t="n">
        <v>134111</v>
      </c>
      <c r="X1156" t="inlineStr">
        <is>
          <t>LOMAS</t>
        </is>
      </c>
      <c r="Y1156" t="n">
        <v>4</v>
      </c>
      <c r="Z1156" t="inlineStr">
        <is>
          <t>CORPORATIVO</t>
        </is>
      </c>
      <c r="AA1156" t="n">
        <v>1</v>
      </c>
      <c r="AB1156" t="inlineStr">
        <is>
          <t>NEGOCIO EN MARCHA</t>
        </is>
      </c>
      <c r="AC1156" t="n">
        <v>1</v>
      </c>
      <c r="AD1156" t="inlineStr">
        <is>
          <t>BANCO</t>
        </is>
      </c>
      <c r="AE1156" t="n">
        <v>1</v>
      </c>
      <c r="AF1156" t="inlineStr">
        <is>
          <t>BACK</t>
        </is>
      </c>
      <c r="AG1156" t="n">
        <v>134111</v>
      </c>
      <c r="AH1156" t="inlineStr">
        <is>
          <t>LOMAS</t>
        </is>
      </c>
      <c r="AI1156" t="inlineStr">
        <is>
          <t>PCANO@BANCOBASE.COM</t>
        </is>
      </c>
      <c r="AJ1156" s="151" t="n">
        <v>45348</v>
      </c>
      <c r="AK1156" s="151" t="n"/>
      <c r="AL1156" s="151" t="n"/>
    </row>
    <row r="1157" hidden="1" s="150">
      <c r="A1157" t="inlineStr">
        <is>
          <t>AROMAN</t>
        </is>
      </c>
      <c r="B1157" t="n">
        <v>3369</v>
      </c>
      <c r="C1157" t="inlineStr">
        <is>
          <t>ANTONIO ROMAN MONTEALEGRE</t>
        </is>
      </c>
      <c r="D1157" t="n">
        <v>9839</v>
      </c>
      <c r="E1157" t="inlineStr">
        <is>
          <t>DIRECTOR DE INFRAESTRUCTURA</t>
        </is>
      </c>
      <c r="F1157" t="inlineStr">
        <is>
          <t>CANCUN</t>
        </is>
      </c>
      <c r="G1157" t="n">
        <v>3043</v>
      </c>
      <c r="H1157" t="inlineStr">
        <is>
          <t>PAOLA CAROLINA CANO CRUZ</t>
        </is>
      </c>
      <c r="I1157" t="n">
        <v>10402</v>
      </c>
      <c r="J1157" t="inlineStr">
        <is>
          <t>DIRECTOR DE TECNOLOGIA</t>
        </is>
      </c>
      <c r="K1157" t="n">
        <v>1</v>
      </c>
      <c r="L1157" t="inlineStr">
        <is>
          <t>PRESIDENCIA EJECUTIVA DEL CONSEJO</t>
        </is>
      </c>
      <c r="M1157" t="n">
        <v>40</v>
      </c>
      <c r="N1157" t="inlineStr">
        <is>
          <t>DIRECCION GENERAL BANCO BASE</t>
        </is>
      </c>
      <c r="O1157" t="n">
        <v>310</v>
      </c>
      <c r="P1157" t="inlineStr">
        <is>
          <t>DIRECCION DE TECNOLOGIA</t>
        </is>
      </c>
      <c r="Q1157" t="n">
        <v>3120</v>
      </c>
      <c r="R1157" t="inlineStr">
        <is>
          <t>DIRECCION DE INFRAESTRUCTURA</t>
        </is>
      </c>
      <c r="S1157" t="n">
        <v>31100</v>
      </c>
      <c r="T1157" t="inlineStr">
        <is>
          <t>DIRECCION DE OPERACIONES DE TI</t>
        </is>
      </c>
      <c r="U1157" t="n">
        <v>311000</v>
      </c>
      <c r="V1157" t="inlineStr">
        <is>
          <t>DIRECCION DE SOPORTE DE OPERACIONES TI</t>
        </is>
      </c>
      <c r="W1157" t="n">
        <v>126121</v>
      </c>
      <c r="X1157" t="inlineStr">
        <is>
          <t>CANCUN</t>
        </is>
      </c>
      <c r="Y1157" t="n">
        <v>4</v>
      </c>
      <c r="Z1157" t="inlineStr">
        <is>
          <t>CORPORATIVO</t>
        </is>
      </c>
      <c r="AA1157" t="n">
        <v>7</v>
      </c>
      <c r="AB1157" t="inlineStr">
        <is>
          <t>PROYECTO DARWIN</t>
        </is>
      </c>
      <c r="AC1157" t="n">
        <v>1</v>
      </c>
      <c r="AD1157" t="inlineStr">
        <is>
          <t>BANCO</t>
        </is>
      </c>
      <c r="AE1157" t="n">
        <v>1</v>
      </c>
      <c r="AF1157" t="inlineStr">
        <is>
          <t>BACK</t>
        </is>
      </c>
      <c r="AG1157" t="n">
        <v>126121</v>
      </c>
      <c r="AH1157" t="inlineStr">
        <is>
          <t>CANCUN</t>
        </is>
      </c>
      <c r="AI1157" t="inlineStr">
        <is>
          <t>AROMAN@BANCOBASE.COM</t>
        </is>
      </c>
      <c r="AJ1157" s="151" t="n">
        <v>45734</v>
      </c>
      <c r="AK1157" s="151" t="n"/>
      <c r="AL1157" s="151" t="n"/>
    </row>
    <row r="1158" hidden="1" s="150">
      <c r="A1158" t="inlineStr">
        <is>
          <t>HORTIZ</t>
        </is>
      </c>
      <c r="B1158" t="n">
        <v>3137</v>
      </c>
      <c r="C1158" t="inlineStr">
        <is>
          <t>HUGO ANDRES ORTIZ MARTINEZ</t>
        </is>
      </c>
      <c r="D1158" t="n">
        <v>8364</v>
      </c>
      <c r="E1158" t="inlineStr">
        <is>
          <t>SUBDIRECTOR DE SOLUCIONES DE INFRAESTRUCTURA</t>
        </is>
      </c>
      <c r="F1158" t="inlineStr">
        <is>
          <t>MEXICO</t>
        </is>
      </c>
      <c r="G1158" t="n">
        <v>3369</v>
      </c>
      <c r="H1158" t="inlineStr">
        <is>
          <t>ANTONIO ROMAN MONTEALEGRE</t>
        </is>
      </c>
      <c r="I1158" t="n">
        <v>9839</v>
      </c>
      <c r="J1158" t="inlineStr">
        <is>
          <t>DIRECTOR DE INFRAESTRUCTURA</t>
        </is>
      </c>
      <c r="K1158" t="n">
        <v>1</v>
      </c>
      <c r="L1158" t="inlineStr">
        <is>
          <t>PRESIDENCIA EJECUTIVA DEL CONSEJO</t>
        </is>
      </c>
      <c r="M1158" t="n">
        <v>40</v>
      </c>
      <c r="N1158" t="inlineStr">
        <is>
          <t>DIRECCION GENERAL BANCO BASE</t>
        </is>
      </c>
      <c r="O1158" t="n">
        <v>310</v>
      </c>
      <c r="P1158" t="inlineStr">
        <is>
          <t>DIRECCION DE TECNOLOGIA</t>
        </is>
      </c>
      <c r="Q1158" t="n">
        <v>3120</v>
      </c>
      <c r="R1158" t="inlineStr">
        <is>
          <t>DIRECCION DE INFRAESTRUCTURA</t>
        </is>
      </c>
      <c r="S1158" t="n">
        <v>31130</v>
      </c>
      <c r="T1158" t="inlineStr">
        <is>
          <t>SUBDIRECCION DE SOLUCIONES DE INFRAESTRUCTURA</t>
        </is>
      </c>
      <c r="U1158" t="n">
        <v>312000</v>
      </c>
      <c r="V1158" t="inlineStr">
        <is>
          <t>DIRECCION DE INFRAESTRUCTURA</t>
        </is>
      </c>
      <c r="W1158" t="n">
        <v>134111</v>
      </c>
      <c r="X1158" t="inlineStr">
        <is>
          <t>LOMAS</t>
        </is>
      </c>
      <c r="Y1158" t="n">
        <v>4</v>
      </c>
      <c r="Z1158" t="inlineStr">
        <is>
          <t>CORPORATIVO</t>
        </is>
      </c>
      <c r="AA1158" t="n">
        <v>8</v>
      </c>
      <c r="AB1158" t="inlineStr">
        <is>
          <t>BAU</t>
        </is>
      </c>
      <c r="AC1158" t="n">
        <v>1</v>
      </c>
      <c r="AD1158" t="inlineStr">
        <is>
          <t>BANCO</t>
        </is>
      </c>
      <c r="AE1158" t="n">
        <v>1</v>
      </c>
      <c r="AF1158" t="inlineStr">
        <is>
          <t>BACK</t>
        </is>
      </c>
      <c r="AG1158" t="n">
        <v>134111</v>
      </c>
      <c r="AH1158" t="inlineStr">
        <is>
          <t>LOMAS</t>
        </is>
      </c>
      <c r="AI1158" t="inlineStr">
        <is>
          <t>HORTIZ@BANCOBASE.COM</t>
        </is>
      </c>
      <c r="AJ1158" s="151" t="n">
        <v>45460</v>
      </c>
      <c r="AK1158" s="151" t="n"/>
      <c r="AL1158" s="151" t="n"/>
    </row>
    <row r="1159" hidden="1" s="150">
      <c r="A1159" t="inlineStr">
        <is>
          <t>GGUZMAN</t>
        </is>
      </c>
      <c r="B1159" t="n">
        <v>2501</v>
      </c>
      <c r="C1159" t="inlineStr">
        <is>
          <t>GUILLERMO JAVIER GUZMAN AMEZCUA</t>
        </is>
      </c>
      <c r="D1159" t="n">
        <v>8550</v>
      </c>
      <c r="E1159" t="inlineStr">
        <is>
          <t>LIDER DE VIRTUALIZACION Y RESPALDOS</t>
        </is>
      </c>
      <c r="F1159" t="inlineStr">
        <is>
          <t>MONTERREY</t>
        </is>
      </c>
      <c r="G1159" t="n">
        <v>3137</v>
      </c>
      <c r="H1159" t="inlineStr">
        <is>
          <t>HUGO ANDRES ORTIZ MARTINEZ</t>
        </is>
      </c>
      <c r="I1159" t="n">
        <v>8364</v>
      </c>
      <c r="J1159" t="inlineStr">
        <is>
          <t>SUBDIRECTOR DE SOLUCIONES DE INFRAESTRUCTURA</t>
        </is>
      </c>
      <c r="K1159" t="n">
        <v>1</v>
      </c>
      <c r="L1159" t="inlineStr">
        <is>
          <t>PRESIDENCIA EJECUTIVA DEL CONSEJO</t>
        </is>
      </c>
      <c r="M1159" t="n">
        <v>40</v>
      </c>
      <c r="N1159" t="inlineStr">
        <is>
          <t>DIRECCION GENERAL BANCO BASE</t>
        </is>
      </c>
      <c r="O1159" t="n">
        <v>310</v>
      </c>
      <c r="P1159" t="inlineStr">
        <is>
          <t>DIRECCION DE TECNOLOGIA</t>
        </is>
      </c>
      <c r="Q1159" t="n">
        <v>3120</v>
      </c>
      <c r="R1159" t="inlineStr">
        <is>
          <t>DIRECCION DE INFRAESTRUCTURA</t>
        </is>
      </c>
      <c r="S1159" t="n">
        <v>31130</v>
      </c>
      <c r="T1159" t="inlineStr">
        <is>
          <t>SUBDIRECCION DE SOLUCIONES DE INFRAESTRUCTURA</t>
        </is>
      </c>
      <c r="U1159" t="n">
        <v>312000</v>
      </c>
      <c r="V1159" t="inlineStr">
        <is>
          <t>DIRECCION DE INFRAESTRUCTURA</t>
        </is>
      </c>
      <c r="W1159" t="n">
        <v>100101</v>
      </c>
      <c r="X1159" t="inlineStr">
        <is>
          <t>CORPORATIVO</t>
        </is>
      </c>
      <c r="Y1159" t="n">
        <v>4</v>
      </c>
      <c r="Z1159" t="inlineStr">
        <is>
          <t>CORPORATIVO</t>
        </is>
      </c>
      <c r="AA1159" t="n">
        <v>8</v>
      </c>
      <c r="AB1159" t="inlineStr">
        <is>
          <t>BAU</t>
        </is>
      </c>
      <c r="AC1159" t="n">
        <v>1</v>
      </c>
      <c r="AD1159" t="inlineStr">
        <is>
          <t>BANCO</t>
        </is>
      </c>
      <c r="AE1159" t="n">
        <v>1</v>
      </c>
      <c r="AF1159" t="inlineStr">
        <is>
          <t>BACK</t>
        </is>
      </c>
      <c r="AG1159" t="n">
        <v>100101</v>
      </c>
      <c r="AH1159" t="inlineStr">
        <is>
          <t>CORPORATIVO</t>
        </is>
      </c>
      <c r="AI1159" t="inlineStr">
        <is>
          <t>GGUZMAN@BANCOBASE.COM</t>
        </is>
      </c>
      <c r="AJ1159" s="151" t="n">
        <v>44348</v>
      </c>
      <c r="AK1159" s="151" t="n"/>
      <c r="AL1159" s="151" t="n"/>
    </row>
    <row r="1160" hidden="1" s="150">
      <c r="A1160" t="inlineStr">
        <is>
          <t>EGARCIAR</t>
        </is>
      </c>
      <c r="B1160" t="n">
        <v>1616</v>
      </c>
      <c r="C1160" t="inlineStr">
        <is>
          <t>JUAN EDUARDO GARCIA ROSTRO</t>
        </is>
      </c>
      <c r="D1160" t="n">
        <v>8138</v>
      </c>
      <c r="E1160" t="inlineStr">
        <is>
          <t>ESPECIALISTA DE SERVIDORES VIRTUALIZACION</t>
        </is>
      </c>
      <c r="F1160" t="inlineStr">
        <is>
          <t>MONTERREY</t>
        </is>
      </c>
      <c r="G1160" t="n">
        <v>2501</v>
      </c>
      <c r="H1160" t="inlineStr">
        <is>
          <t>GUILLERMO JAVIER GUZMAN AMEZCUA</t>
        </is>
      </c>
      <c r="I1160" t="n">
        <v>8550</v>
      </c>
      <c r="J1160" t="inlineStr">
        <is>
          <t>LIDER DE VIRTUALIZACION Y RESPALDOS</t>
        </is>
      </c>
      <c r="K1160" t="n">
        <v>1</v>
      </c>
      <c r="L1160" t="inlineStr">
        <is>
          <t>PRESIDENCIA EJECUTIVA DEL CONSEJO</t>
        </is>
      </c>
      <c r="M1160" t="n">
        <v>40</v>
      </c>
      <c r="N1160" t="inlineStr">
        <is>
          <t>DIRECCION GENERAL BANCO BASE</t>
        </is>
      </c>
      <c r="O1160" t="n">
        <v>310</v>
      </c>
      <c r="P1160" t="inlineStr">
        <is>
          <t>DIRECCION DE TECNOLOGIA</t>
        </is>
      </c>
      <c r="Q1160" t="n">
        <v>3120</v>
      </c>
      <c r="R1160" t="inlineStr">
        <is>
          <t>DIRECCION DE INFRAESTRUCTURA</t>
        </is>
      </c>
      <c r="S1160" t="n">
        <v>31130</v>
      </c>
      <c r="T1160" t="inlineStr">
        <is>
          <t>SUBDIRECCION DE SOLUCIONES DE INFRAESTRUCTURA</t>
        </is>
      </c>
      <c r="U1160" t="n">
        <v>312000</v>
      </c>
      <c r="V1160" t="inlineStr">
        <is>
          <t>DIRECCION DE INFRAESTRUCTURA</t>
        </is>
      </c>
      <c r="W1160" t="n">
        <v>100101</v>
      </c>
      <c r="X1160" t="inlineStr">
        <is>
          <t>CORPORATIVO</t>
        </is>
      </c>
      <c r="Y1160" t="n">
        <v>4</v>
      </c>
      <c r="Z1160" t="inlineStr">
        <is>
          <t>CORPORATIVO</t>
        </is>
      </c>
      <c r="AA1160" t="n">
        <v>1</v>
      </c>
      <c r="AB1160" t="inlineStr">
        <is>
          <t>NEGOCIO EN MARCHA</t>
        </is>
      </c>
      <c r="AC1160" t="n">
        <v>1</v>
      </c>
      <c r="AD1160" t="inlineStr">
        <is>
          <t>BANCO</t>
        </is>
      </c>
      <c r="AE1160" t="n">
        <v>1</v>
      </c>
      <c r="AF1160" t="inlineStr">
        <is>
          <t>BACK</t>
        </is>
      </c>
      <c r="AG1160" t="n">
        <v>100101</v>
      </c>
      <c r="AH1160" t="inlineStr">
        <is>
          <t>CORPORATIVO</t>
        </is>
      </c>
      <c r="AI1160" t="inlineStr">
        <is>
          <t>EGARCIAR@BANCOBASE.COM</t>
        </is>
      </c>
      <c r="AJ1160" s="151" t="n">
        <v>42614</v>
      </c>
      <c r="AK1160" s="151" t="n"/>
      <c r="AL1160" s="151" t="n"/>
    </row>
    <row r="1161" hidden="1" s="150">
      <c r="A1161" t="inlineStr">
        <is>
          <t>JSEPULVED</t>
        </is>
      </c>
      <c r="B1161" t="n">
        <v>2490</v>
      </c>
      <c r="C1161" t="inlineStr">
        <is>
          <t>JOSE CARLOS SEPULVEDA LOPEZ</t>
        </is>
      </c>
      <c r="D1161" t="n">
        <v>9735</v>
      </c>
      <c r="E1161" t="inlineStr">
        <is>
          <t>ESPECIALISTA DE SERVIDORES</t>
        </is>
      </c>
      <c r="F1161" t="inlineStr">
        <is>
          <t>MONTERREY</t>
        </is>
      </c>
      <c r="G1161" t="n">
        <v>2501</v>
      </c>
      <c r="H1161" t="inlineStr">
        <is>
          <t>GUILLERMO JAVIER GUZMAN AMEZCUA</t>
        </is>
      </c>
      <c r="I1161" t="n">
        <v>8550</v>
      </c>
      <c r="J1161" t="inlineStr">
        <is>
          <t>LIDER DE VIRTUALIZACION Y RESPALDOS</t>
        </is>
      </c>
      <c r="K1161" t="n">
        <v>1</v>
      </c>
      <c r="L1161" t="inlineStr">
        <is>
          <t>PRESIDENCIA EJECUTIVA DEL CONSEJO</t>
        </is>
      </c>
      <c r="M1161" t="n">
        <v>40</v>
      </c>
      <c r="N1161" t="inlineStr">
        <is>
          <t>DIRECCION GENERAL BANCO BASE</t>
        </is>
      </c>
      <c r="O1161" t="n">
        <v>310</v>
      </c>
      <c r="P1161" t="inlineStr">
        <is>
          <t>DIRECCION DE TECNOLOGIA</t>
        </is>
      </c>
      <c r="Q1161" t="n">
        <v>3120</v>
      </c>
      <c r="R1161" t="inlineStr">
        <is>
          <t>DIRECCION DE INFRAESTRUCTURA</t>
        </is>
      </c>
      <c r="S1161" t="n">
        <v>31130</v>
      </c>
      <c r="T1161" t="inlineStr">
        <is>
          <t>SUBDIRECCION DE SOLUCIONES DE INFRAESTRUCTURA</t>
        </is>
      </c>
      <c r="U1161" t="n">
        <v>312000</v>
      </c>
      <c r="V1161" t="inlineStr">
        <is>
          <t>DIRECCION DE INFRAESTRUCTURA</t>
        </is>
      </c>
      <c r="W1161" t="n">
        <v>100101</v>
      </c>
      <c r="X1161" t="inlineStr">
        <is>
          <t>CORPORATIVO</t>
        </is>
      </c>
      <c r="Y1161" t="n">
        <v>4</v>
      </c>
      <c r="Z1161" t="inlineStr">
        <is>
          <t>CORPORATIVO</t>
        </is>
      </c>
      <c r="AA1161" t="n">
        <v>1</v>
      </c>
      <c r="AB1161" t="inlineStr">
        <is>
          <t>NEGOCIO EN MARCHA</t>
        </is>
      </c>
      <c r="AC1161" t="n">
        <v>1</v>
      </c>
      <c r="AD1161" t="inlineStr">
        <is>
          <t>BANCO</t>
        </is>
      </c>
      <c r="AE1161" t="n">
        <v>1</v>
      </c>
      <c r="AF1161" t="inlineStr">
        <is>
          <t>BACK</t>
        </is>
      </c>
      <c r="AG1161" t="n">
        <v>100101</v>
      </c>
      <c r="AH1161" t="inlineStr">
        <is>
          <t>CORPORATIVO</t>
        </is>
      </c>
      <c r="AI1161" t="inlineStr">
        <is>
          <t>JSEPULVED@BANCOBASE.COM</t>
        </is>
      </c>
      <c r="AJ1161" s="151" t="n">
        <v>44302</v>
      </c>
      <c r="AK1161" s="151" t="n"/>
      <c r="AL1161" s="151" t="n"/>
    </row>
    <row r="1162" hidden="1" s="150">
      <c r="A1162" t="inlineStr">
        <is>
          <t>PESCARENO</t>
        </is>
      </c>
      <c r="B1162" t="n">
        <v>2943</v>
      </c>
      <c r="C1162" t="inlineStr">
        <is>
          <t>PARIS ALEJANDRO ESCAREÑO SEGOVIA</t>
        </is>
      </c>
      <c r="D1162" t="n">
        <v>8214</v>
      </c>
      <c r="E1162" t="inlineStr">
        <is>
          <t>ANALISTA DE MONITOREO E INFRAESTRUCTURA</t>
        </is>
      </c>
      <c r="F1162" t="inlineStr">
        <is>
          <t>MONTERREY</t>
        </is>
      </c>
      <c r="G1162" t="n">
        <v>2501</v>
      </c>
      <c r="H1162" t="inlineStr">
        <is>
          <t>GUILLERMO JAVIER GUZMAN AMEZCUA</t>
        </is>
      </c>
      <c r="I1162" t="n">
        <v>8550</v>
      </c>
      <c r="J1162" t="inlineStr">
        <is>
          <t>LIDER DE VIRTUALIZACION Y RESPALDOS</t>
        </is>
      </c>
      <c r="K1162" t="n">
        <v>1</v>
      </c>
      <c r="L1162" t="inlineStr">
        <is>
          <t>PRESIDENCIA EJECUTIVA DEL CONSEJO</t>
        </is>
      </c>
      <c r="M1162" t="n">
        <v>40</v>
      </c>
      <c r="N1162" t="inlineStr">
        <is>
          <t>DIRECCION GENERAL BANCO BASE</t>
        </is>
      </c>
      <c r="O1162" t="n">
        <v>310</v>
      </c>
      <c r="P1162" t="inlineStr">
        <is>
          <t>DIRECCION DE TECNOLOGIA</t>
        </is>
      </c>
      <c r="Q1162" t="n">
        <v>3120</v>
      </c>
      <c r="R1162" t="inlineStr">
        <is>
          <t>DIRECCION DE INFRAESTRUCTURA</t>
        </is>
      </c>
      <c r="S1162" t="n">
        <v>31130</v>
      </c>
      <c r="T1162" t="inlineStr">
        <is>
          <t>SUBDIRECCION DE SOLUCIONES DE INFRAESTRUCTURA</t>
        </is>
      </c>
      <c r="U1162" t="n">
        <v>312000</v>
      </c>
      <c r="V1162" t="inlineStr">
        <is>
          <t>DIRECCION DE INFRAESTRUCTURA</t>
        </is>
      </c>
      <c r="W1162" t="n">
        <v>100101</v>
      </c>
      <c r="X1162" t="inlineStr">
        <is>
          <t>CORPORATIVO</t>
        </is>
      </c>
      <c r="Y1162" t="n">
        <v>4</v>
      </c>
      <c r="Z1162" t="inlineStr">
        <is>
          <t>CORPORATIVO</t>
        </is>
      </c>
      <c r="AA1162" t="n">
        <v>1</v>
      </c>
      <c r="AB1162" t="inlineStr">
        <is>
          <t>NEGOCIO EN MARCHA</t>
        </is>
      </c>
      <c r="AC1162" t="n">
        <v>1</v>
      </c>
      <c r="AD1162" t="inlineStr">
        <is>
          <t>BANCO</t>
        </is>
      </c>
      <c r="AE1162" t="n">
        <v>1</v>
      </c>
      <c r="AF1162" t="inlineStr">
        <is>
          <t>BACK</t>
        </is>
      </c>
      <c r="AG1162" t="n">
        <v>100101</v>
      </c>
      <c r="AH1162" t="inlineStr">
        <is>
          <t>CORPORATIVO</t>
        </is>
      </c>
      <c r="AI1162" t="inlineStr">
        <is>
          <t>PESCARENO@BANCOBASE.COM</t>
        </is>
      </c>
      <c r="AJ1162" s="151" t="n">
        <v>45170</v>
      </c>
      <c r="AK1162" s="151" t="n"/>
      <c r="AL1162" s="151" t="n"/>
    </row>
    <row r="1163" hidden="1" s="150">
      <c r="A1163" t="inlineStr">
        <is>
          <t>LHERRERA</t>
        </is>
      </c>
      <c r="B1163" t="n">
        <v>3577</v>
      </c>
      <c r="C1163" t="inlineStr">
        <is>
          <t>LUIS ANGEL HERRERA VEGA</t>
        </is>
      </c>
      <c r="D1163" t="n">
        <v>9914</v>
      </c>
      <c r="E1163" t="inlineStr">
        <is>
          <t>GERENTE ADMINISTRACION BASE DE DATOS</t>
        </is>
      </c>
      <c r="F1163" t="inlineStr">
        <is>
          <t>MONTERREY</t>
        </is>
      </c>
      <c r="G1163" t="n">
        <v>3137</v>
      </c>
      <c r="H1163" t="inlineStr">
        <is>
          <t>HUGO ANDRES ORTIZ MARTINEZ</t>
        </is>
      </c>
      <c r="I1163" t="n">
        <v>8364</v>
      </c>
      <c r="J1163" t="inlineStr">
        <is>
          <t>SUBDIRECTOR DE SOLUCIONES DE INFRAESTRUCTURA</t>
        </is>
      </c>
      <c r="K1163" t="n">
        <v>1</v>
      </c>
      <c r="L1163" t="inlineStr">
        <is>
          <t>PRESIDENCIA EJECUTIVA DEL CONSEJO</t>
        </is>
      </c>
      <c r="M1163" t="n">
        <v>40</v>
      </c>
      <c r="N1163" t="inlineStr">
        <is>
          <t>DIRECCION GENERAL BANCO BASE</t>
        </is>
      </c>
      <c r="O1163" t="n">
        <v>310</v>
      </c>
      <c r="P1163" t="inlineStr">
        <is>
          <t>DIRECCION DE TECNOLOGIA</t>
        </is>
      </c>
      <c r="Q1163" t="n">
        <v>3120</v>
      </c>
      <c r="R1163" t="inlineStr">
        <is>
          <t>DIRECCION DE INFRAESTRUCTURA</t>
        </is>
      </c>
      <c r="S1163" t="n">
        <v>31130</v>
      </c>
      <c r="T1163" t="inlineStr">
        <is>
          <t>SUBDIRECCION DE SOLUCIONES DE INFRAESTRUCTURA</t>
        </is>
      </c>
      <c r="U1163" t="n">
        <v>312000</v>
      </c>
      <c r="V1163" t="inlineStr">
        <is>
          <t>DIRECCION DE INFRAESTRUCTURA</t>
        </is>
      </c>
      <c r="W1163" t="n">
        <v>100101</v>
      </c>
      <c r="X1163" t="inlineStr">
        <is>
          <t>CORPORATIVO</t>
        </is>
      </c>
      <c r="Y1163" t="n">
        <v>4</v>
      </c>
      <c r="Z1163" t="inlineStr">
        <is>
          <t>CORPORATIVO</t>
        </is>
      </c>
      <c r="AA1163" t="n">
        <v>1</v>
      </c>
      <c r="AB1163" t="inlineStr">
        <is>
          <t>NEGOCIO EN MARCHA</t>
        </is>
      </c>
      <c r="AC1163" t="n">
        <v>1</v>
      </c>
      <c r="AD1163" t="inlineStr">
        <is>
          <t>BANCO</t>
        </is>
      </c>
      <c r="AE1163" t="n">
        <v>1</v>
      </c>
      <c r="AF1163" t="inlineStr">
        <is>
          <t>BACK</t>
        </is>
      </c>
      <c r="AG1163" t="n">
        <v>100101</v>
      </c>
      <c r="AH1163" t="inlineStr">
        <is>
          <t>CORPORATIVO</t>
        </is>
      </c>
      <c r="AI1163" t="inlineStr">
        <is>
          <t>LHERRERA@BANCOBASE.COM</t>
        </is>
      </c>
      <c r="AJ1163" s="151" t="n">
        <v>45917</v>
      </c>
      <c r="AK1163" s="151" t="n"/>
      <c r="AL1163" s="151" t="n"/>
    </row>
    <row r="1164" hidden="1" s="150">
      <c r="A1164" t="inlineStr">
        <is>
          <t>AMELO</t>
        </is>
      </c>
      <c r="B1164" t="n">
        <v>3028</v>
      </c>
      <c r="C1164" t="inlineStr">
        <is>
          <t>ANGEL ALEJANDRO MELO PINEDA</t>
        </is>
      </c>
      <c r="D1164" t="n">
        <v>10185</v>
      </c>
      <c r="E1164" t="inlineStr">
        <is>
          <t>ESPECIALISTA ADMINISTRACION BASE DE DATOS</t>
        </is>
      </c>
      <c r="F1164" t="inlineStr">
        <is>
          <t>MONTERREY</t>
        </is>
      </c>
      <c r="G1164" t="n">
        <v>3577</v>
      </c>
      <c r="H1164" t="inlineStr">
        <is>
          <t>LUIS ANGEL HERRERA VEGA</t>
        </is>
      </c>
      <c r="I1164" t="n">
        <v>9914</v>
      </c>
      <c r="J1164" t="inlineStr">
        <is>
          <t>GERENTE ADMINISTRACION BASE DE DATOS</t>
        </is>
      </c>
      <c r="K1164" t="n">
        <v>1</v>
      </c>
      <c r="L1164" t="inlineStr">
        <is>
          <t>PRESIDENCIA EJECUTIVA DEL CONSEJO</t>
        </is>
      </c>
      <c r="M1164" t="n">
        <v>40</v>
      </c>
      <c r="N1164" t="inlineStr">
        <is>
          <t>DIRECCION GENERAL BANCO BASE</t>
        </is>
      </c>
      <c r="O1164" t="n">
        <v>310</v>
      </c>
      <c r="P1164" t="inlineStr">
        <is>
          <t>DIRECCION DE TECNOLOGIA</t>
        </is>
      </c>
      <c r="Q1164" t="n">
        <v>3120</v>
      </c>
      <c r="R1164" t="inlineStr">
        <is>
          <t>DIRECCION DE INFRAESTRUCTURA</t>
        </is>
      </c>
      <c r="S1164" t="n">
        <v>31130</v>
      </c>
      <c r="T1164" t="inlineStr">
        <is>
          <t>SUBDIRECCION DE SOLUCIONES DE INFRAESTRUCTURA</t>
        </is>
      </c>
      <c r="U1164" t="n">
        <v>312000</v>
      </c>
      <c r="V1164" t="inlineStr">
        <is>
          <t>DIRECCION DE INFRAESTRUCTURA</t>
        </is>
      </c>
      <c r="W1164" t="n">
        <v>100101</v>
      </c>
      <c r="X1164" t="inlineStr">
        <is>
          <t>CORPORATIVO</t>
        </is>
      </c>
      <c r="Y1164" t="n">
        <v>4</v>
      </c>
      <c r="Z1164" t="inlineStr">
        <is>
          <t>CORPORATIVO</t>
        </is>
      </c>
      <c r="AA1164" t="n">
        <v>1</v>
      </c>
      <c r="AB1164" t="inlineStr">
        <is>
          <t>NEGOCIO EN MARCHA</t>
        </is>
      </c>
      <c r="AC1164" t="n">
        <v>1</v>
      </c>
      <c r="AD1164" t="inlineStr">
        <is>
          <t>BANCO</t>
        </is>
      </c>
      <c r="AE1164" t="n">
        <v>1</v>
      </c>
      <c r="AF1164" t="inlineStr">
        <is>
          <t>BACK</t>
        </is>
      </c>
      <c r="AG1164" t="n">
        <v>100101</v>
      </c>
      <c r="AH1164" t="inlineStr">
        <is>
          <t>CORPORATIVO</t>
        </is>
      </c>
      <c r="AI1164" t="inlineStr">
        <is>
          <t>AMELO@BANCOBASE.COM</t>
        </is>
      </c>
      <c r="AJ1164" s="151" t="n">
        <v>45328</v>
      </c>
      <c r="AK1164" s="151" t="n"/>
      <c r="AL1164" s="151" t="n"/>
    </row>
    <row r="1165" hidden="1" s="150">
      <c r="A1165" t="inlineStr">
        <is>
          <t>IHERNANDEP</t>
        </is>
      </c>
      <c r="B1165" t="n">
        <v>2531</v>
      </c>
      <c r="C1165" t="inlineStr">
        <is>
          <t>ISMAEL HERNANDEZ PEREZ</t>
        </is>
      </c>
      <c r="D1165" t="n">
        <v>10355</v>
      </c>
      <c r="E1165" t="inlineStr">
        <is>
          <t>ESPECIALISTA ADMINISTRACION BASE DE DATOS</t>
        </is>
      </c>
      <c r="F1165" t="inlineStr">
        <is>
          <t>MONTERREY</t>
        </is>
      </c>
      <c r="G1165" t="n">
        <v>3577</v>
      </c>
      <c r="H1165" t="inlineStr">
        <is>
          <t>LUIS ANGEL HERRERA VEGA</t>
        </is>
      </c>
      <c r="I1165" t="n">
        <v>9914</v>
      </c>
      <c r="J1165" t="inlineStr">
        <is>
          <t>GERENTE ADMINISTRACION BASE DE DATOS</t>
        </is>
      </c>
      <c r="K1165" t="n">
        <v>1</v>
      </c>
      <c r="L1165" t="inlineStr">
        <is>
          <t>PRESIDENCIA EJECUTIVA DEL CONSEJO</t>
        </is>
      </c>
      <c r="M1165" t="n">
        <v>40</v>
      </c>
      <c r="N1165" t="inlineStr">
        <is>
          <t>DIRECCION GENERAL BANCO BASE</t>
        </is>
      </c>
      <c r="O1165" t="n">
        <v>310</v>
      </c>
      <c r="P1165" t="inlineStr">
        <is>
          <t>DIRECCION DE TECNOLOGIA</t>
        </is>
      </c>
      <c r="Q1165" t="n">
        <v>3120</v>
      </c>
      <c r="R1165" t="inlineStr">
        <is>
          <t>DIRECCION DE INFRAESTRUCTURA</t>
        </is>
      </c>
      <c r="S1165" t="n">
        <v>31130</v>
      </c>
      <c r="T1165" t="inlineStr">
        <is>
          <t>SUBDIRECCION DE SOLUCIONES DE INFRAESTRUCTURA</t>
        </is>
      </c>
      <c r="U1165" t="n">
        <v>312000</v>
      </c>
      <c r="V1165" t="inlineStr">
        <is>
          <t>DIRECCION DE INFRAESTRUCTURA</t>
        </is>
      </c>
      <c r="W1165" t="n">
        <v>100101</v>
      </c>
      <c r="X1165" t="inlineStr">
        <is>
          <t>CORPORATIVO</t>
        </is>
      </c>
      <c r="Y1165" t="n">
        <v>4</v>
      </c>
      <c r="Z1165" t="inlineStr">
        <is>
          <t>CORPORATIVO</t>
        </is>
      </c>
      <c r="AA1165" t="n">
        <v>1</v>
      </c>
      <c r="AB1165" t="inlineStr">
        <is>
          <t>NEGOCIO EN MARCHA</t>
        </is>
      </c>
      <c r="AC1165" t="n">
        <v>1</v>
      </c>
      <c r="AD1165" t="inlineStr">
        <is>
          <t>BANCO</t>
        </is>
      </c>
      <c r="AE1165" t="n">
        <v>1</v>
      </c>
      <c r="AF1165" t="inlineStr">
        <is>
          <t>BACK</t>
        </is>
      </c>
      <c r="AG1165" t="n">
        <v>100101</v>
      </c>
      <c r="AH1165" t="inlineStr">
        <is>
          <t>CORPORATIVO</t>
        </is>
      </c>
      <c r="AI1165" t="inlineStr">
        <is>
          <t>IHERNANDEP@BANCOBASE.COM</t>
        </is>
      </c>
      <c r="AJ1165" s="151" t="n">
        <v>44409</v>
      </c>
      <c r="AK1165" s="151" t="n"/>
      <c r="AL1165" s="151" t="n"/>
    </row>
    <row r="1166" hidden="1" s="150">
      <c r="A1166" t="inlineStr">
        <is>
          <t>JLIMONES</t>
        </is>
      </c>
      <c r="B1166" t="n">
        <v>2690</v>
      </c>
      <c r="C1166" t="inlineStr">
        <is>
          <t>JORGE DAVID LIMONES HERNANDEZ</t>
        </is>
      </c>
      <c r="D1166" t="n">
        <v>10372</v>
      </c>
      <c r="E1166" t="inlineStr">
        <is>
          <t>ESPECIALISTA ADMINISTRACION BASE DE DATOS</t>
        </is>
      </c>
      <c r="F1166" t="inlineStr">
        <is>
          <t>MONTERREY</t>
        </is>
      </c>
      <c r="G1166" t="n">
        <v>3577</v>
      </c>
      <c r="H1166" t="inlineStr">
        <is>
          <t>LUIS ANGEL HERRERA VEGA</t>
        </is>
      </c>
      <c r="I1166" t="n">
        <v>9914</v>
      </c>
      <c r="J1166" t="inlineStr">
        <is>
          <t>GERENTE ADMINISTRACION BASE DE DATOS</t>
        </is>
      </c>
      <c r="K1166" t="n">
        <v>1</v>
      </c>
      <c r="L1166" t="inlineStr">
        <is>
          <t>PRESIDENCIA EJECUTIVA DEL CONSEJO</t>
        </is>
      </c>
      <c r="M1166" t="n">
        <v>40</v>
      </c>
      <c r="N1166" t="inlineStr">
        <is>
          <t>DIRECCION GENERAL BANCO BASE</t>
        </is>
      </c>
      <c r="O1166" t="n">
        <v>310</v>
      </c>
      <c r="P1166" t="inlineStr">
        <is>
          <t>DIRECCION DE TECNOLOGIA</t>
        </is>
      </c>
      <c r="Q1166" t="n">
        <v>3120</v>
      </c>
      <c r="R1166" t="inlineStr">
        <is>
          <t>DIRECCION DE INFRAESTRUCTURA</t>
        </is>
      </c>
      <c r="S1166" t="n">
        <v>31130</v>
      </c>
      <c r="T1166" t="inlineStr">
        <is>
          <t>SUBDIRECCION DE SOLUCIONES DE INFRAESTRUCTURA</t>
        </is>
      </c>
      <c r="U1166" t="n">
        <v>312000</v>
      </c>
      <c r="V1166" t="inlineStr">
        <is>
          <t>DIRECCION DE INFRAESTRUCTURA</t>
        </is>
      </c>
      <c r="W1166" t="n">
        <v>100101</v>
      </c>
      <c r="X1166" t="inlineStr">
        <is>
          <t>CORPORATIVO</t>
        </is>
      </c>
      <c r="Y1166" t="n">
        <v>4</v>
      </c>
      <c r="Z1166" t="inlineStr">
        <is>
          <t>CORPORATIVO</t>
        </is>
      </c>
      <c r="AA1166" t="n">
        <v>1</v>
      </c>
      <c r="AB1166" t="inlineStr">
        <is>
          <t>NEGOCIO EN MARCHA</t>
        </is>
      </c>
      <c r="AC1166" t="n">
        <v>1</v>
      </c>
      <c r="AD1166" t="inlineStr">
        <is>
          <t>BANCO</t>
        </is>
      </c>
      <c r="AE1166" t="n">
        <v>1</v>
      </c>
      <c r="AF1166" t="inlineStr">
        <is>
          <t>BACK</t>
        </is>
      </c>
      <c r="AG1166" t="n">
        <v>100101</v>
      </c>
      <c r="AH1166" t="inlineStr">
        <is>
          <t>CORPORATIVO</t>
        </is>
      </c>
      <c r="AI1166" t="inlineStr">
        <is>
          <t>JLIMONES@BANCOBASE.COM</t>
        </is>
      </c>
      <c r="AJ1166" s="151" t="n">
        <v>44758</v>
      </c>
      <c r="AK1166" s="151" t="n"/>
      <c r="AL1166" s="151" t="n"/>
    </row>
    <row r="1167" hidden="1" s="150">
      <c r="A1167" t="inlineStr">
        <is>
          <t>URODRIGUEZ</t>
        </is>
      </c>
      <c r="B1167" t="n">
        <v>3354</v>
      </c>
      <c r="C1167" t="inlineStr">
        <is>
          <t>URIEL ALEJANDRO RODRIGUEZ MEDINA</t>
        </is>
      </c>
      <c r="D1167" t="n">
        <v>8555</v>
      </c>
      <c r="E1167" t="inlineStr">
        <is>
          <t>ESPECIALISTA ADMINISTRACION BASE DE DATOS</t>
        </is>
      </c>
      <c r="F1167" t="inlineStr">
        <is>
          <t>MONTERREY</t>
        </is>
      </c>
      <c r="G1167" t="n">
        <v>3577</v>
      </c>
      <c r="H1167" t="inlineStr">
        <is>
          <t>LUIS ANGEL HERRERA VEGA</t>
        </is>
      </c>
      <c r="I1167" t="n">
        <v>9914</v>
      </c>
      <c r="J1167" t="inlineStr">
        <is>
          <t>GERENTE ADMINISTRACION BASE DE DATOS</t>
        </is>
      </c>
      <c r="K1167" t="n">
        <v>1</v>
      </c>
      <c r="L1167" t="inlineStr">
        <is>
          <t>PRESIDENCIA EJECUTIVA DEL CONSEJO</t>
        </is>
      </c>
      <c r="M1167" t="n">
        <v>40</v>
      </c>
      <c r="N1167" t="inlineStr">
        <is>
          <t>DIRECCION GENERAL BANCO BASE</t>
        </is>
      </c>
      <c r="O1167" t="n">
        <v>310</v>
      </c>
      <c r="P1167" t="inlineStr">
        <is>
          <t>DIRECCION DE TECNOLOGIA</t>
        </is>
      </c>
      <c r="Q1167" t="n">
        <v>3120</v>
      </c>
      <c r="R1167" t="inlineStr">
        <is>
          <t>DIRECCION DE INFRAESTRUCTURA</t>
        </is>
      </c>
      <c r="S1167" t="n">
        <v>31130</v>
      </c>
      <c r="T1167" t="inlineStr">
        <is>
          <t>SUBDIRECCION DE SOLUCIONES DE INFRAESTRUCTURA</t>
        </is>
      </c>
      <c r="U1167" t="n">
        <v>312000</v>
      </c>
      <c r="V1167" t="inlineStr">
        <is>
          <t>DIRECCION DE INFRAESTRUCTURA</t>
        </is>
      </c>
      <c r="W1167" t="n">
        <v>100101</v>
      </c>
      <c r="X1167" t="inlineStr">
        <is>
          <t>CORPORATIVO</t>
        </is>
      </c>
      <c r="Y1167" t="n">
        <v>4</v>
      </c>
      <c r="Z1167" t="inlineStr">
        <is>
          <t>CORPORATIVO</t>
        </is>
      </c>
      <c r="AA1167" t="n">
        <v>7</v>
      </c>
      <c r="AB1167" t="inlineStr">
        <is>
          <t>PROYECTO DARWIN</t>
        </is>
      </c>
      <c r="AC1167" t="n">
        <v>1</v>
      </c>
      <c r="AD1167" t="inlineStr">
        <is>
          <t>BANCO</t>
        </is>
      </c>
      <c r="AE1167" t="n">
        <v>1</v>
      </c>
      <c r="AF1167" t="inlineStr">
        <is>
          <t>BACK</t>
        </is>
      </c>
      <c r="AG1167" t="n">
        <v>100101</v>
      </c>
      <c r="AH1167" t="inlineStr">
        <is>
          <t>CORPORATIVO</t>
        </is>
      </c>
      <c r="AI1167" t="inlineStr">
        <is>
          <t>URODRIGUEZ@BANCOBASE.COM</t>
        </is>
      </c>
      <c r="AJ1167" s="151" t="n">
        <v>45719</v>
      </c>
      <c r="AK1167" s="151" t="n"/>
      <c r="AL1167" s="151" t="n"/>
    </row>
    <row r="1168" hidden="1" s="150">
      <c r="A1168" t="inlineStr">
        <is>
          <t>ARAMIREZM</t>
        </is>
      </c>
      <c r="B1168" t="n">
        <v>2803</v>
      </c>
      <c r="C1168" t="inlineStr">
        <is>
          <t>MARCO ANTONIO RAMIREZ RAMOS</t>
        </is>
      </c>
      <c r="D1168" t="n">
        <v>8045</v>
      </c>
      <c r="E1168" t="inlineStr">
        <is>
          <t>DBA SR</t>
        </is>
      </c>
      <c r="F1168" t="inlineStr">
        <is>
          <t>MEXICO</t>
        </is>
      </c>
      <c r="G1168" t="n">
        <v>3577</v>
      </c>
      <c r="H1168" t="inlineStr">
        <is>
          <t>LUIS ANGEL HERRERA VEGA</t>
        </is>
      </c>
      <c r="I1168" t="n">
        <v>9914</v>
      </c>
      <c r="J1168" t="inlineStr">
        <is>
          <t>GERENTE ADMINISTRACION BASE DE DATOS</t>
        </is>
      </c>
      <c r="K1168" t="n">
        <v>1</v>
      </c>
      <c r="L1168" t="inlineStr">
        <is>
          <t>PRESIDENCIA EJECUTIVA DEL CONSEJO</t>
        </is>
      </c>
      <c r="M1168" t="n">
        <v>40</v>
      </c>
      <c r="N1168" t="inlineStr">
        <is>
          <t>DIRECCION GENERAL BANCO BASE</t>
        </is>
      </c>
      <c r="O1168" t="n">
        <v>310</v>
      </c>
      <c r="P1168" t="inlineStr">
        <is>
          <t>DIRECCION DE TECNOLOGIA</t>
        </is>
      </c>
      <c r="Q1168" t="n">
        <v>3120</v>
      </c>
      <c r="R1168" t="inlineStr">
        <is>
          <t>DIRECCION DE INFRAESTRUCTURA</t>
        </is>
      </c>
      <c r="S1168" t="n">
        <v>31130</v>
      </c>
      <c r="T1168" t="inlineStr">
        <is>
          <t>SUBDIRECCION DE SOLUCIONES DE INFRAESTRUCTURA</t>
        </is>
      </c>
      <c r="U1168" t="n">
        <v>312000</v>
      </c>
      <c r="V1168" t="inlineStr">
        <is>
          <t>DIRECCION DE INFRAESTRUCTURA</t>
        </is>
      </c>
      <c r="W1168" t="n">
        <v>134111</v>
      </c>
      <c r="X1168" t="inlineStr">
        <is>
          <t>LOMAS</t>
        </is>
      </c>
      <c r="Y1168" t="n">
        <v>4</v>
      </c>
      <c r="Z1168" t="inlineStr">
        <is>
          <t>CORPORATIVO</t>
        </is>
      </c>
      <c r="AA1168" t="n">
        <v>1</v>
      </c>
      <c r="AB1168" t="inlineStr">
        <is>
          <t>NEGOCIO EN MARCHA</t>
        </is>
      </c>
      <c r="AC1168" t="n">
        <v>1</v>
      </c>
      <c r="AD1168" t="inlineStr">
        <is>
          <t>BANCO</t>
        </is>
      </c>
      <c r="AE1168" t="n">
        <v>1</v>
      </c>
      <c r="AF1168" t="inlineStr">
        <is>
          <t>BACK</t>
        </is>
      </c>
      <c r="AG1168" t="n">
        <v>134111</v>
      </c>
      <c r="AH1168" t="inlineStr">
        <is>
          <t>LOMAS</t>
        </is>
      </c>
      <c r="AI1168" t="inlineStr">
        <is>
          <t>ARAMIREZM@BANCOBASE.COM</t>
        </is>
      </c>
      <c r="AJ1168" s="151" t="n">
        <v>44935</v>
      </c>
      <c r="AK1168" s="151" t="n"/>
      <c r="AL1168" s="151" t="n"/>
    </row>
    <row r="1169" hidden="1" s="150">
      <c r="A1169" t="inlineStr">
        <is>
          <t>HSANCHEZ</t>
        </is>
      </c>
      <c r="B1169" t="n">
        <v>3177</v>
      </c>
      <c r="C1169" t="inlineStr">
        <is>
          <t>HUGO SANCHEZ MACIAS</t>
        </is>
      </c>
      <c r="D1169" t="n">
        <v>8402</v>
      </c>
      <c r="E1169" t="inlineStr">
        <is>
          <t>DBA SR</t>
        </is>
      </c>
      <c r="F1169" t="inlineStr">
        <is>
          <t>GUADALAJARA</t>
        </is>
      </c>
      <c r="G1169" t="n">
        <v>3577</v>
      </c>
      <c r="H1169" t="inlineStr">
        <is>
          <t>LUIS ANGEL HERRERA VEGA</t>
        </is>
      </c>
      <c r="I1169" t="n">
        <v>9914</v>
      </c>
      <c r="J1169" t="inlineStr">
        <is>
          <t>GERENTE ADMINISTRACION BASE DE DATOS</t>
        </is>
      </c>
      <c r="K1169" t="n">
        <v>1</v>
      </c>
      <c r="L1169" t="inlineStr">
        <is>
          <t>PRESIDENCIA EJECUTIVA DEL CONSEJO</t>
        </is>
      </c>
      <c r="M1169" t="n">
        <v>40</v>
      </c>
      <c r="N1169" t="inlineStr">
        <is>
          <t>DIRECCION GENERAL BANCO BASE</t>
        </is>
      </c>
      <c r="O1169" t="n">
        <v>310</v>
      </c>
      <c r="P1169" t="inlineStr">
        <is>
          <t>DIRECCION DE TECNOLOGIA</t>
        </is>
      </c>
      <c r="Q1169" t="n">
        <v>3120</v>
      </c>
      <c r="R1169" t="inlineStr">
        <is>
          <t>DIRECCION DE INFRAESTRUCTURA</t>
        </is>
      </c>
      <c r="S1169" t="n">
        <v>31130</v>
      </c>
      <c r="T1169" t="inlineStr">
        <is>
          <t>SUBDIRECCION DE SOLUCIONES DE INFRAESTRUCTURA</t>
        </is>
      </c>
      <c r="U1169" t="n">
        <v>312000</v>
      </c>
      <c r="V1169" t="inlineStr">
        <is>
          <t>DIRECCION DE INFRAESTRUCTURA</t>
        </is>
      </c>
      <c r="W1169" t="n">
        <v>126107</v>
      </c>
      <c r="X1169" t="inlineStr">
        <is>
          <t>GUADALAJARA</t>
        </is>
      </c>
      <c r="Y1169" t="n">
        <v>4</v>
      </c>
      <c r="Z1169" t="inlineStr">
        <is>
          <t>CORPORATIVO</t>
        </is>
      </c>
      <c r="AA1169" t="n">
        <v>8</v>
      </c>
      <c r="AB1169" t="inlineStr">
        <is>
          <t>BAU</t>
        </is>
      </c>
      <c r="AC1169" t="n">
        <v>1</v>
      </c>
      <c r="AD1169" t="inlineStr">
        <is>
          <t>BANCO</t>
        </is>
      </c>
      <c r="AE1169" t="n">
        <v>1</v>
      </c>
      <c r="AF1169" t="inlineStr">
        <is>
          <t>BACK</t>
        </is>
      </c>
      <c r="AG1169" t="n">
        <v>126107</v>
      </c>
      <c r="AH1169" t="inlineStr">
        <is>
          <t>GUADALAJARA</t>
        </is>
      </c>
      <c r="AI1169" t="inlineStr">
        <is>
          <t>HSANCHEZ@BANCOBASE.COM</t>
        </is>
      </c>
      <c r="AJ1169" s="151" t="n">
        <v>45505</v>
      </c>
      <c r="AK1169" s="151" t="n"/>
      <c r="AL1169" s="151" t="n"/>
    </row>
    <row r="1170" hidden="1" s="150">
      <c r="A1170" t="inlineStr">
        <is>
          <t>JLOPEZP</t>
        </is>
      </c>
      <c r="B1170" t="n">
        <v>3903</v>
      </c>
      <c r="C1170" t="inlineStr">
        <is>
          <t>JORGE GABRIEL LOPEZ PARAMOUNT</t>
        </is>
      </c>
      <c r="D1170" t="n">
        <v>8401</v>
      </c>
      <c r="E1170" t="inlineStr">
        <is>
          <t>DBA SR</t>
        </is>
      </c>
      <c r="F1170" t="inlineStr">
        <is>
          <t>GUADALAJARA</t>
        </is>
      </c>
      <c r="G1170" t="n">
        <v>3577</v>
      </c>
      <c r="H1170" t="inlineStr">
        <is>
          <t>LUIS ANGEL HERRERA VEGA</t>
        </is>
      </c>
      <c r="I1170" t="n">
        <v>9914</v>
      </c>
      <c r="J1170" t="inlineStr">
        <is>
          <t>GERENTE ADMINISTRACION BASE DE DATOS</t>
        </is>
      </c>
      <c r="K1170" t="n">
        <v>1</v>
      </c>
      <c r="L1170" t="inlineStr">
        <is>
          <t>PRESIDENCIA EJECUTIVA DEL CONSEJO</t>
        </is>
      </c>
      <c r="M1170" t="n">
        <v>40</v>
      </c>
      <c r="N1170" t="inlineStr">
        <is>
          <t>DIRECCION GENERAL BANCO BASE</t>
        </is>
      </c>
      <c r="O1170" t="n">
        <v>310</v>
      </c>
      <c r="P1170" t="inlineStr">
        <is>
          <t>DIRECCION DE TECNOLOGIA</t>
        </is>
      </c>
      <c r="Q1170" t="n">
        <v>3120</v>
      </c>
      <c r="R1170" t="inlineStr">
        <is>
          <t>DIRECCION DE INFRAESTRUCTURA</t>
        </is>
      </c>
      <c r="S1170" t="n">
        <v>31130</v>
      </c>
      <c r="T1170" t="inlineStr">
        <is>
          <t>SUBDIRECCION DE SOLUCIONES DE INFRAESTRUCTURA</t>
        </is>
      </c>
      <c r="U1170" t="n">
        <v>312000</v>
      </c>
      <c r="V1170" t="inlineStr">
        <is>
          <t>DIRECCION DE INFRAESTRUCTURA</t>
        </is>
      </c>
      <c r="W1170" t="n">
        <v>126107</v>
      </c>
      <c r="X1170" t="inlineStr">
        <is>
          <t>GUADALAJARA</t>
        </is>
      </c>
      <c r="Y1170" t="n">
        <v>4</v>
      </c>
      <c r="Z1170" t="inlineStr">
        <is>
          <t>CORPORATIVO</t>
        </is>
      </c>
      <c r="AA1170" t="n">
        <v>8</v>
      </c>
      <c r="AB1170" t="inlineStr">
        <is>
          <t>BAU</t>
        </is>
      </c>
      <c r="AC1170" t="n">
        <v>1</v>
      </c>
      <c r="AD1170" t="inlineStr">
        <is>
          <t>BANCO</t>
        </is>
      </c>
      <c r="AE1170" t="n">
        <v>1</v>
      </c>
      <c r="AF1170" t="inlineStr">
        <is>
          <t>BACK</t>
        </is>
      </c>
      <c r="AG1170" t="n">
        <v>126107</v>
      </c>
      <c r="AH1170" t="inlineStr">
        <is>
          <t>GUADALAJARA</t>
        </is>
      </c>
      <c r="AI1170" t="inlineStr">
        <is>
          <t>JLOPEZP@BANCOBASE.COM</t>
        </is>
      </c>
      <c r="AJ1170" s="151" t="n">
        <v>46189</v>
      </c>
      <c r="AK1170" s="151" t="n"/>
      <c r="AL1170" s="151" t="n"/>
    </row>
    <row r="1171" hidden="1" s="150">
      <c r="A1171" t="inlineStr">
        <is>
          <t>SMORELOS</t>
        </is>
      </c>
      <c r="B1171" t="n">
        <v>3284</v>
      </c>
      <c r="C1171" t="inlineStr">
        <is>
          <t>SAUL MORELOS FLORES</t>
        </is>
      </c>
      <c r="D1171" t="n">
        <v>8557</v>
      </c>
      <c r="E1171" t="inlineStr">
        <is>
          <t>ESPECIALISTA SR SOLUCIONES DE INFRESTRUCTURA</t>
        </is>
      </c>
      <c r="F1171" t="inlineStr">
        <is>
          <t>MEXICO</t>
        </is>
      </c>
      <c r="G1171" t="n">
        <v>3137</v>
      </c>
      <c r="H1171" t="inlineStr">
        <is>
          <t>HUGO ANDRES ORTIZ MARTINEZ</t>
        </is>
      </c>
      <c r="I1171" t="n">
        <v>8364</v>
      </c>
      <c r="J1171" t="inlineStr">
        <is>
          <t>SUBDIRECTOR DE SOLUCIONES DE INFRAESTRUCTURA</t>
        </is>
      </c>
      <c r="K1171" t="n">
        <v>1</v>
      </c>
      <c r="L1171" t="inlineStr">
        <is>
          <t>PRESIDENCIA EJECUTIVA DEL CONSEJO</t>
        </is>
      </c>
      <c r="M1171" t="n">
        <v>40</v>
      </c>
      <c r="N1171" t="inlineStr">
        <is>
          <t>DIRECCION GENERAL BANCO BASE</t>
        </is>
      </c>
      <c r="O1171" t="n">
        <v>310</v>
      </c>
      <c r="P1171" t="inlineStr">
        <is>
          <t>DIRECCION DE TECNOLOGIA</t>
        </is>
      </c>
      <c r="Q1171" t="n">
        <v>3120</v>
      </c>
      <c r="R1171" t="inlineStr">
        <is>
          <t>DIRECCION DE INFRAESTRUCTURA</t>
        </is>
      </c>
      <c r="S1171" t="n">
        <v>31130</v>
      </c>
      <c r="T1171" t="inlineStr">
        <is>
          <t>SUBDIRECCION DE SOLUCIONES DE INFRAESTRUCTURA</t>
        </is>
      </c>
      <c r="U1171" t="n">
        <v>312000</v>
      </c>
      <c r="V1171" t="inlineStr">
        <is>
          <t>DIRECCION DE INFRAESTRUCTURA</t>
        </is>
      </c>
      <c r="W1171" t="n">
        <v>134111</v>
      </c>
      <c r="X1171" t="inlineStr">
        <is>
          <t>LOMAS</t>
        </is>
      </c>
      <c r="Y1171" t="n">
        <v>4</v>
      </c>
      <c r="Z1171" t="inlineStr">
        <is>
          <t>CORPORATIVO</t>
        </is>
      </c>
      <c r="AA1171" t="n">
        <v>7</v>
      </c>
      <c r="AB1171" t="inlineStr">
        <is>
          <t>PROYECTO DARWIN</t>
        </is>
      </c>
      <c r="AC1171" t="n">
        <v>1</v>
      </c>
      <c r="AD1171" t="inlineStr">
        <is>
          <t>BANCO</t>
        </is>
      </c>
      <c r="AE1171" t="n">
        <v>1</v>
      </c>
      <c r="AF1171" t="inlineStr">
        <is>
          <t>BACK</t>
        </is>
      </c>
      <c r="AG1171" t="n">
        <v>134111</v>
      </c>
      <c r="AH1171" t="inlineStr">
        <is>
          <t>LOMAS</t>
        </is>
      </c>
      <c r="AI1171" t="inlineStr">
        <is>
          <t>SMORELOS@BANCOBASE.COM</t>
        </is>
      </c>
      <c r="AJ1171" s="151" t="n">
        <v>45628</v>
      </c>
      <c r="AK1171" s="151" t="n"/>
      <c r="AL1171" s="151" t="n"/>
    </row>
    <row r="1172" hidden="1" s="150">
      <c r="A1172" t="inlineStr">
        <is>
          <t>GRUIZC</t>
        </is>
      </c>
      <c r="B1172" t="n">
        <v>294</v>
      </c>
      <c r="C1172" t="inlineStr">
        <is>
          <t>GILBERTO RUIZ CAMARILLO</t>
        </is>
      </c>
      <c r="D1172" t="n">
        <v>10017</v>
      </c>
      <c r="E1172" t="inlineStr">
        <is>
          <t>GERENTE DE PLATAFORMAS DE SISTEMAS OPERATIVOS</t>
        </is>
      </c>
      <c r="F1172" t="inlineStr">
        <is>
          <t>MONTERREY</t>
        </is>
      </c>
      <c r="G1172" t="n">
        <v>3137</v>
      </c>
      <c r="H1172" t="inlineStr">
        <is>
          <t>HUGO ANDRES ORTIZ MARTINEZ</t>
        </is>
      </c>
      <c r="I1172" t="n">
        <v>8364</v>
      </c>
      <c r="J1172" t="inlineStr">
        <is>
          <t>SUBDIRECTOR DE SOLUCIONES DE INFRAESTRUCTURA</t>
        </is>
      </c>
      <c r="K1172" t="n">
        <v>1</v>
      </c>
      <c r="L1172" t="inlineStr">
        <is>
          <t>PRESIDENCIA EJECUTIVA DEL CONSEJO</t>
        </is>
      </c>
      <c r="M1172" t="n">
        <v>40</v>
      </c>
      <c r="N1172" t="inlineStr">
        <is>
          <t>DIRECCION GENERAL BANCO BASE</t>
        </is>
      </c>
      <c r="O1172" t="n">
        <v>310</v>
      </c>
      <c r="P1172" t="inlineStr">
        <is>
          <t>DIRECCION DE TECNOLOGIA</t>
        </is>
      </c>
      <c r="Q1172" t="n">
        <v>3120</v>
      </c>
      <c r="R1172" t="inlineStr">
        <is>
          <t>DIRECCION DE INFRAESTRUCTURA</t>
        </is>
      </c>
      <c r="S1172" t="n">
        <v>31130</v>
      </c>
      <c r="T1172" t="inlineStr">
        <is>
          <t>SUBDIRECCION DE SOLUCIONES DE INFRAESTRUCTURA</t>
        </is>
      </c>
      <c r="U1172" t="n">
        <v>312000</v>
      </c>
      <c r="V1172" t="inlineStr">
        <is>
          <t>DIRECCION DE INFRAESTRUCTURA</t>
        </is>
      </c>
      <c r="W1172" t="n">
        <v>100101</v>
      </c>
      <c r="X1172" t="inlineStr">
        <is>
          <t>CORPORATIVO</t>
        </is>
      </c>
      <c r="Y1172" t="n">
        <v>4</v>
      </c>
      <c r="Z1172" t="inlineStr">
        <is>
          <t>CORPORATIVO</t>
        </is>
      </c>
      <c r="AA1172" t="n">
        <v>1</v>
      </c>
      <c r="AB1172" t="inlineStr">
        <is>
          <t>NEGOCIO EN MARCHA</t>
        </is>
      </c>
      <c r="AC1172" t="n">
        <v>1</v>
      </c>
      <c r="AD1172" t="inlineStr">
        <is>
          <t>BANCO</t>
        </is>
      </c>
      <c r="AE1172" t="n">
        <v>1</v>
      </c>
      <c r="AF1172" t="inlineStr">
        <is>
          <t>BACK</t>
        </is>
      </c>
      <c r="AG1172" t="n">
        <v>100101</v>
      </c>
      <c r="AH1172" t="inlineStr">
        <is>
          <t>CORPORATIVO</t>
        </is>
      </c>
      <c r="AI1172" t="inlineStr">
        <is>
          <t>GRUIZC@BANCOBASE.COM</t>
        </is>
      </c>
      <c r="AJ1172" s="151" t="n">
        <v>38596</v>
      </c>
      <c r="AK1172" s="151" t="n"/>
      <c r="AL1172" s="151" t="n"/>
    </row>
    <row r="1173" hidden="1" s="150">
      <c r="A1173" t="inlineStr">
        <is>
          <t>ASANCHEZL</t>
        </is>
      </c>
      <c r="B1173" t="n">
        <v>3614</v>
      </c>
      <c r="C1173" t="inlineStr">
        <is>
          <t>ALFREDO SANCHEZ LOPEZ</t>
        </is>
      </c>
      <c r="D1173" t="n">
        <v>10146</v>
      </c>
      <c r="E1173" t="inlineStr">
        <is>
          <t>ESPECIALISTA DE SERVIDORES LINUX</t>
        </is>
      </c>
      <c r="F1173" t="inlineStr">
        <is>
          <t>MEXICO</t>
        </is>
      </c>
      <c r="G1173" t="n">
        <v>294</v>
      </c>
      <c r="H1173" t="inlineStr">
        <is>
          <t>GILBERTO RUIZ CAMARILLO</t>
        </is>
      </c>
      <c r="I1173" t="n">
        <v>10017</v>
      </c>
      <c r="J1173" t="inlineStr">
        <is>
          <t>GERENTE DE PLATAFORMAS DE SISTEMAS OPERATIVOS</t>
        </is>
      </c>
      <c r="K1173" t="n">
        <v>1</v>
      </c>
      <c r="L1173" t="inlineStr">
        <is>
          <t>PRESIDENCIA EJECUTIVA DEL CONSEJO</t>
        </is>
      </c>
      <c r="M1173" t="n">
        <v>40</v>
      </c>
      <c r="N1173" t="inlineStr">
        <is>
          <t>DIRECCION GENERAL BANCO BASE</t>
        </is>
      </c>
      <c r="O1173" t="n">
        <v>310</v>
      </c>
      <c r="P1173" t="inlineStr">
        <is>
          <t>DIRECCION DE TECNOLOGIA</t>
        </is>
      </c>
      <c r="Q1173" t="n">
        <v>3120</v>
      </c>
      <c r="R1173" t="inlineStr">
        <is>
          <t>DIRECCION DE INFRAESTRUCTURA</t>
        </is>
      </c>
      <c r="S1173" t="n">
        <v>31130</v>
      </c>
      <c r="T1173" t="inlineStr">
        <is>
          <t>SUBDIRECCION DE SOLUCIONES DE INFRAESTRUCTURA</t>
        </is>
      </c>
      <c r="U1173" t="n">
        <v>312000</v>
      </c>
      <c r="V1173" t="inlineStr">
        <is>
          <t>DIRECCION DE INFRAESTRUCTURA</t>
        </is>
      </c>
      <c r="W1173" t="n">
        <v>134111</v>
      </c>
      <c r="X1173" t="inlineStr">
        <is>
          <t>LOMAS</t>
        </is>
      </c>
      <c r="Y1173" t="n">
        <v>4</v>
      </c>
      <c r="Z1173" t="inlineStr">
        <is>
          <t>CORPORATIVO</t>
        </is>
      </c>
      <c r="AA1173" t="n">
        <v>1</v>
      </c>
      <c r="AB1173" t="inlineStr">
        <is>
          <t>NEGOCIO EN MARCHA</t>
        </is>
      </c>
      <c r="AC1173" t="n">
        <v>1</v>
      </c>
      <c r="AD1173" t="inlineStr">
        <is>
          <t>BANCO</t>
        </is>
      </c>
      <c r="AE1173" t="n">
        <v>1</v>
      </c>
      <c r="AF1173" t="inlineStr">
        <is>
          <t>BACK</t>
        </is>
      </c>
      <c r="AG1173" t="n">
        <v>134111</v>
      </c>
      <c r="AH1173" t="inlineStr">
        <is>
          <t>LOMAS</t>
        </is>
      </c>
      <c r="AI1173" t="inlineStr">
        <is>
          <t>ASANCHEZL@BANCOBASE.COM</t>
        </is>
      </c>
      <c r="AJ1173" s="151" t="n">
        <v>45946</v>
      </c>
      <c r="AK1173" s="151" t="n"/>
      <c r="AL1173" s="151" t="n"/>
    </row>
    <row r="1174" hidden="1" s="150">
      <c r="A1174" t="inlineStr">
        <is>
          <t>EMELGAREJO</t>
        </is>
      </c>
      <c r="B1174" t="n">
        <v>2615</v>
      </c>
      <c r="C1174" t="inlineStr">
        <is>
          <t>EFRAIN MELGAREJO MUÑOZ</t>
        </is>
      </c>
      <c r="D1174" t="n">
        <v>10408</v>
      </c>
      <c r="E1174" t="inlineStr">
        <is>
          <t>ESPECIALISTA DE SERVIDORES RED HAT</t>
        </is>
      </c>
      <c r="F1174" t="inlineStr">
        <is>
          <t>MONTERREY</t>
        </is>
      </c>
      <c r="G1174" t="n">
        <v>294</v>
      </c>
      <c r="H1174" t="inlineStr">
        <is>
          <t>GILBERTO RUIZ CAMARILLO</t>
        </is>
      </c>
      <c r="I1174" t="n">
        <v>10017</v>
      </c>
      <c r="J1174" t="inlineStr">
        <is>
          <t>GERENTE DE PLATAFORMAS DE SISTEMAS OPERATIVOS</t>
        </is>
      </c>
      <c r="K1174" t="n">
        <v>1</v>
      </c>
      <c r="L1174" t="inlineStr">
        <is>
          <t>PRESIDENCIA EJECUTIVA DEL CONSEJO</t>
        </is>
      </c>
      <c r="M1174" t="n">
        <v>40</v>
      </c>
      <c r="N1174" t="inlineStr">
        <is>
          <t>DIRECCION GENERAL BANCO BASE</t>
        </is>
      </c>
      <c r="O1174" t="n">
        <v>310</v>
      </c>
      <c r="P1174" t="inlineStr">
        <is>
          <t>DIRECCION DE TECNOLOGIA</t>
        </is>
      </c>
      <c r="Q1174" t="n">
        <v>3120</v>
      </c>
      <c r="R1174" t="inlineStr">
        <is>
          <t>DIRECCION DE INFRAESTRUCTURA</t>
        </is>
      </c>
      <c r="S1174" t="n">
        <v>31130</v>
      </c>
      <c r="T1174" t="inlineStr">
        <is>
          <t>SUBDIRECCION DE SOLUCIONES DE INFRAESTRUCTURA</t>
        </is>
      </c>
      <c r="U1174" t="n">
        <v>312000</v>
      </c>
      <c r="V1174" t="inlineStr">
        <is>
          <t>DIRECCION DE INFRAESTRUCTURA</t>
        </is>
      </c>
      <c r="W1174" t="n">
        <v>100101</v>
      </c>
      <c r="X1174" t="inlineStr">
        <is>
          <t>CORPORATIVO</t>
        </is>
      </c>
      <c r="Y1174" t="n">
        <v>4</v>
      </c>
      <c r="Z1174" t="inlineStr">
        <is>
          <t>CORPORATIVO</t>
        </is>
      </c>
      <c r="AA1174" t="n">
        <v>1</v>
      </c>
      <c r="AB1174" t="inlineStr">
        <is>
          <t>NEGOCIO EN MARCHA</t>
        </is>
      </c>
      <c r="AC1174" t="n">
        <v>1</v>
      </c>
      <c r="AD1174" t="inlineStr">
        <is>
          <t>BANCO</t>
        </is>
      </c>
      <c r="AE1174" t="n">
        <v>1</v>
      </c>
      <c r="AF1174" t="inlineStr">
        <is>
          <t>BACK</t>
        </is>
      </c>
      <c r="AG1174" t="n">
        <v>100101</v>
      </c>
      <c r="AH1174" t="inlineStr">
        <is>
          <t>CORPORATIVO</t>
        </is>
      </c>
      <c r="AI1174" t="inlineStr">
        <is>
          <t>EMELGAREJO@BANCOBASE.COM</t>
        </is>
      </c>
      <c r="AJ1174" s="151" t="n">
        <v>44608</v>
      </c>
      <c r="AK1174" s="151" t="n"/>
      <c r="AL1174" s="151" t="n"/>
    </row>
    <row r="1175" hidden="1" s="150">
      <c r="A1175" t="inlineStr">
        <is>
          <t>LCALVILLO</t>
        </is>
      </c>
      <c r="B1175" t="n">
        <v>2134</v>
      </c>
      <c r="C1175" t="inlineStr">
        <is>
          <t>LEONARDO CALVILLO CISNEROS</t>
        </is>
      </c>
      <c r="D1175" t="n">
        <v>10222</v>
      </c>
      <c r="E1175" t="inlineStr">
        <is>
          <t>ESPECIALISTA DE SERVIDORES CITRIX</t>
        </is>
      </c>
      <c r="F1175" t="inlineStr">
        <is>
          <t>MONTERREY</t>
        </is>
      </c>
      <c r="G1175" t="n">
        <v>294</v>
      </c>
      <c r="H1175" t="inlineStr">
        <is>
          <t>GILBERTO RUIZ CAMARILLO</t>
        </is>
      </c>
      <c r="I1175" t="n">
        <v>10017</v>
      </c>
      <c r="J1175" t="inlineStr">
        <is>
          <t>GERENTE DE PLATAFORMAS DE SISTEMAS OPERATIVOS</t>
        </is>
      </c>
      <c r="K1175" t="n">
        <v>1</v>
      </c>
      <c r="L1175" t="inlineStr">
        <is>
          <t>PRESIDENCIA EJECUTIVA DEL CONSEJO</t>
        </is>
      </c>
      <c r="M1175" t="n">
        <v>40</v>
      </c>
      <c r="N1175" t="inlineStr">
        <is>
          <t>DIRECCION GENERAL BANCO BASE</t>
        </is>
      </c>
      <c r="O1175" t="n">
        <v>310</v>
      </c>
      <c r="P1175" t="inlineStr">
        <is>
          <t>DIRECCION DE TECNOLOGIA</t>
        </is>
      </c>
      <c r="Q1175" t="n">
        <v>3120</v>
      </c>
      <c r="R1175" t="inlineStr">
        <is>
          <t>DIRECCION DE INFRAESTRUCTURA</t>
        </is>
      </c>
      <c r="S1175" t="n">
        <v>31130</v>
      </c>
      <c r="T1175" t="inlineStr">
        <is>
          <t>SUBDIRECCION DE SOLUCIONES DE INFRAESTRUCTURA</t>
        </is>
      </c>
      <c r="U1175" t="n">
        <v>312000</v>
      </c>
      <c r="V1175" t="inlineStr">
        <is>
          <t>DIRECCION DE INFRAESTRUCTURA</t>
        </is>
      </c>
      <c r="W1175" t="n">
        <v>100101</v>
      </c>
      <c r="X1175" t="inlineStr">
        <is>
          <t>CORPORATIVO</t>
        </is>
      </c>
      <c r="Y1175" t="n">
        <v>4</v>
      </c>
      <c r="Z1175" t="inlineStr">
        <is>
          <t>CORPORATIVO</t>
        </is>
      </c>
      <c r="AA1175" t="n">
        <v>1</v>
      </c>
      <c r="AB1175" t="inlineStr">
        <is>
          <t>NEGOCIO EN MARCHA</t>
        </is>
      </c>
      <c r="AC1175" t="n">
        <v>1</v>
      </c>
      <c r="AD1175" t="inlineStr">
        <is>
          <t>BANCO</t>
        </is>
      </c>
      <c r="AE1175" t="n">
        <v>1</v>
      </c>
      <c r="AF1175" t="inlineStr">
        <is>
          <t>BACK</t>
        </is>
      </c>
      <c r="AG1175" t="n">
        <v>100101</v>
      </c>
      <c r="AH1175" t="inlineStr">
        <is>
          <t>CORPORATIVO</t>
        </is>
      </c>
      <c r="AI1175" t="inlineStr">
        <is>
          <t>LCALVILLO@BANCOBASE.COM</t>
        </is>
      </c>
      <c r="AJ1175" s="151" t="n">
        <v>43405</v>
      </c>
      <c r="AK1175" s="151" t="n"/>
      <c r="AL1175" s="151" t="n"/>
    </row>
    <row r="1176" hidden="1" s="150">
      <c r="A1176" t="inlineStr">
        <is>
          <t>MMUNOZT</t>
        </is>
      </c>
      <c r="B1176" t="n">
        <v>3597</v>
      </c>
      <c r="C1176" t="inlineStr">
        <is>
          <t>MARIO MUNOZ TEJAS</t>
        </is>
      </c>
      <c r="D1176" t="n">
        <v>8915</v>
      </c>
      <c r="E1176" t="inlineStr">
        <is>
          <t>ESPECIALISTA DE SERVIDORES BACKUP WINDOWS</t>
        </is>
      </c>
      <c r="F1176" t="inlineStr">
        <is>
          <t>CANCUN</t>
        </is>
      </c>
      <c r="G1176" t="n">
        <v>294</v>
      </c>
      <c r="H1176" t="inlineStr">
        <is>
          <t>GILBERTO RUIZ CAMARILLO</t>
        </is>
      </c>
      <c r="I1176" t="n">
        <v>10017</v>
      </c>
      <c r="J1176" t="inlineStr">
        <is>
          <t>GERENTE DE PLATAFORMAS DE SISTEMAS OPERATIVOS</t>
        </is>
      </c>
      <c r="K1176" t="n">
        <v>1</v>
      </c>
      <c r="L1176" t="inlineStr">
        <is>
          <t>PRESIDENCIA EJECUTIVA DEL CONSEJO</t>
        </is>
      </c>
      <c r="M1176" t="n">
        <v>40</v>
      </c>
      <c r="N1176" t="inlineStr">
        <is>
          <t>DIRECCION GENERAL BANCO BASE</t>
        </is>
      </c>
      <c r="O1176" t="n">
        <v>310</v>
      </c>
      <c r="P1176" t="inlineStr">
        <is>
          <t>DIRECCION DE TECNOLOGIA</t>
        </is>
      </c>
      <c r="Q1176" t="n">
        <v>3120</v>
      </c>
      <c r="R1176" t="inlineStr">
        <is>
          <t>DIRECCION DE INFRAESTRUCTURA</t>
        </is>
      </c>
      <c r="S1176" t="n">
        <v>31130</v>
      </c>
      <c r="T1176" t="inlineStr">
        <is>
          <t>SUBDIRECCION DE SOLUCIONES DE INFRAESTRUCTURA</t>
        </is>
      </c>
      <c r="U1176" t="n">
        <v>312000</v>
      </c>
      <c r="V1176" t="inlineStr">
        <is>
          <t>DIRECCION DE INFRAESTRUCTURA</t>
        </is>
      </c>
      <c r="W1176" t="n">
        <v>126121</v>
      </c>
      <c r="X1176" t="inlineStr">
        <is>
          <t>CANCUN</t>
        </is>
      </c>
      <c r="Y1176" t="n">
        <v>4</v>
      </c>
      <c r="Z1176" t="inlineStr">
        <is>
          <t>CORPORATIVO</t>
        </is>
      </c>
      <c r="AA1176" t="n">
        <v>1</v>
      </c>
      <c r="AB1176" t="inlineStr">
        <is>
          <t>NEGOCIO EN MARCHA</t>
        </is>
      </c>
      <c r="AC1176" t="n">
        <v>1</v>
      </c>
      <c r="AD1176" t="inlineStr">
        <is>
          <t>BANCO</t>
        </is>
      </c>
      <c r="AE1176" t="n">
        <v>1</v>
      </c>
      <c r="AF1176" t="inlineStr">
        <is>
          <t>BACK</t>
        </is>
      </c>
      <c r="AG1176" t="n">
        <v>126121</v>
      </c>
      <c r="AH1176" t="inlineStr">
        <is>
          <t>CANCUN</t>
        </is>
      </c>
      <c r="AI1176" t="inlineStr">
        <is>
          <t>MMUNOZT@BANCOBASE.COM</t>
        </is>
      </c>
      <c r="AJ1176" s="151" t="n">
        <v>45931</v>
      </c>
      <c r="AK1176" s="151" t="n"/>
      <c r="AL1176" s="151" t="n"/>
    </row>
    <row r="1177" hidden="1" s="150">
      <c r="A1177" t="inlineStr">
        <is>
          <t>VZAVALA</t>
        </is>
      </c>
      <c r="B1177" t="n">
        <v>2601</v>
      </c>
      <c r="C1177" t="inlineStr">
        <is>
          <t>VICTOR EDUARDO ZAVALA RANGEL</t>
        </is>
      </c>
      <c r="D1177" t="n">
        <v>10370</v>
      </c>
      <c r="E1177" t="inlineStr">
        <is>
          <t>ESPECIALISTA DE SERVIDORES LINUX</t>
        </is>
      </c>
      <c r="F1177" t="inlineStr">
        <is>
          <t>MONTERREY</t>
        </is>
      </c>
      <c r="G1177" t="n">
        <v>294</v>
      </c>
      <c r="H1177" t="inlineStr">
        <is>
          <t>GILBERTO RUIZ CAMARILLO</t>
        </is>
      </c>
      <c r="I1177" t="n">
        <v>10017</v>
      </c>
      <c r="J1177" t="inlineStr">
        <is>
          <t>GERENTE DE PLATAFORMAS DE SISTEMAS OPERATIVOS</t>
        </is>
      </c>
      <c r="K1177" t="n">
        <v>1</v>
      </c>
      <c r="L1177" t="inlineStr">
        <is>
          <t>PRESIDENCIA EJECUTIVA DEL CONSEJO</t>
        </is>
      </c>
      <c r="M1177" t="n">
        <v>40</v>
      </c>
      <c r="N1177" t="inlineStr">
        <is>
          <t>DIRECCION GENERAL BANCO BASE</t>
        </is>
      </c>
      <c r="O1177" t="n">
        <v>310</v>
      </c>
      <c r="P1177" t="inlineStr">
        <is>
          <t>DIRECCION DE TECNOLOGIA</t>
        </is>
      </c>
      <c r="Q1177" t="n">
        <v>3120</v>
      </c>
      <c r="R1177" t="inlineStr">
        <is>
          <t>DIRECCION DE INFRAESTRUCTURA</t>
        </is>
      </c>
      <c r="S1177" t="n">
        <v>31130</v>
      </c>
      <c r="T1177" t="inlineStr">
        <is>
          <t>SUBDIRECCION DE SOLUCIONES DE INFRAESTRUCTURA</t>
        </is>
      </c>
      <c r="U1177" t="n">
        <v>312000</v>
      </c>
      <c r="V1177" t="inlineStr">
        <is>
          <t>DIRECCION DE INFRAESTRUCTURA</t>
        </is>
      </c>
      <c r="W1177" t="n">
        <v>100101</v>
      </c>
      <c r="X1177" t="inlineStr">
        <is>
          <t>CORPORATIVO</t>
        </is>
      </c>
      <c r="Y1177" t="n">
        <v>4</v>
      </c>
      <c r="Z1177" t="inlineStr">
        <is>
          <t>CORPORATIVO</t>
        </is>
      </c>
      <c r="AA1177" t="n">
        <v>1</v>
      </c>
      <c r="AB1177" t="inlineStr">
        <is>
          <t>NEGOCIO EN MARCHA</t>
        </is>
      </c>
      <c r="AC1177" t="n">
        <v>1</v>
      </c>
      <c r="AD1177" t="inlineStr">
        <is>
          <t>BANCO</t>
        </is>
      </c>
      <c r="AE1177" t="n">
        <v>1</v>
      </c>
      <c r="AF1177" t="inlineStr">
        <is>
          <t>BACK</t>
        </is>
      </c>
      <c r="AG1177" t="n">
        <v>100101</v>
      </c>
      <c r="AH1177" t="inlineStr">
        <is>
          <t>CORPORATIVO</t>
        </is>
      </c>
      <c r="AI1177" t="inlineStr">
        <is>
          <t>VZAVALA@BANCOBASE.COM</t>
        </is>
      </c>
      <c r="AJ1177" s="151" t="n">
        <v>44578</v>
      </c>
      <c r="AK1177" s="151" t="n"/>
      <c r="AL1177" s="151" t="n"/>
    </row>
    <row r="1178" hidden="1" s="150">
      <c r="A1178" t="inlineStr">
        <is>
          <t>RRODRIGUEZ</t>
        </is>
      </c>
      <c r="B1178" t="n">
        <v>693</v>
      </c>
      <c r="C1178" t="inlineStr">
        <is>
          <t>JORGE ROLANDO RODRIGUEZ SANCHEZ</t>
        </is>
      </c>
      <c r="D1178" t="n">
        <v>3752</v>
      </c>
      <c r="E1178" t="inlineStr">
        <is>
          <t>SUBDIRECTOR DE REDES Y SEGURIDAD PERIMETRAL</t>
        </is>
      </c>
      <c r="F1178" t="inlineStr">
        <is>
          <t>MONTERREY</t>
        </is>
      </c>
      <c r="G1178" t="n">
        <v>3369</v>
      </c>
      <c r="H1178" t="inlineStr">
        <is>
          <t>ANTONIO ROMAN MONTEALEGRE</t>
        </is>
      </c>
      <c r="I1178" t="n">
        <v>9839</v>
      </c>
      <c r="J1178" t="inlineStr">
        <is>
          <t>DIRECTOR DE INFRAESTRUCTURA</t>
        </is>
      </c>
      <c r="K1178" t="n">
        <v>1</v>
      </c>
      <c r="L1178" t="inlineStr">
        <is>
          <t>PRESIDENCIA EJECUTIVA DEL CONSEJO</t>
        </is>
      </c>
      <c r="M1178" t="n">
        <v>40</v>
      </c>
      <c r="N1178" t="inlineStr">
        <is>
          <t>DIRECCION GENERAL BANCO BASE</t>
        </is>
      </c>
      <c r="O1178" t="n">
        <v>310</v>
      </c>
      <c r="P1178" t="inlineStr">
        <is>
          <t>DIRECCION DE TECNOLOGIA</t>
        </is>
      </c>
      <c r="Q1178" t="n">
        <v>3120</v>
      </c>
      <c r="R1178" t="inlineStr">
        <is>
          <t>DIRECCION DE INFRAESTRUCTURA</t>
        </is>
      </c>
      <c r="S1178" t="n">
        <v>31170</v>
      </c>
      <c r="T1178" t="inlineStr">
        <is>
          <t>SUBDIRECCION DE TELECOMUNICACIONES</t>
        </is>
      </c>
      <c r="U1178" t="n">
        <v>312000</v>
      </c>
      <c r="V1178" t="inlineStr">
        <is>
          <t>DIRECCION DE INFRAESTRUCTURA</t>
        </is>
      </c>
      <c r="W1178" t="n">
        <v>100101</v>
      </c>
      <c r="X1178" t="inlineStr">
        <is>
          <t>CORPORATIVO</t>
        </is>
      </c>
      <c r="Y1178" t="n">
        <v>4</v>
      </c>
      <c r="Z1178" t="inlineStr">
        <is>
          <t>CORPORATIVO</t>
        </is>
      </c>
      <c r="AA1178" t="n">
        <v>1</v>
      </c>
      <c r="AB1178" t="inlineStr">
        <is>
          <t>NEGOCIO EN MARCHA</t>
        </is>
      </c>
      <c r="AC1178" t="n">
        <v>1</v>
      </c>
      <c r="AD1178" t="inlineStr">
        <is>
          <t>BANCO</t>
        </is>
      </c>
      <c r="AE1178" t="n">
        <v>1</v>
      </c>
      <c r="AF1178" t="inlineStr">
        <is>
          <t>BACK</t>
        </is>
      </c>
      <c r="AG1178" t="n">
        <v>100101</v>
      </c>
      <c r="AH1178" t="inlineStr">
        <is>
          <t>CORPORATIVO</t>
        </is>
      </c>
      <c r="AI1178" t="inlineStr">
        <is>
          <t>RRODRIGUEZ@BANCOBASE.COM</t>
        </is>
      </c>
      <c r="AJ1178" s="151" t="n">
        <v>40546</v>
      </c>
      <c r="AK1178" s="151" t="n"/>
      <c r="AL1178" s="151" t="n"/>
    </row>
    <row r="1179" hidden="1" s="150">
      <c r="A1179" t="inlineStr">
        <is>
          <t>AROSALES</t>
        </is>
      </c>
      <c r="B1179" t="n">
        <v>1312</v>
      </c>
      <c r="C1179" t="inlineStr">
        <is>
          <t>ANGEL DANIEL ROSALES SANCHEZ</t>
        </is>
      </c>
      <c r="D1179" t="n">
        <v>10172</v>
      </c>
      <c r="E1179" t="inlineStr">
        <is>
          <t>ESPECIALISTA DE REDES</t>
        </is>
      </c>
      <c r="F1179" t="inlineStr">
        <is>
          <t>MONTERREY</t>
        </is>
      </c>
      <c r="G1179" t="n">
        <v>693</v>
      </c>
      <c r="H1179" t="inlineStr">
        <is>
          <t>JORGE ROLANDO RODRIGUEZ SANCHEZ</t>
        </is>
      </c>
      <c r="I1179" t="n">
        <v>3752</v>
      </c>
      <c r="J1179" t="inlineStr">
        <is>
          <t>SUBDIRECTOR DE REDES Y SEGURIDAD PERIMETRAL</t>
        </is>
      </c>
      <c r="K1179" t="n">
        <v>1</v>
      </c>
      <c r="L1179" t="inlineStr">
        <is>
          <t>PRESIDENCIA EJECUTIVA DEL CONSEJO</t>
        </is>
      </c>
      <c r="M1179" t="n">
        <v>40</v>
      </c>
      <c r="N1179" t="inlineStr">
        <is>
          <t>DIRECCION GENERAL BANCO BASE</t>
        </is>
      </c>
      <c r="O1179" t="n">
        <v>310</v>
      </c>
      <c r="P1179" t="inlineStr">
        <is>
          <t>DIRECCION DE TECNOLOGIA</t>
        </is>
      </c>
      <c r="Q1179" t="n">
        <v>3120</v>
      </c>
      <c r="R1179" t="inlineStr">
        <is>
          <t>DIRECCION DE INFRAESTRUCTURA</t>
        </is>
      </c>
      <c r="S1179" t="n">
        <v>31170</v>
      </c>
      <c r="T1179" t="inlineStr">
        <is>
          <t>SUBDIRECCION DE TELECOMUNICACIONES</t>
        </is>
      </c>
      <c r="U1179" t="n">
        <v>312000</v>
      </c>
      <c r="V1179" t="inlineStr">
        <is>
          <t>DIRECCION DE INFRAESTRUCTURA</t>
        </is>
      </c>
      <c r="W1179" t="n">
        <v>100101</v>
      </c>
      <c r="X1179" t="inlineStr">
        <is>
          <t>CORPORATIVO</t>
        </is>
      </c>
      <c r="Y1179" t="n">
        <v>4</v>
      </c>
      <c r="Z1179" t="inlineStr">
        <is>
          <t>CORPORATIVO</t>
        </is>
      </c>
      <c r="AA1179" t="n">
        <v>1</v>
      </c>
      <c r="AB1179" t="inlineStr">
        <is>
          <t>NEGOCIO EN MARCHA</t>
        </is>
      </c>
      <c r="AC1179" t="n">
        <v>1</v>
      </c>
      <c r="AD1179" t="inlineStr">
        <is>
          <t>BANCO</t>
        </is>
      </c>
      <c r="AE1179" t="n">
        <v>1</v>
      </c>
      <c r="AF1179" t="inlineStr">
        <is>
          <t>BACK</t>
        </is>
      </c>
      <c r="AG1179" t="n">
        <v>100101</v>
      </c>
      <c r="AH1179" t="inlineStr">
        <is>
          <t>CORPORATIVO</t>
        </is>
      </c>
      <c r="AI1179" t="inlineStr">
        <is>
          <t>AROSALES@BANCOBASE.COM</t>
        </is>
      </c>
      <c r="AJ1179" s="151" t="n">
        <v>42156</v>
      </c>
      <c r="AK1179" s="151" t="n"/>
      <c r="AL1179" s="151" t="n"/>
    </row>
    <row r="1180" hidden="1" s="150">
      <c r="A1180" t="inlineStr">
        <is>
          <t>JESCOBEDO</t>
        </is>
      </c>
      <c r="B1180" t="n">
        <v>3200</v>
      </c>
      <c r="C1180" t="inlineStr">
        <is>
          <t>ANTONIO DE JESUS ESCOBEDO AGUILA</t>
        </is>
      </c>
      <c r="D1180" t="n">
        <v>8417</v>
      </c>
      <c r="E1180" t="inlineStr">
        <is>
          <t>ESPECIALISTA DE REDES</t>
        </is>
      </c>
      <c r="F1180" t="inlineStr">
        <is>
          <t>MONTERREY</t>
        </is>
      </c>
      <c r="G1180" t="n">
        <v>693</v>
      </c>
      <c r="H1180" t="inlineStr">
        <is>
          <t>JORGE ROLANDO RODRIGUEZ SANCHEZ</t>
        </is>
      </c>
      <c r="I1180" t="n">
        <v>3752</v>
      </c>
      <c r="J1180" t="inlineStr">
        <is>
          <t>SUBDIRECTOR DE REDES Y SEGURIDAD PERIMETRAL</t>
        </is>
      </c>
      <c r="K1180" t="n">
        <v>1</v>
      </c>
      <c r="L1180" t="inlineStr">
        <is>
          <t>PRESIDENCIA EJECUTIVA DEL CONSEJO</t>
        </is>
      </c>
      <c r="M1180" t="n">
        <v>40</v>
      </c>
      <c r="N1180" t="inlineStr">
        <is>
          <t>DIRECCION GENERAL BANCO BASE</t>
        </is>
      </c>
      <c r="O1180" t="n">
        <v>310</v>
      </c>
      <c r="P1180" t="inlineStr">
        <is>
          <t>DIRECCION DE TECNOLOGIA</t>
        </is>
      </c>
      <c r="Q1180" t="n">
        <v>3120</v>
      </c>
      <c r="R1180" t="inlineStr">
        <is>
          <t>DIRECCION DE INFRAESTRUCTURA</t>
        </is>
      </c>
      <c r="S1180" t="n">
        <v>31170</v>
      </c>
      <c r="T1180" t="inlineStr">
        <is>
          <t>SUBDIRECCION DE TELECOMUNICACIONES</t>
        </is>
      </c>
      <c r="U1180" t="n">
        <v>312000</v>
      </c>
      <c r="V1180" t="inlineStr">
        <is>
          <t>DIRECCION DE INFRAESTRUCTURA</t>
        </is>
      </c>
      <c r="W1180" t="n">
        <v>100101</v>
      </c>
      <c r="X1180" t="inlineStr">
        <is>
          <t>CORPORATIVO</t>
        </is>
      </c>
      <c r="Y1180" t="n">
        <v>4</v>
      </c>
      <c r="Z1180" t="inlineStr">
        <is>
          <t>CORPORATIVO</t>
        </is>
      </c>
      <c r="AA1180" t="n">
        <v>1</v>
      </c>
      <c r="AB1180" t="inlineStr">
        <is>
          <t>NEGOCIO EN MARCHA</t>
        </is>
      </c>
      <c r="AC1180" t="n">
        <v>1</v>
      </c>
      <c r="AD1180" t="inlineStr">
        <is>
          <t>BANCO</t>
        </is>
      </c>
      <c r="AE1180" t="n">
        <v>1</v>
      </c>
      <c r="AF1180" t="inlineStr">
        <is>
          <t>BACK</t>
        </is>
      </c>
      <c r="AG1180" t="n">
        <v>100101</v>
      </c>
      <c r="AH1180" t="inlineStr">
        <is>
          <t>CORPORATIVO</t>
        </is>
      </c>
      <c r="AI1180" t="inlineStr">
        <is>
          <t>JESCOBEDO@BANCOBASE.COM</t>
        </is>
      </c>
      <c r="AJ1180" s="151" t="n">
        <v>45537</v>
      </c>
      <c r="AK1180" s="151" t="n"/>
      <c r="AL1180" s="151" t="n"/>
    </row>
    <row r="1181" hidden="1" s="150">
      <c r="A1181" t="inlineStr">
        <is>
          <t>JMORALES</t>
        </is>
      </c>
      <c r="B1181" t="n">
        <v>1987</v>
      </c>
      <c r="C1181" t="inlineStr">
        <is>
          <t>JOSE CARLOS MORALES TORRES</t>
        </is>
      </c>
      <c r="D1181" t="n">
        <v>8156</v>
      </c>
      <c r="E1181" t="inlineStr">
        <is>
          <t>ESPECIALISTA DE REDES</t>
        </is>
      </c>
      <c r="F1181" t="inlineStr">
        <is>
          <t>MONTERREY</t>
        </is>
      </c>
      <c r="G1181" t="n">
        <v>693</v>
      </c>
      <c r="H1181" t="inlineStr">
        <is>
          <t>JORGE ROLANDO RODRIGUEZ SANCHEZ</t>
        </is>
      </c>
      <c r="I1181" t="n">
        <v>3752</v>
      </c>
      <c r="J1181" t="inlineStr">
        <is>
          <t>SUBDIRECTOR DE REDES Y SEGURIDAD PERIMETRAL</t>
        </is>
      </c>
      <c r="K1181" t="n">
        <v>1</v>
      </c>
      <c r="L1181" t="inlineStr">
        <is>
          <t>PRESIDENCIA EJECUTIVA DEL CONSEJO</t>
        </is>
      </c>
      <c r="M1181" t="n">
        <v>40</v>
      </c>
      <c r="N1181" t="inlineStr">
        <is>
          <t>DIRECCION GENERAL BANCO BASE</t>
        </is>
      </c>
      <c r="O1181" t="n">
        <v>310</v>
      </c>
      <c r="P1181" t="inlineStr">
        <is>
          <t>DIRECCION DE TECNOLOGIA</t>
        </is>
      </c>
      <c r="Q1181" t="n">
        <v>3120</v>
      </c>
      <c r="R1181" t="inlineStr">
        <is>
          <t>DIRECCION DE INFRAESTRUCTURA</t>
        </is>
      </c>
      <c r="S1181" t="n">
        <v>31170</v>
      </c>
      <c r="T1181" t="inlineStr">
        <is>
          <t>SUBDIRECCION DE TELECOMUNICACIONES</t>
        </is>
      </c>
      <c r="U1181" t="n">
        <v>312000</v>
      </c>
      <c r="V1181" t="inlineStr">
        <is>
          <t>DIRECCION DE INFRAESTRUCTURA</t>
        </is>
      </c>
      <c r="W1181" t="n">
        <v>100101</v>
      </c>
      <c r="X1181" t="inlineStr">
        <is>
          <t>CORPORATIVO</t>
        </is>
      </c>
      <c r="Y1181" t="n">
        <v>4</v>
      </c>
      <c r="Z1181" t="inlineStr">
        <is>
          <t>CORPORATIVO</t>
        </is>
      </c>
      <c r="AA1181" t="n">
        <v>1</v>
      </c>
      <c r="AB1181" t="inlineStr">
        <is>
          <t>NEGOCIO EN MARCHA</t>
        </is>
      </c>
      <c r="AC1181" t="n">
        <v>1</v>
      </c>
      <c r="AD1181" t="inlineStr">
        <is>
          <t>BANCO</t>
        </is>
      </c>
      <c r="AE1181" t="n">
        <v>1</v>
      </c>
      <c r="AF1181" t="inlineStr">
        <is>
          <t>BACK</t>
        </is>
      </c>
      <c r="AG1181" t="n">
        <v>100101</v>
      </c>
      <c r="AH1181" t="inlineStr">
        <is>
          <t>CORPORATIVO</t>
        </is>
      </c>
      <c r="AI1181" t="inlineStr">
        <is>
          <t>JMORALES@BANCOBASE.COM</t>
        </is>
      </c>
      <c r="AJ1181" s="151" t="n">
        <v>43206</v>
      </c>
      <c r="AK1181" s="151" t="n"/>
      <c r="AL1181" s="151" t="n"/>
    </row>
    <row r="1182" hidden="1" s="150">
      <c r="A1182" t="inlineStr">
        <is>
          <t>MSALAS</t>
        </is>
      </c>
      <c r="B1182" t="n">
        <v>2307</v>
      </c>
      <c r="C1182" t="inlineStr">
        <is>
          <t>MIGUEL ALEJANDRO SALAS SIERRA</t>
        </is>
      </c>
      <c r="D1182" t="n">
        <v>8357</v>
      </c>
      <c r="E1182" t="inlineStr">
        <is>
          <t>ESPECIALISTA DE REDES</t>
        </is>
      </c>
      <c r="F1182" t="inlineStr">
        <is>
          <t>MONTERREY</t>
        </is>
      </c>
      <c r="G1182" t="n">
        <v>693</v>
      </c>
      <c r="H1182" t="inlineStr">
        <is>
          <t>JORGE ROLANDO RODRIGUEZ SANCHEZ</t>
        </is>
      </c>
      <c r="I1182" t="n">
        <v>3752</v>
      </c>
      <c r="J1182" t="inlineStr">
        <is>
          <t>SUBDIRECTOR DE REDES Y SEGURIDAD PERIMETRAL</t>
        </is>
      </c>
      <c r="K1182" t="n">
        <v>1</v>
      </c>
      <c r="L1182" t="inlineStr">
        <is>
          <t>PRESIDENCIA EJECUTIVA DEL CONSEJO</t>
        </is>
      </c>
      <c r="M1182" t="n">
        <v>40</v>
      </c>
      <c r="N1182" t="inlineStr">
        <is>
          <t>DIRECCION GENERAL BANCO BASE</t>
        </is>
      </c>
      <c r="O1182" t="n">
        <v>310</v>
      </c>
      <c r="P1182" t="inlineStr">
        <is>
          <t>DIRECCION DE TECNOLOGIA</t>
        </is>
      </c>
      <c r="Q1182" t="n">
        <v>3120</v>
      </c>
      <c r="R1182" t="inlineStr">
        <is>
          <t>DIRECCION DE INFRAESTRUCTURA</t>
        </is>
      </c>
      <c r="S1182" t="n">
        <v>31170</v>
      </c>
      <c r="T1182" t="inlineStr">
        <is>
          <t>SUBDIRECCION DE TELECOMUNICACIONES</t>
        </is>
      </c>
      <c r="U1182" t="n">
        <v>312000</v>
      </c>
      <c r="V1182" t="inlineStr">
        <is>
          <t>DIRECCION DE INFRAESTRUCTURA</t>
        </is>
      </c>
      <c r="W1182" t="n">
        <v>100101</v>
      </c>
      <c r="X1182" t="inlineStr">
        <is>
          <t>CORPORATIVO</t>
        </is>
      </c>
      <c r="Y1182" t="n">
        <v>4</v>
      </c>
      <c r="Z1182" t="inlineStr">
        <is>
          <t>CORPORATIVO</t>
        </is>
      </c>
      <c r="AA1182" t="n">
        <v>1</v>
      </c>
      <c r="AB1182" t="inlineStr">
        <is>
          <t>NEGOCIO EN MARCHA</t>
        </is>
      </c>
      <c r="AC1182" t="n">
        <v>1</v>
      </c>
      <c r="AD1182" t="inlineStr">
        <is>
          <t>BANCO</t>
        </is>
      </c>
      <c r="AE1182" t="n">
        <v>1</v>
      </c>
      <c r="AF1182" t="inlineStr">
        <is>
          <t>BACK</t>
        </is>
      </c>
      <c r="AG1182" t="n">
        <v>100101</v>
      </c>
      <c r="AH1182" t="inlineStr">
        <is>
          <t>CORPORATIVO</t>
        </is>
      </c>
      <c r="AI1182" t="inlineStr">
        <is>
          <t>MSALAS@BANCOBASE.COM</t>
        </is>
      </c>
      <c r="AJ1182" s="151" t="n">
        <v>43703</v>
      </c>
      <c r="AK1182" s="151" t="n"/>
      <c r="AL1182" s="151" t="n"/>
    </row>
    <row r="1183" hidden="1" s="150">
      <c r="A1183" t="inlineStr">
        <is>
          <t>PCEPEDA</t>
        </is>
      </c>
      <c r="B1183" t="n">
        <v>1762</v>
      </c>
      <c r="C1183" t="inlineStr">
        <is>
          <t>PABLO DANIEL CEPEDA SANCHEZ</t>
        </is>
      </c>
      <c r="D1183" t="n">
        <v>9734</v>
      </c>
      <c r="E1183" t="inlineStr">
        <is>
          <t>ESPECIALISTA DE REDES</t>
        </is>
      </c>
      <c r="F1183" t="inlineStr">
        <is>
          <t>MONTERREY</t>
        </is>
      </c>
      <c r="G1183" t="n">
        <v>693</v>
      </c>
      <c r="H1183" t="inlineStr">
        <is>
          <t>JORGE ROLANDO RODRIGUEZ SANCHEZ</t>
        </is>
      </c>
      <c r="I1183" t="n">
        <v>3752</v>
      </c>
      <c r="J1183" t="inlineStr">
        <is>
          <t>SUBDIRECTOR DE REDES Y SEGURIDAD PERIMETRAL</t>
        </is>
      </c>
      <c r="K1183" t="n">
        <v>1</v>
      </c>
      <c r="L1183" t="inlineStr">
        <is>
          <t>PRESIDENCIA EJECUTIVA DEL CONSEJO</t>
        </is>
      </c>
      <c r="M1183" t="n">
        <v>40</v>
      </c>
      <c r="N1183" t="inlineStr">
        <is>
          <t>DIRECCION GENERAL BANCO BASE</t>
        </is>
      </c>
      <c r="O1183" t="n">
        <v>310</v>
      </c>
      <c r="P1183" t="inlineStr">
        <is>
          <t>DIRECCION DE TECNOLOGIA</t>
        </is>
      </c>
      <c r="Q1183" t="n">
        <v>3120</v>
      </c>
      <c r="R1183" t="inlineStr">
        <is>
          <t>DIRECCION DE INFRAESTRUCTURA</t>
        </is>
      </c>
      <c r="S1183" t="n">
        <v>31170</v>
      </c>
      <c r="T1183" t="inlineStr">
        <is>
          <t>SUBDIRECCION DE TELECOMUNICACIONES</t>
        </is>
      </c>
      <c r="U1183" t="n">
        <v>312000</v>
      </c>
      <c r="V1183" t="inlineStr">
        <is>
          <t>DIRECCION DE INFRAESTRUCTURA</t>
        </is>
      </c>
      <c r="W1183" t="n">
        <v>100101</v>
      </c>
      <c r="X1183" t="inlineStr">
        <is>
          <t>CORPORATIVO</t>
        </is>
      </c>
      <c r="Y1183" t="n">
        <v>4</v>
      </c>
      <c r="Z1183" t="inlineStr">
        <is>
          <t>CORPORATIVO</t>
        </is>
      </c>
      <c r="AA1183" t="n">
        <v>1</v>
      </c>
      <c r="AB1183" t="inlineStr">
        <is>
          <t>NEGOCIO EN MARCHA</t>
        </is>
      </c>
      <c r="AC1183" t="n">
        <v>1</v>
      </c>
      <c r="AD1183" t="inlineStr">
        <is>
          <t>BANCO</t>
        </is>
      </c>
      <c r="AE1183" t="n">
        <v>1</v>
      </c>
      <c r="AF1183" t="inlineStr">
        <is>
          <t>BACK</t>
        </is>
      </c>
      <c r="AG1183" t="n">
        <v>100101</v>
      </c>
      <c r="AH1183" t="inlineStr">
        <is>
          <t>CORPORATIVO</t>
        </is>
      </c>
      <c r="AI1183" t="inlineStr">
        <is>
          <t>PCEPEDA@BANCOBASE.COM</t>
        </is>
      </c>
      <c r="AJ1183" s="151" t="n">
        <v>42871</v>
      </c>
      <c r="AK1183" s="151" t="n"/>
      <c r="AL1183" s="151" t="n"/>
    </row>
    <row r="1184" hidden="1" s="150">
      <c r="A1184" t="inlineStr">
        <is>
          <t>JCHANU</t>
        </is>
      </c>
      <c r="B1184" t="n">
        <v>99517</v>
      </c>
      <c r="C1184" t="inlineStr">
        <is>
          <t>JESUS OSWALDO CHAN UICAB</t>
        </is>
      </c>
      <c r="D1184" t="n">
        <v>7014</v>
      </c>
      <c r="E1184" t="inlineStr">
        <is>
          <t>PRACTICANTE</t>
        </is>
      </c>
      <c r="F1184" t="inlineStr">
        <is>
          <t>CANCUN</t>
        </is>
      </c>
      <c r="G1184" t="n">
        <v>693</v>
      </c>
      <c r="H1184" t="inlineStr">
        <is>
          <t>JORGE ROLANDO RODRIGUEZ SANCHEZ</t>
        </is>
      </c>
      <c r="I1184" t="n">
        <v>3752</v>
      </c>
      <c r="J1184" t="inlineStr">
        <is>
          <t>SUBDIRECTOR DE REDES Y SEGURIDAD PERIMETRAL</t>
        </is>
      </c>
      <c r="K1184" t="n">
        <v>1</v>
      </c>
      <c r="L1184" t="inlineStr">
        <is>
          <t>PRESIDENCIA EJECUTIVA DEL CONSEJO</t>
        </is>
      </c>
      <c r="M1184" t="n">
        <v>40</v>
      </c>
      <c r="N1184" t="inlineStr">
        <is>
          <t>DIRECCION GENERAL BANCO BASE</t>
        </is>
      </c>
      <c r="O1184" t="n">
        <v>310</v>
      </c>
      <c r="P1184" t="inlineStr">
        <is>
          <t>DIRECCION DE TECNOLOGIA</t>
        </is>
      </c>
      <c r="Q1184" t="n">
        <v>3120</v>
      </c>
      <c r="R1184" t="inlineStr">
        <is>
          <t>DIRECCION DE INFRAESTRUCTURA</t>
        </is>
      </c>
      <c r="S1184" t="n">
        <v>31170</v>
      </c>
      <c r="T1184" t="inlineStr">
        <is>
          <t>SUBDIRECCION DE TELECOMUNICACIONES</t>
        </is>
      </c>
      <c r="U1184" t="n">
        <v>312000</v>
      </c>
      <c r="V1184" t="inlineStr">
        <is>
          <t>DIRECCION DE INFRAESTRUCTURA</t>
        </is>
      </c>
      <c r="W1184" t="n">
        <v>126121</v>
      </c>
      <c r="X1184" t="inlineStr">
        <is>
          <t>CANCUN</t>
        </is>
      </c>
      <c r="Y1184" t="n">
        <v>4</v>
      </c>
      <c r="Z1184" t="inlineStr">
        <is>
          <t>CORPORATIVO</t>
        </is>
      </c>
      <c r="AA1184" t="n">
        <v>1</v>
      </c>
      <c r="AB1184" t="inlineStr">
        <is>
          <t>NEGOCIO EN MARCHA</t>
        </is>
      </c>
      <c r="AC1184" t="n">
        <v>1</v>
      </c>
      <c r="AD1184" t="inlineStr">
        <is>
          <t>BANCO</t>
        </is>
      </c>
      <c r="AE1184" t="n">
        <v>1</v>
      </c>
      <c r="AF1184" t="inlineStr">
        <is>
          <t>BACK</t>
        </is>
      </c>
      <c r="AG1184" t="n">
        <v>126121</v>
      </c>
      <c r="AH1184" t="inlineStr">
        <is>
          <t>CANCUN</t>
        </is>
      </c>
      <c r="AI1184" t="inlineStr">
        <is>
          <t>JCHANU@BANCOBASE.COM</t>
        </is>
      </c>
      <c r="AJ1184" s="151" t="n">
        <v>45931</v>
      </c>
      <c r="AK1184" s="151" t="n"/>
      <c r="AL1184" s="151" t="n"/>
    </row>
    <row r="1185" hidden="1" s="150">
      <c r="A1185" t="inlineStr">
        <is>
          <t>JCHI</t>
        </is>
      </c>
      <c r="B1185" t="n">
        <v>99512</v>
      </c>
      <c r="C1185" t="inlineStr">
        <is>
          <t>JOSE DE JESUS CHI QUINTAL</t>
        </is>
      </c>
      <c r="D1185" t="n">
        <v>7010</v>
      </c>
      <c r="E1185" t="inlineStr">
        <is>
          <t>PRACTICANTE</t>
        </is>
      </c>
      <c r="F1185" t="inlineStr">
        <is>
          <t>CANCUN</t>
        </is>
      </c>
      <c r="G1185" t="n">
        <v>693</v>
      </c>
      <c r="H1185" t="inlineStr">
        <is>
          <t>JORGE ROLANDO RODRIGUEZ SANCHEZ</t>
        </is>
      </c>
      <c r="I1185" t="n">
        <v>3752</v>
      </c>
      <c r="J1185" t="inlineStr">
        <is>
          <t>SUBDIRECTOR DE REDES Y SEGURIDAD PERIMETRAL</t>
        </is>
      </c>
      <c r="K1185" t="n">
        <v>1</v>
      </c>
      <c r="L1185" t="inlineStr">
        <is>
          <t>PRESIDENCIA EJECUTIVA DEL CONSEJO</t>
        </is>
      </c>
      <c r="M1185" t="n">
        <v>40</v>
      </c>
      <c r="N1185" t="inlineStr">
        <is>
          <t>DIRECCION GENERAL BANCO BASE</t>
        </is>
      </c>
      <c r="O1185" t="n">
        <v>310</v>
      </c>
      <c r="P1185" t="inlineStr">
        <is>
          <t>DIRECCION DE TECNOLOGIA</t>
        </is>
      </c>
      <c r="Q1185" t="n">
        <v>3120</v>
      </c>
      <c r="R1185" t="inlineStr">
        <is>
          <t>DIRECCION DE INFRAESTRUCTURA</t>
        </is>
      </c>
      <c r="S1185" t="n">
        <v>31170</v>
      </c>
      <c r="T1185" t="inlineStr">
        <is>
          <t>SUBDIRECCION DE TELECOMUNICACIONES</t>
        </is>
      </c>
      <c r="U1185" t="n">
        <v>312000</v>
      </c>
      <c r="V1185" t="inlineStr">
        <is>
          <t>DIRECCION DE INFRAESTRUCTURA</t>
        </is>
      </c>
      <c r="W1185" t="n">
        <v>126121</v>
      </c>
      <c r="X1185" t="inlineStr">
        <is>
          <t>CANCUN</t>
        </is>
      </c>
      <c r="Y1185" t="n">
        <v>4</v>
      </c>
      <c r="Z1185" t="inlineStr">
        <is>
          <t>CORPORATIVO</t>
        </is>
      </c>
      <c r="AA1185" t="n">
        <v>1</v>
      </c>
      <c r="AB1185" t="inlineStr">
        <is>
          <t>NEGOCIO EN MARCHA</t>
        </is>
      </c>
      <c r="AC1185" t="n">
        <v>1</v>
      </c>
      <c r="AD1185" t="inlineStr">
        <is>
          <t>BANCO</t>
        </is>
      </c>
      <c r="AE1185" t="n">
        <v>1</v>
      </c>
      <c r="AF1185" t="inlineStr">
        <is>
          <t>BACK</t>
        </is>
      </c>
      <c r="AG1185" t="n">
        <v>126121</v>
      </c>
      <c r="AH1185" t="inlineStr">
        <is>
          <t>CANCUN</t>
        </is>
      </c>
      <c r="AI1185" t="inlineStr">
        <is>
          <t>JCHI@BANCOBASE.COM</t>
        </is>
      </c>
      <c r="AJ1185" s="151" t="n">
        <v>45931</v>
      </c>
      <c r="AK1185" s="151" t="n"/>
      <c r="AL1185" s="151" t="n"/>
    </row>
    <row r="1186" hidden="1" s="150">
      <c r="A1186" t="inlineStr">
        <is>
          <t>AMARTINEZ</t>
        </is>
      </c>
      <c r="B1186" t="n">
        <v>516</v>
      </c>
      <c r="C1186" t="inlineStr">
        <is>
          <t>ALBERTO SINUHE MARTINEZ LAZCANO</t>
        </is>
      </c>
      <c r="D1186" t="n">
        <v>3716</v>
      </c>
      <c r="E1186" t="inlineStr">
        <is>
          <t>GERENTE DE SOPORTE TECNICO Y DATA CENTER</t>
        </is>
      </c>
      <c r="F1186" t="inlineStr">
        <is>
          <t>MEXICO</t>
        </is>
      </c>
      <c r="G1186" t="n">
        <v>693</v>
      </c>
      <c r="H1186" t="inlineStr">
        <is>
          <t>JORGE ROLANDO RODRIGUEZ SANCHEZ</t>
        </is>
      </c>
      <c r="I1186" t="n">
        <v>3752</v>
      </c>
      <c r="J1186" t="inlineStr">
        <is>
          <t>SUBDIRECTOR DE REDES Y SEGURIDAD PERIMETRAL</t>
        </is>
      </c>
      <c r="K1186" t="n">
        <v>1</v>
      </c>
      <c r="L1186" t="inlineStr">
        <is>
          <t>PRESIDENCIA EJECUTIVA DEL CONSEJO</t>
        </is>
      </c>
      <c r="M1186" t="n">
        <v>40</v>
      </c>
      <c r="N1186" t="inlineStr">
        <is>
          <t>DIRECCION GENERAL BANCO BASE</t>
        </is>
      </c>
      <c r="O1186" t="n">
        <v>310</v>
      </c>
      <c r="P1186" t="inlineStr">
        <is>
          <t>DIRECCION DE TECNOLOGIA</t>
        </is>
      </c>
      <c r="Q1186" t="n">
        <v>3120</v>
      </c>
      <c r="R1186" t="inlineStr">
        <is>
          <t>DIRECCION DE INFRAESTRUCTURA</t>
        </is>
      </c>
      <c r="S1186" t="n">
        <v>31170</v>
      </c>
      <c r="T1186" t="inlineStr">
        <is>
          <t>SUBDIRECCION DE TELECOMUNICACIONES</t>
        </is>
      </c>
      <c r="U1186" t="n">
        <v>312000</v>
      </c>
      <c r="V1186" t="inlineStr">
        <is>
          <t>DIRECCION DE INFRAESTRUCTURA</t>
        </is>
      </c>
      <c r="W1186" t="n">
        <v>134111</v>
      </c>
      <c r="X1186" t="inlineStr">
        <is>
          <t>LOMAS</t>
        </is>
      </c>
      <c r="Y1186" t="n">
        <v>4</v>
      </c>
      <c r="Z1186" t="inlineStr">
        <is>
          <t>CORPORATIVO</t>
        </is>
      </c>
      <c r="AA1186" t="n">
        <v>1</v>
      </c>
      <c r="AB1186" t="inlineStr">
        <is>
          <t>NEGOCIO EN MARCHA</t>
        </is>
      </c>
      <c r="AC1186" t="n">
        <v>1</v>
      </c>
      <c r="AD1186" t="inlineStr">
        <is>
          <t>BANCO</t>
        </is>
      </c>
      <c r="AE1186" t="n">
        <v>1</v>
      </c>
      <c r="AF1186" t="inlineStr">
        <is>
          <t>BACK</t>
        </is>
      </c>
      <c r="AG1186" t="n">
        <v>134111</v>
      </c>
      <c r="AH1186" t="inlineStr">
        <is>
          <t>LOMAS</t>
        </is>
      </c>
      <c r="AI1186" t="inlineStr">
        <is>
          <t>AMARTINEZ@BANCOBASE.COM</t>
        </is>
      </c>
      <c r="AJ1186" s="151" t="n">
        <v>39722</v>
      </c>
      <c r="AK1186" s="151" t="n"/>
      <c r="AL1186" s="151" t="n"/>
    </row>
    <row r="1187" hidden="1" s="150">
      <c r="A1187" t="inlineStr">
        <is>
          <t>MMATEOS</t>
        </is>
      </c>
      <c r="B1187" t="n">
        <v>1052</v>
      </c>
      <c r="C1187" t="inlineStr">
        <is>
          <t>MARCO ANTONIO MATEOS FABIAN</t>
        </is>
      </c>
      <c r="D1187" t="n">
        <v>10016</v>
      </c>
      <c r="E1187" t="inlineStr">
        <is>
          <t>ESPECIALISTA DE SOPORTE TECNICO</t>
        </is>
      </c>
      <c r="F1187" t="inlineStr">
        <is>
          <t>MEXICO</t>
        </is>
      </c>
      <c r="G1187" t="n">
        <v>516</v>
      </c>
      <c r="H1187" t="inlineStr">
        <is>
          <t>ALBERTO SINUHE MARTINEZ LAZCANO</t>
        </is>
      </c>
      <c r="I1187" t="n">
        <v>3716</v>
      </c>
      <c r="J1187" t="inlineStr">
        <is>
          <t>GERENTE DE SOPORTE TECNICO Y DATA CENTER</t>
        </is>
      </c>
      <c r="K1187" t="n">
        <v>1</v>
      </c>
      <c r="L1187" t="inlineStr">
        <is>
          <t>PRESIDENCIA EJECUTIVA DEL CONSEJO</t>
        </is>
      </c>
      <c r="M1187" t="n">
        <v>40</v>
      </c>
      <c r="N1187" t="inlineStr">
        <is>
          <t>DIRECCION GENERAL BANCO BASE</t>
        </is>
      </c>
      <c r="O1187" t="n">
        <v>310</v>
      </c>
      <c r="P1187" t="inlineStr">
        <is>
          <t>DIRECCION DE TECNOLOGIA</t>
        </is>
      </c>
      <c r="Q1187" t="n">
        <v>3120</v>
      </c>
      <c r="R1187" t="inlineStr">
        <is>
          <t>DIRECCION DE INFRAESTRUCTURA</t>
        </is>
      </c>
      <c r="S1187" t="n">
        <v>31170</v>
      </c>
      <c r="T1187" t="inlineStr">
        <is>
          <t>SUBDIRECCION DE TELECOMUNICACIONES</t>
        </is>
      </c>
      <c r="U1187" t="n">
        <v>312000</v>
      </c>
      <c r="V1187" t="inlineStr">
        <is>
          <t>DIRECCION DE INFRAESTRUCTURA</t>
        </is>
      </c>
      <c r="W1187" t="n">
        <v>134111</v>
      </c>
      <c r="X1187" t="inlineStr">
        <is>
          <t>LOMAS</t>
        </is>
      </c>
      <c r="Y1187" t="n">
        <v>4</v>
      </c>
      <c r="Z1187" t="inlineStr">
        <is>
          <t>CORPORATIVO</t>
        </is>
      </c>
      <c r="AA1187" t="n">
        <v>1</v>
      </c>
      <c r="AB1187" t="inlineStr">
        <is>
          <t>NEGOCIO EN MARCHA</t>
        </is>
      </c>
      <c r="AC1187" t="n">
        <v>1</v>
      </c>
      <c r="AD1187" t="inlineStr">
        <is>
          <t>BANCO</t>
        </is>
      </c>
      <c r="AE1187" t="n">
        <v>1</v>
      </c>
      <c r="AF1187" t="inlineStr">
        <is>
          <t>BACK</t>
        </is>
      </c>
      <c r="AG1187" t="n">
        <v>134111</v>
      </c>
      <c r="AH1187" t="inlineStr">
        <is>
          <t>LOMAS</t>
        </is>
      </c>
      <c r="AI1187" t="inlineStr">
        <is>
          <t>MMATEOS@BANCOBASE.COM</t>
        </is>
      </c>
      <c r="AJ1187" s="151" t="n">
        <v>41494</v>
      </c>
      <c r="AK1187" s="151" t="n"/>
      <c r="AL1187" s="151" t="n"/>
    </row>
    <row r="1188" hidden="1" s="150">
      <c r="A1188" t="inlineStr">
        <is>
          <t>LCASIMIRO</t>
        </is>
      </c>
      <c r="B1188" t="n">
        <v>3292</v>
      </c>
      <c r="C1188" t="inlineStr">
        <is>
          <t>LUIS GABRIEL CASIMIRO SANCHEZ</t>
        </is>
      </c>
      <c r="D1188" t="n">
        <v>8552</v>
      </c>
      <c r="E1188" t="inlineStr">
        <is>
          <t>ESPECIALISTA DE SOPORTE TECNICO</t>
        </is>
      </c>
      <c r="F1188" t="inlineStr">
        <is>
          <t>MONTERREY</t>
        </is>
      </c>
      <c r="G1188" t="n">
        <v>516</v>
      </c>
      <c r="H1188" t="inlineStr">
        <is>
          <t>ALBERTO SINUHE MARTINEZ LAZCANO</t>
        </is>
      </c>
      <c r="I1188" t="n">
        <v>3716</v>
      </c>
      <c r="J1188" t="inlineStr">
        <is>
          <t>GERENTE DE SOPORTE TECNICO Y DATA CENTER</t>
        </is>
      </c>
      <c r="K1188" t="n">
        <v>1</v>
      </c>
      <c r="L1188" t="inlineStr">
        <is>
          <t>PRESIDENCIA EJECUTIVA DEL CONSEJO</t>
        </is>
      </c>
      <c r="M1188" t="n">
        <v>40</v>
      </c>
      <c r="N1188" t="inlineStr">
        <is>
          <t>DIRECCION GENERAL BANCO BASE</t>
        </is>
      </c>
      <c r="O1188" t="n">
        <v>310</v>
      </c>
      <c r="P1188" t="inlineStr">
        <is>
          <t>DIRECCION DE TECNOLOGIA</t>
        </is>
      </c>
      <c r="Q1188" t="n">
        <v>3120</v>
      </c>
      <c r="R1188" t="inlineStr">
        <is>
          <t>DIRECCION DE INFRAESTRUCTURA</t>
        </is>
      </c>
      <c r="S1188" t="n">
        <v>31170</v>
      </c>
      <c r="T1188" t="inlineStr">
        <is>
          <t>SUBDIRECCION DE TELECOMUNICACIONES</t>
        </is>
      </c>
      <c r="U1188" t="n">
        <v>312000</v>
      </c>
      <c r="V1188" t="inlineStr">
        <is>
          <t>DIRECCION DE INFRAESTRUCTURA</t>
        </is>
      </c>
      <c r="W1188" t="n">
        <v>100101</v>
      </c>
      <c r="X1188" t="inlineStr">
        <is>
          <t>CORPORATIVO</t>
        </is>
      </c>
      <c r="Y1188" t="n">
        <v>4</v>
      </c>
      <c r="Z1188" t="inlineStr">
        <is>
          <t>CORPORATIVO</t>
        </is>
      </c>
      <c r="AA1188" t="n">
        <v>8</v>
      </c>
      <c r="AB1188" t="inlineStr">
        <is>
          <t>BAU</t>
        </is>
      </c>
      <c r="AC1188" t="n">
        <v>1</v>
      </c>
      <c r="AD1188" t="inlineStr">
        <is>
          <t>BANCO</t>
        </is>
      </c>
      <c r="AE1188" t="n">
        <v>1</v>
      </c>
      <c r="AF1188" t="inlineStr">
        <is>
          <t>BACK</t>
        </is>
      </c>
      <c r="AG1188" t="n">
        <v>100101</v>
      </c>
      <c r="AH1188" t="inlineStr">
        <is>
          <t>CORPORATIVO</t>
        </is>
      </c>
      <c r="AI1188" t="inlineStr">
        <is>
          <t>LCASIMIRO@BANCOBASE.COM</t>
        </is>
      </c>
      <c r="AJ1188" s="151" t="n">
        <v>45642</v>
      </c>
      <c r="AK1188" s="151" t="n"/>
      <c r="AL1188" s="151" t="n"/>
    </row>
    <row r="1189" hidden="1" s="150">
      <c r="A1189" t="inlineStr">
        <is>
          <t>LESQUIVELG</t>
        </is>
      </c>
      <c r="B1189" t="n">
        <v>3990</v>
      </c>
      <c r="C1189" t="inlineStr">
        <is>
          <t>LUIS FERNANDO ESQUIVEL GONZALEZ</t>
        </is>
      </c>
      <c r="D1189" t="n">
        <v>5067</v>
      </c>
      <c r="E1189" t="inlineStr">
        <is>
          <t>ESPECIALISTA DE REDES</t>
        </is>
      </c>
      <c r="F1189" t="inlineStr">
        <is>
          <t>QUERETARO</t>
        </is>
      </c>
      <c r="G1189" t="n">
        <v>693</v>
      </c>
      <c r="H1189" t="inlineStr">
        <is>
          <t>JORGE ROLANDO RODRIGUEZ SANCHEZ</t>
        </is>
      </c>
      <c r="I1189" t="n">
        <v>3752</v>
      </c>
      <c r="J1189" t="inlineStr">
        <is>
          <t>SUBDIRECTOR DE REDES Y SEGURIDAD PERIMETRAL</t>
        </is>
      </c>
      <c r="K1189" t="n">
        <v>1</v>
      </c>
      <c r="L1189" t="inlineStr">
        <is>
          <t>PRESIDENCIA EJECUTIVA DEL CONSEJO</t>
        </is>
      </c>
      <c r="M1189" t="n">
        <v>40</v>
      </c>
      <c r="N1189" t="inlineStr">
        <is>
          <t>DIRECCION GENERAL BANCO BASE</t>
        </is>
      </c>
      <c r="O1189" t="n">
        <v>310</v>
      </c>
      <c r="P1189" t="inlineStr">
        <is>
          <t>DIRECCION DE TECNOLOGIA</t>
        </is>
      </c>
      <c r="Q1189" t="n">
        <v>3120</v>
      </c>
      <c r="R1189" t="inlineStr">
        <is>
          <t>DIRECCION DE INFRAESTRUCTURA</t>
        </is>
      </c>
      <c r="S1189" t="n">
        <v>31170</v>
      </c>
      <c r="T1189" t="inlineStr">
        <is>
          <t>SUBDIRECCION DE TELECOMUNICACIONES</t>
        </is>
      </c>
      <c r="U1189" t="n">
        <v>312000</v>
      </c>
      <c r="V1189" t="inlineStr">
        <is>
          <t>DIRECCION DE INFRAESTRUCTURA</t>
        </is>
      </c>
      <c r="W1189" t="n">
        <v>126112</v>
      </c>
      <c r="X1189" t="inlineStr">
        <is>
          <t>QUERETARO</t>
        </is>
      </c>
      <c r="Y1189" t="n">
        <v>4</v>
      </c>
      <c r="Z1189" t="inlineStr">
        <is>
          <t>CORPORATIVO</t>
        </is>
      </c>
      <c r="AA1189" t="n">
        <v>8</v>
      </c>
      <c r="AB1189" t="inlineStr">
        <is>
          <t>BAU</t>
        </is>
      </c>
      <c r="AC1189" t="n">
        <v>1</v>
      </c>
      <c r="AD1189" t="inlineStr">
        <is>
          <t>BANCO</t>
        </is>
      </c>
      <c r="AE1189" t="n">
        <v>1</v>
      </c>
      <c r="AF1189" t="inlineStr">
        <is>
          <t>BACK</t>
        </is>
      </c>
      <c r="AG1189" t="n">
        <v>126112</v>
      </c>
      <c r="AH1189" t="inlineStr">
        <is>
          <t>QUERETARO</t>
        </is>
      </c>
      <c r="AI1189" t="inlineStr">
        <is>
          <t>LESQUIVELG@BANCOBASE.COM</t>
        </is>
      </c>
      <c r="AJ1189" s="151" t="n">
        <v>46251</v>
      </c>
      <c r="AK1189" s="151" t="n"/>
      <c r="AL1189" s="151" t="n"/>
    </row>
    <row r="1190" hidden="1" s="150">
      <c r="A1190" t="inlineStr">
        <is>
          <t>RGUZMANS</t>
        </is>
      </c>
      <c r="B1190" t="n">
        <v>3139</v>
      </c>
      <c r="C1190" t="inlineStr">
        <is>
          <t>RICARDO GUZMAN SANCHEZ</t>
        </is>
      </c>
      <c r="D1190" t="n">
        <v>8365</v>
      </c>
      <c r="E1190" t="inlineStr">
        <is>
          <t>SUBDIRECTOR DE DIGITALIZACION DE INFRAESTRUCTURA</t>
        </is>
      </c>
      <c r="F1190" t="inlineStr">
        <is>
          <t>MONTERREY</t>
        </is>
      </c>
      <c r="G1190" t="n">
        <v>3369</v>
      </c>
      <c r="H1190" t="inlineStr">
        <is>
          <t>ANTONIO ROMAN MONTEALEGRE</t>
        </is>
      </c>
      <c r="I1190" t="n">
        <v>9839</v>
      </c>
      <c r="J1190" t="inlineStr">
        <is>
          <t>DIRECTOR DE INFRAESTRUCTURA</t>
        </is>
      </c>
      <c r="K1190" t="n">
        <v>1</v>
      </c>
      <c r="L1190" t="inlineStr">
        <is>
          <t>PRESIDENCIA EJECUTIVA DEL CONSEJO</t>
        </is>
      </c>
      <c r="M1190" t="n">
        <v>40</v>
      </c>
      <c r="N1190" t="inlineStr">
        <is>
          <t>DIRECCION GENERAL BANCO BASE</t>
        </is>
      </c>
      <c r="O1190" t="n">
        <v>310</v>
      </c>
      <c r="P1190" t="inlineStr">
        <is>
          <t>DIRECCION DE TECNOLOGIA</t>
        </is>
      </c>
      <c r="Q1190" t="n">
        <v>3120</v>
      </c>
      <c r="R1190" t="inlineStr">
        <is>
          <t>DIRECCION DE INFRAESTRUCTURA</t>
        </is>
      </c>
      <c r="S1190" t="n">
        <v>31180</v>
      </c>
      <c r="T1190" t="inlineStr">
        <is>
          <t>SUBDIRECCION DE SERVICIOS DIGITALES Y AUTOMATIZACI</t>
        </is>
      </c>
      <c r="U1190" t="n">
        <v>312000</v>
      </c>
      <c r="V1190" t="inlineStr">
        <is>
          <t>DIRECCION DE INFRAESTRUCTURA</t>
        </is>
      </c>
      <c r="W1190" t="n">
        <v>100101</v>
      </c>
      <c r="X1190" t="inlineStr">
        <is>
          <t>CORPORATIVO</t>
        </is>
      </c>
      <c r="Y1190" t="n">
        <v>4</v>
      </c>
      <c r="Z1190" t="inlineStr">
        <is>
          <t>CORPORATIVO</t>
        </is>
      </c>
      <c r="AA1190" t="n">
        <v>8</v>
      </c>
      <c r="AB1190" t="inlineStr">
        <is>
          <t>BAU</t>
        </is>
      </c>
      <c r="AC1190" t="n">
        <v>1</v>
      </c>
      <c r="AD1190" t="inlineStr">
        <is>
          <t>BANCO</t>
        </is>
      </c>
      <c r="AE1190" t="n">
        <v>1</v>
      </c>
      <c r="AF1190" t="inlineStr">
        <is>
          <t>BACK</t>
        </is>
      </c>
      <c r="AG1190" t="n">
        <v>100101</v>
      </c>
      <c r="AH1190" t="inlineStr">
        <is>
          <t>CORPORATIVO</t>
        </is>
      </c>
      <c r="AI1190" t="inlineStr">
        <is>
          <t>RGUZMANS@BANCOBASE.COM</t>
        </is>
      </c>
      <c r="AJ1190" s="151" t="n">
        <v>45460</v>
      </c>
      <c r="AK1190" s="151" t="n"/>
      <c r="AL1190" s="151" t="n"/>
    </row>
    <row r="1191" hidden="1" s="150">
      <c r="A1191" t="inlineStr">
        <is>
          <t>RALVARADOH</t>
        </is>
      </c>
      <c r="B1191" t="n">
        <v>3705</v>
      </c>
      <c r="C1191" t="inlineStr">
        <is>
          <t>RODRIGO ALVARADO HERNANDEZ</t>
        </is>
      </c>
      <c r="D1191" t="n">
        <v>8485</v>
      </c>
      <c r="E1191" t="inlineStr">
        <is>
          <t>LIDER DE SERVICIOS DE NUBE PUBLICA</t>
        </is>
      </c>
      <c r="F1191" t="inlineStr">
        <is>
          <t>MEXICO</t>
        </is>
      </c>
      <c r="G1191" t="n">
        <v>3139</v>
      </c>
      <c r="H1191" t="inlineStr">
        <is>
          <t>RICARDO GUZMAN SANCHEZ</t>
        </is>
      </c>
      <c r="I1191" t="n">
        <v>8365</v>
      </c>
      <c r="J1191" t="inlineStr">
        <is>
          <t>SUBDIRECTOR DE DIGITALIZACION DE INFRAESTRUCTURA</t>
        </is>
      </c>
      <c r="K1191" t="n">
        <v>1</v>
      </c>
      <c r="L1191" t="inlineStr">
        <is>
          <t>PRESIDENCIA EJECUTIVA DEL CONSEJO</t>
        </is>
      </c>
      <c r="M1191" t="n">
        <v>40</v>
      </c>
      <c r="N1191" t="inlineStr">
        <is>
          <t>DIRECCION GENERAL BANCO BASE</t>
        </is>
      </c>
      <c r="O1191" t="n">
        <v>310</v>
      </c>
      <c r="P1191" t="inlineStr">
        <is>
          <t>DIRECCION DE TECNOLOGIA</t>
        </is>
      </c>
      <c r="Q1191" t="n">
        <v>3120</v>
      </c>
      <c r="R1191" t="inlineStr">
        <is>
          <t>DIRECCION DE INFRAESTRUCTURA</t>
        </is>
      </c>
      <c r="S1191" t="n">
        <v>31180</v>
      </c>
      <c r="T1191" t="inlineStr">
        <is>
          <t>SUBDIRECCION DE SERVICIOS DIGITALES Y AUTOMATIZACI</t>
        </is>
      </c>
      <c r="U1191" t="n">
        <v>312000</v>
      </c>
      <c r="V1191" t="inlineStr">
        <is>
          <t>DIRECCION DE INFRAESTRUCTURA</t>
        </is>
      </c>
      <c r="W1191" t="n">
        <v>134111</v>
      </c>
      <c r="X1191" t="inlineStr">
        <is>
          <t>LOMAS</t>
        </is>
      </c>
      <c r="Y1191" t="n">
        <v>4</v>
      </c>
      <c r="Z1191" t="inlineStr">
        <is>
          <t>CORPORATIVO</t>
        </is>
      </c>
      <c r="AA1191" t="n">
        <v>7</v>
      </c>
      <c r="AB1191" t="inlineStr">
        <is>
          <t>PROYECTO DARWIN</t>
        </is>
      </c>
      <c r="AC1191" t="n">
        <v>1</v>
      </c>
      <c r="AD1191" t="inlineStr">
        <is>
          <t>BANCO</t>
        </is>
      </c>
      <c r="AE1191" t="n">
        <v>1</v>
      </c>
      <c r="AF1191" t="inlineStr">
        <is>
          <t>BACK</t>
        </is>
      </c>
      <c r="AG1191" t="n">
        <v>134111</v>
      </c>
      <c r="AH1191" t="inlineStr">
        <is>
          <t>LOMAS</t>
        </is>
      </c>
      <c r="AI1191" t="inlineStr">
        <is>
          <t>RALVARADOH@BANCOBASE.COM</t>
        </is>
      </c>
      <c r="AJ1191" s="151" t="n">
        <v>45999</v>
      </c>
      <c r="AK1191" s="151" t="n"/>
      <c r="AL1191" s="151" t="n"/>
    </row>
    <row r="1192" hidden="1" s="150">
      <c r="A1192" t="inlineStr">
        <is>
          <t>JESPARRAG</t>
        </is>
      </c>
      <c r="B1192" t="n">
        <v>3368</v>
      </c>
      <c r="C1192" t="inlineStr">
        <is>
          <t>JAFET ESPARRAGOZA TAMARIZ</t>
        </is>
      </c>
      <c r="D1192" t="n">
        <v>8679</v>
      </c>
      <c r="E1192" t="inlineStr">
        <is>
          <t>ESPECIALISTA CLOUD</t>
        </is>
      </c>
      <c r="F1192" t="inlineStr">
        <is>
          <t>MEXICO</t>
        </is>
      </c>
      <c r="G1192" t="n">
        <v>3705</v>
      </c>
      <c r="H1192" t="inlineStr">
        <is>
          <t>RODRIGO ALVARADO HERNANDEZ</t>
        </is>
      </c>
      <c r="I1192" t="n">
        <v>8485</v>
      </c>
      <c r="J1192" t="inlineStr">
        <is>
          <t>LIDER DE SERVICIOS DE NUBE PUBLICA</t>
        </is>
      </c>
      <c r="K1192" t="n">
        <v>1</v>
      </c>
      <c r="L1192" t="inlineStr">
        <is>
          <t>PRESIDENCIA EJECUTIVA DEL CONSEJO</t>
        </is>
      </c>
      <c r="M1192" t="n">
        <v>40</v>
      </c>
      <c r="N1192" t="inlineStr">
        <is>
          <t>DIRECCION GENERAL BANCO BASE</t>
        </is>
      </c>
      <c r="O1192" t="n">
        <v>310</v>
      </c>
      <c r="P1192" t="inlineStr">
        <is>
          <t>DIRECCION DE TECNOLOGIA</t>
        </is>
      </c>
      <c r="Q1192" t="n">
        <v>3120</v>
      </c>
      <c r="R1192" t="inlineStr">
        <is>
          <t>DIRECCION DE INFRAESTRUCTURA</t>
        </is>
      </c>
      <c r="S1192" t="n">
        <v>31180</v>
      </c>
      <c r="T1192" t="inlineStr">
        <is>
          <t>SUBDIRECCION DE SERVICIOS DIGITALES Y AUTOMATIZACI</t>
        </is>
      </c>
      <c r="U1192" t="n">
        <v>312000</v>
      </c>
      <c r="V1192" t="inlineStr">
        <is>
          <t>DIRECCION DE INFRAESTRUCTURA</t>
        </is>
      </c>
      <c r="W1192" t="n">
        <v>134111</v>
      </c>
      <c r="X1192" t="inlineStr">
        <is>
          <t>LOMAS</t>
        </is>
      </c>
      <c r="Y1192" t="n">
        <v>4</v>
      </c>
      <c r="Z1192" t="inlineStr">
        <is>
          <t>CORPORATIVO</t>
        </is>
      </c>
      <c r="AA1192" t="n">
        <v>8</v>
      </c>
      <c r="AB1192" t="inlineStr">
        <is>
          <t>BAU</t>
        </is>
      </c>
      <c r="AC1192" t="n">
        <v>1</v>
      </c>
      <c r="AD1192" t="inlineStr">
        <is>
          <t>BANCO</t>
        </is>
      </c>
      <c r="AE1192" t="n">
        <v>1</v>
      </c>
      <c r="AF1192" t="inlineStr">
        <is>
          <t>BACK</t>
        </is>
      </c>
      <c r="AG1192" t="n">
        <v>134111</v>
      </c>
      <c r="AH1192" t="inlineStr">
        <is>
          <t>LOMAS</t>
        </is>
      </c>
      <c r="AI1192" t="inlineStr">
        <is>
          <t>JESPARRAG@BANCOBASE.COM</t>
        </is>
      </c>
      <c r="AJ1192" s="151" t="n">
        <v>45734</v>
      </c>
      <c r="AK1192" s="151" t="n"/>
      <c r="AL1192" s="151" t="n"/>
    </row>
    <row r="1193" hidden="1" s="150">
      <c r="A1193" t="inlineStr">
        <is>
          <t>AHERNANDH</t>
        </is>
      </c>
      <c r="B1193" t="n">
        <v>3293</v>
      </c>
      <c r="C1193" t="inlineStr">
        <is>
          <t>ARMANDO HERNANDEZ HERNANDEZ</t>
        </is>
      </c>
      <c r="D1193" t="n">
        <v>8554</v>
      </c>
      <c r="E1193" t="inlineStr">
        <is>
          <t>ESPECIALISTA MIDDLEWARE &amp; CLOUD</t>
        </is>
      </c>
      <c r="F1193" t="inlineStr">
        <is>
          <t>MEXICO</t>
        </is>
      </c>
      <c r="G1193" t="n">
        <v>3705</v>
      </c>
      <c r="H1193" t="inlineStr">
        <is>
          <t>RODRIGO ALVARADO HERNANDEZ</t>
        </is>
      </c>
      <c r="I1193" t="n">
        <v>8485</v>
      </c>
      <c r="J1193" t="inlineStr">
        <is>
          <t>LIDER DE SERVICIOS DE NUBE PUBLICA</t>
        </is>
      </c>
      <c r="K1193" t="n">
        <v>1</v>
      </c>
      <c r="L1193" t="inlineStr">
        <is>
          <t>PRESIDENCIA EJECUTIVA DEL CONSEJO</t>
        </is>
      </c>
      <c r="M1193" t="n">
        <v>40</v>
      </c>
      <c r="N1193" t="inlineStr">
        <is>
          <t>DIRECCION GENERAL BANCO BASE</t>
        </is>
      </c>
      <c r="O1193" t="n">
        <v>310</v>
      </c>
      <c r="P1193" t="inlineStr">
        <is>
          <t>DIRECCION DE TECNOLOGIA</t>
        </is>
      </c>
      <c r="Q1193" t="n">
        <v>3120</v>
      </c>
      <c r="R1193" t="inlineStr">
        <is>
          <t>DIRECCION DE INFRAESTRUCTURA</t>
        </is>
      </c>
      <c r="S1193" t="n">
        <v>31130</v>
      </c>
      <c r="T1193" t="inlineStr">
        <is>
          <t>SUBDIRECCION DE SOLUCIONES DE INFRAESTRUCTURA</t>
        </is>
      </c>
      <c r="U1193" t="n">
        <v>312000</v>
      </c>
      <c r="V1193" t="inlineStr">
        <is>
          <t>DIRECCION DE INFRAESTRUCTURA</t>
        </is>
      </c>
      <c r="W1193" t="n">
        <v>134111</v>
      </c>
      <c r="X1193" t="inlineStr">
        <is>
          <t>LOMAS</t>
        </is>
      </c>
      <c r="Y1193" t="n">
        <v>4</v>
      </c>
      <c r="Z1193" t="inlineStr">
        <is>
          <t>CORPORATIVO</t>
        </is>
      </c>
      <c r="AA1193" t="n">
        <v>8</v>
      </c>
      <c r="AB1193" t="inlineStr">
        <is>
          <t>BAU</t>
        </is>
      </c>
      <c r="AC1193" t="n">
        <v>1</v>
      </c>
      <c r="AD1193" t="inlineStr">
        <is>
          <t>BANCO</t>
        </is>
      </c>
      <c r="AE1193" t="n">
        <v>1</v>
      </c>
      <c r="AF1193" t="inlineStr">
        <is>
          <t>BACK</t>
        </is>
      </c>
      <c r="AG1193" t="n">
        <v>134111</v>
      </c>
      <c r="AH1193" t="inlineStr">
        <is>
          <t>LOMAS</t>
        </is>
      </c>
      <c r="AI1193" t="inlineStr">
        <is>
          <t>AHERNANDH@BANCOBASE.COM</t>
        </is>
      </c>
      <c r="AJ1193" s="151" t="n">
        <v>45642</v>
      </c>
      <c r="AK1193" s="151" t="n"/>
      <c r="AL1193" s="151" t="n"/>
    </row>
    <row r="1194" hidden="1" s="150">
      <c r="A1194" t="inlineStr">
        <is>
          <t>BSIERRA</t>
        </is>
      </c>
      <c r="B1194" t="n">
        <v>3909</v>
      </c>
      <c r="C1194" t="inlineStr">
        <is>
          <t>BRYAN JULIAN SIERRA GARCÍA</t>
        </is>
      </c>
      <c r="D1194" t="n">
        <v>5076</v>
      </c>
      <c r="E1194" t="inlineStr">
        <is>
          <t>ESPECIALISTA CLOUD</t>
        </is>
      </c>
      <c r="F1194" t="inlineStr">
        <is>
          <t>GUADALAJARA</t>
        </is>
      </c>
      <c r="G1194" t="n">
        <v>3705</v>
      </c>
      <c r="H1194" t="inlineStr">
        <is>
          <t>RODRIGO ALVARADO HERNANDEZ</t>
        </is>
      </c>
      <c r="I1194" t="n">
        <v>8485</v>
      </c>
      <c r="J1194" t="inlineStr">
        <is>
          <t>LIDER DE SERVICIOS DE NUBE PUBLICA</t>
        </is>
      </c>
      <c r="K1194" t="n">
        <v>1</v>
      </c>
      <c r="L1194" t="inlineStr">
        <is>
          <t>PRESIDENCIA EJECUTIVA DEL CONSEJO</t>
        </is>
      </c>
      <c r="M1194" t="n">
        <v>40</v>
      </c>
      <c r="N1194" t="inlineStr">
        <is>
          <t>DIRECCION GENERAL BANCO BASE</t>
        </is>
      </c>
      <c r="O1194" t="n">
        <v>310</v>
      </c>
      <c r="P1194" t="inlineStr">
        <is>
          <t>DIRECCION DE TECNOLOGIA</t>
        </is>
      </c>
      <c r="Q1194" t="n">
        <v>3120</v>
      </c>
      <c r="R1194" t="inlineStr">
        <is>
          <t>DIRECCION DE INFRAESTRUCTURA</t>
        </is>
      </c>
      <c r="S1194" t="n">
        <v>31180</v>
      </c>
      <c r="T1194" t="inlineStr">
        <is>
          <t>SUBDIRECCION DE SERVICIOS DIGITALES Y AUTOMATIZACI</t>
        </is>
      </c>
      <c r="U1194" t="n">
        <v>312000</v>
      </c>
      <c r="V1194" t="inlineStr">
        <is>
          <t>DIRECCION DE INFRAESTRUCTURA</t>
        </is>
      </c>
      <c r="W1194" t="n">
        <v>126107</v>
      </c>
      <c r="X1194" t="inlineStr">
        <is>
          <t>GUADALAJARA</t>
        </is>
      </c>
      <c r="Y1194" t="n">
        <v>4</v>
      </c>
      <c r="Z1194" t="inlineStr">
        <is>
          <t>CORPORATIVO</t>
        </is>
      </c>
      <c r="AA1194" t="n">
        <v>8</v>
      </c>
      <c r="AB1194" t="inlineStr">
        <is>
          <t>BAU</t>
        </is>
      </c>
      <c r="AC1194" t="n">
        <v>1</v>
      </c>
      <c r="AD1194" t="inlineStr">
        <is>
          <t>BANCO</t>
        </is>
      </c>
      <c r="AE1194" t="n">
        <v>1</v>
      </c>
      <c r="AF1194" t="inlineStr">
        <is>
          <t>BACK</t>
        </is>
      </c>
      <c r="AG1194" t="n">
        <v>126107</v>
      </c>
      <c r="AH1194" t="inlineStr">
        <is>
          <t>GUADALAJARA</t>
        </is>
      </c>
      <c r="AI1194" t="inlineStr">
        <is>
          <t>BSIERRA@BANCOBASE.COM</t>
        </is>
      </c>
      <c r="AJ1194" s="151" t="n">
        <v>46189</v>
      </c>
      <c r="AK1194" s="151" t="n"/>
      <c r="AL1194" s="151" t="n"/>
    </row>
    <row r="1195" hidden="1" s="150">
      <c r="A1195" t="inlineStr">
        <is>
          <t>FREYESM</t>
        </is>
      </c>
      <c r="B1195" t="n">
        <v>3972</v>
      </c>
      <c r="C1195" t="inlineStr">
        <is>
          <t>FERNANDO REYES MUNOZ</t>
        </is>
      </c>
      <c r="D1195" t="n">
        <v>8846</v>
      </c>
      <c r="E1195" t="inlineStr">
        <is>
          <t>ESPECIALISTA SERVICIOS INFRAESTRUCTURA DIGITAL</t>
        </is>
      </c>
      <c r="F1195" t="inlineStr">
        <is>
          <t>CHIHUAHUA</t>
        </is>
      </c>
      <c r="G1195" t="n">
        <v>3705</v>
      </c>
      <c r="H1195" t="inlineStr">
        <is>
          <t>RODRIGO ALVARADO HERNANDEZ</t>
        </is>
      </c>
      <c r="I1195" t="n">
        <v>8485</v>
      </c>
      <c r="J1195" t="inlineStr">
        <is>
          <t>LIDER DE SERVICIOS DE NUBE PUBLICA</t>
        </is>
      </c>
      <c r="K1195" t="n">
        <v>1</v>
      </c>
      <c r="L1195" t="inlineStr">
        <is>
          <t>PRESIDENCIA EJECUTIVA DEL CONSEJO</t>
        </is>
      </c>
      <c r="M1195" t="n">
        <v>40</v>
      </c>
      <c r="N1195" t="inlineStr">
        <is>
          <t>DIRECCION GENERAL BANCO BASE</t>
        </is>
      </c>
      <c r="O1195" t="n">
        <v>310</v>
      </c>
      <c r="P1195" t="inlineStr">
        <is>
          <t>DIRECCION DE TECNOLOGIA</t>
        </is>
      </c>
      <c r="Q1195" t="n">
        <v>3110</v>
      </c>
      <c r="R1195" t="inlineStr">
        <is>
          <t>DIRECCION DE OPERACIONES DE TI</t>
        </is>
      </c>
      <c r="S1195" t="n">
        <v>31180</v>
      </c>
      <c r="T1195" t="inlineStr">
        <is>
          <t>SUBDIRECCION DE SERVICIOS DIGITALES Y AUTOMATIZACI</t>
        </is>
      </c>
      <c r="U1195" t="n">
        <v>312000</v>
      </c>
      <c r="V1195" t="inlineStr">
        <is>
          <t>DIRECCION DE INFRAESTRUCTURA</t>
        </is>
      </c>
      <c r="W1195" t="n">
        <v>126131</v>
      </c>
      <c r="X1195" t="inlineStr">
        <is>
          <t>CHIHUAHUA</t>
        </is>
      </c>
      <c r="Y1195" t="n">
        <v>4</v>
      </c>
      <c r="Z1195" t="inlineStr">
        <is>
          <t>CORPORATIVO</t>
        </is>
      </c>
      <c r="AA1195" t="n">
        <v>8</v>
      </c>
      <c r="AB1195" t="inlineStr">
        <is>
          <t>BAU</t>
        </is>
      </c>
      <c r="AC1195" t="n">
        <v>1</v>
      </c>
      <c r="AD1195" t="inlineStr">
        <is>
          <t>BANCO</t>
        </is>
      </c>
      <c r="AE1195" t="n">
        <v>1</v>
      </c>
      <c r="AF1195" t="inlineStr">
        <is>
          <t>BACK</t>
        </is>
      </c>
      <c r="AG1195" t="n">
        <v>126131</v>
      </c>
      <c r="AH1195" t="inlineStr">
        <is>
          <t>CHIHUAHUA</t>
        </is>
      </c>
      <c r="AI1195" t="inlineStr">
        <is>
          <t>FREYESM@BANCOBASE.COM</t>
        </is>
      </c>
      <c r="AJ1195" s="151" t="n">
        <v>46239</v>
      </c>
      <c r="AK1195" s="151" t="n"/>
      <c r="AL1195" s="151" t="n"/>
    </row>
    <row r="1196" hidden="1" s="150">
      <c r="A1196" t="inlineStr">
        <is>
          <t>SFACUNDO</t>
        </is>
      </c>
      <c r="B1196" t="n">
        <v>2419</v>
      </c>
      <c r="C1196" t="inlineStr">
        <is>
          <t>SERGIO FACUNDO BRIONES</t>
        </is>
      </c>
      <c r="D1196" t="n">
        <v>10403</v>
      </c>
      <c r="E1196" t="inlineStr">
        <is>
          <t>ESPECIALISTA SERVICIOS INFRAESTRUCTURA DIGITAL</t>
        </is>
      </c>
      <c r="F1196" t="inlineStr">
        <is>
          <t>MONTERREY</t>
        </is>
      </c>
      <c r="G1196" t="n">
        <v>3705</v>
      </c>
      <c r="H1196" t="inlineStr">
        <is>
          <t>RODRIGO ALVARADO HERNANDEZ</t>
        </is>
      </c>
      <c r="I1196" t="n">
        <v>8485</v>
      </c>
      <c r="J1196" t="inlineStr">
        <is>
          <t>LIDER DE SERVICIOS DE NUBE PUBLICA</t>
        </is>
      </c>
      <c r="K1196" t="n">
        <v>1</v>
      </c>
      <c r="L1196" t="inlineStr">
        <is>
          <t>PRESIDENCIA EJECUTIVA DEL CONSEJO</t>
        </is>
      </c>
      <c r="M1196" t="n">
        <v>40</v>
      </c>
      <c r="N1196" t="inlineStr">
        <is>
          <t>DIRECCION GENERAL BANCO BASE</t>
        </is>
      </c>
      <c r="O1196" t="n">
        <v>310</v>
      </c>
      <c r="P1196" t="inlineStr">
        <is>
          <t>DIRECCION DE TECNOLOGIA</t>
        </is>
      </c>
      <c r="Q1196" t="n">
        <v>3120</v>
      </c>
      <c r="R1196" t="inlineStr">
        <is>
          <t>DIRECCION DE INFRAESTRUCTURA</t>
        </is>
      </c>
      <c r="S1196" t="n">
        <v>31180</v>
      </c>
      <c r="T1196" t="inlineStr">
        <is>
          <t>SUBDIRECCION DE SERVICIOS DIGITALES Y AUTOMATIZACI</t>
        </is>
      </c>
      <c r="U1196" t="n">
        <v>312000</v>
      </c>
      <c r="V1196" t="inlineStr">
        <is>
          <t>DIRECCION DE INFRAESTRUCTURA</t>
        </is>
      </c>
      <c r="W1196" t="n">
        <v>100101</v>
      </c>
      <c r="X1196" t="inlineStr">
        <is>
          <t>CORPORATIVO</t>
        </is>
      </c>
      <c r="Y1196" t="n">
        <v>4</v>
      </c>
      <c r="Z1196" t="inlineStr">
        <is>
          <t>CORPORATIVO</t>
        </is>
      </c>
      <c r="AA1196" t="n">
        <v>1</v>
      </c>
      <c r="AB1196" t="inlineStr">
        <is>
          <t>NEGOCIO EN MARCHA</t>
        </is>
      </c>
      <c r="AC1196" t="n">
        <v>1</v>
      </c>
      <c r="AD1196" t="inlineStr">
        <is>
          <t>BANCO</t>
        </is>
      </c>
      <c r="AE1196" t="n">
        <v>1</v>
      </c>
      <c r="AF1196" t="inlineStr">
        <is>
          <t>BACK</t>
        </is>
      </c>
      <c r="AG1196" t="n">
        <v>100101</v>
      </c>
      <c r="AH1196" t="inlineStr">
        <is>
          <t>CORPORATIVO</t>
        </is>
      </c>
      <c r="AI1196" t="inlineStr">
        <is>
          <t>SFACUNDO@BANCOBASE.COM</t>
        </is>
      </c>
      <c r="AJ1196" s="151" t="n">
        <v>44046</v>
      </c>
      <c r="AK1196" s="151" t="n"/>
      <c r="AL1196" s="151" t="n"/>
    </row>
    <row r="1197" hidden="1" s="150">
      <c r="A1197" t="inlineStr">
        <is>
          <t>FCASTRO</t>
        </is>
      </c>
      <c r="B1197" t="n">
        <v>2330</v>
      </c>
      <c r="C1197" t="inlineStr">
        <is>
          <t>FILOGONIO CASTRO MARTINEZ</t>
        </is>
      </c>
      <c r="D1197" t="n">
        <v>10221</v>
      </c>
      <c r="E1197" t="inlineStr">
        <is>
          <t>ESPECIALISTA DE APLICACION SERVER</t>
        </is>
      </c>
      <c r="F1197" t="inlineStr">
        <is>
          <t>MONTERREY</t>
        </is>
      </c>
      <c r="G1197" t="n">
        <v>3139</v>
      </c>
      <c r="H1197" t="inlineStr">
        <is>
          <t>RICARDO GUZMAN SANCHEZ</t>
        </is>
      </c>
      <c r="I1197" t="n">
        <v>8365</v>
      </c>
      <c r="J1197" t="inlineStr">
        <is>
          <t>SUBDIRECTOR DE DIGITALIZACION DE INFRAESTRUCTURA</t>
        </is>
      </c>
      <c r="K1197" t="n">
        <v>1</v>
      </c>
      <c r="L1197" t="inlineStr">
        <is>
          <t>PRESIDENCIA EJECUTIVA DEL CONSEJO</t>
        </is>
      </c>
      <c r="M1197" t="n">
        <v>40</v>
      </c>
      <c r="N1197" t="inlineStr">
        <is>
          <t>DIRECCION GENERAL BANCO BASE</t>
        </is>
      </c>
      <c r="O1197" t="n">
        <v>310</v>
      </c>
      <c r="P1197" t="inlineStr">
        <is>
          <t>DIRECCION DE TECNOLOGIA</t>
        </is>
      </c>
      <c r="Q1197" t="n">
        <v>3120</v>
      </c>
      <c r="R1197" t="inlineStr">
        <is>
          <t>DIRECCION DE INFRAESTRUCTURA</t>
        </is>
      </c>
      <c r="S1197" t="n">
        <v>31180</v>
      </c>
      <c r="T1197" t="inlineStr">
        <is>
          <t>SUBDIRECCION DE SERVICIOS DIGITALES Y AUTOMATIZACI</t>
        </is>
      </c>
      <c r="U1197" t="n">
        <v>312000</v>
      </c>
      <c r="V1197" t="inlineStr">
        <is>
          <t>DIRECCION DE INFRAESTRUCTURA</t>
        </is>
      </c>
      <c r="W1197" t="n">
        <v>100101</v>
      </c>
      <c r="X1197" t="inlineStr">
        <is>
          <t>CORPORATIVO</t>
        </is>
      </c>
      <c r="Y1197" t="n">
        <v>4</v>
      </c>
      <c r="Z1197" t="inlineStr">
        <is>
          <t>CORPORATIVO</t>
        </is>
      </c>
      <c r="AA1197" t="n">
        <v>1</v>
      </c>
      <c r="AB1197" t="inlineStr">
        <is>
          <t>NEGOCIO EN MARCHA</t>
        </is>
      </c>
      <c r="AC1197" t="n">
        <v>1</v>
      </c>
      <c r="AD1197" t="inlineStr">
        <is>
          <t>BANCO</t>
        </is>
      </c>
      <c r="AE1197" t="n">
        <v>1</v>
      </c>
      <c r="AF1197" t="inlineStr">
        <is>
          <t>BACK</t>
        </is>
      </c>
      <c r="AG1197" t="n">
        <v>100101</v>
      </c>
      <c r="AH1197" t="inlineStr">
        <is>
          <t>CORPORATIVO</t>
        </is>
      </c>
      <c r="AI1197" t="inlineStr">
        <is>
          <t>FCASTRO@BANCOBASE.COM</t>
        </is>
      </c>
      <c r="AJ1197" s="151" t="n">
        <v>43727</v>
      </c>
      <c r="AK1197" s="151" t="n"/>
      <c r="AL1197" s="151" t="n"/>
    </row>
    <row r="1198" hidden="1" s="150">
      <c r="A1198" t="inlineStr">
        <is>
          <t>CEK</t>
        </is>
      </c>
      <c r="B1198" t="n">
        <v>99522</v>
      </c>
      <c r="C1198" t="inlineStr">
        <is>
          <t>CARLOS ROBERTO EK RAIGOZA</t>
        </is>
      </c>
      <c r="D1198" t="n">
        <v>7022</v>
      </c>
      <c r="E1198" t="inlineStr">
        <is>
          <t>PRACTICANTE</t>
        </is>
      </c>
      <c r="F1198" t="inlineStr">
        <is>
          <t>CANCUN</t>
        </is>
      </c>
      <c r="G1198" t="n">
        <v>3139</v>
      </c>
      <c r="H1198" t="inlineStr">
        <is>
          <t>RICARDO GUZMAN SANCHEZ</t>
        </is>
      </c>
      <c r="I1198" t="n">
        <v>8365</v>
      </c>
      <c r="J1198" t="inlineStr">
        <is>
          <t>SUBDIRECTOR DE DIGITALIZACION DE INFRAESTRUCTURA</t>
        </is>
      </c>
      <c r="K1198" t="n">
        <v>1</v>
      </c>
      <c r="L1198" t="inlineStr">
        <is>
          <t>PRESIDENCIA EJECUTIVA DEL CONSEJO</t>
        </is>
      </c>
      <c r="M1198" t="n">
        <v>40</v>
      </c>
      <c r="N1198" t="inlineStr">
        <is>
          <t>DIRECCION GENERAL BANCO BASE</t>
        </is>
      </c>
      <c r="O1198" t="n">
        <v>310</v>
      </c>
      <c r="P1198" t="inlineStr">
        <is>
          <t>DIRECCION DE TECNOLOGIA</t>
        </is>
      </c>
      <c r="Q1198" t="n">
        <v>3120</v>
      </c>
      <c r="R1198" t="inlineStr">
        <is>
          <t>DIRECCION DE INFRAESTRUCTURA</t>
        </is>
      </c>
      <c r="S1198" t="n">
        <v>31180</v>
      </c>
      <c r="T1198" t="inlineStr">
        <is>
          <t>SUBDIRECCION DE SERVICIOS DIGITALES Y AUTOMATIZACI</t>
        </is>
      </c>
      <c r="U1198" t="n">
        <v>312000</v>
      </c>
      <c r="V1198" t="inlineStr">
        <is>
          <t>DIRECCION DE INFRAESTRUCTURA</t>
        </is>
      </c>
      <c r="W1198" t="n">
        <v>126121</v>
      </c>
      <c r="X1198" t="inlineStr">
        <is>
          <t>CANCUN</t>
        </is>
      </c>
      <c r="Y1198" t="n">
        <v>4</v>
      </c>
      <c r="Z1198" t="inlineStr">
        <is>
          <t>CORPORATIVO</t>
        </is>
      </c>
      <c r="AA1198" t="n">
        <v>1</v>
      </c>
      <c r="AB1198" t="inlineStr">
        <is>
          <t>NEGOCIO EN MARCHA</t>
        </is>
      </c>
      <c r="AC1198" t="n">
        <v>1</v>
      </c>
      <c r="AD1198" t="inlineStr">
        <is>
          <t>BANCO</t>
        </is>
      </c>
      <c r="AE1198" t="n">
        <v>1</v>
      </c>
      <c r="AF1198" t="inlineStr">
        <is>
          <t>BACK</t>
        </is>
      </c>
      <c r="AG1198" t="n">
        <v>126121</v>
      </c>
      <c r="AH1198" t="inlineStr">
        <is>
          <t>CANCUN</t>
        </is>
      </c>
      <c r="AI1198" t="inlineStr">
        <is>
          <t>CEK@BANCOBASE.COM</t>
        </is>
      </c>
      <c r="AJ1198" s="151" t="n">
        <v>45931</v>
      </c>
      <c r="AK1198" s="151" t="n"/>
      <c r="AL1198" s="151" t="n"/>
    </row>
    <row r="1199" hidden="1" s="150">
      <c r="A1199" t="inlineStr">
        <is>
          <t>RPACAB</t>
        </is>
      </c>
      <c r="B1199" t="n">
        <v>99515</v>
      </c>
      <c r="C1199" t="inlineStr">
        <is>
          <t>RODRIGO JOAQUIN PACAB CANUL</t>
        </is>
      </c>
      <c r="D1199" t="n">
        <v>7011</v>
      </c>
      <c r="E1199" t="inlineStr">
        <is>
          <t>PRACTICANTE</t>
        </is>
      </c>
      <c r="F1199" t="inlineStr">
        <is>
          <t>CANCUN</t>
        </is>
      </c>
      <c r="G1199" t="n">
        <v>3139</v>
      </c>
      <c r="H1199" t="inlineStr">
        <is>
          <t>RICARDO GUZMAN SANCHEZ</t>
        </is>
      </c>
      <c r="I1199" t="n">
        <v>8365</v>
      </c>
      <c r="J1199" t="inlineStr">
        <is>
          <t>SUBDIRECTOR DE DIGITALIZACION DE INFRAESTRUCTURA</t>
        </is>
      </c>
      <c r="K1199" t="n">
        <v>1</v>
      </c>
      <c r="L1199" t="inlineStr">
        <is>
          <t>PRESIDENCIA EJECUTIVA DEL CONSEJO</t>
        </is>
      </c>
      <c r="M1199" t="n">
        <v>40</v>
      </c>
      <c r="N1199" t="inlineStr">
        <is>
          <t>DIRECCION GENERAL BANCO BASE</t>
        </is>
      </c>
      <c r="O1199" t="n">
        <v>310</v>
      </c>
      <c r="P1199" t="inlineStr">
        <is>
          <t>DIRECCION DE TECNOLOGIA</t>
        </is>
      </c>
      <c r="Q1199" t="n">
        <v>3120</v>
      </c>
      <c r="R1199" t="inlineStr">
        <is>
          <t>DIRECCION DE INFRAESTRUCTURA</t>
        </is>
      </c>
      <c r="S1199" t="n">
        <v>31180</v>
      </c>
      <c r="T1199" t="inlineStr">
        <is>
          <t>SUBDIRECCION DE SERVICIOS DIGITALES Y AUTOMATIZACI</t>
        </is>
      </c>
      <c r="U1199" t="n">
        <v>312000</v>
      </c>
      <c r="V1199" t="inlineStr">
        <is>
          <t>DIRECCION DE INFRAESTRUCTURA</t>
        </is>
      </c>
      <c r="W1199" t="n">
        <v>126121</v>
      </c>
      <c r="X1199" t="inlineStr">
        <is>
          <t>CANCUN</t>
        </is>
      </c>
      <c r="Y1199" t="n">
        <v>4</v>
      </c>
      <c r="Z1199" t="inlineStr">
        <is>
          <t>CORPORATIVO</t>
        </is>
      </c>
      <c r="AA1199" t="n">
        <v>1</v>
      </c>
      <c r="AB1199" t="inlineStr">
        <is>
          <t>NEGOCIO EN MARCHA</t>
        </is>
      </c>
      <c r="AC1199" t="n">
        <v>1</v>
      </c>
      <c r="AD1199" t="inlineStr">
        <is>
          <t>BANCO</t>
        </is>
      </c>
      <c r="AE1199" t="n">
        <v>1</v>
      </c>
      <c r="AF1199" t="inlineStr">
        <is>
          <t>BACK</t>
        </is>
      </c>
      <c r="AG1199" t="n">
        <v>126121</v>
      </c>
      <c r="AH1199" t="inlineStr">
        <is>
          <t>CANCUN</t>
        </is>
      </c>
      <c r="AI1199" t="inlineStr">
        <is>
          <t>RPACAB@BANCOBASE.COM</t>
        </is>
      </c>
      <c r="AJ1199" s="151" t="n">
        <v>45931</v>
      </c>
      <c r="AK1199" s="151" t="n"/>
      <c r="AL1199" s="151" t="n"/>
    </row>
    <row r="1200" hidden="1" s="150">
      <c r="A1200" t="inlineStr">
        <is>
          <t>ECARBALLO</t>
        </is>
      </c>
      <c r="B1200" t="n">
        <v>3802</v>
      </c>
      <c r="C1200" t="inlineStr">
        <is>
          <t>EFRAIN CARBALLO JARAMILLO</t>
        </is>
      </c>
      <c r="D1200" t="n">
        <v>10079</v>
      </c>
      <c r="E1200" t="inlineStr">
        <is>
          <t>DIRECTOR DE OPERACIONES TI</t>
        </is>
      </c>
      <c r="F1200" t="inlineStr">
        <is>
          <t>MONTERREY</t>
        </is>
      </c>
      <c r="G1200" t="n">
        <v>3043</v>
      </c>
      <c r="H1200" t="inlineStr">
        <is>
          <t>PAOLA CAROLINA CANO CRUZ</t>
        </is>
      </c>
      <c r="I1200" t="n">
        <v>10402</v>
      </c>
      <c r="J1200" t="inlineStr">
        <is>
          <t>DIRECTOR DE TECNOLOGIA</t>
        </is>
      </c>
      <c r="K1200" t="n">
        <v>1</v>
      </c>
      <c r="L1200" t="inlineStr">
        <is>
          <t>PRESIDENCIA EJECUTIVA DEL CONSEJO</t>
        </is>
      </c>
      <c r="M1200" t="n">
        <v>30</v>
      </c>
      <c r="N1200" t="inlineStr">
        <is>
          <t>DIRECCION GENERAL ADJUNTA PRODUCTO Y TRANSFORMACIO</t>
        </is>
      </c>
      <c r="O1200" t="n">
        <v>310</v>
      </c>
      <c r="P1200" t="inlineStr">
        <is>
          <t>DIRECCION DE TECNOLOGIA</t>
        </is>
      </c>
      <c r="Q1200" t="n">
        <v>3110</v>
      </c>
      <c r="R1200" t="inlineStr">
        <is>
          <t>DIRECCION DE OPERACIONES DE TI</t>
        </is>
      </c>
      <c r="S1200" t="n">
        <v>31100</v>
      </c>
      <c r="T1200" t="inlineStr">
        <is>
          <t>DIRECCION DE OPERACIONES DE TI</t>
        </is>
      </c>
      <c r="U1200" t="n">
        <v>311000</v>
      </c>
      <c r="V1200" t="inlineStr">
        <is>
          <t>DIRECCION DE SOPORTE DE OPERACIONES TI</t>
        </is>
      </c>
      <c r="W1200" t="n">
        <v>100101</v>
      </c>
      <c r="X1200" t="inlineStr">
        <is>
          <t>CORPORATIVO</t>
        </is>
      </c>
      <c r="Y1200" t="n">
        <v>4</v>
      </c>
      <c r="Z1200" t="inlineStr">
        <is>
          <t>CORPORATIVO</t>
        </is>
      </c>
      <c r="AA1200" t="n">
        <v>7</v>
      </c>
      <c r="AB1200" t="inlineStr">
        <is>
          <t>PROYECTO DARWIN</t>
        </is>
      </c>
      <c r="AC1200" t="n">
        <v>1</v>
      </c>
      <c r="AD1200" t="inlineStr">
        <is>
          <t>BANCO</t>
        </is>
      </c>
      <c r="AE1200" t="n">
        <v>1</v>
      </c>
      <c r="AF1200" t="inlineStr">
        <is>
          <t>BACK</t>
        </is>
      </c>
      <c r="AG1200" t="n">
        <v>100101</v>
      </c>
      <c r="AH1200" t="inlineStr">
        <is>
          <t>CORPORATIVO</t>
        </is>
      </c>
      <c r="AI1200" t="inlineStr">
        <is>
          <t>ECARBALLO@BANCOBASE.COM</t>
        </is>
      </c>
      <c r="AJ1200" s="151" t="n">
        <v>46120</v>
      </c>
      <c r="AK1200" s="151" t="n"/>
      <c r="AL1200" s="151" t="n"/>
    </row>
    <row r="1201" hidden="1" s="150">
      <c r="A1201" t="inlineStr">
        <is>
          <t>EROMEROS</t>
        </is>
      </c>
      <c r="B1201" t="n">
        <v>3713</v>
      </c>
      <c r="C1201" t="inlineStr">
        <is>
          <t>ENRIQUE ANDRES ROMERO SARABIA</t>
        </is>
      </c>
      <c r="D1201" t="n">
        <v>9014</v>
      </c>
      <c r="E1201" t="inlineStr">
        <is>
          <t>SUBDIRECTOR DE OPERACIONES TI Y EUC</t>
        </is>
      </c>
      <c r="F1201" t="inlineStr">
        <is>
          <t>MEXICO</t>
        </is>
      </c>
      <c r="G1201" t="n">
        <v>3802</v>
      </c>
      <c r="H1201" t="inlineStr">
        <is>
          <t>EFRAIN CARBALLO JARAMILLO</t>
        </is>
      </c>
      <c r="I1201" t="n">
        <v>10079</v>
      </c>
      <c r="J1201" t="inlineStr">
        <is>
          <t>DIRECTOR DE OPERACIONES TI</t>
        </is>
      </c>
      <c r="K1201" t="n">
        <v>1</v>
      </c>
      <c r="L1201" t="inlineStr">
        <is>
          <t>PRESIDENCIA EJECUTIVA DEL CONSEJO</t>
        </is>
      </c>
      <c r="M1201" t="n">
        <v>40</v>
      </c>
      <c r="N1201" t="inlineStr">
        <is>
          <t>DIRECCION GENERAL BANCO BASE</t>
        </is>
      </c>
      <c r="O1201" t="n">
        <v>310</v>
      </c>
      <c r="P1201" t="inlineStr">
        <is>
          <t>DIRECCION DE TECNOLOGIA</t>
        </is>
      </c>
      <c r="Q1201" t="n">
        <v>3110</v>
      </c>
      <c r="R1201" t="inlineStr">
        <is>
          <t>DIRECCION DE OPERACIONES DE TI</t>
        </is>
      </c>
      <c r="S1201" t="n">
        <v>31150</v>
      </c>
      <c r="T1201" t="inlineStr">
        <is>
          <t>SUBDIRECCION DE OPERACIONES TI Y EUC</t>
        </is>
      </c>
      <c r="U1201" t="n">
        <v>311000</v>
      </c>
      <c r="V1201" t="inlineStr">
        <is>
          <t>DIRECCION DE SOPORTE DE OPERACIONES TI</t>
        </is>
      </c>
      <c r="W1201" t="n">
        <v>134111</v>
      </c>
      <c r="X1201" t="inlineStr">
        <is>
          <t>LOMAS</t>
        </is>
      </c>
      <c r="Y1201" t="n">
        <v>4</v>
      </c>
      <c r="Z1201" t="inlineStr">
        <is>
          <t>CORPORATIVO</t>
        </is>
      </c>
      <c r="AA1201" t="n">
        <v>1</v>
      </c>
      <c r="AB1201" t="inlineStr">
        <is>
          <t>NEGOCIO EN MARCHA</t>
        </is>
      </c>
      <c r="AC1201" t="n">
        <v>1</v>
      </c>
      <c r="AD1201" t="inlineStr">
        <is>
          <t>BANCO</t>
        </is>
      </c>
      <c r="AE1201" t="n">
        <v>1</v>
      </c>
      <c r="AF1201" t="inlineStr">
        <is>
          <t>BACK</t>
        </is>
      </c>
      <c r="AG1201" t="n">
        <v>134111</v>
      </c>
      <c r="AH1201" t="inlineStr">
        <is>
          <t>LOMAS</t>
        </is>
      </c>
      <c r="AI1201" t="inlineStr">
        <is>
          <t>EROMEROS@BANCOBASE.COM</t>
        </is>
      </c>
      <c r="AJ1201" s="151" t="n">
        <v>46027</v>
      </c>
      <c r="AK1201" s="151" t="n"/>
      <c r="AL1201" s="151" t="n"/>
    </row>
    <row r="1202" hidden="1" s="150">
      <c r="A1202" t="inlineStr">
        <is>
          <t>LDELANGEL</t>
        </is>
      </c>
      <c r="B1202" t="n">
        <v>3792</v>
      </c>
      <c r="C1202" t="inlineStr">
        <is>
          <t>LILIANA DEL ANGEL HERNANDEZ</t>
        </is>
      </c>
      <c r="D1202" t="n">
        <v>5050</v>
      </c>
      <c r="E1202" t="inlineStr">
        <is>
          <t>GERENTE DE MESA DE SERVICIO</t>
        </is>
      </c>
      <c r="F1202" t="inlineStr">
        <is>
          <t>MONTERREY</t>
        </is>
      </c>
      <c r="G1202" t="n">
        <v>3713</v>
      </c>
      <c r="H1202" t="inlineStr">
        <is>
          <t>ENRIQUE ANDRES ROMERO SARABIA</t>
        </is>
      </c>
      <c r="I1202" t="n">
        <v>9014</v>
      </c>
      <c r="J1202" t="inlineStr">
        <is>
          <t>SUBDIRECTOR DE OPERACIONES TI Y EUC</t>
        </is>
      </c>
      <c r="K1202" t="n">
        <v>1</v>
      </c>
      <c r="L1202" t="inlineStr">
        <is>
          <t>PRESIDENCIA EJECUTIVA DEL CONSEJO</t>
        </is>
      </c>
      <c r="M1202" t="n">
        <v>40</v>
      </c>
      <c r="N1202" t="inlineStr">
        <is>
          <t>DIRECCION GENERAL BANCO BASE</t>
        </is>
      </c>
      <c r="O1202" t="n">
        <v>310</v>
      </c>
      <c r="P1202" t="inlineStr">
        <is>
          <t>DIRECCION DE TECNOLOGIA</t>
        </is>
      </c>
      <c r="Q1202" t="n">
        <v>3110</v>
      </c>
      <c r="R1202" t="inlineStr">
        <is>
          <t>DIRECCION DE OPERACIONES DE TI</t>
        </is>
      </c>
      <c r="S1202" t="n">
        <v>31150</v>
      </c>
      <c r="T1202" t="inlineStr">
        <is>
          <t>SUBDIRECCION DE OPERACIONES TI Y EUC</t>
        </is>
      </c>
      <c r="U1202" t="n">
        <v>311000</v>
      </c>
      <c r="V1202" t="inlineStr">
        <is>
          <t>DIRECCION DE SOPORTE DE OPERACIONES TI</t>
        </is>
      </c>
      <c r="W1202" t="n">
        <v>100101</v>
      </c>
      <c r="X1202" t="inlineStr">
        <is>
          <t>CORPORATIVO</t>
        </is>
      </c>
      <c r="Y1202" t="n">
        <v>4</v>
      </c>
      <c r="Z1202" t="inlineStr">
        <is>
          <t>CORPORATIVO</t>
        </is>
      </c>
      <c r="AA1202" t="n">
        <v>1</v>
      </c>
      <c r="AB1202" t="inlineStr">
        <is>
          <t>NEGOCIO EN MARCHA</t>
        </is>
      </c>
      <c r="AC1202" t="n">
        <v>1</v>
      </c>
      <c r="AD1202" t="inlineStr">
        <is>
          <t>BANCO</t>
        </is>
      </c>
      <c r="AE1202" t="n">
        <v>1</v>
      </c>
      <c r="AF1202" t="inlineStr">
        <is>
          <t>BACK</t>
        </is>
      </c>
      <c r="AG1202" t="n">
        <v>100101</v>
      </c>
      <c r="AH1202" t="inlineStr">
        <is>
          <t>CORPORATIVO</t>
        </is>
      </c>
      <c r="AI1202" t="inlineStr">
        <is>
          <t>LDELANGEL@BANCOBASE.COM</t>
        </is>
      </c>
      <c r="AJ1202" s="151" t="n">
        <v>46098</v>
      </c>
      <c r="AK1202" s="151" t="n"/>
      <c r="AL1202" s="151" t="n"/>
    </row>
    <row r="1203" hidden="1" s="150">
      <c r="A1203" t="inlineStr">
        <is>
          <t>ARODRIGBAN</t>
        </is>
      </c>
      <c r="B1203" t="n">
        <v>3136</v>
      </c>
      <c r="C1203" t="inlineStr">
        <is>
          <t>ALEXIS AIRAM RODRIGUEZ BANDA</t>
        </is>
      </c>
      <c r="D1203" t="n">
        <v>9732</v>
      </c>
      <c r="E1203" t="inlineStr">
        <is>
          <t>ANALISTA DE HELP DESK</t>
        </is>
      </c>
      <c r="F1203" t="inlineStr">
        <is>
          <t>MONTERREY</t>
        </is>
      </c>
      <c r="G1203" t="n">
        <v>3792</v>
      </c>
      <c r="H1203" t="inlineStr">
        <is>
          <t>LILIANA DEL ANGEL HERNANDEZ</t>
        </is>
      </c>
      <c r="I1203" t="n">
        <v>5050</v>
      </c>
      <c r="J1203" t="inlineStr">
        <is>
          <t>GERENTE DE MESA DE SERVICIO</t>
        </is>
      </c>
      <c r="K1203" t="n">
        <v>1</v>
      </c>
      <c r="L1203" t="inlineStr">
        <is>
          <t>PRESIDENCIA EJECUTIVA DEL CONSEJO</t>
        </is>
      </c>
      <c r="M1203" t="n">
        <v>40</v>
      </c>
      <c r="N1203" t="inlineStr">
        <is>
          <t>DIRECCION GENERAL BANCO BASE</t>
        </is>
      </c>
      <c r="O1203" t="n">
        <v>310</v>
      </c>
      <c r="P1203" t="inlineStr">
        <is>
          <t>DIRECCION DE TECNOLOGIA</t>
        </is>
      </c>
      <c r="Q1203" t="n">
        <v>3110</v>
      </c>
      <c r="R1203" t="inlineStr">
        <is>
          <t>DIRECCION DE OPERACIONES DE TI</t>
        </is>
      </c>
      <c r="S1203" t="n">
        <v>31150</v>
      </c>
      <c r="T1203" t="inlineStr">
        <is>
          <t>SUBDIRECCION DE OPERACIONES TI Y EUC</t>
        </is>
      </c>
      <c r="U1203" t="n">
        <v>311000</v>
      </c>
      <c r="V1203" t="inlineStr">
        <is>
          <t>DIRECCION DE SOPORTE DE OPERACIONES TI</t>
        </is>
      </c>
      <c r="W1203" t="n">
        <v>100101</v>
      </c>
      <c r="X1203" t="inlineStr">
        <is>
          <t>CORPORATIVO</t>
        </is>
      </c>
      <c r="Y1203" t="n">
        <v>4</v>
      </c>
      <c r="Z1203" t="inlineStr">
        <is>
          <t>CORPORATIVO</t>
        </is>
      </c>
      <c r="AA1203" t="n">
        <v>1</v>
      </c>
      <c r="AB1203" t="inlineStr">
        <is>
          <t>NEGOCIO EN MARCHA</t>
        </is>
      </c>
      <c r="AC1203" t="n">
        <v>1</v>
      </c>
      <c r="AD1203" t="inlineStr">
        <is>
          <t>BANCO</t>
        </is>
      </c>
      <c r="AE1203" t="n">
        <v>1</v>
      </c>
      <c r="AF1203" t="inlineStr">
        <is>
          <t>BACK</t>
        </is>
      </c>
      <c r="AG1203" t="n">
        <v>100101</v>
      </c>
      <c r="AH1203" t="inlineStr">
        <is>
          <t>CORPORATIVO</t>
        </is>
      </c>
      <c r="AI1203" t="inlineStr">
        <is>
          <t>ARODRIGBAN@BANCOBASE.COM</t>
        </is>
      </c>
      <c r="AJ1203" s="151" t="n">
        <v>45460</v>
      </c>
      <c r="AK1203" s="151" t="n"/>
      <c r="AL1203" s="151" t="n"/>
    </row>
    <row r="1204" hidden="1" s="150">
      <c r="A1204" t="inlineStr">
        <is>
          <t>IMARTINEZC</t>
        </is>
      </c>
      <c r="B1204" t="n">
        <v>3334</v>
      </c>
      <c r="C1204" t="inlineStr">
        <is>
          <t>ISRAEL ENRIQUE MARTINEZ CHAVARRIA</t>
        </is>
      </c>
      <c r="D1204" t="n">
        <v>8162</v>
      </c>
      <c r="E1204" t="inlineStr">
        <is>
          <t>ANALISTA DE HELP DESK</t>
        </is>
      </c>
      <c r="F1204" t="inlineStr">
        <is>
          <t>MONTERREY</t>
        </is>
      </c>
      <c r="G1204" t="n">
        <v>3792</v>
      </c>
      <c r="H1204" t="inlineStr">
        <is>
          <t>LILIANA DEL ANGEL HERNANDEZ</t>
        </is>
      </c>
      <c r="I1204" t="n">
        <v>5050</v>
      </c>
      <c r="J1204" t="inlineStr">
        <is>
          <t>GERENTE DE MESA DE SERVICIO</t>
        </is>
      </c>
      <c r="K1204" t="n">
        <v>1</v>
      </c>
      <c r="L1204" t="inlineStr">
        <is>
          <t>PRESIDENCIA EJECUTIVA DEL CONSEJO</t>
        </is>
      </c>
      <c r="M1204" t="n">
        <v>40</v>
      </c>
      <c r="N1204" t="inlineStr">
        <is>
          <t>DIRECCION GENERAL BANCO BASE</t>
        </is>
      </c>
      <c r="O1204" t="n">
        <v>310</v>
      </c>
      <c r="P1204" t="inlineStr">
        <is>
          <t>DIRECCION DE TECNOLOGIA</t>
        </is>
      </c>
      <c r="Q1204" t="n">
        <v>3110</v>
      </c>
      <c r="R1204" t="inlineStr">
        <is>
          <t>DIRECCION DE OPERACIONES DE TI</t>
        </is>
      </c>
      <c r="S1204" t="n">
        <v>31150</v>
      </c>
      <c r="T1204" t="inlineStr">
        <is>
          <t>SUBDIRECCION DE OPERACIONES TI Y EUC</t>
        </is>
      </c>
      <c r="U1204" t="n">
        <v>311000</v>
      </c>
      <c r="V1204" t="inlineStr">
        <is>
          <t>DIRECCION DE SOPORTE DE OPERACIONES TI</t>
        </is>
      </c>
      <c r="W1204" t="n">
        <v>100101</v>
      </c>
      <c r="X1204" t="inlineStr">
        <is>
          <t>CORPORATIVO</t>
        </is>
      </c>
      <c r="Y1204" t="n">
        <v>4</v>
      </c>
      <c r="Z1204" t="inlineStr">
        <is>
          <t>CORPORATIVO</t>
        </is>
      </c>
      <c r="AA1204" t="n">
        <v>1</v>
      </c>
      <c r="AB1204" t="inlineStr">
        <is>
          <t>NEGOCIO EN MARCHA</t>
        </is>
      </c>
      <c r="AC1204" t="n">
        <v>1</v>
      </c>
      <c r="AD1204" t="inlineStr">
        <is>
          <t>BANCO</t>
        </is>
      </c>
      <c r="AE1204" t="n">
        <v>1</v>
      </c>
      <c r="AF1204" t="inlineStr">
        <is>
          <t>BACK</t>
        </is>
      </c>
      <c r="AG1204" t="n">
        <v>100101</v>
      </c>
      <c r="AH1204" t="inlineStr">
        <is>
          <t>CORPORATIVO</t>
        </is>
      </c>
      <c r="AI1204" t="inlineStr">
        <is>
          <t>IMARTINEZC@BANCOBASE.COM</t>
        </is>
      </c>
      <c r="AJ1204" s="151" t="n">
        <v>45692</v>
      </c>
      <c r="AK1204" s="151" t="n"/>
      <c r="AL1204" s="151" t="n"/>
    </row>
    <row r="1205" hidden="1" s="150">
      <c r="A1205" t="inlineStr">
        <is>
          <t>JZAVALAS</t>
        </is>
      </c>
      <c r="B1205" t="n">
        <v>3142</v>
      </c>
      <c r="C1205" t="inlineStr">
        <is>
          <t>JHAIR ABEL ZAVALA SANCHEZ</t>
        </is>
      </c>
      <c r="D1205" t="n">
        <v>9795</v>
      </c>
      <c r="E1205" t="inlineStr">
        <is>
          <t>ANALISTA DE HELP DESK</t>
        </is>
      </c>
      <c r="F1205" t="inlineStr">
        <is>
          <t>MONTERREY</t>
        </is>
      </c>
      <c r="G1205" t="n">
        <v>3792</v>
      </c>
      <c r="H1205" t="inlineStr">
        <is>
          <t>LILIANA DEL ANGEL HERNANDEZ</t>
        </is>
      </c>
      <c r="I1205" t="n">
        <v>5050</v>
      </c>
      <c r="J1205" t="inlineStr">
        <is>
          <t>GERENTE DE MESA DE SERVICIO</t>
        </is>
      </c>
      <c r="K1205" t="n">
        <v>1</v>
      </c>
      <c r="L1205" t="inlineStr">
        <is>
          <t>PRESIDENCIA EJECUTIVA DEL CONSEJO</t>
        </is>
      </c>
      <c r="M1205" t="n">
        <v>40</v>
      </c>
      <c r="N1205" t="inlineStr">
        <is>
          <t>DIRECCION GENERAL BANCO BASE</t>
        </is>
      </c>
      <c r="O1205" t="n">
        <v>310</v>
      </c>
      <c r="P1205" t="inlineStr">
        <is>
          <t>DIRECCION DE TECNOLOGIA</t>
        </is>
      </c>
      <c r="Q1205" t="n">
        <v>3110</v>
      </c>
      <c r="R1205" t="inlineStr">
        <is>
          <t>DIRECCION DE OPERACIONES DE TI</t>
        </is>
      </c>
      <c r="S1205" t="n">
        <v>31150</v>
      </c>
      <c r="T1205" t="inlineStr">
        <is>
          <t>SUBDIRECCION DE OPERACIONES TI Y EUC</t>
        </is>
      </c>
      <c r="U1205" t="n">
        <v>311000</v>
      </c>
      <c r="V1205" t="inlineStr">
        <is>
          <t>DIRECCION DE SOPORTE DE OPERACIONES TI</t>
        </is>
      </c>
      <c r="W1205" t="n">
        <v>100101</v>
      </c>
      <c r="X1205" t="inlineStr">
        <is>
          <t>CORPORATIVO</t>
        </is>
      </c>
      <c r="Y1205" t="n">
        <v>4</v>
      </c>
      <c r="Z1205" t="inlineStr">
        <is>
          <t>CORPORATIVO</t>
        </is>
      </c>
      <c r="AA1205" t="n">
        <v>1</v>
      </c>
      <c r="AB1205" t="inlineStr">
        <is>
          <t>NEGOCIO EN MARCHA</t>
        </is>
      </c>
      <c r="AC1205" t="n">
        <v>1</v>
      </c>
      <c r="AD1205" t="inlineStr">
        <is>
          <t>BANCO</t>
        </is>
      </c>
      <c r="AE1205" t="n">
        <v>1</v>
      </c>
      <c r="AF1205" t="inlineStr">
        <is>
          <t>BACK</t>
        </is>
      </c>
      <c r="AG1205" t="n">
        <v>100101</v>
      </c>
      <c r="AH1205" t="inlineStr">
        <is>
          <t>CORPORATIVO</t>
        </is>
      </c>
      <c r="AI1205" t="inlineStr">
        <is>
          <t>JZAVALAS@BANCOBASE.COM</t>
        </is>
      </c>
      <c r="AJ1205" s="151" t="n">
        <v>45460</v>
      </c>
      <c r="AK1205" s="151" t="n"/>
      <c r="AL1205" s="151" t="n"/>
    </row>
    <row r="1206" hidden="1" s="150">
      <c r="A1206" t="inlineStr">
        <is>
          <t>JGUZMANG</t>
        </is>
      </c>
      <c r="B1206" t="n">
        <v>2931</v>
      </c>
      <c r="C1206" t="inlineStr">
        <is>
          <t>JOSE FERNANDO GUZMAN GONZALEZ</t>
        </is>
      </c>
      <c r="D1206" t="n">
        <v>8184</v>
      </c>
      <c r="E1206" t="inlineStr">
        <is>
          <t>ANALISTA DE HELP DESK</t>
        </is>
      </c>
      <c r="F1206" t="inlineStr">
        <is>
          <t>MONTERREY</t>
        </is>
      </c>
      <c r="G1206" t="n">
        <v>3792</v>
      </c>
      <c r="H1206" t="inlineStr">
        <is>
          <t>LILIANA DEL ANGEL HERNANDEZ</t>
        </is>
      </c>
      <c r="I1206" t="n">
        <v>5050</v>
      </c>
      <c r="J1206" t="inlineStr">
        <is>
          <t>GERENTE DE MESA DE SERVICIO</t>
        </is>
      </c>
      <c r="K1206" t="n">
        <v>1</v>
      </c>
      <c r="L1206" t="inlineStr">
        <is>
          <t>PRESIDENCIA EJECUTIVA DEL CONSEJO</t>
        </is>
      </c>
      <c r="M1206" t="n">
        <v>40</v>
      </c>
      <c r="N1206" t="inlineStr">
        <is>
          <t>DIRECCION GENERAL BANCO BASE</t>
        </is>
      </c>
      <c r="O1206" t="n">
        <v>310</v>
      </c>
      <c r="P1206" t="inlineStr">
        <is>
          <t>DIRECCION DE TECNOLOGIA</t>
        </is>
      </c>
      <c r="Q1206" t="n">
        <v>3110</v>
      </c>
      <c r="R1206" t="inlineStr">
        <is>
          <t>DIRECCION DE OPERACIONES DE TI</t>
        </is>
      </c>
      <c r="S1206" t="n">
        <v>31150</v>
      </c>
      <c r="T1206" t="inlineStr">
        <is>
          <t>SUBDIRECCION DE OPERACIONES TI Y EUC</t>
        </is>
      </c>
      <c r="U1206" t="n">
        <v>311000</v>
      </c>
      <c r="V1206" t="inlineStr">
        <is>
          <t>DIRECCION DE SOPORTE DE OPERACIONES TI</t>
        </is>
      </c>
      <c r="W1206" t="n">
        <v>100101</v>
      </c>
      <c r="X1206" t="inlineStr">
        <is>
          <t>CORPORATIVO</t>
        </is>
      </c>
      <c r="Y1206" t="n">
        <v>4</v>
      </c>
      <c r="Z1206" t="inlineStr">
        <is>
          <t>CORPORATIVO</t>
        </is>
      </c>
      <c r="AA1206" t="n">
        <v>1</v>
      </c>
      <c r="AB1206" t="inlineStr">
        <is>
          <t>NEGOCIO EN MARCHA</t>
        </is>
      </c>
      <c r="AC1206" t="n">
        <v>1</v>
      </c>
      <c r="AD1206" t="inlineStr">
        <is>
          <t>BANCO</t>
        </is>
      </c>
      <c r="AE1206" t="n">
        <v>1</v>
      </c>
      <c r="AF1206" t="inlineStr">
        <is>
          <t>BACK</t>
        </is>
      </c>
      <c r="AG1206" t="n">
        <v>100101</v>
      </c>
      <c r="AH1206" t="inlineStr">
        <is>
          <t>CORPORATIVO</t>
        </is>
      </c>
      <c r="AI1206" t="inlineStr">
        <is>
          <t>JGUZMANG@BANCOBASE.COM</t>
        </is>
      </c>
      <c r="AJ1206" s="151" t="n">
        <v>45139</v>
      </c>
      <c r="AK1206" s="151" t="n"/>
      <c r="AL1206" s="151" t="n"/>
    </row>
    <row r="1207" hidden="1" s="150">
      <c r="A1207" t="inlineStr">
        <is>
          <t>MCASTROD</t>
        </is>
      </c>
      <c r="B1207" t="n">
        <v>3256</v>
      </c>
      <c r="C1207" t="inlineStr">
        <is>
          <t>MARIO CASTRO DE LOS SANTOS</t>
        </is>
      </c>
      <c r="D1207" t="n">
        <v>10280</v>
      </c>
      <c r="E1207" t="inlineStr">
        <is>
          <t>ANALISTA DE HELP DESK</t>
        </is>
      </c>
      <c r="F1207" t="inlineStr">
        <is>
          <t>MONTERREY</t>
        </is>
      </c>
      <c r="G1207" t="n">
        <v>3792</v>
      </c>
      <c r="H1207" t="inlineStr">
        <is>
          <t>LILIANA DEL ANGEL HERNANDEZ</t>
        </is>
      </c>
      <c r="I1207" t="n">
        <v>5050</v>
      </c>
      <c r="J1207" t="inlineStr">
        <is>
          <t>GERENTE DE MESA DE SERVICIO</t>
        </is>
      </c>
      <c r="K1207" t="n">
        <v>1</v>
      </c>
      <c r="L1207" t="inlineStr">
        <is>
          <t>PRESIDENCIA EJECUTIVA DEL CONSEJO</t>
        </is>
      </c>
      <c r="M1207" t="n">
        <v>40</v>
      </c>
      <c r="N1207" t="inlineStr">
        <is>
          <t>DIRECCION GENERAL BANCO BASE</t>
        </is>
      </c>
      <c r="O1207" t="n">
        <v>310</v>
      </c>
      <c r="P1207" t="inlineStr">
        <is>
          <t>DIRECCION DE TECNOLOGIA</t>
        </is>
      </c>
      <c r="Q1207" t="n">
        <v>3110</v>
      </c>
      <c r="R1207" t="inlineStr">
        <is>
          <t>DIRECCION DE OPERACIONES DE TI</t>
        </is>
      </c>
      <c r="S1207" t="n">
        <v>31150</v>
      </c>
      <c r="T1207" t="inlineStr">
        <is>
          <t>SUBDIRECCION DE OPERACIONES TI Y EUC</t>
        </is>
      </c>
      <c r="U1207" t="n">
        <v>311000</v>
      </c>
      <c r="V1207" t="inlineStr">
        <is>
          <t>DIRECCION DE SOPORTE DE OPERACIONES TI</t>
        </is>
      </c>
      <c r="W1207" t="n">
        <v>100101</v>
      </c>
      <c r="X1207" t="inlineStr">
        <is>
          <t>CORPORATIVO</t>
        </is>
      </c>
      <c r="Y1207" t="n">
        <v>4</v>
      </c>
      <c r="Z1207" t="inlineStr">
        <is>
          <t>CORPORATIVO</t>
        </is>
      </c>
      <c r="AA1207" t="n">
        <v>1</v>
      </c>
      <c r="AB1207" t="inlineStr">
        <is>
          <t>NEGOCIO EN MARCHA</t>
        </is>
      </c>
      <c r="AC1207" t="n">
        <v>1</v>
      </c>
      <c r="AD1207" t="inlineStr">
        <is>
          <t>BANCO</t>
        </is>
      </c>
      <c r="AE1207" t="n">
        <v>1</v>
      </c>
      <c r="AF1207" t="inlineStr">
        <is>
          <t>BACK</t>
        </is>
      </c>
      <c r="AG1207" t="n">
        <v>100101</v>
      </c>
      <c r="AH1207" t="inlineStr">
        <is>
          <t>CORPORATIVO</t>
        </is>
      </c>
      <c r="AI1207" t="inlineStr">
        <is>
          <t>MCASTROD@BANCOBASE.COM</t>
        </is>
      </c>
      <c r="AJ1207" s="151" t="n">
        <v>45600</v>
      </c>
      <c r="AK1207" s="151" t="n"/>
      <c r="AL1207" s="151" t="n"/>
    </row>
    <row r="1208" hidden="1" s="150">
      <c r="A1208" t="inlineStr">
        <is>
          <t>VLUNA</t>
        </is>
      </c>
      <c r="B1208" t="n">
        <v>3288</v>
      </c>
      <c r="C1208" t="inlineStr">
        <is>
          <t>VALERIA ROCIO LUNA SANDATE</t>
        </is>
      </c>
      <c r="D1208" t="n">
        <v>9370</v>
      </c>
      <c r="E1208" t="inlineStr">
        <is>
          <t>ANALISTA DE HELP DESK</t>
        </is>
      </c>
      <c r="F1208" t="inlineStr">
        <is>
          <t>MONTERREY</t>
        </is>
      </c>
      <c r="G1208" t="n">
        <v>3792</v>
      </c>
      <c r="H1208" t="inlineStr">
        <is>
          <t>LILIANA DEL ANGEL HERNANDEZ</t>
        </is>
      </c>
      <c r="I1208" t="n">
        <v>5050</v>
      </c>
      <c r="J1208" t="inlineStr">
        <is>
          <t>GERENTE DE MESA DE SERVICIO</t>
        </is>
      </c>
      <c r="K1208" t="n">
        <v>1</v>
      </c>
      <c r="L1208" t="inlineStr">
        <is>
          <t>PRESIDENCIA EJECUTIVA DEL CONSEJO</t>
        </is>
      </c>
      <c r="M1208" t="n">
        <v>40</v>
      </c>
      <c r="N1208" t="inlineStr">
        <is>
          <t>DIRECCION GENERAL BANCO BASE</t>
        </is>
      </c>
      <c r="O1208" t="n">
        <v>310</v>
      </c>
      <c r="P1208" t="inlineStr">
        <is>
          <t>DIRECCION DE TECNOLOGIA</t>
        </is>
      </c>
      <c r="Q1208" t="n">
        <v>3110</v>
      </c>
      <c r="R1208" t="inlineStr">
        <is>
          <t>DIRECCION DE OPERACIONES DE TI</t>
        </is>
      </c>
      <c r="S1208" t="n">
        <v>31150</v>
      </c>
      <c r="T1208" t="inlineStr">
        <is>
          <t>SUBDIRECCION DE OPERACIONES TI Y EUC</t>
        </is>
      </c>
      <c r="U1208" t="n">
        <v>311000</v>
      </c>
      <c r="V1208" t="inlineStr">
        <is>
          <t>DIRECCION DE SOPORTE DE OPERACIONES TI</t>
        </is>
      </c>
      <c r="W1208" t="n">
        <v>100101</v>
      </c>
      <c r="X1208" t="inlineStr">
        <is>
          <t>CORPORATIVO</t>
        </is>
      </c>
      <c r="Y1208" t="n">
        <v>4</v>
      </c>
      <c r="Z1208" t="inlineStr">
        <is>
          <t>CORPORATIVO</t>
        </is>
      </c>
      <c r="AA1208" t="n">
        <v>1</v>
      </c>
      <c r="AB1208" t="inlineStr">
        <is>
          <t>NEGOCIO EN MARCHA</t>
        </is>
      </c>
      <c r="AC1208" t="n">
        <v>1</v>
      </c>
      <c r="AD1208" t="inlineStr">
        <is>
          <t>BANCO</t>
        </is>
      </c>
      <c r="AE1208" t="n">
        <v>1</v>
      </c>
      <c r="AF1208" t="inlineStr">
        <is>
          <t>BACK</t>
        </is>
      </c>
      <c r="AG1208" t="n">
        <v>100101</v>
      </c>
      <c r="AH1208" t="inlineStr">
        <is>
          <t>CORPORATIVO</t>
        </is>
      </c>
      <c r="AI1208" t="inlineStr">
        <is>
          <t>VLUNA@BANCOBASE.COM</t>
        </is>
      </c>
      <c r="AJ1208" s="151" t="n">
        <v>45628</v>
      </c>
      <c r="AK1208" s="151" t="n"/>
      <c r="AL1208" s="151" t="n"/>
    </row>
    <row r="1209" hidden="1" s="150">
      <c r="A1209" t="inlineStr">
        <is>
          <t>XACOSTA</t>
        </is>
      </c>
      <c r="B1209" t="n">
        <v>3511</v>
      </c>
      <c r="C1209" t="inlineStr">
        <is>
          <t>XIOMARA ALESSANDRA ACOSTA TORRES</t>
        </is>
      </c>
      <c r="D1209" t="n">
        <v>9367</v>
      </c>
      <c r="E1209" t="inlineStr">
        <is>
          <t>ANALISTA DE HELP DESK</t>
        </is>
      </c>
      <c r="F1209" t="inlineStr">
        <is>
          <t>MONTERREY</t>
        </is>
      </c>
      <c r="G1209" t="n">
        <v>3792</v>
      </c>
      <c r="H1209" t="inlineStr">
        <is>
          <t>LILIANA DEL ANGEL HERNANDEZ</t>
        </is>
      </c>
      <c r="I1209" t="n">
        <v>5050</v>
      </c>
      <c r="J1209" t="inlineStr">
        <is>
          <t>GERENTE DE MESA DE SERVICIO</t>
        </is>
      </c>
      <c r="K1209" t="n">
        <v>1</v>
      </c>
      <c r="L1209" t="inlineStr">
        <is>
          <t>PRESIDENCIA EJECUTIVA DEL CONSEJO</t>
        </is>
      </c>
      <c r="M1209" t="n">
        <v>40</v>
      </c>
      <c r="N1209" t="inlineStr">
        <is>
          <t>DIRECCION GENERAL BANCO BASE</t>
        </is>
      </c>
      <c r="O1209" t="n">
        <v>310</v>
      </c>
      <c r="P1209" t="inlineStr">
        <is>
          <t>DIRECCION DE TECNOLOGIA</t>
        </is>
      </c>
      <c r="Q1209" t="n">
        <v>3110</v>
      </c>
      <c r="R1209" t="inlineStr">
        <is>
          <t>DIRECCION DE OPERACIONES DE TI</t>
        </is>
      </c>
      <c r="S1209" t="n">
        <v>31150</v>
      </c>
      <c r="T1209" t="inlineStr">
        <is>
          <t>SUBDIRECCION DE OPERACIONES TI Y EUC</t>
        </is>
      </c>
      <c r="U1209" t="n">
        <v>311000</v>
      </c>
      <c r="V1209" t="inlineStr">
        <is>
          <t>DIRECCION DE SOPORTE DE OPERACIONES TI</t>
        </is>
      </c>
      <c r="W1209" t="n">
        <v>100101</v>
      </c>
      <c r="X1209" t="inlineStr">
        <is>
          <t>CORPORATIVO</t>
        </is>
      </c>
      <c r="Y1209" t="n">
        <v>4</v>
      </c>
      <c r="Z1209" t="inlineStr">
        <is>
          <t>CORPORATIVO</t>
        </is>
      </c>
      <c r="AA1209" t="n">
        <v>1</v>
      </c>
      <c r="AB1209" t="inlineStr">
        <is>
          <t>NEGOCIO EN MARCHA</t>
        </is>
      </c>
      <c r="AC1209" t="n">
        <v>1</v>
      </c>
      <c r="AD1209" t="inlineStr">
        <is>
          <t>BANCO</t>
        </is>
      </c>
      <c r="AE1209" t="n">
        <v>1</v>
      </c>
      <c r="AF1209" t="inlineStr">
        <is>
          <t>BACK</t>
        </is>
      </c>
      <c r="AG1209" t="n">
        <v>100101</v>
      </c>
      <c r="AH1209" t="inlineStr">
        <is>
          <t>CORPORATIVO</t>
        </is>
      </c>
      <c r="AI1209" t="inlineStr">
        <is>
          <t>XACOSTA@BANCOBASE.COM</t>
        </is>
      </c>
      <c r="AJ1209" s="151" t="n">
        <v>45873</v>
      </c>
      <c r="AK1209" s="151" t="n"/>
      <c r="AL1209" s="151" t="n"/>
    </row>
    <row r="1210" hidden="1" s="150">
      <c r="A1210" t="inlineStr">
        <is>
          <t>JROMEROC</t>
        </is>
      </c>
      <c r="B1210" t="n">
        <v>643</v>
      </c>
      <c r="C1210" t="inlineStr">
        <is>
          <t>J. REYES ROMERO CERDA</t>
        </is>
      </c>
      <c r="D1210" t="n">
        <v>9833</v>
      </c>
      <c r="E1210" t="inlineStr">
        <is>
          <t>GERENTE SOPORTE DE APLICACIONES</t>
        </is>
      </c>
      <c r="F1210" t="inlineStr">
        <is>
          <t>MONTERREY</t>
        </is>
      </c>
      <c r="G1210" t="n">
        <v>3713</v>
      </c>
      <c r="H1210" t="inlineStr">
        <is>
          <t>ENRIQUE ANDRES ROMERO SARABIA</t>
        </is>
      </c>
      <c r="I1210" t="n">
        <v>9014</v>
      </c>
      <c r="J1210" t="inlineStr">
        <is>
          <t>SUBDIRECTOR DE OPERACIONES TI Y EUC</t>
        </is>
      </c>
      <c r="K1210" t="n">
        <v>1</v>
      </c>
      <c r="L1210" t="inlineStr">
        <is>
          <t>PRESIDENCIA EJECUTIVA DEL CONSEJO</t>
        </is>
      </c>
      <c r="M1210" t="n">
        <v>40</v>
      </c>
      <c r="N1210" t="inlineStr">
        <is>
          <t>DIRECCION GENERAL BANCO BASE</t>
        </is>
      </c>
      <c r="O1210" t="n">
        <v>310</v>
      </c>
      <c r="P1210" t="inlineStr">
        <is>
          <t>DIRECCION DE TECNOLOGIA</t>
        </is>
      </c>
      <c r="Q1210" t="n">
        <v>3110</v>
      </c>
      <c r="R1210" t="inlineStr">
        <is>
          <t>DIRECCION DE OPERACIONES DE TI</t>
        </is>
      </c>
      <c r="S1210" t="n">
        <v>31150</v>
      </c>
      <c r="T1210" t="inlineStr">
        <is>
          <t>SUBDIRECCION DE OPERACIONES TI Y EUC</t>
        </is>
      </c>
      <c r="U1210" t="n">
        <v>311000</v>
      </c>
      <c r="V1210" t="inlineStr">
        <is>
          <t>DIRECCION DE SOPORTE DE OPERACIONES TI</t>
        </is>
      </c>
      <c r="W1210" t="n">
        <v>100101</v>
      </c>
      <c r="X1210" t="inlineStr">
        <is>
          <t>CORPORATIVO</t>
        </is>
      </c>
      <c r="Y1210" t="n">
        <v>4</v>
      </c>
      <c r="Z1210" t="inlineStr">
        <is>
          <t>CORPORATIVO</t>
        </is>
      </c>
      <c r="AA1210" t="n">
        <v>1</v>
      </c>
      <c r="AB1210" t="inlineStr">
        <is>
          <t>NEGOCIO EN MARCHA</t>
        </is>
      </c>
      <c r="AC1210" t="n">
        <v>1</v>
      </c>
      <c r="AD1210" t="inlineStr">
        <is>
          <t>BANCO</t>
        </is>
      </c>
      <c r="AE1210" t="n">
        <v>1</v>
      </c>
      <c r="AF1210" t="inlineStr">
        <is>
          <t>BACK</t>
        </is>
      </c>
      <c r="AG1210" t="n">
        <v>100101</v>
      </c>
      <c r="AH1210" t="inlineStr">
        <is>
          <t>CORPORATIVO</t>
        </is>
      </c>
      <c r="AI1210" t="inlineStr">
        <is>
          <t>JROMEROC@BANCOBASE.COM</t>
        </is>
      </c>
      <c r="AJ1210" s="151" t="n">
        <v>40391</v>
      </c>
      <c r="AK1210" s="151" t="n"/>
      <c r="AL1210" s="151" t="n"/>
    </row>
    <row r="1211" hidden="1" s="150">
      <c r="A1211" t="inlineStr">
        <is>
          <t>DSANCHEZG</t>
        </is>
      </c>
      <c r="B1211" t="n">
        <v>1359</v>
      </c>
      <c r="C1211" t="inlineStr">
        <is>
          <t>DAMIANA SANCHEZ GARCIA</t>
        </is>
      </c>
      <c r="D1211" t="n">
        <v>3709</v>
      </c>
      <c r="E1211" t="inlineStr">
        <is>
          <t>ESPECIALISTA DE SOPORTE APLICACIONES SR</t>
        </is>
      </c>
      <c r="F1211" t="inlineStr">
        <is>
          <t>MONTERREY</t>
        </is>
      </c>
      <c r="G1211" t="n">
        <v>643</v>
      </c>
      <c r="H1211" t="inlineStr">
        <is>
          <t>J. REYES ROMERO CERDA</t>
        </is>
      </c>
      <c r="I1211" t="n">
        <v>9833</v>
      </c>
      <c r="J1211" t="inlineStr">
        <is>
          <t>GERENTE SOPORTE DE APLICACIONES</t>
        </is>
      </c>
      <c r="K1211" t="n">
        <v>1</v>
      </c>
      <c r="L1211" t="inlineStr">
        <is>
          <t>PRESIDENCIA EJECUTIVA DEL CONSEJO</t>
        </is>
      </c>
      <c r="M1211" t="n">
        <v>40</v>
      </c>
      <c r="N1211" t="inlineStr">
        <is>
          <t>DIRECCION GENERAL BANCO BASE</t>
        </is>
      </c>
      <c r="O1211" t="n">
        <v>310</v>
      </c>
      <c r="P1211" t="inlineStr">
        <is>
          <t>DIRECCION DE TECNOLOGIA</t>
        </is>
      </c>
      <c r="Q1211" t="n">
        <v>3110</v>
      </c>
      <c r="R1211" t="inlineStr">
        <is>
          <t>DIRECCION DE OPERACIONES DE TI</t>
        </is>
      </c>
      <c r="S1211" t="n">
        <v>31150</v>
      </c>
      <c r="T1211" t="inlineStr">
        <is>
          <t>SUBDIRECCION DE OPERACIONES TI Y EUC</t>
        </is>
      </c>
      <c r="U1211" t="n">
        <v>311000</v>
      </c>
      <c r="V1211" t="inlineStr">
        <is>
          <t>DIRECCION DE SOPORTE DE OPERACIONES TI</t>
        </is>
      </c>
      <c r="W1211" t="n">
        <v>100101</v>
      </c>
      <c r="X1211" t="inlineStr">
        <is>
          <t>CORPORATIVO</t>
        </is>
      </c>
      <c r="Y1211" t="n">
        <v>4</v>
      </c>
      <c r="Z1211" t="inlineStr">
        <is>
          <t>CORPORATIVO</t>
        </is>
      </c>
      <c r="AA1211" t="n">
        <v>1</v>
      </c>
      <c r="AB1211" t="inlineStr">
        <is>
          <t>NEGOCIO EN MARCHA</t>
        </is>
      </c>
      <c r="AC1211" t="n">
        <v>1</v>
      </c>
      <c r="AD1211" t="inlineStr">
        <is>
          <t>BANCO</t>
        </is>
      </c>
      <c r="AE1211" t="n">
        <v>1</v>
      </c>
      <c r="AF1211" t="inlineStr">
        <is>
          <t>BACK</t>
        </is>
      </c>
      <c r="AG1211" t="n">
        <v>100101</v>
      </c>
      <c r="AH1211" t="inlineStr">
        <is>
          <t>CORPORATIVO</t>
        </is>
      </c>
      <c r="AI1211" t="inlineStr">
        <is>
          <t>DSANCHEZG@BANCOBASE.COM</t>
        </is>
      </c>
      <c r="AJ1211" s="151" t="n">
        <v>42248</v>
      </c>
      <c r="AK1211" s="151" t="n"/>
      <c r="AL1211" s="151" t="n"/>
    </row>
    <row r="1212" hidden="1" s="150">
      <c r="A1212" t="inlineStr">
        <is>
          <t>PMEJORADO</t>
        </is>
      </c>
      <c r="B1212" t="n">
        <v>1350</v>
      </c>
      <c r="C1212" t="inlineStr">
        <is>
          <t>PEDRO PABLO MEJORADO CAMARILLO</t>
        </is>
      </c>
      <c r="D1212" t="n">
        <v>9637</v>
      </c>
      <c r="E1212" t="inlineStr">
        <is>
          <t>ESPECIALISTA DE SOPORTE APLICACIONES SR</t>
        </is>
      </c>
      <c r="F1212" t="inlineStr">
        <is>
          <t>MONTERREY</t>
        </is>
      </c>
      <c r="G1212" t="n">
        <v>643</v>
      </c>
      <c r="H1212" t="inlineStr">
        <is>
          <t>J. REYES ROMERO CERDA</t>
        </is>
      </c>
      <c r="I1212" t="n">
        <v>9833</v>
      </c>
      <c r="J1212" t="inlineStr">
        <is>
          <t>GERENTE SOPORTE DE APLICACIONES</t>
        </is>
      </c>
      <c r="K1212" t="n">
        <v>1</v>
      </c>
      <c r="L1212" t="inlineStr">
        <is>
          <t>PRESIDENCIA EJECUTIVA DEL CONSEJO</t>
        </is>
      </c>
      <c r="M1212" t="n">
        <v>40</v>
      </c>
      <c r="N1212" t="inlineStr">
        <is>
          <t>DIRECCION GENERAL BANCO BASE</t>
        </is>
      </c>
      <c r="O1212" t="n">
        <v>310</v>
      </c>
      <c r="P1212" t="inlineStr">
        <is>
          <t>DIRECCION DE TECNOLOGIA</t>
        </is>
      </c>
      <c r="Q1212" t="n">
        <v>3110</v>
      </c>
      <c r="R1212" t="inlineStr">
        <is>
          <t>DIRECCION DE OPERACIONES DE TI</t>
        </is>
      </c>
      <c r="S1212" t="n">
        <v>31150</v>
      </c>
      <c r="T1212" t="inlineStr">
        <is>
          <t>SUBDIRECCION DE OPERACIONES TI Y EUC</t>
        </is>
      </c>
      <c r="U1212" t="n">
        <v>311000</v>
      </c>
      <c r="V1212" t="inlineStr">
        <is>
          <t>DIRECCION DE SOPORTE DE OPERACIONES TI</t>
        </is>
      </c>
      <c r="W1212" t="n">
        <v>100101</v>
      </c>
      <c r="X1212" t="inlineStr">
        <is>
          <t>CORPORATIVO</t>
        </is>
      </c>
      <c r="Y1212" t="n">
        <v>4</v>
      </c>
      <c r="Z1212" t="inlineStr">
        <is>
          <t>CORPORATIVO</t>
        </is>
      </c>
      <c r="AA1212" t="n">
        <v>1</v>
      </c>
      <c r="AB1212" t="inlineStr">
        <is>
          <t>NEGOCIO EN MARCHA</t>
        </is>
      </c>
      <c r="AC1212" t="n">
        <v>1</v>
      </c>
      <c r="AD1212" t="inlineStr">
        <is>
          <t>BANCO</t>
        </is>
      </c>
      <c r="AE1212" t="n">
        <v>1</v>
      </c>
      <c r="AF1212" t="inlineStr">
        <is>
          <t>BACK</t>
        </is>
      </c>
      <c r="AG1212" t="n">
        <v>100101</v>
      </c>
      <c r="AH1212" t="inlineStr">
        <is>
          <t>CORPORATIVO</t>
        </is>
      </c>
      <c r="AI1212" t="inlineStr">
        <is>
          <t>PMEJORADO@BANCOBASE.COM</t>
        </is>
      </c>
      <c r="AJ1212" s="151" t="n">
        <v>42233</v>
      </c>
      <c r="AK1212" s="151" t="n"/>
      <c r="AL1212" s="151" t="n"/>
    </row>
    <row r="1213" hidden="1" s="150">
      <c r="A1213" t="inlineStr">
        <is>
          <t>OORTIZ</t>
        </is>
      </c>
      <c r="B1213" t="n">
        <v>1018</v>
      </c>
      <c r="C1213" t="inlineStr">
        <is>
          <t>OLGA ALICIA ORTIZ DIAZ</t>
        </is>
      </c>
      <c r="D1213" t="n">
        <v>9028</v>
      </c>
      <c r="E1213" t="inlineStr">
        <is>
          <t>ESPECIALISTA DE SOPORTE APLICACIONES SR</t>
        </is>
      </c>
      <c r="F1213" t="inlineStr">
        <is>
          <t>MONTERREY</t>
        </is>
      </c>
      <c r="G1213" t="n">
        <v>643</v>
      </c>
      <c r="H1213" t="inlineStr">
        <is>
          <t>J. REYES ROMERO CERDA</t>
        </is>
      </c>
      <c r="I1213" t="n">
        <v>9833</v>
      </c>
      <c r="J1213" t="inlineStr">
        <is>
          <t>GERENTE SOPORTE DE APLICACIONES</t>
        </is>
      </c>
      <c r="K1213" t="n">
        <v>1</v>
      </c>
      <c r="L1213" t="inlineStr">
        <is>
          <t>PRESIDENCIA EJECUTIVA DEL CONSEJO</t>
        </is>
      </c>
      <c r="M1213" t="n">
        <v>40</v>
      </c>
      <c r="N1213" t="inlineStr">
        <is>
          <t>DIRECCION GENERAL BANCO BASE</t>
        </is>
      </c>
      <c r="O1213" t="n">
        <v>310</v>
      </c>
      <c r="P1213" t="inlineStr">
        <is>
          <t>DIRECCION DE TECNOLOGIA</t>
        </is>
      </c>
      <c r="Q1213" t="n">
        <v>3110</v>
      </c>
      <c r="R1213" t="inlineStr">
        <is>
          <t>DIRECCION DE OPERACIONES DE TI</t>
        </is>
      </c>
      <c r="S1213" t="n">
        <v>31120</v>
      </c>
      <c r="T1213" t="inlineStr">
        <is>
          <t>SUBDIRECCION DE SOPORTE A APLICACIONES</t>
        </is>
      </c>
      <c r="U1213" t="n">
        <v>311000</v>
      </c>
      <c r="V1213" t="inlineStr">
        <is>
          <t>DIRECCION DE SOPORTE DE OPERACIONES TI</t>
        </is>
      </c>
      <c r="W1213" t="n">
        <v>100101</v>
      </c>
      <c r="X1213" t="inlineStr">
        <is>
          <t>CORPORATIVO</t>
        </is>
      </c>
      <c r="Y1213" t="n">
        <v>4</v>
      </c>
      <c r="Z1213" t="inlineStr">
        <is>
          <t>CORPORATIVO</t>
        </is>
      </c>
      <c r="AA1213" t="n">
        <v>1</v>
      </c>
      <c r="AB1213" t="inlineStr">
        <is>
          <t>NEGOCIO EN MARCHA</t>
        </is>
      </c>
      <c r="AC1213" t="n">
        <v>1</v>
      </c>
      <c r="AD1213" t="inlineStr">
        <is>
          <t>BANCO</t>
        </is>
      </c>
      <c r="AE1213" t="n">
        <v>1</v>
      </c>
      <c r="AF1213" t="inlineStr">
        <is>
          <t>BACK</t>
        </is>
      </c>
      <c r="AG1213" t="n">
        <v>100101</v>
      </c>
      <c r="AH1213" t="inlineStr">
        <is>
          <t>CORPORATIVO</t>
        </is>
      </c>
      <c r="AI1213" t="inlineStr">
        <is>
          <t>OORTIZ@BANCOBASE.COM</t>
        </is>
      </c>
      <c r="AJ1213" s="151" t="n">
        <v>41374</v>
      </c>
      <c r="AK1213" s="151" t="n"/>
      <c r="AL1213" s="151" t="n"/>
    </row>
    <row r="1214" hidden="1" s="150">
      <c r="A1214" t="inlineStr">
        <is>
          <t>RTOLENTINM</t>
        </is>
      </c>
      <c r="B1214" t="n">
        <v>2056</v>
      </c>
      <c r="C1214" t="inlineStr">
        <is>
          <t>RICARDO TOLENTINO MARTINEZ</t>
        </is>
      </c>
      <c r="D1214" t="n">
        <v>10223</v>
      </c>
      <c r="E1214" t="inlineStr">
        <is>
          <t>ESPECIALISTA DE SOPORTE APLICACIONES</t>
        </is>
      </c>
      <c r="F1214" t="inlineStr">
        <is>
          <t>MONTERREY</t>
        </is>
      </c>
      <c r="G1214" t="n">
        <v>643</v>
      </c>
      <c r="H1214" t="inlineStr">
        <is>
          <t>J. REYES ROMERO CERDA</t>
        </is>
      </c>
      <c r="I1214" t="n">
        <v>9833</v>
      </c>
      <c r="J1214" t="inlineStr">
        <is>
          <t>GERENTE SOPORTE DE APLICACIONES</t>
        </is>
      </c>
      <c r="K1214" t="n">
        <v>1</v>
      </c>
      <c r="L1214" t="inlineStr">
        <is>
          <t>PRESIDENCIA EJECUTIVA DEL CONSEJO</t>
        </is>
      </c>
      <c r="M1214" t="n">
        <v>40</v>
      </c>
      <c r="N1214" t="inlineStr">
        <is>
          <t>DIRECCION GENERAL BANCO BASE</t>
        </is>
      </c>
      <c r="O1214" t="n">
        <v>310</v>
      </c>
      <c r="P1214" t="inlineStr">
        <is>
          <t>DIRECCION DE TECNOLOGIA</t>
        </is>
      </c>
      <c r="Q1214" t="n">
        <v>3110</v>
      </c>
      <c r="R1214" t="inlineStr">
        <is>
          <t>DIRECCION DE OPERACIONES DE TI</t>
        </is>
      </c>
      <c r="S1214" t="n">
        <v>31150</v>
      </c>
      <c r="T1214" t="inlineStr">
        <is>
          <t>SUBDIRECCION DE OPERACIONES TI Y EUC</t>
        </is>
      </c>
      <c r="U1214" t="n">
        <v>311000</v>
      </c>
      <c r="V1214" t="inlineStr">
        <is>
          <t>DIRECCION DE SOPORTE DE OPERACIONES TI</t>
        </is>
      </c>
      <c r="W1214" t="n">
        <v>100101</v>
      </c>
      <c r="X1214" t="inlineStr">
        <is>
          <t>CORPORATIVO</t>
        </is>
      </c>
      <c r="Y1214" t="n">
        <v>4</v>
      </c>
      <c r="Z1214" t="inlineStr">
        <is>
          <t>CORPORATIVO</t>
        </is>
      </c>
      <c r="AA1214" t="n">
        <v>1</v>
      </c>
      <c r="AB1214" t="inlineStr">
        <is>
          <t>NEGOCIO EN MARCHA</t>
        </is>
      </c>
      <c r="AC1214" t="n">
        <v>1</v>
      </c>
      <c r="AD1214" t="inlineStr">
        <is>
          <t>BANCO</t>
        </is>
      </c>
      <c r="AE1214" t="n">
        <v>1</v>
      </c>
      <c r="AF1214" t="inlineStr">
        <is>
          <t>BACK</t>
        </is>
      </c>
      <c r="AG1214" t="n">
        <v>100101</v>
      </c>
      <c r="AH1214" t="inlineStr">
        <is>
          <t>CORPORATIVO</t>
        </is>
      </c>
      <c r="AI1214" t="inlineStr">
        <is>
          <t>RTOLENTINM@BANCOBASE.COM</t>
        </is>
      </c>
      <c r="AJ1214" s="151" t="n">
        <v>43297</v>
      </c>
      <c r="AK1214" s="151" t="n"/>
      <c r="AL1214" s="151" t="n"/>
    </row>
    <row r="1215" hidden="1" s="150">
      <c r="A1215" t="inlineStr">
        <is>
          <t>JLAZARO</t>
        </is>
      </c>
      <c r="B1215" t="n">
        <v>2292</v>
      </c>
      <c r="C1215" t="inlineStr">
        <is>
          <t>JOSE DOMINGO LAZARO RAMIREZ</t>
        </is>
      </c>
      <c r="D1215" t="n">
        <v>10360</v>
      </c>
      <c r="E1215" t="inlineStr">
        <is>
          <t>ANALISTA SOPORTE DE APLICACIONES</t>
        </is>
      </c>
      <c r="F1215" t="inlineStr">
        <is>
          <t>MONTERREY</t>
        </is>
      </c>
      <c r="G1215" t="n">
        <v>643</v>
      </c>
      <c r="H1215" t="inlineStr">
        <is>
          <t>J. REYES ROMERO CERDA</t>
        </is>
      </c>
      <c r="I1215" t="n">
        <v>9833</v>
      </c>
      <c r="J1215" t="inlineStr">
        <is>
          <t>GERENTE SOPORTE DE APLICACIONES</t>
        </is>
      </c>
      <c r="K1215" t="n">
        <v>1</v>
      </c>
      <c r="L1215" t="inlineStr">
        <is>
          <t>PRESIDENCIA EJECUTIVA DEL CONSEJO</t>
        </is>
      </c>
      <c r="M1215" t="n">
        <v>40</v>
      </c>
      <c r="N1215" t="inlineStr">
        <is>
          <t>DIRECCION GENERAL BANCO BASE</t>
        </is>
      </c>
      <c r="O1215" t="n">
        <v>310</v>
      </c>
      <c r="P1215" t="inlineStr">
        <is>
          <t>DIRECCION DE TECNOLOGIA</t>
        </is>
      </c>
      <c r="Q1215" t="n">
        <v>3110</v>
      </c>
      <c r="R1215" t="inlineStr">
        <is>
          <t>DIRECCION DE OPERACIONES DE TI</t>
        </is>
      </c>
      <c r="S1215" t="n">
        <v>31150</v>
      </c>
      <c r="T1215" t="inlineStr">
        <is>
          <t>SUBDIRECCION DE OPERACIONES TI Y EUC</t>
        </is>
      </c>
      <c r="U1215" t="n">
        <v>311000</v>
      </c>
      <c r="V1215" t="inlineStr">
        <is>
          <t>DIRECCION DE SOPORTE DE OPERACIONES TI</t>
        </is>
      </c>
      <c r="W1215" t="n">
        <v>100101</v>
      </c>
      <c r="X1215" t="inlineStr">
        <is>
          <t>CORPORATIVO</t>
        </is>
      </c>
      <c r="Y1215" t="n">
        <v>4</v>
      </c>
      <c r="Z1215" t="inlineStr">
        <is>
          <t>CORPORATIVO</t>
        </is>
      </c>
      <c r="AA1215" t="n">
        <v>1</v>
      </c>
      <c r="AB1215" t="inlineStr">
        <is>
          <t>NEGOCIO EN MARCHA</t>
        </is>
      </c>
      <c r="AC1215" t="n">
        <v>1</v>
      </c>
      <c r="AD1215" t="inlineStr">
        <is>
          <t>BANCO</t>
        </is>
      </c>
      <c r="AE1215" t="n">
        <v>1</v>
      </c>
      <c r="AF1215" t="inlineStr">
        <is>
          <t>BACK</t>
        </is>
      </c>
      <c r="AG1215" t="n">
        <v>100101</v>
      </c>
      <c r="AH1215" t="inlineStr">
        <is>
          <t>CORPORATIVO</t>
        </is>
      </c>
      <c r="AI1215" t="inlineStr">
        <is>
          <t>JLAZARO@BANCOBASE.COM</t>
        </is>
      </c>
      <c r="AJ1215" s="151" t="n">
        <v>43678</v>
      </c>
      <c r="AK1215" s="151" t="n"/>
      <c r="AL1215" s="151" t="n"/>
    </row>
    <row r="1216" hidden="1" s="150">
      <c r="A1216" t="inlineStr">
        <is>
          <t>JROSAS</t>
        </is>
      </c>
      <c r="B1216" t="n">
        <v>1792</v>
      </c>
      <c r="C1216" t="inlineStr">
        <is>
          <t>JOSE ANDRES ROSAS GUERRA</t>
        </is>
      </c>
      <c r="D1216" t="n">
        <v>9832</v>
      </c>
      <c r="E1216" t="inlineStr">
        <is>
          <t>ANALISTA SOPORTE DE APLICACIONES</t>
        </is>
      </c>
      <c r="F1216" t="inlineStr">
        <is>
          <t>MONTERREY</t>
        </is>
      </c>
      <c r="G1216" t="n">
        <v>643</v>
      </c>
      <c r="H1216" t="inlineStr">
        <is>
          <t>J. REYES ROMERO CERDA</t>
        </is>
      </c>
      <c r="I1216" t="n">
        <v>9833</v>
      </c>
      <c r="J1216" t="inlineStr">
        <is>
          <t>GERENTE SOPORTE DE APLICACIONES</t>
        </is>
      </c>
      <c r="K1216" t="n">
        <v>1</v>
      </c>
      <c r="L1216" t="inlineStr">
        <is>
          <t>PRESIDENCIA EJECUTIVA DEL CONSEJO</t>
        </is>
      </c>
      <c r="M1216" t="n">
        <v>40</v>
      </c>
      <c r="N1216" t="inlineStr">
        <is>
          <t>DIRECCION GENERAL BANCO BASE</t>
        </is>
      </c>
      <c r="O1216" t="n">
        <v>310</v>
      </c>
      <c r="P1216" t="inlineStr">
        <is>
          <t>DIRECCION DE TECNOLOGIA</t>
        </is>
      </c>
      <c r="Q1216" t="n">
        <v>3110</v>
      </c>
      <c r="R1216" t="inlineStr">
        <is>
          <t>DIRECCION DE OPERACIONES DE TI</t>
        </is>
      </c>
      <c r="S1216" t="n">
        <v>31150</v>
      </c>
      <c r="T1216" t="inlineStr">
        <is>
          <t>SUBDIRECCION DE OPERACIONES TI Y EUC</t>
        </is>
      </c>
      <c r="U1216" t="n">
        <v>311000</v>
      </c>
      <c r="V1216" t="inlineStr">
        <is>
          <t>DIRECCION DE SOPORTE DE OPERACIONES TI</t>
        </is>
      </c>
      <c r="W1216" t="n">
        <v>100101</v>
      </c>
      <c r="X1216" t="inlineStr">
        <is>
          <t>CORPORATIVO</t>
        </is>
      </c>
      <c r="Y1216" t="n">
        <v>4</v>
      </c>
      <c r="Z1216" t="inlineStr">
        <is>
          <t>CORPORATIVO</t>
        </is>
      </c>
      <c r="AA1216" t="n">
        <v>1</v>
      </c>
      <c r="AB1216" t="inlineStr">
        <is>
          <t>NEGOCIO EN MARCHA</t>
        </is>
      </c>
      <c r="AC1216" t="n">
        <v>1</v>
      </c>
      <c r="AD1216" t="inlineStr">
        <is>
          <t>BANCO</t>
        </is>
      </c>
      <c r="AE1216" t="n">
        <v>1</v>
      </c>
      <c r="AF1216" t="inlineStr">
        <is>
          <t>BACK</t>
        </is>
      </c>
      <c r="AG1216" t="n">
        <v>100101</v>
      </c>
      <c r="AH1216" t="inlineStr">
        <is>
          <t>CORPORATIVO</t>
        </is>
      </c>
      <c r="AI1216" t="inlineStr">
        <is>
          <t>JROSAS@BANCOBASE.COM</t>
        </is>
      </c>
      <c r="AJ1216" s="151" t="n">
        <v>42919</v>
      </c>
      <c r="AK1216" s="151" t="n"/>
      <c r="AL1216" s="151" t="n"/>
    </row>
    <row r="1217" hidden="1" s="150">
      <c r="A1217" t="inlineStr">
        <is>
          <t>RRAMIREZH</t>
        </is>
      </c>
      <c r="B1217" t="n">
        <v>2785</v>
      </c>
      <c r="C1217" t="inlineStr">
        <is>
          <t>ROSA FERNANDA RAMIREZ HERNANDEZ</t>
        </is>
      </c>
      <c r="D1217" t="n">
        <v>8030</v>
      </c>
      <c r="E1217" t="inlineStr">
        <is>
          <t>ANALISTA SOPORTE DE APLICACIONES</t>
        </is>
      </c>
      <c r="F1217" t="inlineStr">
        <is>
          <t>MONTERREY</t>
        </is>
      </c>
      <c r="G1217" t="n">
        <v>643</v>
      </c>
      <c r="H1217" t="inlineStr">
        <is>
          <t>J. REYES ROMERO CERDA</t>
        </is>
      </c>
      <c r="I1217" t="n">
        <v>9833</v>
      </c>
      <c r="J1217" t="inlineStr">
        <is>
          <t>GERENTE SOPORTE DE APLICACIONES</t>
        </is>
      </c>
      <c r="K1217" t="n">
        <v>1</v>
      </c>
      <c r="L1217" t="inlineStr">
        <is>
          <t>PRESIDENCIA EJECUTIVA DEL CONSEJO</t>
        </is>
      </c>
      <c r="M1217" t="n">
        <v>40</v>
      </c>
      <c r="N1217" t="inlineStr">
        <is>
          <t>DIRECCION GENERAL BANCO BASE</t>
        </is>
      </c>
      <c r="O1217" t="n">
        <v>310</v>
      </c>
      <c r="P1217" t="inlineStr">
        <is>
          <t>DIRECCION DE TECNOLOGIA</t>
        </is>
      </c>
      <c r="Q1217" t="n">
        <v>3110</v>
      </c>
      <c r="R1217" t="inlineStr">
        <is>
          <t>DIRECCION DE OPERACIONES DE TI</t>
        </is>
      </c>
      <c r="S1217" t="n">
        <v>31150</v>
      </c>
      <c r="T1217" t="inlineStr">
        <is>
          <t>SUBDIRECCION DE OPERACIONES TI Y EUC</t>
        </is>
      </c>
      <c r="U1217" t="n">
        <v>311000</v>
      </c>
      <c r="V1217" t="inlineStr">
        <is>
          <t>DIRECCION DE SOPORTE DE OPERACIONES TI</t>
        </is>
      </c>
      <c r="W1217" t="n">
        <v>100101</v>
      </c>
      <c r="X1217" t="inlineStr">
        <is>
          <t>CORPORATIVO</t>
        </is>
      </c>
      <c r="Y1217" t="n">
        <v>4</v>
      </c>
      <c r="Z1217" t="inlineStr">
        <is>
          <t>CORPORATIVO</t>
        </is>
      </c>
      <c r="AA1217" t="n">
        <v>1</v>
      </c>
      <c r="AB1217" t="inlineStr">
        <is>
          <t>NEGOCIO EN MARCHA</t>
        </is>
      </c>
      <c r="AC1217" t="n">
        <v>1</v>
      </c>
      <c r="AD1217" t="inlineStr">
        <is>
          <t>BANCO</t>
        </is>
      </c>
      <c r="AE1217" t="n">
        <v>1</v>
      </c>
      <c r="AF1217" t="inlineStr">
        <is>
          <t>BACK</t>
        </is>
      </c>
      <c r="AG1217" t="n">
        <v>100101</v>
      </c>
      <c r="AH1217" t="inlineStr">
        <is>
          <t>CORPORATIVO</t>
        </is>
      </c>
      <c r="AI1217" t="inlineStr">
        <is>
          <t>RRAMIREZH@BANCOBASE.COM</t>
        </is>
      </c>
      <c r="AJ1217" s="151" t="n">
        <v>44896</v>
      </c>
      <c r="AK1217" s="151" t="n"/>
      <c r="AL1217" s="151" t="n"/>
    </row>
    <row r="1218" hidden="1" s="150">
      <c r="A1218" t="inlineStr">
        <is>
          <t>NMUNOZ</t>
        </is>
      </c>
      <c r="B1218" t="n">
        <v>3941</v>
      </c>
      <c r="C1218" t="inlineStr">
        <is>
          <t>NOE MUNOZ QUINTANA</t>
        </is>
      </c>
      <c r="D1218" t="n">
        <v>8065</v>
      </c>
      <c r="E1218" t="inlineStr">
        <is>
          <t>ANALISTA SOPORTE DE APLICACIONES</t>
        </is>
      </c>
      <c r="F1218" t="inlineStr">
        <is>
          <t>MONTERREY</t>
        </is>
      </c>
      <c r="G1218" t="n">
        <v>643</v>
      </c>
      <c r="H1218" t="inlineStr">
        <is>
          <t>J. REYES ROMERO CERDA</t>
        </is>
      </c>
      <c r="I1218" t="n">
        <v>9833</v>
      </c>
      <c r="J1218" t="inlineStr">
        <is>
          <t>GERENTE SOPORTE DE APLICACIONES</t>
        </is>
      </c>
      <c r="K1218" t="n">
        <v>1</v>
      </c>
      <c r="L1218" t="inlineStr">
        <is>
          <t>PRESIDENCIA EJECUTIVA DEL CONSEJO</t>
        </is>
      </c>
      <c r="M1218" t="n">
        <v>40</v>
      </c>
      <c r="N1218" t="inlineStr">
        <is>
          <t>DIRECCION GENERAL BANCO BASE</t>
        </is>
      </c>
      <c r="O1218" t="n">
        <v>310</v>
      </c>
      <c r="P1218" t="inlineStr">
        <is>
          <t>DIRECCION DE TECNOLOGIA</t>
        </is>
      </c>
      <c r="Q1218" t="n">
        <v>3110</v>
      </c>
      <c r="R1218" t="inlineStr">
        <is>
          <t>DIRECCION DE OPERACIONES DE TI</t>
        </is>
      </c>
      <c r="S1218" t="n">
        <v>31150</v>
      </c>
      <c r="T1218" t="inlineStr">
        <is>
          <t>SUBDIRECCION DE OPERACIONES TI Y EUC</t>
        </is>
      </c>
      <c r="U1218" t="n">
        <v>311000</v>
      </c>
      <c r="V1218" t="inlineStr">
        <is>
          <t>DIRECCION DE SOPORTE DE OPERACIONES TI</t>
        </is>
      </c>
      <c r="W1218" t="n">
        <v>100101</v>
      </c>
      <c r="X1218" t="inlineStr">
        <is>
          <t>CORPORATIVO</t>
        </is>
      </c>
      <c r="Y1218" t="n">
        <v>4</v>
      </c>
      <c r="Z1218" t="inlineStr">
        <is>
          <t>CORPORATIVO</t>
        </is>
      </c>
      <c r="AA1218" t="n">
        <v>1</v>
      </c>
      <c r="AB1218" t="inlineStr">
        <is>
          <t>NEGOCIO EN MARCHA</t>
        </is>
      </c>
      <c r="AC1218" t="n">
        <v>1</v>
      </c>
      <c r="AD1218" t="inlineStr">
        <is>
          <t>BANCO</t>
        </is>
      </c>
      <c r="AE1218" t="n">
        <v>1</v>
      </c>
      <c r="AF1218" t="inlineStr">
        <is>
          <t>BACK</t>
        </is>
      </c>
      <c r="AG1218" t="n">
        <v>126102</v>
      </c>
      <c r="AH1218" t="inlineStr">
        <is>
          <t>MONTERREY</t>
        </is>
      </c>
      <c r="AI1218" t="inlineStr">
        <is>
          <t>NMUNOZ@BANCOBASE.COM</t>
        </is>
      </c>
      <c r="AJ1218" s="151" t="n">
        <v>46219</v>
      </c>
      <c r="AK1218" s="151" t="n"/>
      <c r="AL1218" s="151" t="n"/>
    </row>
    <row r="1219" hidden="1" s="150">
      <c r="A1219" t="inlineStr">
        <is>
          <t>AOCEGUERA</t>
        </is>
      </c>
      <c r="B1219" t="n">
        <v>3593</v>
      </c>
      <c r="C1219" t="inlineStr">
        <is>
          <t>ANTONIO OCEGUERA VARGAS</t>
        </is>
      </c>
      <c r="D1219" t="n">
        <v>8841</v>
      </c>
      <c r="E1219" t="inlineStr">
        <is>
          <t>ESPECIALISTA DE GESTION DE INCIDENTES TI</t>
        </is>
      </c>
      <c r="F1219" t="inlineStr">
        <is>
          <t>CANCUN</t>
        </is>
      </c>
      <c r="I1219" t="n">
        <v>8675</v>
      </c>
      <c r="J1219" t="inlineStr">
        <is>
          <t>GERENTE DE GESTION DE INCIDENTES TI</t>
        </is>
      </c>
      <c r="K1219" t="n">
        <v>1</v>
      </c>
      <c r="L1219" t="inlineStr">
        <is>
          <t>PRESIDENCIA EJECUTIVA DEL CONSEJO</t>
        </is>
      </c>
      <c r="M1219" t="n">
        <v>40</v>
      </c>
      <c r="N1219" t="inlineStr">
        <is>
          <t>DIRECCION GENERAL BANCO BASE</t>
        </is>
      </c>
      <c r="O1219" t="n">
        <v>310</v>
      </c>
      <c r="P1219" t="inlineStr">
        <is>
          <t>DIRECCION DE TECNOLOGIA</t>
        </is>
      </c>
      <c r="Q1219" t="n">
        <v>3110</v>
      </c>
      <c r="R1219" t="inlineStr">
        <is>
          <t>DIRECCION DE OPERACIONES DE TI</t>
        </is>
      </c>
      <c r="S1219" t="n">
        <v>31150</v>
      </c>
      <c r="T1219" t="inlineStr">
        <is>
          <t>SUBDIRECCION DE OPERACIONES TI Y EUC</t>
        </is>
      </c>
      <c r="U1219" t="n">
        <v>311000</v>
      </c>
      <c r="V1219" t="inlineStr">
        <is>
          <t>DIRECCION DE SOPORTE DE OPERACIONES TI</t>
        </is>
      </c>
      <c r="W1219" t="n">
        <v>126121</v>
      </c>
      <c r="X1219" t="inlineStr">
        <is>
          <t>CANCUN</t>
        </is>
      </c>
      <c r="Y1219" t="n">
        <v>4</v>
      </c>
      <c r="Z1219" t="inlineStr">
        <is>
          <t>CORPORATIVO</t>
        </is>
      </c>
      <c r="AA1219" t="n">
        <v>7</v>
      </c>
      <c r="AB1219" t="inlineStr">
        <is>
          <t>PROYECTO DARWIN</t>
        </is>
      </c>
      <c r="AC1219" t="n">
        <v>1</v>
      </c>
      <c r="AD1219" t="inlineStr">
        <is>
          <t>BANCO</t>
        </is>
      </c>
      <c r="AE1219" t="n">
        <v>1</v>
      </c>
      <c r="AF1219" t="inlineStr">
        <is>
          <t>BACK</t>
        </is>
      </c>
      <c r="AG1219" t="n">
        <v>126121</v>
      </c>
      <c r="AH1219" t="inlineStr">
        <is>
          <t>CANCUN</t>
        </is>
      </c>
      <c r="AI1219" t="inlineStr">
        <is>
          <t>AOCEGUERA@BANCOBASE.COM</t>
        </is>
      </c>
      <c r="AJ1219" s="151" t="n">
        <v>45931</v>
      </c>
      <c r="AK1219" s="151" t="n"/>
      <c r="AL1219" s="151" t="n"/>
    </row>
    <row r="1220" hidden="1" s="150">
      <c r="A1220" t="inlineStr">
        <is>
          <t>JCHAVEZN</t>
        </is>
      </c>
      <c r="B1220" t="n">
        <v>3825</v>
      </c>
      <c r="C1220" t="inlineStr">
        <is>
          <t>JORGE CHAVEZ NAVARRO</t>
        </is>
      </c>
      <c r="D1220" t="n">
        <v>8136</v>
      </c>
      <c r="E1220" t="inlineStr">
        <is>
          <t>ESPECIALISTA DE GESTION DE INCIDENTES TI</t>
        </is>
      </c>
      <c r="F1220" t="inlineStr">
        <is>
          <t>MEXICO</t>
        </is>
      </c>
      <c r="I1220" t="n">
        <v>8675</v>
      </c>
      <c r="J1220" t="inlineStr">
        <is>
          <t>GERENTE DE GESTION DE INCIDENTES TI</t>
        </is>
      </c>
      <c r="K1220" t="n">
        <v>1</v>
      </c>
      <c r="L1220" t="inlineStr">
        <is>
          <t>PRESIDENCIA EJECUTIVA DEL CONSEJO</t>
        </is>
      </c>
      <c r="M1220" t="n">
        <v>40</v>
      </c>
      <c r="N1220" t="inlineStr">
        <is>
          <t>DIRECCION GENERAL BANCO BASE</t>
        </is>
      </c>
      <c r="O1220" t="n">
        <v>310</v>
      </c>
      <c r="P1220" t="inlineStr">
        <is>
          <t>DIRECCION DE TECNOLOGIA</t>
        </is>
      </c>
      <c r="Q1220" t="n">
        <v>3110</v>
      </c>
      <c r="R1220" t="inlineStr">
        <is>
          <t>DIRECCION DE OPERACIONES DE TI</t>
        </is>
      </c>
      <c r="S1220" t="n">
        <v>31150</v>
      </c>
      <c r="T1220" t="inlineStr">
        <is>
          <t>SUBDIRECCION DE OPERACIONES TI Y EUC</t>
        </is>
      </c>
      <c r="U1220" t="n">
        <v>311000</v>
      </c>
      <c r="V1220" t="inlineStr">
        <is>
          <t>DIRECCION DE SOPORTE DE OPERACIONES TI</t>
        </is>
      </c>
      <c r="W1220" t="n">
        <v>134111</v>
      </c>
      <c r="X1220" t="inlineStr">
        <is>
          <t>LOMAS</t>
        </is>
      </c>
      <c r="Y1220" t="n">
        <v>4</v>
      </c>
      <c r="Z1220" t="inlineStr">
        <is>
          <t>CORPORATIVO</t>
        </is>
      </c>
      <c r="AA1220" t="n">
        <v>1</v>
      </c>
      <c r="AB1220" t="inlineStr">
        <is>
          <t>NEGOCIO EN MARCHA</t>
        </is>
      </c>
      <c r="AC1220" t="n">
        <v>1</v>
      </c>
      <c r="AD1220" t="inlineStr">
        <is>
          <t>BANCO</t>
        </is>
      </c>
      <c r="AE1220" t="n">
        <v>1</v>
      </c>
      <c r="AF1220" t="inlineStr">
        <is>
          <t>BACK</t>
        </is>
      </c>
      <c r="AG1220" t="n">
        <v>134111</v>
      </c>
      <c r="AH1220" t="inlineStr">
        <is>
          <t>LOMAS</t>
        </is>
      </c>
      <c r="AI1220" t="inlineStr">
        <is>
          <t>JCHAVEZN@BANCOBASE.COM</t>
        </is>
      </c>
      <c r="AJ1220" s="151" t="n">
        <v>46128</v>
      </c>
      <c r="AK1220" s="151" t="n"/>
      <c r="AL1220" s="151" t="n"/>
    </row>
    <row r="1221" hidden="1" s="150">
      <c r="A1221" t="inlineStr">
        <is>
          <t>ACEPEDA</t>
        </is>
      </c>
      <c r="B1221" t="n">
        <v>2302</v>
      </c>
      <c r="C1221" t="inlineStr">
        <is>
          <t>ANAELI CEPEDA CAMACHO</t>
        </is>
      </c>
      <c r="D1221" t="n">
        <v>6060</v>
      </c>
      <c r="E1221" t="inlineStr">
        <is>
          <t>ANALISTA DE GESTION DE INCIDENTES TI</t>
        </is>
      </c>
      <c r="F1221" t="inlineStr">
        <is>
          <t>MONTERREY</t>
        </is>
      </c>
      <c r="I1221" t="n">
        <v>8675</v>
      </c>
      <c r="J1221" t="inlineStr">
        <is>
          <t>GERENTE DE GESTION DE INCIDENTES TI</t>
        </is>
      </c>
      <c r="K1221" t="n">
        <v>1</v>
      </c>
      <c r="L1221" t="inlineStr">
        <is>
          <t>PRESIDENCIA EJECUTIVA DEL CONSEJO</t>
        </is>
      </c>
      <c r="M1221" t="n">
        <v>40</v>
      </c>
      <c r="N1221" t="inlineStr">
        <is>
          <t>DIRECCION GENERAL BANCO BASE</t>
        </is>
      </c>
      <c r="O1221" t="n">
        <v>310</v>
      </c>
      <c r="P1221" t="inlineStr">
        <is>
          <t>DIRECCION DE TECNOLOGIA</t>
        </is>
      </c>
      <c r="Q1221" t="n">
        <v>3110</v>
      </c>
      <c r="R1221" t="inlineStr">
        <is>
          <t>DIRECCION DE OPERACIONES DE TI</t>
        </is>
      </c>
      <c r="S1221" t="n">
        <v>31150</v>
      </c>
      <c r="T1221" t="inlineStr">
        <is>
          <t>SUBDIRECCION DE OPERACIONES TI Y EUC</t>
        </is>
      </c>
      <c r="U1221" t="n">
        <v>311000</v>
      </c>
      <c r="V1221" t="inlineStr">
        <is>
          <t>DIRECCION DE SOPORTE DE OPERACIONES TI</t>
        </is>
      </c>
      <c r="W1221" t="n">
        <v>100101</v>
      </c>
      <c r="X1221" t="inlineStr">
        <is>
          <t>CORPORATIVO</t>
        </is>
      </c>
      <c r="Y1221" t="n">
        <v>4</v>
      </c>
      <c r="Z1221" t="inlineStr">
        <is>
          <t>CORPORATIVO</t>
        </is>
      </c>
      <c r="AA1221" t="n">
        <v>1</v>
      </c>
      <c r="AB1221" t="inlineStr">
        <is>
          <t>NEGOCIO EN MARCHA</t>
        </is>
      </c>
      <c r="AC1221" t="n">
        <v>1</v>
      </c>
      <c r="AD1221" t="inlineStr">
        <is>
          <t>BANCO</t>
        </is>
      </c>
      <c r="AE1221" t="n">
        <v>1</v>
      </c>
      <c r="AF1221" t="inlineStr">
        <is>
          <t>BACK</t>
        </is>
      </c>
      <c r="AG1221" t="n">
        <v>100101</v>
      </c>
      <c r="AH1221" t="inlineStr">
        <is>
          <t>CORPORATIVO</t>
        </is>
      </c>
      <c r="AI1221" t="inlineStr">
        <is>
          <t>ACEPEDA@BANCOBASE.COM</t>
        </is>
      </c>
      <c r="AJ1221" s="151" t="n">
        <v>43693</v>
      </c>
      <c r="AK1221" s="151" t="n"/>
      <c r="AL1221" s="151" t="n"/>
    </row>
    <row r="1222" hidden="1" s="150">
      <c r="A1222" t="inlineStr">
        <is>
          <t>ECARREON</t>
        </is>
      </c>
      <c r="B1222" t="n">
        <v>983</v>
      </c>
      <c r="C1222" t="inlineStr">
        <is>
          <t>ESAU CARREON MARTINEZ</t>
        </is>
      </c>
      <c r="D1222" t="n">
        <v>3739</v>
      </c>
      <c r="E1222" t="inlineStr">
        <is>
          <t>LIDER DE APLICACIONES DE CORE SYSTEMS</t>
        </is>
      </c>
      <c r="F1222" t="inlineStr">
        <is>
          <t>MONTERREY</t>
        </is>
      </c>
      <c r="G1222" t="n">
        <v>3713</v>
      </c>
      <c r="H1222" t="inlineStr">
        <is>
          <t>ENRIQUE ANDRES ROMERO SARABIA</t>
        </is>
      </c>
      <c r="I1222" t="n">
        <v>9014</v>
      </c>
      <c r="J1222" t="inlineStr">
        <is>
          <t>SUBDIRECTOR DE OPERACIONES TI Y EUC</t>
        </is>
      </c>
      <c r="K1222" t="n">
        <v>1</v>
      </c>
      <c r="L1222" t="inlineStr">
        <is>
          <t>PRESIDENCIA EJECUTIVA DEL CONSEJO</t>
        </is>
      </c>
      <c r="M1222" t="n">
        <v>40</v>
      </c>
      <c r="N1222" t="inlineStr">
        <is>
          <t>DIRECCION GENERAL BANCO BASE</t>
        </is>
      </c>
      <c r="O1222" t="n">
        <v>310</v>
      </c>
      <c r="P1222" t="inlineStr">
        <is>
          <t>DIRECCION DE TECNOLOGIA</t>
        </is>
      </c>
      <c r="Q1222" t="n">
        <v>3110</v>
      </c>
      <c r="R1222" t="inlineStr">
        <is>
          <t>DIRECCION DE OPERACIONES DE TI</t>
        </is>
      </c>
      <c r="S1222" t="n">
        <v>31120</v>
      </c>
      <c r="T1222" t="inlineStr">
        <is>
          <t>SUBDIRECCION DE SOPORTE A APLICACIONES</t>
        </is>
      </c>
      <c r="U1222" t="n">
        <v>311000</v>
      </c>
      <c r="V1222" t="inlineStr">
        <is>
          <t>DIRECCION DE SOPORTE DE OPERACIONES TI</t>
        </is>
      </c>
      <c r="W1222" t="n">
        <v>100101</v>
      </c>
      <c r="X1222" t="inlineStr">
        <is>
          <t>CORPORATIVO</t>
        </is>
      </c>
      <c r="Y1222" t="n">
        <v>4</v>
      </c>
      <c r="Z1222" t="inlineStr">
        <is>
          <t>CORPORATIVO</t>
        </is>
      </c>
      <c r="AA1222" t="n">
        <v>1</v>
      </c>
      <c r="AB1222" t="inlineStr">
        <is>
          <t>NEGOCIO EN MARCHA</t>
        </is>
      </c>
      <c r="AC1222" t="n">
        <v>1</v>
      </c>
      <c r="AD1222" t="inlineStr">
        <is>
          <t>BANCO</t>
        </is>
      </c>
      <c r="AE1222" t="n">
        <v>1</v>
      </c>
      <c r="AF1222" t="inlineStr">
        <is>
          <t>BACK</t>
        </is>
      </c>
      <c r="AG1222" t="n">
        <v>100101</v>
      </c>
      <c r="AH1222" t="inlineStr">
        <is>
          <t>CORPORATIVO</t>
        </is>
      </c>
      <c r="AI1222" t="inlineStr">
        <is>
          <t>ECARREON@BANCOBASE.COM</t>
        </is>
      </c>
      <c r="AJ1222" s="151" t="n">
        <v>41277</v>
      </c>
      <c r="AK1222" s="151" t="n"/>
      <c r="AL1222" s="151" t="n"/>
    </row>
    <row r="1223" hidden="1" s="150">
      <c r="A1223" t="inlineStr">
        <is>
          <t>LDURAN</t>
        </is>
      </c>
      <c r="B1223" t="n">
        <v>1995</v>
      </c>
      <c r="C1223" t="inlineStr">
        <is>
          <t>LUIS ARNOLDO DURAN NUÑEZ</t>
        </is>
      </c>
      <c r="D1223" t="n">
        <v>10230</v>
      </c>
      <c r="E1223" t="inlineStr">
        <is>
          <t>COORDINADOR DE SOPORTE DE OPERACIONES TI</t>
        </is>
      </c>
      <c r="F1223" t="inlineStr">
        <is>
          <t>MONTERREY</t>
        </is>
      </c>
      <c r="G1223" t="n">
        <v>983</v>
      </c>
      <c r="H1223" t="inlineStr">
        <is>
          <t>ESAU CARREON MARTINEZ</t>
        </is>
      </c>
      <c r="I1223" t="n">
        <v>3739</v>
      </c>
      <c r="J1223" t="inlineStr">
        <is>
          <t>LIDER DE APLICACIONES DE CORE SYSTEMS</t>
        </is>
      </c>
      <c r="K1223" t="n">
        <v>1</v>
      </c>
      <c r="L1223" t="inlineStr">
        <is>
          <t>PRESIDENCIA EJECUTIVA DEL CONSEJO</t>
        </is>
      </c>
      <c r="M1223" t="n">
        <v>40</v>
      </c>
      <c r="N1223" t="inlineStr">
        <is>
          <t>DIRECCION GENERAL BANCO BASE</t>
        </is>
      </c>
      <c r="O1223" t="n">
        <v>310</v>
      </c>
      <c r="P1223" t="inlineStr">
        <is>
          <t>DIRECCION DE TECNOLOGIA</t>
        </is>
      </c>
      <c r="Q1223" t="n">
        <v>3110</v>
      </c>
      <c r="R1223" t="inlineStr">
        <is>
          <t>DIRECCION DE OPERACIONES DE TI</t>
        </is>
      </c>
      <c r="S1223" t="n">
        <v>31120</v>
      </c>
      <c r="T1223" t="inlineStr">
        <is>
          <t>SUBDIRECCION DE SOPORTE A APLICACIONES</t>
        </is>
      </c>
      <c r="U1223" t="n">
        <v>311000</v>
      </c>
      <c r="V1223" t="inlineStr">
        <is>
          <t>DIRECCION DE SOPORTE DE OPERACIONES TI</t>
        </is>
      </c>
      <c r="W1223" t="n">
        <v>100101</v>
      </c>
      <c r="X1223" t="inlineStr">
        <is>
          <t>CORPORATIVO</t>
        </is>
      </c>
      <c r="Y1223" t="n">
        <v>4</v>
      </c>
      <c r="Z1223" t="inlineStr">
        <is>
          <t>CORPORATIVO</t>
        </is>
      </c>
      <c r="AA1223" t="n">
        <v>1</v>
      </c>
      <c r="AB1223" t="inlineStr">
        <is>
          <t>NEGOCIO EN MARCHA</t>
        </is>
      </c>
      <c r="AC1223" t="n">
        <v>1</v>
      </c>
      <c r="AD1223" t="inlineStr">
        <is>
          <t>BANCO</t>
        </is>
      </c>
      <c r="AE1223" t="n">
        <v>1</v>
      </c>
      <c r="AF1223" t="inlineStr">
        <is>
          <t>BACK</t>
        </is>
      </c>
      <c r="AG1223" t="n">
        <v>100101</v>
      </c>
      <c r="AH1223" t="inlineStr">
        <is>
          <t>CORPORATIVO</t>
        </is>
      </c>
      <c r="AI1223" t="inlineStr">
        <is>
          <t>LDURAN@BANCOBASE.COM</t>
        </is>
      </c>
      <c r="AJ1223" s="151" t="n">
        <v>43222</v>
      </c>
      <c r="AK1223" s="151" t="n"/>
      <c r="AL1223" s="151" t="n"/>
    </row>
    <row r="1224" hidden="1" s="150">
      <c r="A1224" t="inlineStr">
        <is>
          <t>LPADILLA</t>
        </is>
      </c>
      <c r="B1224" t="n">
        <v>2122</v>
      </c>
      <c r="C1224" t="inlineStr">
        <is>
          <t>LUIS ANTONIO PADILLA ORDAZ</t>
        </is>
      </c>
      <c r="D1224" t="n">
        <v>10284</v>
      </c>
      <c r="E1224" t="inlineStr">
        <is>
          <t>ANALISTA SOPORTE DE APLICACIONES</t>
        </is>
      </c>
      <c r="F1224" t="inlineStr">
        <is>
          <t>MONTERREY</t>
        </is>
      </c>
      <c r="G1224" t="n">
        <v>1995</v>
      </c>
      <c r="H1224" t="inlineStr">
        <is>
          <t>LUIS ARNOLDO DURAN NUÑEZ</t>
        </is>
      </c>
      <c r="I1224" t="n">
        <v>10230</v>
      </c>
      <c r="J1224" t="inlineStr">
        <is>
          <t>COORDINADOR DE SOPORTE DE OPERACIONES TI</t>
        </is>
      </c>
      <c r="K1224" t="n">
        <v>1</v>
      </c>
      <c r="L1224" t="inlineStr">
        <is>
          <t>PRESIDENCIA EJECUTIVA DEL CONSEJO</t>
        </is>
      </c>
      <c r="M1224" t="n">
        <v>40</v>
      </c>
      <c r="N1224" t="inlineStr">
        <is>
          <t>DIRECCION GENERAL BANCO BASE</t>
        </is>
      </c>
      <c r="O1224" t="n">
        <v>310</v>
      </c>
      <c r="P1224" t="inlineStr">
        <is>
          <t>DIRECCION DE TECNOLOGIA</t>
        </is>
      </c>
      <c r="Q1224" t="n">
        <v>3110</v>
      </c>
      <c r="R1224" t="inlineStr">
        <is>
          <t>DIRECCION DE OPERACIONES DE TI</t>
        </is>
      </c>
      <c r="S1224" t="n">
        <v>31120</v>
      </c>
      <c r="T1224" t="inlineStr">
        <is>
          <t>SUBDIRECCION DE SOPORTE A APLICACIONES</t>
        </is>
      </c>
      <c r="U1224" t="n">
        <v>311000</v>
      </c>
      <c r="V1224" t="inlineStr">
        <is>
          <t>DIRECCION DE SOPORTE DE OPERACIONES TI</t>
        </is>
      </c>
      <c r="W1224" t="n">
        <v>100101</v>
      </c>
      <c r="X1224" t="inlineStr">
        <is>
          <t>CORPORATIVO</t>
        </is>
      </c>
      <c r="Y1224" t="n">
        <v>4</v>
      </c>
      <c r="Z1224" t="inlineStr">
        <is>
          <t>CORPORATIVO</t>
        </is>
      </c>
      <c r="AA1224" t="n">
        <v>1</v>
      </c>
      <c r="AB1224" t="inlineStr">
        <is>
          <t>NEGOCIO EN MARCHA</t>
        </is>
      </c>
      <c r="AC1224" t="n">
        <v>1</v>
      </c>
      <c r="AD1224" t="inlineStr">
        <is>
          <t>BANCO</t>
        </is>
      </c>
      <c r="AE1224" t="n">
        <v>1</v>
      </c>
      <c r="AF1224" t="inlineStr">
        <is>
          <t>BACK</t>
        </is>
      </c>
      <c r="AG1224" t="n">
        <v>100101</v>
      </c>
      <c r="AH1224" t="inlineStr">
        <is>
          <t>CORPORATIVO</t>
        </is>
      </c>
      <c r="AI1224" t="inlineStr">
        <is>
          <t>LPADILLA@BANCOBASE.COM</t>
        </is>
      </c>
      <c r="AJ1224" s="151" t="n">
        <v>43389</v>
      </c>
      <c r="AK1224" s="151" t="n"/>
      <c r="AL1224" s="151" t="n"/>
    </row>
    <row r="1225" hidden="1" s="150">
      <c r="A1225" t="inlineStr">
        <is>
          <t>BSANCHEG</t>
        </is>
      </c>
      <c r="B1225" t="n">
        <v>2781</v>
      </c>
      <c r="C1225" t="inlineStr">
        <is>
          <t>BERENICE SANCHEZ GOMEZ</t>
        </is>
      </c>
      <c r="D1225" t="n">
        <v>8038</v>
      </c>
      <c r="E1225" t="inlineStr">
        <is>
          <t>ANALISTA SOPORTE DE APLICACIONES</t>
        </is>
      </c>
      <c r="F1225" t="inlineStr">
        <is>
          <t>MONTERREY</t>
        </is>
      </c>
      <c r="G1225" t="n">
        <v>1995</v>
      </c>
      <c r="H1225" t="inlineStr">
        <is>
          <t>LUIS ARNOLDO DURAN NUÑEZ</t>
        </is>
      </c>
      <c r="I1225" t="n">
        <v>10230</v>
      </c>
      <c r="J1225" t="inlineStr">
        <is>
          <t>COORDINADOR DE SOPORTE DE OPERACIONES TI</t>
        </is>
      </c>
      <c r="K1225" t="n">
        <v>1</v>
      </c>
      <c r="L1225" t="inlineStr">
        <is>
          <t>PRESIDENCIA EJECUTIVA DEL CONSEJO</t>
        </is>
      </c>
      <c r="M1225" t="n">
        <v>40</v>
      </c>
      <c r="N1225" t="inlineStr">
        <is>
          <t>DIRECCION GENERAL BANCO BASE</t>
        </is>
      </c>
      <c r="O1225" t="n">
        <v>310</v>
      </c>
      <c r="P1225" t="inlineStr">
        <is>
          <t>DIRECCION DE TECNOLOGIA</t>
        </is>
      </c>
      <c r="Q1225" t="n">
        <v>3110</v>
      </c>
      <c r="R1225" t="inlineStr">
        <is>
          <t>DIRECCION DE OPERACIONES DE TI</t>
        </is>
      </c>
      <c r="S1225" t="n">
        <v>31120</v>
      </c>
      <c r="T1225" t="inlineStr">
        <is>
          <t>SUBDIRECCION DE SOPORTE A APLICACIONES</t>
        </is>
      </c>
      <c r="U1225" t="n">
        <v>311000</v>
      </c>
      <c r="V1225" t="inlineStr">
        <is>
          <t>DIRECCION DE SOPORTE DE OPERACIONES TI</t>
        </is>
      </c>
      <c r="W1225" t="n">
        <v>100101</v>
      </c>
      <c r="X1225" t="inlineStr">
        <is>
          <t>CORPORATIVO</t>
        </is>
      </c>
      <c r="Y1225" t="n">
        <v>4</v>
      </c>
      <c r="Z1225" t="inlineStr">
        <is>
          <t>CORPORATIVO</t>
        </is>
      </c>
      <c r="AA1225" t="n">
        <v>1</v>
      </c>
      <c r="AB1225" t="inlineStr">
        <is>
          <t>NEGOCIO EN MARCHA</t>
        </is>
      </c>
      <c r="AC1225" t="n">
        <v>1</v>
      </c>
      <c r="AD1225" t="inlineStr">
        <is>
          <t>BANCO</t>
        </is>
      </c>
      <c r="AE1225" t="n">
        <v>1</v>
      </c>
      <c r="AF1225" t="inlineStr">
        <is>
          <t>BACK</t>
        </is>
      </c>
      <c r="AG1225" t="n">
        <v>100101</v>
      </c>
      <c r="AH1225" t="inlineStr">
        <is>
          <t>CORPORATIVO</t>
        </is>
      </c>
      <c r="AI1225" t="inlineStr">
        <is>
          <t>BSANCHEG@BANCOBASE.COM</t>
        </is>
      </c>
      <c r="AJ1225" s="151" t="n">
        <v>44896</v>
      </c>
      <c r="AK1225" s="151" t="n"/>
      <c r="AL1225" s="151" t="n"/>
    </row>
    <row r="1226" hidden="1" s="150">
      <c r="A1226" t="inlineStr">
        <is>
          <t>FCASTILLOC</t>
        </is>
      </c>
      <c r="B1226" t="n">
        <v>2780</v>
      </c>
      <c r="C1226" t="inlineStr">
        <is>
          <t>FERNANDO CASTILLO CHAVEZ</t>
        </is>
      </c>
      <c r="D1226" t="n">
        <v>8037</v>
      </c>
      <c r="E1226" t="inlineStr">
        <is>
          <t>ANALISTA SOPORTE DE APLICACIONES</t>
        </is>
      </c>
      <c r="F1226" t="inlineStr">
        <is>
          <t>MONTERREY</t>
        </is>
      </c>
      <c r="G1226" t="n">
        <v>1995</v>
      </c>
      <c r="H1226" t="inlineStr">
        <is>
          <t>LUIS ARNOLDO DURAN NUÑEZ</t>
        </is>
      </c>
      <c r="I1226" t="n">
        <v>10230</v>
      </c>
      <c r="J1226" t="inlineStr">
        <is>
          <t>COORDINADOR DE SOPORTE DE OPERACIONES TI</t>
        </is>
      </c>
      <c r="K1226" t="n">
        <v>1</v>
      </c>
      <c r="L1226" t="inlineStr">
        <is>
          <t>PRESIDENCIA EJECUTIVA DEL CONSEJO</t>
        </is>
      </c>
      <c r="M1226" t="n">
        <v>40</v>
      </c>
      <c r="N1226" t="inlineStr">
        <is>
          <t>DIRECCION GENERAL BANCO BASE</t>
        </is>
      </c>
      <c r="O1226" t="n">
        <v>310</v>
      </c>
      <c r="P1226" t="inlineStr">
        <is>
          <t>DIRECCION DE TECNOLOGIA</t>
        </is>
      </c>
      <c r="Q1226" t="n">
        <v>3110</v>
      </c>
      <c r="R1226" t="inlineStr">
        <is>
          <t>DIRECCION DE OPERACIONES DE TI</t>
        </is>
      </c>
      <c r="S1226" t="n">
        <v>31120</v>
      </c>
      <c r="T1226" t="inlineStr">
        <is>
          <t>SUBDIRECCION DE SOPORTE A APLICACIONES</t>
        </is>
      </c>
      <c r="U1226" t="n">
        <v>311000</v>
      </c>
      <c r="V1226" t="inlineStr">
        <is>
          <t>DIRECCION DE SOPORTE DE OPERACIONES TI</t>
        </is>
      </c>
      <c r="W1226" t="n">
        <v>100101</v>
      </c>
      <c r="X1226" t="inlineStr">
        <is>
          <t>CORPORATIVO</t>
        </is>
      </c>
      <c r="Y1226" t="n">
        <v>4</v>
      </c>
      <c r="Z1226" t="inlineStr">
        <is>
          <t>CORPORATIVO</t>
        </is>
      </c>
      <c r="AA1226" t="n">
        <v>1</v>
      </c>
      <c r="AB1226" t="inlineStr">
        <is>
          <t>NEGOCIO EN MARCHA</t>
        </is>
      </c>
      <c r="AC1226" t="n">
        <v>1</v>
      </c>
      <c r="AD1226" t="inlineStr">
        <is>
          <t>BANCO</t>
        </is>
      </c>
      <c r="AE1226" t="n">
        <v>1</v>
      </c>
      <c r="AF1226" t="inlineStr">
        <is>
          <t>BACK</t>
        </is>
      </c>
      <c r="AG1226" t="n">
        <v>100101</v>
      </c>
      <c r="AH1226" t="inlineStr">
        <is>
          <t>CORPORATIVO</t>
        </is>
      </c>
      <c r="AI1226" t="inlineStr">
        <is>
          <t>FCASTILLOC@BANCOBASE.COM</t>
        </is>
      </c>
      <c r="AJ1226" s="151" t="n">
        <v>44896</v>
      </c>
      <c r="AK1226" s="151" t="n"/>
      <c r="AL1226" s="151" t="n"/>
    </row>
    <row r="1227" hidden="1" s="150">
      <c r="A1227" t="inlineStr">
        <is>
          <t>RESTRADAO</t>
        </is>
      </c>
      <c r="B1227" t="n">
        <v>3707</v>
      </c>
      <c r="C1227" t="inlineStr">
        <is>
          <t>ROSA LIZETH ESTRADA ORTEGA</t>
        </is>
      </c>
      <c r="D1227" t="n">
        <v>8952</v>
      </c>
      <c r="E1227" t="inlineStr">
        <is>
          <t>ANALISTA SOPORTE DE APLICACIONES</t>
        </is>
      </c>
      <c r="F1227" t="inlineStr">
        <is>
          <t>AGUASCALIENTES</t>
        </is>
      </c>
      <c r="G1227" t="n">
        <v>1995</v>
      </c>
      <c r="H1227" t="inlineStr">
        <is>
          <t>LUIS ARNOLDO DURAN NUÑEZ</t>
        </is>
      </c>
      <c r="I1227" t="n">
        <v>10230</v>
      </c>
      <c r="J1227" t="inlineStr">
        <is>
          <t>COORDINADOR DE SOPORTE DE OPERACIONES TI</t>
        </is>
      </c>
      <c r="K1227" t="n">
        <v>1</v>
      </c>
      <c r="L1227" t="inlineStr">
        <is>
          <t>PRESIDENCIA EJECUTIVA DEL CONSEJO</t>
        </is>
      </c>
      <c r="M1227" t="n">
        <v>40</v>
      </c>
      <c r="N1227" t="inlineStr">
        <is>
          <t>DIRECCION GENERAL BANCO BASE</t>
        </is>
      </c>
      <c r="O1227" t="n">
        <v>310</v>
      </c>
      <c r="P1227" t="inlineStr">
        <is>
          <t>DIRECCION DE TECNOLOGIA</t>
        </is>
      </c>
      <c r="Q1227" t="n">
        <v>3110</v>
      </c>
      <c r="R1227" t="inlineStr">
        <is>
          <t>DIRECCION DE OPERACIONES DE TI</t>
        </is>
      </c>
      <c r="S1227" t="n">
        <v>31120</v>
      </c>
      <c r="T1227" t="inlineStr">
        <is>
          <t>SUBDIRECCION DE SOPORTE A APLICACIONES</t>
        </is>
      </c>
      <c r="U1227" t="n">
        <v>311000</v>
      </c>
      <c r="V1227" t="inlineStr">
        <is>
          <t>DIRECCION DE SOPORTE DE OPERACIONES TI</t>
        </is>
      </c>
      <c r="W1227" t="n">
        <v>126103</v>
      </c>
      <c r="X1227" t="inlineStr">
        <is>
          <t>AGUASCALIENTES</t>
        </is>
      </c>
      <c r="Y1227" t="n">
        <v>4</v>
      </c>
      <c r="Z1227" t="inlineStr">
        <is>
          <t>CORPORATIVO</t>
        </is>
      </c>
      <c r="AA1227" t="n">
        <v>1</v>
      </c>
      <c r="AB1227" t="inlineStr">
        <is>
          <t>NEGOCIO EN MARCHA</t>
        </is>
      </c>
      <c r="AC1227" t="n">
        <v>1</v>
      </c>
      <c r="AD1227" t="inlineStr">
        <is>
          <t>BANCO</t>
        </is>
      </c>
      <c r="AE1227" t="n">
        <v>1</v>
      </c>
      <c r="AF1227" t="inlineStr">
        <is>
          <t>BACK</t>
        </is>
      </c>
      <c r="AG1227" t="n">
        <v>126103</v>
      </c>
      <c r="AH1227" t="inlineStr">
        <is>
          <t>AGUASCALIENTES</t>
        </is>
      </c>
      <c r="AI1227" t="inlineStr">
        <is>
          <t>RESTRADAO@BANCOBASE.COM</t>
        </is>
      </c>
      <c r="AJ1227" s="151" t="n">
        <v>45999</v>
      </c>
      <c r="AK1227" s="151" t="n"/>
      <c r="AL1227" s="151" t="n"/>
    </row>
    <row r="1228" hidden="1" s="150">
      <c r="A1228" t="inlineStr">
        <is>
          <t>AESCOBER</t>
        </is>
      </c>
      <c r="B1228" t="n">
        <v>2786</v>
      </c>
      <c r="C1228" t="inlineStr">
        <is>
          <t>ANTONIO ESCOBEDO RODRIGUEZ</t>
        </is>
      </c>
      <c r="D1228" t="n">
        <v>8031</v>
      </c>
      <c r="E1228" t="inlineStr">
        <is>
          <t>ESPECIALISTA DE SOPORTE APLICACIONES</t>
        </is>
      </c>
      <c r="F1228" t="inlineStr">
        <is>
          <t>MONTERREY</t>
        </is>
      </c>
      <c r="G1228" t="n">
        <v>983</v>
      </c>
      <c r="H1228" t="inlineStr">
        <is>
          <t>ESAU CARREON MARTINEZ</t>
        </is>
      </c>
      <c r="I1228" t="n">
        <v>3739</v>
      </c>
      <c r="J1228" t="inlineStr">
        <is>
          <t>LIDER DE APLICACIONES DE CORE SYSTEMS</t>
        </is>
      </c>
      <c r="K1228" t="n">
        <v>1</v>
      </c>
      <c r="L1228" t="inlineStr">
        <is>
          <t>PRESIDENCIA EJECUTIVA DEL CONSEJO</t>
        </is>
      </c>
      <c r="M1228" t="n">
        <v>40</v>
      </c>
      <c r="N1228" t="inlineStr">
        <is>
          <t>DIRECCION GENERAL BANCO BASE</t>
        </is>
      </c>
      <c r="O1228" t="n">
        <v>310</v>
      </c>
      <c r="P1228" t="inlineStr">
        <is>
          <t>DIRECCION DE TECNOLOGIA</t>
        </is>
      </c>
      <c r="Q1228" t="n">
        <v>3110</v>
      </c>
      <c r="R1228" t="inlineStr">
        <is>
          <t>DIRECCION DE OPERACIONES DE TI</t>
        </is>
      </c>
      <c r="S1228" t="n">
        <v>31150</v>
      </c>
      <c r="T1228" t="inlineStr">
        <is>
          <t>SUBDIRECCION DE OPERACIONES TI Y EUC</t>
        </is>
      </c>
      <c r="U1228" t="n">
        <v>311000</v>
      </c>
      <c r="V1228" t="inlineStr">
        <is>
          <t>DIRECCION DE SOPORTE DE OPERACIONES TI</t>
        </is>
      </c>
      <c r="W1228" t="n">
        <v>100101</v>
      </c>
      <c r="X1228" t="inlineStr">
        <is>
          <t>CORPORATIVO</t>
        </is>
      </c>
      <c r="Y1228" t="n">
        <v>4</v>
      </c>
      <c r="Z1228" t="inlineStr">
        <is>
          <t>CORPORATIVO</t>
        </is>
      </c>
      <c r="AA1228" t="n">
        <v>1</v>
      </c>
      <c r="AB1228" t="inlineStr">
        <is>
          <t>NEGOCIO EN MARCHA</t>
        </is>
      </c>
      <c r="AC1228" t="n">
        <v>1</v>
      </c>
      <c r="AD1228" t="inlineStr">
        <is>
          <t>BANCO</t>
        </is>
      </c>
      <c r="AE1228" t="n">
        <v>1</v>
      </c>
      <c r="AF1228" t="inlineStr">
        <is>
          <t>BACK</t>
        </is>
      </c>
      <c r="AG1228" t="n">
        <v>100101</v>
      </c>
      <c r="AH1228" t="inlineStr">
        <is>
          <t>CORPORATIVO</t>
        </is>
      </c>
      <c r="AI1228" t="inlineStr">
        <is>
          <t>AESCOBER@BANCOBASE.COM</t>
        </is>
      </c>
      <c r="AJ1228" s="151" t="n">
        <v>44896</v>
      </c>
      <c r="AK1228" s="151" t="n"/>
      <c r="AL1228" s="151" t="n"/>
    </row>
    <row r="1229" hidden="1" s="150">
      <c r="A1229" t="inlineStr">
        <is>
          <t>IVELAZQUEZ</t>
        </is>
      </c>
      <c r="B1229" t="n">
        <v>2899</v>
      </c>
      <c r="C1229" t="inlineStr">
        <is>
          <t>IVAN DE JESUS VELAZQUEZ POZOS</t>
        </is>
      </c>
      <c r="D1229" t="n">
        <v>10359</v>
      </c>
      <c r="E1229" t="inlineStr">
        <is>
          <t>ANALISTA SOPORTE DE APLICACIONES</t>
        </is>
      </c>
      <c r="F1229" t="inlineStr">
        <is>
          <t>MONTERREY</t>
        </is>
      </c>
      <c r="G1229" t="n">
        <v>983</v>
      </c>
      <c r="H1229" t="inlineStr">
        <is>
          <t>ESAU CARREON MARTINEZ</t>
        </is>
      </c>
      <c r="I1229" t="n">
        <v>3739</v>
      </c>
      <c r="J1229" t="inlineStr">
        <is>
          <t>LIDER DE APLICACIONES DE CORE SYSTEMS</t>
        </is>
      </c>
      <c r="K1229" t="n">
        <v>1</v>
      </c>
      <c r="L1229" t="inlineStr">
        <is>
          <t>PRESIDENCIA EJECUTIVA DEL CONSEJO</t>
        </is>
      </c>
      <c r="M1229" t="n">
        <v>40</v>
      </c>
      <c r="N1229" t="inlineStr">
        <is>
          <t>DIRECCION GENERAL BANCO BASE</t>
        </is>
      </c>
      <c r="O1229" t="n">
        <v>310</v>
      </c>
      <c r="P1229" t="inlineStr">
        <is>
          <t>DIRECCION DE TECNOLOGIA</t>
        </is>
      </c>
      <c r="Q1229" t="n">
        <v>3110</v>
      </c>
      <c r="R1229" t="inlineStr">
        <is>
          <t>DIRECCION DE OPERACIONES DE TI</t>
        </is>
      </c>
      <c r="S1229" t="n">
        <v>31120</v>
      </c>
      <c r="T1229" t="inlineStr">
        <is>
          <t>SUBDIRECCION DE SOPORTE A APLICACIONES</t>
        </is>
      </c>
      <c r="U1229" t="n">
        <v>311000</v>
      </c>
      <c r="V1229" t="inlineStr">
        <is>
          <t>DIRECCION DE SOPORTE DE OPERACIONES TI</t>
        </is>
      </c>
      <c r="W1229" t="n">
        <v>100101</v>
      </c>
      <c r="X1229" t="inlineStr">
        <is>
          <t>CORPORATIVO</t>
        </is>
      </c>
      <c r="Y1229" t="n">
        <v>4</v>
      </c>
      <c r="Z1229" t="inlineStr">
        <is>
          <t>CORPORATIVO</t>
        </is>
      </c>
      <c r="AA1229" t="n">
        <v>1</v>
      </c>
      <c r="AB1229" t="inlineStr">
        <is>
          <t>NEGOCIO EN MARCHA</t>
        </is>
      </c>
      <c r="AC1229" t="n">
        <v>1</v>
      </c>
      <c r="AD1229" t="inlineStr">
        <is>
          <t>BANCO</t>
        </is>
      </c>
      <c r="AE1229" t="n">
        <v>1</v>
      </c>
      <c r="AF1229" t="inlineStr">
        <is>
          <t>BACK</t>
        </is>
      </c>
      <c r="AG1229" t="n">
        <v>100101</v>
      </c>
      <c r="AH1229" t="inlineStr">
        <is>
          <t>CORPORATIVO</t>
        </is>
      </c>
      <c r="AI1229" t="inlineStr">
        <is>
          <t>IVELAZQUEZ@BANCOBASE.COM</t>
        </is>
      </c>
      <c r="AJ1229" s="151" t="n">
        <v>45078</v>
      </c>
      <c r="AK1229" s="151" t="n"/>
      <c r="AL1229" s="151" t="n"/>
    </row>
    <row r="1230" hidden="1" s="150">
      <c r="A1230" t="inlineStr">
        <is>
          <t>JGONZALEZC</t>
        </is>
      </c>
      <c r="B1230" t="n">
        <v>2422</v>
      </c>
      <c r="C1230" t="inlineStr">
        <is>
          <t>JOHNNY ALEXANDER GONZALEZ CUELLAR</t>
        </is>
      </c>
      <c r="D1230" t="n">
        <v>9733</v>
      </c>
      <c r="E1230" t="inlineStr">
        <is>
          <t>ANALISTA SOPORTE DE APLICACIONES</t>
        </is>
      </c>
      <c r="F1230" t="inlineStr">
        <is>
          <t>MONTERREY</t>
        </is>
      </c>
      <c r="G1230" t="n">
        <v>983</v>
      </c>
      <c r="H1230" t="inlineStr">
        <is>
          <t>ESAU CARREON MARTINEZ</t>
        </is>
      </c>
      <c r="I1230" t="n">
        <v>3739</v>
      </c>
      <c r="J1230" t="inlineStr">
        <is>
          <t>LIDER DE APLICACIONES DE CORE SYSTEMS</t>
        </is>
      </c>
      <c r="K1230" t="n">
        <v>1</v>
      </c>
      <c r="L1230" t="inlineStr">
        <is>
          <t>PRESIDENCIA EJECUTIVA DEL CONSEJO</t>
        </is>
      </c>
      <c r="M1230" t="n">
        <v>40</v>
      </c>
      <c r="N1230" t="inlineStr">
        <is>
          <t>DIRECCION GENERAL BANCO BASE</t>
        </is>
      </c>
      <c r="O1230" t="n">
        <v>310</v>
      </c>
      <c r="P1230" t="inlineStr">
        <is>
          <t>DIRECCION DE TECNOLOGIA</t>
        </is>
      </c>
      <c r="Q1230" t="n">
        <v>3110</v>
      </c>
      <c r="R1230" t="inlineStr">
        <is>
          <t>DIRECCION DE OPERACIONES DE TI</t>
        </is>
      </c>
      <c r="S1230" t="n">
        <v>31120</v>
      </c>
      <c r="T1230" t="inlineStr">
        <is>
          <t>SUBDIRECCION DE SOPORTE A APLICACIONES</t>
        </is>
      </c>
      <c r="U1230" t="n">
        <v>311000</v>
      </c>
      <c r="V1230" t="inlineStr">
        <is>
          <t>DIRECCION DE SOPORTE DE OPERACIONES TI</t>
        </is>
      </c>
      <c r="W1230" t="n">
        <v>100101</v>
      </c>
      <c r="X1230" t="inlineStr">
        <is>
          <t>CORPORATIVO</t>
        </is>
      </c>
      <c r="Y1230" t="n">
        <v>4</v>
      </c>
      <c r="Z1230" t="inlineStr">
        <is>
          <t>CORPORATIVO</t>
        </is>
      </c>
      <c r="AA1230" t="n">
        <v>1</v>
      </c>
      <c r="AB1230" t="inlineStr">
        <is>
          <t>NEGOCIO EN MARCHA</t>
        </is>
      </c>
      <c r="AC1230" t="n">
        <v>1</v>
      </c>
      <c r="AD1230" t="inlineStr">
        <is>
          <t>BANCO</t>
        </is>
      </c>
      <c r="AE1230" t="n">
        <v>1</v>
      </c>
      <c r="AF1230" t="inlineStr">
        <is>
          <t>BACK</t>
        </is>
      </c>
      <c r="AG1230" t="n">
        <v>100101</v>
      </c>
      <c r="AH1230" t="inlineStr">
        <is>
          <t>CORPORATIVO</t>
        </is>
      </c>
      <c r="AI1230" t="inlineStr">
        <is>
          <t>JGONZALEZC@BANCOBASE.COM</t>
        </is>
      </c>
      <c r="AJ1230" s="151" t="n">
        <v>44059</v>
      </c>
      <c r="AK1230" s="151" t="n"/>
      <c r="AL1230" s="151" t="n"/>
    </row>
    <row r="1231" hidden="1" s="150">
      <c r="A1231" t="inlineStr">
        <is>
          <t>RHERNANDA</t>
        </is>
      </c>
      <c r="B1231" t="n">
        <v>2784</v>
      </c>
      <c r="C1231" t="inlineStr">
        <is>
          <t>RICARDO HERNANDEZ ARENAS</t>
        </is>
      </c>
      <c r="D1231" t="n">
        <v>8029</v>
      </c>
      <c r="E1231" t="inlineStr">
        <is>
          <t>ANALISTA SOPORTE DE APLICACIONES</t>
        </is>
      </c>
      <c r="F1231" t="inlineStr">
        <is>
          <t>MONTERREY</t>
        </is>
      </c>
      <c r="G1231" t="n">
        <v>983</v>
      </c>
      <c r="H1231" t="inlineStr">
        <is>
          <t>ESAU CARREON MARTINEZ</t>
        </is>
      </c>
      <c r="I1231" t="n">
        <v>3739</v>
      </c>
      <c r="J1231" t="inlineStr">
        <is>
          <t>LIDER DE APLICACIONES DE CORE SYSTEMS</t>
        </is>
      </c>
      <c r="K1231" t="n">
        <v>1</v>
      </c>
      <c r="L1231" t="inlineStr">
        <is>
          <t>PRESIDENCIA EJECUTIVA DEL CONSEJO</t>
        </is>
      </c>
      <c r="M1231" t="n">
        <v>40</v>
      </c>
      <c r="N1231" t="inlineStr">
        <is>
          <t>DIRECCION GENERAL BANCO BASE</t>
        </is>
      </c>
      <c r="O1231" t="n">
        <v>310</v>
      </c>
      <c r="P1231" t="inlineStr">
        <is>
          <t>DIRECCION DE TECNOLOGIA</t>
        </is>
      </c>
      <c r="Q1231" t="n">
        <v>3110</v>
      </c>
      <c r="R1231" t="inlineStr">
        <is>
          <t>DIRECCION DE OPERACIONES DE TI</t>
        </is>
      </c>
      <c r="S1231" t="n">
        <v>31120</v>
      </c>
      <c r="T1231" t="inlineStr">
        <is>
          <t>SUBDIRECCION DE SOPORTE A APLICACIONES</t>
        </is>
      </c>
      <c r="U1231" t="n">
        <v>311000</v>
      </c>
      <c r="V1231" t="inlineStr">
        <is>
          <t>DIRECCION DE SOPORTE DE OPERACIONES TI</t>
        </is>
      </c>
      <c r="W1231" t="n">
        <v>100101</v>
      </c>
      <c r="X1231" t="inlineStr">
        <is>
          <t>CORPORATIVO</t>
        </is>
      </c>
      <c r="Y1231" t="n">
        <v>4</v>
      </c>
      <c r="Z1231" t="inlineStr">
        <is>
          <t>CORPORATIVO</t>
        </is>
      </c>
      <c r="AA1231" t="n">
        <v>1</v>
      </c>
      <c r="AB1231" t="inlineStr">
        <is>
          <t>NEGOCIO EN MARCHA</t>
        </is>
      </c>
      <c r="AC1231" t="n">
        <v>1</v>
      </c>
      <c r="AD1231" t="inlineStr">
        <is>
          <t>BANCO</t>
        </is>
      </c>
      <c r="AE1231" t="n">
        <v>1</v>
      </c>
      <c r="AF1231" t="inlineStr">
        <is>
          <t>BACK</t>
        </is>
      </c>
      <c r="AG1231" t="n">
        <v>100101</v>
      </c>
      <c r="AH1231" t="inlineStr">
        <is>
          <t>CORPORATIVO</t>
        </is>
      </c>
      <c r="AI1231" t="inlineStr">
        <is>
          <t>RHERNANDA@BANCOBASE.COM</t>
        </is>
      </c>
      <c r="AJ1231" s="151" t="n">
        <v>44896</v>
      </c>
      <c r="AK1231" s="151" t="n"/>
      <c r="AL1231" s="151" t="n"/>
    </row>
    <row r="1232" hidden="1" s="150">
      <c r="A1232" t="inlineStr">
        <is>
          <t>JHERNANDEM</t>
        </is>
      </c>
      <c r="B1232" t="n">
        <v>504</v>
      </c>
      <c r="C1232" t="inlineStr">
        <is>
          <t>JONATHAN DE JESUS HERNANDEZ MALDONADO</t>
        </is>
      </c>
      <c r="D1232" t="n">
        <v>811</v>
      </c>
      <c r="E1232" t="inlineStr">
        <is>
          <t>GERENTE DE SOPORTE TECNICO</t>
        </is>
      </c>
      <c r="F1232" t="inlineStr">
        <is>
          <t>MONTERREY</t>
        </is>
      </c>
      <c r="G1232" t="n">
        <v>3713</v>
      </c>
      <c r="H1232" t="inlineStr">
        <is>
          <t>ENRIQUE ANDRES ROMERO SARABIA</t>
        </is>
      </c>
      <c r="I1232" t="n">
        <v>9014</v>
      </c>
      <c r="J1232" t="inlineStr">
        <is>
          <t>SUBDIRECTOR DE OPERACIONES TI Y EUC</t>
        </is>
      </c>
      <c r="K1232" t="n">
        <v>1</v>
      </c>
      <c r="L1232" t="inlineStr">
        <is>
          <t>PRESIDENCIA EJECUTIVA DEL CONSEJO</t>
        </is>
      </c>
      <c r="M1232" t="n">
        <v>40</v>
      </c>
      <c r="N1232" t="inlineStr">
        <is>
          <t>DIRECCION GENERAL BANCO BASE</t>
        </is>
      </c>
      <c r="O1232" t="n">
        <v>310</v>
      </c>
      <c r="P1232" t="inlineStr">
        <is>
          <t>DIRECCION DE TECNOLOGIA</t>
        </is>
      </c>
      <c r="Q1232" t="n">
        <v>3110</v>
      </c>
      <c r="R1232" t="inlineStr">
        <is>
          <t>DIRECCION DE OPERACIONES DE TI</t>
        </is>
      </c>
      <c r="S1232" t="n">
        <v>31150</v>
      </c>
      <c r="T1232" t="inlineStr">
        <is>
          <t>SUBDIRECCION DE OPERACIONES TI Y EUC</t>
        </is>
      </c>
      <c r="U1232" t="n">
        <v>311000</v>
      </c>
      <c r="V1232" t="inlineStr">
        <is>
          <t>DIRECCION DE SOPORTE DE OPERACIONES TI</t>
        </is>
      </c>
      <c r="W1232" t="n">
        <v>100101</v>
      </c>
      <c r="X1232" t="inlineStr">
        <is>
          <t>CORPORATIVO</t>
        </is>
      </c>
      <c r="Y1232" t="n">
        <v>4</v>
      </c>
      <c r="Z1232" t="inlineStr">
        <is>
          <t>CORPORATIVO</t>
        </is>
      </c>
      <c r="AA1232" t="n">
        <v>1</v>
      </c>
      <c r="AB1232" t="inlineStr">
        <is>
          <t>NEGOCIO EN MARCHA</t>
        </is>
      </c>
      <c r="AC1232" t="n">
        <v>1</v>
      </c>
      <c r="AD1232" t="inlineStr">
        <is>
          <t>BANCO</t>
        </is>
      </c>
      <c r="AE1232" t="n">
        <v>1</v>
      </c>
      <c r="AF1232" t="inlineStr">
        <is>
          <t>BACK</t>
        </is>
      </c>
      <c r="AG1232" t="n">
        <v>100101</v>
      </c>
      <c r="AH1232" t="inlineStr">
        <is>
          <t>CORPORATIVO</t>
        </is>
      </c>
      <c r="AI1232" t="inlineStr">
        <is>
          <t>JHERNANDEM@BANCOBASE.COM</t>
        </is>
      </c>
      <c r="AJ1232" s="151" t="n">
        <v>39678</v>
      </c>
      <c r="AK1232" s="151" t="n"/>
      <c r="AL1232" s="151" t="n"/>
    </row>
    <row r="1233" hidden="1" s="150">
      <c r="A1233" t="inlineStr">
        <is>
          <t>AMORENOG</t>
        </is>
      </c>
      <c r="B1233" t="n">
        <v>2771</v>
      </c>
      <c r="C1233" t="inlineStr">
        <is>
          <t>ALAN MICHEL MORENO GUTIERREZ</t>
        </is>
      </c>
      <c r="D1233" t="n">
        <v>10366</v>
      </c>
      <c r="E1233" t="inlineStr">
        <is>
          <t>INGENIERO DE SOPORTE TECNICO</t>
        </is>
      </c>
      <c r="F1233" t="inlineStr">
        <is>
          <t>MONTERREY</t>
        </is>
      </c>
      <c r="G1233" t="n">
        <v>504</v>
      </c>
      <c r="H1233" t="inlineStr">
        <is>
          <t>JONATHAN DE JESUS HERNANDEZ MALDONADO</t>
        </is>
      </c>
      <c r="I1233" t="n">
        <v>811</v>
      </c>
      <c r="J1233" t="inlineStr">
        <is>
          <t>GERENTE DE SOPORTE TECNICO</t>
        </is>
      </c>
      <c r="K1233" t="n">
        <v>1</v>
      </c>
      <c r="L1233" t="inlineStr">
        <is>
          <t>PRESIDENCIA EJECUTIVA DEL CONSEJO</t>
        </is>
      </c>
      <c r="M1233" t="n">
        <v>40</v>
      </c>
      <c r="N1233" t="inlineStr">
        <is>
          <t>DIRECCION GENERAL BANCO BASE</t>
        </is>
      </c>
      <c r="O1233" t="n">
        <v>310</v>
      </c>
      <c r="P1233" t="inlineStr">
        <is>
          <t>DIRECCION DE TECNOLOGIA</t>
        </is>
      </c>
      <c r="Q1233" t="n">
        <v>3110</v>
      </c>
      <c r="R1233" t="inlineStr">
        <is>
          <t>DIRECCION DE OPERACIONES DE TI</t>
        </is>
      </c>
      <c r="S1233" t="n">
        <v>31150</v>
      </c>
      <c r="T1233" t="inlineStr">
        <is>
          <t>SUBDIRECCION DE OPERACIONES TI Y EUC</t>
        </is>
      </c>
      <c r="U1233" t="n">
        <v>311000</v>
      </c>
      <c r="V1233" t="inlineStr">
        <is>
          <t>DIRECCION DE SOPORTE DE OPERACIONES TI</t>
        </is>
      </c>
      <c r="W1233" t="n">
        <v>100101</v>
      </c>
      <c r="X1233" t="inlineStr">
        <is>
          <t>CORPORATIVO</t>
        </is>
      </c>
      <c r="Y1233" t="n">
        <v>4</v>
      </c>
      <c r="Z1233" t="inlineStr">
        <is>
          <t>CORPORATIVO</t>
        </is>
      </c>
      <c r="AA1233" t="n">
        <v>1</v>
      </c>
      <c r="AB1233" t="inlineStr">
        <is>
          <t>NEGOCIO EN MARCHA</t>
        </is>
      </c>
      <c r="AC1233" t="n">
        <v>1</v>
      </c>
      <c r="AD1233" t="inlineStr">
        <is>
          <t>BANCO</t>
        </is>
      </c>
      <c r="AE1233" t="n">
        <v>1</v>
      </c>
      <c r="AF1233" t="inlineStr">
        <is>
          <t>BACK</t>
        </is>
      </c>
      <c r="AG1233" t="n">
        <v>100101</v>
      </c>
      <c r="AH1233" t="inlineStr">
        <is>
          <t>CORPORATIVO</t>
        </is>
      </c>
      <c r="AI1233" t="inlineStr">
        <is>
          <t>AMORENOG@BANCOBASE.COM</t>
        </is>
      </c>
      <c r="AJ1233" s="151" t="n">
        <v>44872</v>
      </c>
      <c r="AK1233" s="151" t="n"/>
      <c r="AL1233" s="151" t="n"/>
    </row>
    <row r="1234" hidden="1" s="150">
      <c r="A1234" t="inlineStr">
        <is>
          <t>AVALTIERRA</t>
        </is>
      </c>
      <c r="B1234" t="n">
        <v>3021</v>
      </c>
      <c r="C1234" t="inlineStr">
        <is>
          <t>ABRAHAM ISAI VALTIERRA SILVA</t>
        </is>
      </c>
      <c r="D1234" t="n">
        <v>3616</v>
      </c>
      <c r="E1234" t="inlineStr">
        <is>
          <t>INGENIERO DE SOPORTE TECNICO</t>
        </is>
      </c>
      <c r="F1234" t="inlineStr">
        <is>
          <t>MONTERREY</t>
        </is>
      </c>
      <c r="G1234" t="n">
        <v>504</v>
      </c>
      <c r="H1234" t="inlineStr">
        <is>
          <t>JONATHAN DE JESUS HERNANDEZ MALDONADO</t>
        </is>
      </c>
      <c r="I1234" t="n">
        <v>811</v>
      </c>
      <c r="J1234" t="inlineStr">
        <is>
          <t>GERENTE DE SOPORTE TECNICO</t>
        </is>
      </c>
      <c r="K1234" t="n">
        <v>1</v>
      </c>
      <c r="L1234" t="inlineStr">
        <is>
          <t>PRESIDENCIA EJECUTIVA DEL CONSEJO</t>
        </is>
      </c>
      <c r="M1234" t="n">
        <v>40</v>
      </c>
      <c r="N1234" t="inlineStr">
        <is>
          <t>DIRECCION GENERAL BANCO BASE</t>
        </is>
      </c>
      <c r="O1234" t="n">
        <v>310</v>
      </c>
      <c r="P1234" t="inlineStr">
        <is>
          <t>DIRECCION DE TECNOLOGIA</t>
        </is>
      </c>
      <c r="Q1234" t="n">
        <v>3110</v>
      </c>
      <c r="R1234" t="inlineStr">
        <is>
          <t>DIRECCION DE OPERACIONES DE TI</t>
        </is>
      </c>
      <c r="S1234" t="n">
        <v>31150</v>
      </c>
      <c r="T1234" t="inlineStr">
        <is>
          <t>SUBDIRECCION DE OPERACIONES TI Y EUC</t>
        </is>
      </c>
      <c r="U1234" t="n">
        <v>311000</v>
      </c>
      <c r="V1234" t="inlineStr">
        <is>
          <t>DIRECCION DE SOPORTE DE OPERACIONES TI</t>
        </is>
      </c>
      <c r="W1234" t="n">
        <v>100101</v>
      </c>
      <c r="X1234" t="inlineStr">
        <is>
          <t>CORPORATIVO</t>
        </is>
      </c>
      <c r="Y1234" t="n">
        <v>4</v>
      </c>
      <c r="Z1234" t="inlineStr">
        <is>
          <t>CORPORATIVO</t>
        </is>
      </c>
      <c r="AA1234" t="n">
        <v>1</v>
      </c>
      <c r="AB1234" t="inlineStr">
        <is>
          <t>NEGOCIO EN MARCHA</t>
        </is>
      </c>
      <c r="AC1234" t="n">
        <v>1</v>
      </c>
      <c r="AD1234" t="inlineStr">
        <is>
          <t>BANCO</t>
        </is>
      </c>
      <c r="AE1234" t="n">
        <v>1</v>
      </c>
      <c r="AF1234" t="inlineStr">
        <is>
          <t>BACK</t>
        </is>
      </c>
      <c r="AG1234" t="n">
        <v>100101</v>
      </c>
      <c r="AH1234" t="inlineStr">
        <is>
          <t>CORPORATIVO</t>
        </is>
      </c>
      <c r="AI1234" t="inlineStr">
        <is>
          <t>AVALTIERRA@BANCOBASE.COM</t>
        </is>
      </c>
      <c r="AJ1234" s="151" t="n">
        <v>45323</v>
      </c>
      <c r="AK1234" s="151" t="n"/>
      <c r="AL1234" s="151" t="n"/>
    </row>
    <row r="1235" hidden="1" s="150">
      <c r="A1235" t="inlineStr">
        <is>
          <t>DMORALESR</t>
        </is>
      </c>
      <c r="B1235" t="n">
        <v>2677</v>
      </c>
      <c r="C1235" t="inlineStr">
        <is>
          <t>DIANA JARETZY MORALES RICO</t>
        </is>
      </c>
      <c r="D1235" t="n">
        <v>10365</v>
      </c>
      <c r="E1235" t="inlineStr">
        <is>
          <t>INGENIERO DE SOPORTE TECNICO</t>
        </is>
      </c>
      <c r="F1235" t="inlineStr">
        <is>
          <t>MONTERREY</t>
        </is>
      </c>
      <c r="G1235" t="n">
        <v>504</v>
      </c>
      <c r="H1235" t="inlineStr">
        <is>
          <t>JONATHAN DE JESUS HERNANDEZ MALDONADO</t>
        </is>
      </c>
      <c r="I1235" t="n">
        <v>811</v>
      </c>
      <c r="J1235" t="inlineStr">
        <is>
          <t>GERENTE DE SOPORTE TECNICO</t>
        </is>
      </c>
      <c r="K1235" t="n">
        <v>1</v>
      </c>
      <c r="L1235" t="inlineStr">
        <is>
          <t>PRESIDENCIA EJECUTIVA DEL CONSEJO</t>
        </is>
      </c>
      <c r="M1235" t="n">
        <v>40</v>
      </c>
      <c r="N1235" t="inlineStr">
        <is>
          <t>DIRECCION GENERAL BANCO BASE</t>
        </is>
      </c>
      <c r="O1235" t="n">
        <v>310</v>
      </c>
      <c r="P1235" t="inlineStr">
        <is>
          <t>DIRECCION DE TECNOLOGIA</t>
        </is>
      </c>
      <c r="Q1235" t="n">
        <v>3110</v>
      </c>
      <c r="R1235" t="inlineStr">
        <is>
          <t>DIRECCION DE OPERACIONES DE TI</t>
        </is>
      </c>
      <c r="S1235" t="n">
        <v>31150</v>
      </c>
      <c r="T1235" t="inlineStr">
        <is>
          <t>SUBDIRECCION DE OPERACIONES TI Y EUC</t>
        </is>
      </c>
      <c r="U1235" t="n">
        <v>311000</v>
      </c>
      <c r="V1235" t="inlineStr">
        <is>
          <t>DIRECCION DE SOPORTE DE OPERACIONES TI</t>
        </is>
      </c>
      <c r="W1235" t="n">
        <v>100101</v>
      </c>
      <c r="X1235" t="inlineStr">
        <is>
          <t>CORPORATIVO</t>
        </is>
      </c>
      <c r="Y1235" t="n">
        <v>4</v>
      </c>
      <c r="Z1235" t="inlineStr">
        <is>
          <t>CORPORATIVO</t>
        </is>
      </c>
      <c r="AA1235" t="n">
        <v>1</v>
      </c>
      <c r="AB1235" t="inlineStr">
        <is>
          <t>NEGOCIO EN MARCHA</t>
        </is>
      </c>
      <c r="AC1235" t="n">
        <v>1</v>
      </c>
      <c r="AD1235" t="inlineStr">
        <is>
          <t>BANCO</t>
        </is>
      </c>
      <c r="AE1235" t="n">
        <v>1</v>
      </c>
      <c r="AF1235" t="inlineStr">
        <is>
          <t>BACK</t>
        </is>
      </c>
      <c r="AG1235" t="n">
        <v>100101</v>
      </c>
      <c r="AH1235" t="inlineStr">
        <is>
          <t>CORPORATIVO</t>
        </is>
      </c>
      <c r="AI1235" t="inlineStr">
        <is>
          <t>DMORALESR@BANCOBASE.COM</t>
        </is>
      </c>
      <c r="AJ1235" s="151" t="n">
        <v>44732</v>
      </c>
      <c r="AK1235" s="151" t="n"/>
      <c r="AL1235" s="151" t="n"/>
    </row>
    <row r="1236" hidden="1" s="150">
      <c r="A1236" t="inlineStr">
        <is>
          <t>HCORDERO</t>
        </is>
      </c>
      <c r="B1236" t="n">
        <v>3259</v>
      </c>
      <c r="C1236" t="inlineStr">
        <is>
          <t>HERBEL JOSHUA CORDERO VERA</t>
        </is>
      </c>
      <c r="D1236" t="n">
        <v>9699</v>
      </c>
      <c r="E1236" t="inlineStr">
        <is>
          <t>INGENIERO DE SOPORTE TECNICO</t>
        </is>
      </c>
      <c r="F1236" t="inlineStr">
        <is>
          <t>MEXICO</t>
        </is>
      </c>
      <c r="G1236" t="n">
        <v>504</v>
      </c>
      <c r="H1236" t="inlineStr">
        <is>
          <t>JONATHAN DE JESUS HERNANDEZ MALDONADO</t>
        </is>
      </c>
      <c r="I1236" t="n">
        <v>811</v>
      </c>
      <c r="J1236" t="inlineStr">
        <is>
          <t>GERENTE DE SOPORTE TECNICO</t>
        </is>
      </c>
      <c r="K1236" t="n">
        <v>1</v>
      </c>
      <c r="L1236" t="inlineStr">
        <is>
          <t>PRESIDENCIA EJECUTIVA DEL CONSEJO</t>
        </is>
      </c>
      <c r="M1236" t="n">
        <v>40</v>
      </c>
      <c r="N1236" t="inlineStr">
        <is>
          <t>DIRECCION GENERAL BANCO BASE</t>
        </is>
      </c>
      <c r="O1236" t="n">
        <v>310</v>
      </c>
      <c r="P1236" t="inlineStr">
        <is>
          <t>DIRECCION DE TECNOLOGIA</t>
        </is>
      </c>
      <c r="Q1236" t="n">
        <v>3110</v>
      </c>
      <c r="R1236" t="inlineStr">
        <is>
          <t>DIRECCION DE OPERACIONES DE TI</t>
        </is>
      </c>
      <c r="S1236" t="n">
        <v>31150</v>
      </c>
      <c r="T1236" t="inlineStr">
        <is>
          <t>SUBDIRECCION DE OPERACIONES TI Y EUC</t>
        </is>
      </c>
      <c r="U1236" t="n">
        <v>311000</v>
      </c>
      <c r="V1236" t="inlineStr">
        <is>
          <t>DIRECCION DE SOPORTE DE OPERACIONES TI</t>
        </is>
      </c>
      <c r="W1236" t="n">
        <v>134111</v>
      </c>
      <c r="X1236" t="inlineStr">
        <is>
          <t>LOMAS</t>
        </is>
      </c>
      <c r="Y1236" t="n">
        <v>4</v>
      </c>
      <c r="Z1236" t="inlineStr">
        <is>
          <t>CORPORATIVO</t>
        </is>
      </c>
      <c r="AA1236" t="n">
        <v>1</v>
      </c>
      <c r="AB1236" t="inlineStr">
        <is>
          <t>NEGOCIO EN MARCHA</t>
        </is>
      </c>
      <c r="AC1236" t="n">
        <v>1</v>
      </c>
      <c r="AD1236" t="inlineStr">
        <is>
          <t>BANCO</t>
        </is>
      </c>
      <c r="AE1236" t="n">
        <v>1</v>
      </c>
      <c r="AF1236" t="inlineStr">
        <is>
          <t>BACK</t>
        </is>
      </c>
      <c r="AG1236" t="n">
        <v>134111</v>
      </c>
      <c r="AH1236" t="inlineStr">
        <is>
          <t>LOMAS</t>
        </is>
      </c>
      <c r="AI1236" t="inlineStr">
        <is>
          <t>HCORDERO@BANCOBASE.COM</t>
        </is>
      </c>
      <c r="AJ1236" s="151" t="n">
        <v>45600</v>
      </c>
      <c r="AK1236" s="151" t="n"/>
      <c r="AL1236" s="151" t="n"/>
    </row>
    <row r="1237" hidden="1" s="150">
      <c r="A1237" t="inlineStr">
        <is>
          <t>ICAMBEROS</t>
        </is>
      </c>
      <c r="B1237" t="n">
        <v>898</v>
      </c>
      <c r="C1237" t="inlineStr">
        <is>
          <t>IVAN GUILLERMO CAMBEROS VALDEZ</t>
        </is>
      </c>
      <c r="D1237" t="n">
        <v>3792</v>
      </c>
      <c r="E1237" t="inlineStr">
        <is>
          <t>INGENIERO DE SOPORTE TECNICO</t>
        </is>
      </c>
      <c r="F1237" t="inlineStr">
        <is>
          <t>GUADALAJARA</t>
        </is>
      </c>
      <c r="G1237" t="n">
        <v>504</v>
      </c>
      <c r="H1237" t="inlineStr">
        <is>
          <t>JONATHAN DE JESUS HERNANDEZ MALDONADO</t>
        </is>
      </c>
      <c r="I1237" t="n">
        <v>811</v>
      </c>
      <c r="J1237" t="inlineStr">
        <is>
          <t>GERENTE DE SOPORTE TECNICO</t>
        </is>
      </c>
      <c r="K1237" t="n">
        <v>1</v>
      </c>
      <c r="L1237" t="inlineStr">
        <is>
          <t>PRESIDENCIA EJECUTIVA DEL CONSEJO</t>
        </is>
      </c>
      <c r="M1237" t="n">
        <v>40</v>
      </c>
      <c r="N1237" t="inlineStr">
        <is>
          <t>DIRECCION GENERAL BANCO BASE</t>
        </is>
      </c>
      <c r="O1237" t="n">
        <v>310</v>
      </c>
      <c r="P1237" t="inlineStr">
        <is>
          <t>DIRECCION DE TECNOLOGIA</t>
        </is>
      </c>
      <c r="Q1237" t="n">
        <v>3110</v>
      </c>
      <c r="R1237" t="inlineStr">
        <is>
          <t>DIRECCION DE OPERACIONES DE TI</t>
        </is>
      </c>
      <c r="S1237" t="n">
        <v>31150</v>
      </c>
      <c r="T1237" t="inlineStr">
        <is>
          <t>SUBDIRECCION DE OPERACIONES TI Y EUC</t>
        </is>
      </c>
      <c r="U1237" t="n">
        <v>311000</v>
      </c>
      <c r="V1237" t="inlineStr">
        <is>
          <t>DIRECCION DE SOPORTE DE OPERACIONES TI</t>
        </is>
      </c>
      <c r="W1237" t="n">
        <v>126107</v>
      </c>
      <c r="X1237" t="inlineStr">
        <is>
          <t>GUADALAJARA</t>
        </is>
      </c>
      <c r="Y1237" t="n">
        <v>4</v>
      </c>
      <c r="Z1237" t="inlineStr">
        <is>
          <t>CORPORATIVO</t>
        </is>
      </c>
      <c r="AA1237" t="n">
        <v>1</v>
      </c>
      <c r="AB1237" t="inlineStr">
        <is>
          <t>NEGOCIO EN MARCHA</t>
        </is>
      </c>
      <c r="AC1237" t="n">
        <v>1</v>
      </c>
      <c r="AD1237" t="inlineStr">
        <is>
          <t>BANCO</t>
        </is>
      </c>
      <c r="AE1237" t="n">
        <v>1</v>
      </c>
      <c r="AF1237" t="inlineStr">
        <is>
          <t>BACK</t>
        </is>
      </c>
      <c r="AG1237" t="n">
        <v>126107</v>
      </c>
      <c r="AH1237" t="inlineStr">
        <is>
          <t>GUADALAJARA</t>
        </is>
      </c>
      <c r="AI1237" t="inlineStr">
        <is>
          <t>ICAMBEROS@BANCOBASE.COM</t>
        </is>
      </c>
      <c r="AJ1237" s="151" t="n">
        <v>41061</v>
      </c>
      <c r="AK1237" s="151" t="n"/>
      <c r="AL1237" s="151" t="n"/>
    </row>
    <row r="1238" hidden="1" s="150">
      <c r="A1238" t="inlineStr">
        <is>
          <t>LHERNANDEJ</t>
        </is>
      </c>
      <c r="B1238" t="n">
        <v>3036</v>
      </c>
      <c r="C1238" t="inlineStr">
        <is>
          <t>LUIS RICARDO HERNANDEZ JIMENEZ</t>
        </is>
      </c>
      <c r="D1238" t="n">
        <v>8326</v>
      </c>
      <c r="E1238" t="inlineStr">
        <is>
          <t>INGENIERO DE SOPORTE TECNICO</t>
        </is>
      </c>
      <c r="F1238" t="inlineStr">
        <is>
          <t>MEXICO</t>
        </is>
      </c>
      <c r="G1238" t="n">
        <v>504</v>
      </c>
      <c r="H1238" t="inlineStr">
        <is>
          <t>JONATHAN DE JESUS HERNANDEZ MALDONADO</t>
        </is>
      </c>
      <c r="I1238" t="n">
        <v>811</v>
      </c>
      <c r="J1238" t="inlineStr">
        <is>
          <t>GERENTE DE SOPORTE TECNICO</t>
        </is>
      </c>
      <c r="K1238" t="n">
        <v>1</v>
      </c>
      <c r="L1238" t="inlineStr">
        <is>
          <t>PRESIDENCIA EJECUTIVA DEL CONSEJO</t>
        </is>
      </c>
      <c r="M1238" t="n">
        <v>40</v>
      </c>
      <c r="N1238" t="inlineStr">
        <is>
          <t>DIRECCION GENERAL BANCO BASE</t>
        </is>
      </c>
      <c r="O1238" t="n">
        <v>310</v>
      </c>
      <c r="P1238" t="inlineStr">
        <is>
          <t>DIRECCION DE TECNOLOGIA</t>
        </is>
      </c>
      <c r="Q1238" t="n">
        <v>3110</v>
      </c>
      <c r="R1238" t="inlineStr">
        <is>
          <t>DIRECCION DE OPERACIONES DE TI</t>
        </is>
      </c>
      <c r="S1238" t="n">
        <v>31150</v>
      </c>
      <c r="T1238" t="inlineStr">
        <is>
          <t>SUBDIRECCION DE OPERACIONES TI Y EUC</t>
        </is>
      </c>
      <c r="U1238" t="n">
        <v>311000</v>
      </c>
      <c r="V1238" t="inlineStr">
        <is>
          <t>DIRECCION DE SOPORTE DE OPERACIONES TI</t>
        </is>
      </c>
      <c r="W1238" t="n">
        <v>134111</v>
      </c>
      <c r="X1238" t="inlineStr">
        <is>
          <t>LOMAS</t>
        </is>
      </c>
      <c r="Y1238" t="n">
        <v>4</v>
      </c>
      <c r="Z1238" t="inlineStr">
        <is>
          <t>CORPORATIVO</t>
        </is>
      </c>
      <c r="AA1238" t="n">
        <v>1</v>
      </c>
      <c r="AB1238" t="inlineStr">
        <is>
          <t>NEGOCIO EN MARCHA</t>
        </is>
      </c>
      <c r="AC1238" t="n">
        <v>1</v>
      </c>
      <c r="AD1238" t="inlineStr">
        <is>
          <t>BANCO</t>
        </is>
      </c>
      <c r="AE1238" t="n">
        <v>1</v>
      </c>
      <c r="AF1238" t="inlineStr">
        <is>
          <t>BACK</t>
        </is>
      </c>
      <c r="AG1238" t="n">
        <v>134111</v>
      </c>
      <c r="AH1238" t="inlineStr">
        <is>
          <t>LOMAS</t>
        </is>
      </c>
      <c r="AI1238" t="inlineStr">
        <is>
          <t>LHERNANDEJ@BANCOBASE.COM</t>
        </is>
      </c>
      <c r="AJ1238" s="151" t="n">
        <v>45338</v>
      </c>
      <c r="AK1238" s="151" t="n"/>
      <c r="AL1238" s="151" t="n"/>
    </row>
    <row r="1239" hidden="1" s="150">
      <c r="A1239" t="inlineStr">
        <is>
          <t>ORENOVATO</t>
        </is>
      </c>
      <c r="B1239" t="n">
        <v>2910</v>
      </c>
      <c r="C1239" t="inlineStr">
        <is>
          <t>OMAR JAHIR RENOVATO TORRES</t>
        </is>
      </c>
      <c r="D1239" t="n">
        <v>9368</v>
      </c>
      <c r="E1239" t="inlineStr">
        <is>
          <t>INGENIERO DE SOPORTE TECNICO</t>
        </is>
      </c>
      <c r="F1239" t="inlineStr">
        <is>
          <t>MONTERREY</t>
        </is>
      </c>
      <c r="G1239" t="n">
        <v>504</v>
      </c>
      <c r="H1239" t="inlineStr">
        <is>
          <t>JONATHAN DE JESUS HERNANDEZ MALDONADO</t>
        </is>
      </c>
      <c r="I1239" t="n">
        <v>811</v>
      </c>
      <c r="J1239" t="inlineStr">
        <is>
          <t>GERENTE DE SOPORTE TECNICO</t>
        </is>
      </c>
      <c r="K1239" t="n">
        <v>1</v>
      </c>
      <c r="L1239" t="inlineStr">
        <is>
          <t>PRESIDENCIA EJECUTIVA DEL CONSEJO</t>
        </is>
      </c>
      <c r="M1239" t="n">
        <v>40</v>
      </c>
      <c r="N1239" t="inlineStr">
        <is>
          <t>DIRECCION GENERAL BANCO BASE</t>
        </is>
      </c>
      <c r="O1239" t="n">
        <v>310</v>
      </c>
      <c r="P1239" t="inlineStr">
        <is>
          <t>DIRECCION DE TECNOLOGIA</t>
        </is>
      </c>
      <c r="Q1239" t="n">
        <v>3110</v>
      </c>
      <c r="R1239" t="inlineStr">
        <is>
          <t>DIRECCION DE OPERACIONES DE TI</t>
        </is>
      </c>
      <c r="S1239" t="n">
        <v>31150</v>
      </c>
      <c r="T1239" t="inlineStr">
        <is>
          <t>SUBDIRECCION DE OPERACIONES TI Y EUC</t>
        </is>
      </c>
      <c r="U1239" t="n">
        <v>311000</v>
      </c>
      <c r="V1239" t="inlineStr">
        <is>
          <t>DIRECCION DE SOPORTE DE OPERACIONES TI</t>
        </is>
      </c>
      <c r="W1239" t="n">
        <v>100101</v>
      </c>
      <c r="X1239" t="inlineStr">
        <is>
          <t>CORPORATIVO</t>
        </is>
      </c>
      <c r="Y1239" t="n">
        <v>4</v>
      </c>
      <c r="Z1239" t="inlineStr">
        <is>
          <t>CORPORATIVO</t>
        </is>
      </c>
      <c r="AA1239" t="n">
        <v>1</v>
      </c>
      <c r="AB1239" t="inlineStr">
        <is>
          <t>NEGOCIO EN MARCHA</t>
        </is>
      </c>
      <c r="AC1239" t="n">
        <v>1</v>
      </c>
      <c r="AD1239" t="inlineStr">
        <is>
          <t>BANCO</t>
        </is>
      </c>
      <c r="AE1239" t="n">
        <v>1</v>
      </c>
      <c r="AF1239" t="inlineStr">
        <is>
          <t>BACK</t>
        </is>
      </c>
      <c r="AG1239" t="n">
        <v>100101</v>
      </c>
      <c r="AH1239" t="inlineStr">
        <is>
          <t>CORPORATIVO</t>
        </is>
      </c>
      <c r="AI1239" t="inlineStr">
        <is>
          <t>ORENOVATO@BANCOBASE.COM</t>
        </is>
      </c>
      <c r="AJ1239" s="151" t="n">
        <v>45093</v>
      </c>
      <c r="AK1239" s="151" t="n"/>
      <c r="AL1239" s="151" t="n"/>
    </row>
    <row r="1240" hidden="1" s="150">
      <c r="A1240" t="inlineStr">
        <is>
          <t>RORTIZR</t>
        </is>
      </c>
      <c r="B1240" t="n">
        <v>2730</v>
      </c>
      <c r="C1240" t="inlineStr">
        <is>
          <t>REY EDUARDO ORTIZ RODRIGUEZ</t>
        </is>
      </c>
      <c r="D1240" t="n">
        <v>809</v>
      </c>
      <c r="E1240" t="inlineStr">
        <is>
          <t>INGENIERO DE SOPORTE TECNICO</t>
        </is>
      </c>
      <c r="F1240" t="inlineStr">
        <is>
          <t>MONTERREY</t>
        </is>
      </c>
      <c r="G1240" t="n">
        <v>504</v>
      </c>
      <c r="H1240" t="inlineStr">
        <is>
          <t>JONATHAN DE JESUS HERNANDEZ MALDONADO</t>
        </is>
      </c>
      <c r="I1240" t="n">
        <v>811</v>
      </c>
      <c r="J1240" t="inlineStr">
        <is>
          <t>GERENTE DE SOPORTE TECNICO</t>
        </is>
      </c>
      <c r="K1240" t="n">
        <v>1</v>
      </c>
      <c r="L1240" t="inlineStr">
        <is>
          <t>PRESIDENCIA EJECUTIVA DEL CONSEJO</t>
        </is>
      </c>
      <c r="M1240" t="n">
        <v>40</v>
      </c>
      <c r="N1240" t="inlineStr">
        <is>
          <t>DIRECCION GENERAL BANCO BASE</t>
        </is>
      </c>
      <c r="O1240" t="n">
        <v>310</v>
      </c>
      <c r="P1240" t="inlineStr">
        <is>
          <t>DIRECCION DE TECNOLOGIA</t>
        </is>
      </c>
      <c r="Q1240" t="n">
        <v>3110</v>
      </c>
      <c r="R1240" t="inlineStr">
        <is>
          <t>DIRECCION DE OPERACIONES DE TI</t>
        </is>
      </c>
      <c r="S1240" t="n">
        <v>31150</v>
      </c>
      <c r="T1240" t="inlineStr">
        <is>
          <t>SUBDIRECCION DE OPERACIONES TI Y EUC</t>
        </is>
      </c>
      <c r="U1240" t="n">
        <v>311000</v>
      </c>
      <c r="V1240" t="inlineStr">
        <is>
          <t>DIRECCION DE SOPORTE DE OPERACIONES TI</t>
        </is>
      </c>
      <c r="W1240" t="n">
        <v>100101</v>
      </c>
      <c r="X1240" t="inlineStr">
        <is>
          <t>CORPORATIVO</t>
        </is>
      </c>
      <c r="Y1240" t="n">
        <v>4</v>
      </c>
      <c r="Z1240" t="inlineStr">
        <is>
          <t>CORPORATIVO</t>
        </is>
      </c>
      <c r="AA1240" t="n">
        <v>1</v>
      </c>
      <c r="AB1240" t="inlineStr">
        <is>
          <t>NEGOCIO EN MARCHA</t>
        </is>
      </c>
      <c r="AC1240" t="n">
        <v>1</v>
      </c>
      <c r="AD1240" t="inlineStr">
        <is>
          <t>BANCO</t>
        </is>
      </c>
      <c r="AE1240" t="n">
        <v>1</v>
      </c>
      <c r="AF1240" t="inlineStr">
        <is>
          <t>BACK</t>
        </is>
      </c>
      <c r="AG1240" t="n">
        <v>100101</v>
      </c>
      <c r="AH1240" t="inlineStr">
        <is>
          <t>CORPORATIVO</t>
        </is>
      </c>
      <c r="AI1240" t="inlineStr">
        <is>
          <t>RORTIZR@BANCOBASE.COM</t>
        </is>
      </c>
      <c r="AJ1240" s="151" t="n">
        <v>44820</v>
      </c>
      <c r="AK1240" s="151" t="n"/>
      <c r="AL1240" s="151" t="n"/>
    </row>
    <row r="1241" hidden="1" s="150">
      <c r="A1241" t="inlineStr">
        <is>
          <t>RROSTRO</t>
        </is>
      </c>
      <c r="B1241" t="n">
        <v>3035</v>
      </c>
      <c r="C1241" t="inlineStr">
        <is>
          <t>ROBERTO CARLOS ROSTRO FLORES</t>
        </is>
      </c>
      <c r="D1241" t="n">
        <v>8321</v>
      </c>
      <c r="E1241" t="inlineStr">
        <is>
          <t>INGENIERO DE SOPORTE TECNICO</t>
        </is>
      </c>
      <c r="F1241" t="inlineStr">
        <is>
          <t>MONTERREY</t>
        </is>
      </c>
      <c r="G1241" t="n">
        <v>504</v>
      </c>
      <c r="H1241" t="inlineStr">
        <is>
          <t>JONATHAN DE JESUS HERNANDEZ MALDONADO</t>
        </is>
      </c>
      <c r="I1241" t="n">
        <v>811</v>
      </c>
      <c r="J1241" t="inlineStr">
        <is>
          <t>GERENTE DE SOPORTE TECNICO</t>
        </is>
      </c>
      <c r="K1241" t="n">
        <v>1</v>
      </c>
      <c r="L1241" t="inlineStr">
        <is>
          <t>PRESIDENCIA EJECUTIVA DEL CONSEJO</t>
        </is>
      </c>
      <c r="M1241" t="n">
        <v>40</v>
      </c>
      <c r="N1241" t="inlineStr">
        <is>
          <t>DIRECCION GENERAL BANCO BASE</t>
        </is>
      </c>
      <c r="O1241" t="n">
        <v>310</v>
      </c>
      <c r="P1241" t="inlineStr">
        <is>
          <t>DIRECCION DE TECNOLOGIA</t>
        </is>
      </c>
      <c r="Q1241" t="n">
        <v>3110</v>
      </c>
      <c r="R1241" t="inlineStr">
        <is>
          <t>DIRECCION DE OPERACIONES DE TI</t>
        </is>
      </c>
      <c r="S1241" t="n">
        <v>31150</v>
      </c>
      <c r="T1241" t="inlineStr">
        <is>
          <t>SUBDIRECCION DE OPERACIONES TI Y EUC</t>
        </is>
      </c>
      <c r="U1241" t="n">
        <v>311000</v>
      </c>
      <c r="V1241" t="inlineStr">
        <is>
          <t>DIRECCION DE SOPORTE DE OPERACIONES TI</t>
        </is>
      </c>
      <c r="W1241" t="n">
        <v>100101</v>
      </c>
      <c r="X1241" t="inlineStr">
        <is>
          <t>CORPORATIVO</t>
        </is>
      </c>
      <c r="Y1241" t="n">
        <v>4</v>
      </c>
      <c r="Z1241" t="inlineStr">
        <is>
          <t>CORPORATIVO</t>
        </is>
      </c>
      <c r="AA1241" t="n">
        <v>1</v>
      </c>
      <c r="AB1241" t="inlineStr">
        <is>
          <t>NEGOCIO EN MARCHA</t>
        </is>
      </c>
      <c r="AC1241" t="n">
        <v>1</v>
      </c>
      <c r="AD1241" t="inlineStr">
        <is>
          <t>BANCO</t>
        </is>
      </c>
      <c r="AE1241" t="n">
        <v>1</v>
      </c>
      <c r="AF1241" t="inlineStr">
        <is>
          <t>BACK</t>
        </is>
      </c>
      <c r="AG1241" t="n">
        <v>100101</v>
      </c>
      <c r="AH1241" t="inlineStr">
        <is>
          <t>CORPORATIVO</t>
        </is>
      </c>
      <c r="AI1241" t="inlineStr">
        <is>
          <t>RROSTRO@BANCOBASE.COM</t>
        </is>
      </c>
      <c r="AJ1241" s="151" t="n">
        <v>45338</v>
      </c>
      <c r="AK1241" s="151" t="n"/>
      <c r="AL1241" s="151" t="n"/>
    </row>
    <row r="1242" hidden="1" s="150">
      <c r="A1242" t="inlineStr">
        <is>
          <t>VPONCE</t>
        </is>
      </c>
      <c r="B1242" t="n">
        <v>2901</v>
      </c>
      <c r="C1242" t="inlineStr">
        <is>
          <t>VICTOR ALFONSO PONCE CASTILLO</t>
        </is>
      </c>
      <c r="D1242" t="n">
        <v>3617</v>
      </c>
      <c r="E1242" t="inlineStr">
        <is>
          <t>INGENIERO DE SOPORTE TECNICO</t>
        </is>
      </c>
      <c r="F1242" t="inlineStr">
        <is>
          <t>MONTERREY</t>
        </is>
      </c>
      <c r="G1242" t="n">
        <v>504</v>
      </c>
      <c r="H1242" t="inlineStr">
        <is>
          <t>JONATHAN DE JESUS HERNANDEZ MALDONADO</t>
        </is>
      </c>
      <c r="I1242" t="n">
        <v>811</v>
      </c>
      <c r="J1242" t="inlineStr">
        <is>
          <t>GERENTE DE SOPORTE TECNICO</t>
        </is>
      </c>
      <c r="K1242" t="n">
        <v>1</v>
      </c>
      <c r="L1242" t="inlineStr">
        <is>
          <t>PRESIDENCIA EJECUTIVA DEL CONSEJO</t>
        </is>
      </c>
      <c r="M1242" t="n">
        <v>40</v>
      </c>
      <c r="N1242" t="inlineStr">
        <is>
          <t>DIRECCION GENERAL BANCO BASE</t>
        </is>
      </c>
      <c r="O1242" t="n">
        <v>310</v>
      </c>
      <c r="P1242" t="inlineStr">
        <is>
          <t>DIRECCION DE TECNOLOGIA</t>
        </is>
      </c>
      <c r="Q1242" t="n">
        <v>3110</v>
      </c>
      <c r="R1242" t="inlineStr">
        <is>
          <t>DIRECCION DE OPERACIONES DE TI</t>
        </is>
      </c>
      <c r="S1242" t="n">
        <v>31150</v>
      </c>
      <c r="T1242" t="inlineStr">
        <is>
          <t>SUBDIRECCION DE OPERACIONES TI Y EUC</t>
        </is>
      </c>
      <c r="U1242" t="n">
        <v>311000</v>
      </c>
      <c r="V1242" t="inlineStr">
        <is>
          <t>DIRECCION DE SOPORTE DE OPERACIONES TI</t>
        </is>
      </c>
      <c r="W1242" t="n">
        <v>100101</v>
      </c>
      <c r="X1242" t="inlineStr">
        <is>
          <t>CORPORATIVO</t>
        </is>
      </c>
      <c r="Y1242" t="n">
        <v>4</v>
      </c>
      <c r="Z1242" t="inlineStr">
        <is>
          <t>CORPORATIVO</t>
        </is>
      </c>
      <c r="AA1242" t="n">
        <v>1</v>
      </c>
      <c r="AB1242" t="inlineStr">
        <is>
          <t>NEGOCIO EN MARCHA</t>
        </is>
      </c>
      <c r="AC1242" t="n">
        <v>1</v>
      </c>
      <c r="AD1242" t="inlineStr">
        <is>
          <t>BANCO</t>
        </is>
      </c>
      <c r="AE1242" t="n">
        <v>1</v>
      </c>
      <c r="AF1242" t="inlineStr">
        <is>
          <t>BACK</t>
        </is>
      </c>
      <c r="AG1242" t="n">
        <v>100101</v>
      </c>
      <c r="AH1242" t="inlineStr">
        <is>
          <t>CORPORATIVO</t>
        </is>
      </c>
      <c r="AI1242" t="inlineStr">
        <is>
          <t>VPONCE@BANCOBASE.COM</t>
        </is>
      </c>
      <c r="AJ1242" s="151" t="n">
        <v>45078</v>
      </c>
      <c r="AK1242" s="151" t="n"/>
      <c r="AL1242" s="151" t="n"/>
    </row>
    <row r="1243" hidden="1" s="150">
      <c r="A1243" t="inlineStr">
        <is>
          <t>CVELAZQUEA</t>
        </is>
      </c>
      <c r="B1243" t="n">
        <v>2782</v>
      </c>
      <c r="C1243" t="inlineStr">
        <is>
          <t>CARLOS MANUEL VELAZQUEZ ALONSO</t>
        </is>
      </c>
      <c r="D1243" t="n">
        <v>5109</v>
      </c>
      <c r="E1243" t="inlineStr">
        <is>
          <t>GERENTE DE OPERACIONES TI MEDIOS DE PAGO</t>
        </is>
      </c>
      <c r="F1243" t="inlineStr">
        <is>
          <t>MONTERREY</t>
        </is>
      </c>
      <c r="G1243" t="n">
        <v>3713</v>
      </c>
      <c r="H1243" t="inlineStr">
        <is>
          <t>ENRIQUE ANDRES ROMERO SARABIA</t>
        </is>
      </c>
      <c r="I1243" t="n">
        <v>9014</v>
      </c>
      <c r="J1243" t="inlineStr">
        <is>
          <t>SUBDIRECTOR DE OPERACIONES TI Y EUC</t>
        </is>
      </c>
      <c r="K1243" t="n">
        <v>1</v>
      </c>
      <c r="L1243" t="inlineStr">
        <is>
          <t>PRESIDENCIA EJECUTIVA DEL CONSEJO</t>
        </is>
      </c>
      <c r="M1243" t="n">
        <v>40</v>
      </c>
      <c r="N1243" t="inlineStr">
        <is>
          <t>DIRECCION GENERAL BANCO BASE</t>
        </is>
      </c>
      <c r="O1243" t="n">
        <v>310</v>
      </c>
      <c r="P1243" t="inlineStr">
        <is>
          <t>DIRECCION DE TECNOLOGIA</t>
        </is>
      </c>
      <c r="Q1243" t="n">
        <v>3110</v>
      </c>
      <c r="R1243" t="inlineStr">
        <is>
          <t>DIRECCION DE OPERACIONES DE TI</t>
        </is>
      </c>
      <c r="S1243" t="n">
        <v>31150</v>
      </c>
      <c r="T1243" t="inlineStr">
        <is>
          <t>SUBDIRECCION DE OPERACIONES TI Y EUC</t>
        </is>
      </c>
      <c r="U1243" t="n">
        <v>311000</v>
      </c>
      <c r="V1243" t="inlineStr">
        <is>
          <t>DIRECCION DE SOPORTE DE OPERACIONES TI</t>
        </is>
      </c>
      <c r="W1243" t="n">
        <v>100101</v>
      </c>
      <c r="X1243" t="inlineStr">
        <is>
          <t>CORPORATIVO</t>
        </is>
      </c>
      <c r="Y1243" t="n">
        <v>4</v>
      </c>
      <c r="Z1243" t="inlineStr">
        <is>
          <t>CORPORATIVO</t>
        </is>
      </c>
      <c r="AA1243" t="n">
        <v>1</v>
      </c>
      <c r="AB1243" t="inlineStr">
        <is>
          <t>NEGOCIO EN MARCHA</t>
        </is>
      </c>
      <c r="AC1243" t="n">
        <v>1</v>
      </c>
      <c r="AD1243" t="inlineStr">
        <is>
          <t>BANCO</t>
        </is>
      </c>
      <c r="AE1243" t="n">
        <v>1</v>
      </c>
      <c r="AF1243" t="inlineStr">
        <is>
          <t>BACK</t>
        </is>
      </c>
      <c r="AG1243" t="n">
        <v>100101</v>
      </c>
      <c r="AH1243" t="inlineStr">
        <is>
          <t>CORPORATIVO</t>
        </is>
      </c>
      <c r="AI1243" t="inlineStr">
        <is>
          <t>CVELAZQUEA@BANCOBASE.COM</t>
        </is>
      </c>
      <c r="AJ1243" s="151" t="n">
        <v>44896</v>
      </c>
      <c r="AK1243" s="151" t="n"/>
      <c r="AL1243" s="151" t="n"/>
    </row>
    <row r="1244" hidden="1" s="150">
      <c r="A1244" t="inlineStr">
        <is>
          <t>PFIGUEROA</t>
        </is>
      </c>
      <c r="B1244" t="n">
        <v>3954</v>
      </c>
      <c r="C1244" t="inlineStr">
        <is>
          <t>PAMELA ALICIA FIGUEROA CARBAJAL</t>
        </is>
      </c>
      <c r="D1244" t="n">
        <v>3793</v>
      </c>
      <c r="E1244" t="inlineStr">
        <is>
          <t>ESPECIALISTA DE SOPORTE APLICACIONES SR</t>
        </is>
      </c>
      <c r="F1244" t="inlineStr">
        <is>
          <t>MONTERREY</t>
        </is>
      </c>
      <c r="G1244" t="n">
        <v>3713</v>
      </c>
      <c r="H1244" t="inlineStr">
        <is>
          <t>ENRIQUE ANDRES ROMERO SARABIA</t>
        </is>
      </c>
      <c r="I1244" t="n">
        <v>9014</v>
      </c>
      <c r="J1244" t="inlineStr">
        <is>
          <t>SUBDIRECTOR DE OPERACIONES TI Y EUC</t>
        </is>
      </c>
      <c r="K1244" t="n">
        <v>1</v>
      </c>
      <c r="L1244" t="inlineStr">
        <is>
          <t>PRESIDENCIA EJECUTIVA DEL CONSEJO</t>
        </is>
      </c>
      <c r="M1244" t="n">
        <v>40</v>
      </c>
      <c r="N1244" t="inlineStr">
        <is>
          <t>DIRECCION GENERAL BANCO BASE</t>
        </is>
      </c>
      <c r="O1244" t="n">
        <v>310</v>
      </c>
      <c r="P1244" t="inlineStr">
        <is>
          <t>DIRECCION DE TECNOLOGIA</t>
        </is>
      </c>
      <c r="Q1244" t="n">
        <v>3110</v>
      </c>
      <c r="R1244" t="inlineStr">
        <is>
          <t>DIRECCION DE OPERACIONES DE TI</t>
        </is>
      </c>
      <c r="S1244" t="n">
        <v>31150</v>
      </c>
      <c r="T1244" t="inlineStr">
        <is>
          <t>SUBDIRECCION DE OPERACIONES TI Y EUC</t>
        </is>
      </c>
      <c r="U1244" t="n">
        <v>311000</v>
      </c>
      <c r="V1244" t="inlineStr">
        <is>
          <t>DIRECCION DE SOPORTE DE OPERACIONES TI</t>
        </is>
      </c>
      <c r="W1244" t="n">
        <v>100101</v>
      </c>
      <c r="X1244" t="inlineStr">
        <is>
          <t>CORPORATIVO</t>
        </is>
      </c>
      <c r="Y1244" t="n">
        <v>4</v>
      </c>
      <c r="Z1244" t="inlineStr">
        <is>
          <t>CORPORATIVO</t>
        </is>
      </c>
      <c r="AA1244" t="n">
        <v>1</v>
      </c>
      <c r="AB1244" t="inlineStr">
        <is>
          <t>NEGOCIO EN MARCHA</t>
        </is>
      </c>
      <c r="AC1244" t="n">
        <v>1</v>
      </c>
      <c r="AD1244" t="inlineStr">
        <is>
          <t>BANCO</t>
        </is>
      </c>
      <c r="AE1244" t="n">
        <v>1</v>
      </c>
      <c r="AF1244" t="inlineStr">
        <is>
          <t>BACK</t>
        </is>
      </c>
      <c r="AG1244" t="n">
        <v>100101</v>
      </c>
      <c r="AH1244" t="inlineStr">
        <is>
          <t>CORPORATIVO</t>
        </is>
      </c>
      <c r="AI1244" t="inlineStr">
        <is>
          <t>PFIGUEROA@BANCOBASE.COM</t>
        </is>
      </c>
      <c r="AJ1244" s="151" t="n">
        <v>46223</v>
      </c>
      <c r="AK1244" s="151" t="n"/>
      <c r="AL1244" s="151" t="n"/>
    </row>
    <row r="1245" hidden="1" s="150">
      <c r="A1245" t="inlineStr">
        <is>
          <t>CFLORES</t>
        </is>
      </c>
      <c r="B1245" t="n">
        <v>826</v>
      </c>
      <c r="C1245" t="inlineStr">
        <is>
          <t>CESAREO FLORES SANDOVAL</t>
        </is>
      </c>
      <c r="D1245" t="n">
        <v>9435</v>
      </c>
      <c r="E1245" t="inlineStr">
        <is>
          <t>SUBDIRECTOR DE ENTREGA DE SERVICIOS DE TECNOLOGIA</t>
        </is>
      </c>
      <c r="F1245" t="inlineStr">
        <is>
          <t>MONTERREY</t>
        </is>
      </c>
      <c r="G1245" t="n">
        <v>3802</v>
      </c>
      <c r="H1245" t="inlineStr">
        <is>
          <t>EFRAIN CARBALLO JARAMILLO</t>
        </is>
      </c>
      <c r="I1245" t="n">
        <v>10079</v>
      </c>
      <c r="J1245" t="inlineStr">
        <is>
          <t>DIRECTOR DE OPERACIONES TI</t>
        </is>
      </c>
      <c r="K1245" t="n">
        <v>1</v>
      </c>
      <c r="L1245" t="inlineStr">
        <is>
          <t>PRESIDENCIA EJECUTIVA DEL CONSEJO</t>
        </is>
      </c>
      <c r="M1245" t="n">
        <v>40</v>
      </c>
      <c r="N1245" t="inlineStr">
        <is>
          <t>DIRECCION GENERAL BANCO BASE</t>
        </is>
      </c>
      <c r="O1245" t="n">
        <v>310</v>
      </c>
      <c r="P1245" t="inlineStr">
        <is>
          <t>DIRECCION DE TECNOLOGIA</t>
        </is>
      </c>
      <c r="Q1245" t="n">
        <v>3110</v>
      </c>
      <c r="R1245" t="inlineStr">
        <is>
          <t>DIRECCION DE OPERACIONES DE TI</t>
        </is>
      </c>
      <c r="S1245" t="n">
        <v>31110</v>
      </c>
      <c r="T1245" t="inlineStr">
        <is>
          <t>SUBDIRECCION DE ENTREGA DE SERVICIOS DE TECNOLOGIA</t>
        </is>
      </c>
      <c r="U1245" t="n">
        <v>311000</v>
      </c>
      <c r="V1245" t="inlineStr">
        <is>
          <t>DIRECCION DE SOPORTE DE OPERACIONES TI</t>
        </is>
      </c>
      <c r="W1245" t="n">
        <v>100101</v>
      </c>
      <c r="X1245" t="inlineStr">
        <is>
          <t>CORPORATIVO</t>
        </is>
      </c>
      <c r="Y1245" t="n">
        <v>4</v>
      </c>
      <c r="Z1245" t="inlineStr">
        <is>
          <t>CORPORATIVO</t>
        </is>
      </c>
      <c r="AA1245" t="n">
        <v>1</v>
      </c>
      <c r="AB1245" t="inlineStr">
        <is>
          <t>NEGOCIO EN MARCHA</t>
        </is>
      </c>
      <c r="AC1245" t="n">
        <v>1</v>
      </c>
      <c r="AD1245" t="inlineStr">
        <is>
          <t>BANCO</t>
        </is>
      </c>
      <c r="AE1245" t="n">
        <v>1</v>
      </c>
      <c r="AF1245" t="inlineStr">
        <is>
          <t>BACK</t>
        </is>
      </c>
      <c r="AG1245" t="n">
        <v>100101</v>
      </c>
      <c r="AH1245" t="inlineStr">
        <is>
          <t>CORPORATIVO</t>
        </is>
      </c>
      <c r="AI1245" t="inlineStr">
        <is>
          <t>CFLORES@BANCOBASE.COM</t>
        </is>
      </c>
      <c r="AJ1245" s="151" t="n">
        <v>40940</v>
      </c>
      <c r="AK1245" s="151" t="n"/>
      <c r="AL1245" s="151" t="n"/>
    </row>
    <row r="1246" hidden="1" s="150">
      <c r="A1246" t="inlineStr">
        <is>
          <t>MRAMOSP</t>
        </is>
      </c>
      <c r="B1246" t="n">
        <v>2378</v>
      </c>
      <c r="C1246" t="inlineStr">
        <is>
          <t>MARCO FLORENTINO RAMOS PASCACIO</t>
        </is>
      </c>
      <c r="D1246" t="n">
        <v>8473</v>
      </c>
      <c r="E1246" t="inlineStr">
        <is>
          <t>GERENTE DE ENTREGA DE SERVICIOS TI</t>
        </is>
      </c>
      <c r="F1246" t="inlineStr">
        <is>
          <t>MONTERREY</t>
        </is>
      </c>
      <c r="G1246" t="n">
        <v>826</v>
      </c>
      <c r="H1246" t="inlineStr">
        <is>
          <t>CESAREO FLORES SANDOVAL</t>
        </is>
      </c>
      <c r="I1246" t="n">
        <v>9435</v>
      </c>
      <c r="J1246" t="inlineStr">
        <is>
          <t>SUBDIRECTOR DE ENTREGA DE SERVICIOS DE TECNOLOGIA</t>
        </is>
      </c>
      <c r="K1246" t="n">
        <v>1</v>
      </c>
      <c r="L1246" t="inlineStr">
        <is>
          <t>PRESIDENCIA EJECUTIVA DEL CONSEJO</t>
        </is>
      </c>
      <c r="M1246" t="n">
        <v>40</v>
      </c>
      <c r="N1246" t="inlineStr">
        <is>
          <t>DIRECCION GENERAL BANCO BASE</t>
        </is>
      </c>
      <c r="O1246" t="n">
        <v>310</v>
      </c>
      <c r="P1246" t="inlineStr">
        <is>
          <t>DIRECCION DE TECNOLOGIA</t>
        </is>
      </c>
      <c r="Q1246" t="n">
        <v>3110</v>
      </c>
      <c r="R1246" t="inlineStr">
        <is>
          <t>DIRECCION DE OPERACIONES DE TI</t>
        </is>
      </c>
      <c r="S1246" t="n">
        <v>31110</v>
      </c>
      <c r="T1246" t="inlineStr">
        <is>
          <t>SUBDIRECCION DE ENTREGA DE SERVICIOS DE TECNOLOGIA</t>
        </is>
      </c>
      <c r="U1246" t="n">
        <v>311000</v>
      </c>
      <c r="V1246" t="inlineStr">
        <is>
          <t>DIRECCION DE SOPORTE DE OPERACIONES TI</t>
        </is>
      </c>
      <c r="W1246" t="n">
        <v>100101</v>
      </c>
      <c r="X1246" t="inlineStr">
        <is>
          <t>CORPORATIVO</t>
        </is>
      </c>
      <c r="Y1246" t="n">
        <v>4</v>
      </c>
      <c r="Z1246" t="inlineStr">
        <is>
          <t>CORPORATIVO</t>
        </is>
      </c>
      <c r="AA1246" t="n">
        <v>8</v>
      </c>
      <c r="AB1246" t="inlineStr">
        <is>
          <t>BAU</t>
        </is>
      </c>
      <c r="AC1246" t="n">
        <v>1</v>
      </c>
      <c r="AD1246" t="inlineStr">
        <is>
          <t>BANCO</t>
        </is>
      </c>
      <c r="AE1246" t="n">
        <v>1</v>
      </c>
      <c r="AF1246" t="inlineStr">
        <is>
          <t>BACK</t>
        </is>
      </c>
      <c r="AG1246" t="n">
        <v>100101</v>
      </c>
      <c r="AH1246" t="inlineStr">
        <is>
          <t>CORPORATIVO</t>
        </is>
      </c>
      <c r="AI1246" t="inlineStr">
        <is>
          <t>MRAMOSP@BANCOBASE.COM</t>
        </is>
      </c>
      <c r="AJ1246" s="151" t="n">
        <v>43865</v>
      </c>
      <c r="AK1246" s="151" t="n"/>
      <c r="AL1246" s="151" t="n"/>
    </row>
    <row r="1247" hidden="1" s="150">
      <c r="A1247" t="inlineStr">
        <is>
          <t>CDURANC</t>
        </is>
      </c>
      <c r="B1247" t="n">
        <v>2897</v>
      </c>
      <c r="C1247" t="inlineStr">
        <is>
          <t>CESAR DURAN DE LA CRUZ</t>
        </is>
      </c>
      <c r="D1247" t="n">
        <v>8661</v>
      </c>
      <c r="E1247" t="inlineStr">
        <is>
          <t>ESPECIALISTA DE ENTREGA DE SERVICIOS TI</t>
        </is>
      </c>
      <c r="F1247" t="inlineStr">
        <is>
          <t>MONTERREY</t>
        </is>
      </c>
      <c r="G1247" t="n">
        <v>2378</v>
      </c>
      <c r="H1247" t="inlineStr">
        <is>
          <t>MARCO FLORENTINO RAMOS PASCACIO</t>
        </is>
      </c>
      <c r="I1247" t="n">
        <v>8473</v>
      </c>
      <c r="J1247" t="inlineStr">
        <is>
          <t>GERENTE DE ENTREGA DE SERVICIOS TI</t>
        </is>
      </c>
      <c r="K1247" t="n">
        <v>1</v>
      </c>
      <c r="L1247" t="inlineStr">
        <is>
          <t>PRESIDENCIA EJECUTIVA DEL CONSEJO</t>
        </is>
      </c>
      <c r="M1247" t="n">
        <v>40</v>
      </c>
      <c r="N1247" t="inlineStr">
        <is>
          <t>DIRECCION GENERAL BANCO BASE</t>
        </is>
      </c>
      <c r="O1247" t="n">
        <v>310</v>
      </c>
      <c r="P1247" t="inlineStr">
        <is>
          <t>DIRECCION DE TECNOLOGIA</t>
        </is>
      </c>
      <c r="Q1247" t="n">
        <v>3110</v>
      </c>
      <c r="R1247" t="inlineStr">
        <is>
          <t>DIRECCION DE OPERACIONES DE TI</t>
        </is>
      </c>
      <c r="S1247" t="n">
        <v>31110</v>
      </c>
      <c r="T1247" t="inlineStr">
        <is>
          <t>SUBDIRECCION DE ENTREGA DE SERVICIOS DE TECNOLOGIA</t>
        </is>
      </c>
      <c r="U1247" t="n">
        <v>311000</v>
      </c>
      <c r="V1247" t="inlineStr">
        <is>
          <t>DIRECCION DE SOPORTE DE OPERACIONES TI</t>
        </is>
      </c>
      <c r="W1247" t="n">
        <v>100101</v>
      </c>
      <c r="X1247" t="inlineStr">
        <is>
          <t>CORPORATIVO</t>
        </is>
      </c>
      <c r="Y1247" t="n">
        <v>4</v>
      </c>
      <c r="Z1247" t="inlineStr">
        <is>
          <t>CORPORATIVO</t>
        </is>
      </c>
      <c r="AA1247" t="n">
        <v>8</v>
      </c>
      <c r="AB1247" t="inlineStr">
        <is>
          <t>BAU</t>
        </is>
      </c>
      <c r="AC1247" t="n">
        <v>1</v>
      </c>
      <c r="AD1247" t="inlineStr">
        <is>
          <t>BANCO</t>
        </is>
      </c>
      <c r="AE1247" t="n">
        <v>1</v>
      </c>
      <c r="AF1247" t="inlineStr">
        <is>
          <t>BACK</t>
        </is>
      </c>
      <c r="AG1247" t="n">
        <v>100101</v>
      </c>
      <c r="AH1247" t="inlineStr">
        <is>
          <t>CORPORATIVO</t>
        </is>
      </c>
      <c r="AI1247" t="inlineStr">
        <is>
          <t>CDURANC@BANCOBASE.COM</t>
        </is>
      </c>
      <c r="AJ1247" s="151" t="n">
        <v>45078</v>
      </c>
      <c r="AK1247" s="151" t="n"/>
      <c r="AL1247" s="151" t="n"/>
    </row>
    <row r="1248" hidden="1" s="150">
      <c r="A1248" t="inlineStr">
        <is>
          <t>NMONROY</t>
        </is>
      </c>
      <c r="B1248" t="n">
        <v>3243</v>
      </c>
      <c r="C1248" t="inlineStr">
        <is>
          <t>JAIRO NEMESIO MONROY RODRIGUEZ</t>
        </is>
      </c>
      <c r="D1248" t="n">
        <v>8457</v>
      </c>
      <c r="E1248" t="inlineStr">
        <is>
          <t>GERENTE DE GOBIERNO ITSM</t>
        </is>
      </c>
      <c r="F1248" t="inlineStr">
        <is>
          <t>MONTERREY</t>
        </is>
      </c>
      <c r="G1248" t="n">
        <v>826</v>
      </c>
      <c r="H1248" t="inlineStr">
        <is>
          <t>CESAREO FLORES SANDOVAL</t>
        </is>
      </c>
      <c r="I1248" t="n">
        <v>9435</v>
      </c>
      <c r="J1248" t="inlineStr">
        <is>
          <t>SUBDIRECTOR DE ENTREGA DE SERVICIOS DE TECNOLOGIA</t>
        </is>
      </c>
      <c r="K1248" t="n">
        <v>1</v>
      </c>
      <c r="L1248" t="inlineStr">
        <is>
          <t>PRESIDENCIA EJECUTIVA DEL CONSEJO</t>
        </is>
      </c>
      <c r="M1248" t="n">
        <v>40</v>
      </c>
      <c r="N1248" t="inlineStr">
        <is>
          <t>DIRECCION GENERAL BANCO BASE</t>
        </is>
      </c>
      <c r="O1248" t="n">
        <v>310</v>
      </c>
      <c r="P1248" t="inlineStr">
        <is>
          <t>DIRECCION DE TECNOLOGIA</t>
        </is>
      </c>
      <c r="Q1248" t="n">
        <v>3110</v>
      </c>
      <c r="R1248" t="inlineStr">
        <is>
          <t>DIRECCION DE OPERACIONES DE TI</t>
        </is>
      </c>
      <c r="S1248" t="n">
        <v>31110</v>
      </c>
      <c r="T1248" t="inlineStr">
        <is>
          <t>SUBDIRECCION DE ENTREGA DE SERVICIOS DE TECNOLOGIA</t>
        </is>
      </c>
      <c r="U1248" t="n">
        <v>311000</v>
      </c>
      <c r="V1248" t="inlineStr">
        <is>
          <t>DIRECCION DE SOPORTE DE OPERACIONES TI</t>
        </is>
      </c>
      <c r="W1248" t="n">
        <v>100101</v>
      </c>
      <c r="X1248" t="inlineStr">
        <is>
          <t>CORPORATIVO</t>
        </is>
      </c>
      <c r="Y1248" t="n">
        <v>4</v>
      </c>
      <c r="Z1248" t="inlineStr">
        <is>
          <t>CORPORATIVO</t>
        </is>
      </c>
      <c r="AA1248" t="n">
        <v>8</v>
      </c>
      <c r="AB1248" t="inlineStr">
        <is>
          <t>BAU</t>
        </is>
      </c>
      <c r="AC1248" t="n">
        <v>1</v>
      </c>
      <c r="AD1248" t="inlineStr">
        <is>
          <t>BANCO</t>
        </is>
      </c>
      <c r="AE1248" t="n">
        <v>1</v>
      </c>
      <c r="AF1248" t="inlineStr">
        <is>
          <t>BACK</t>
        </is>
      </c>
      <c r="AG1248" t="n">
        <v>100101</v>
      </c>
      <c r="AH1248" t="inlineStr">
        <is>
          <t>CORPORATIVO</t>
        </is>
      </c>
      <c r="AI1248" t="inlineStr">
        <is>
          <t>NMONROY@BANCOBASE.COM</t>
        </is>
      </c>
      <c r="AJ1248" s="151" t="n">
        <v>45581</v>
      </c>
      <c r="AK1248" s="151" t="n"/>
      <c r="AL1248" s="151" t="n"/>
    </row>
    <row r="1249" hidden="1" s="150">
      <c r="A1249" t="inlineStr">
        <is>
          <t>EARREDONDV</t>
        </is>
      </c>
      <c r="B1249" t="n">
        <v>3678</v>
      </c>
      <c r="C1249" t="inlineStr">
        <is>
          <t>ESTEFANI YARED ARREDONDO VALLADARES</t>
        </is>
      </c>
      <c r="D1249" t="n">
        <v>8843</v>
      </c>
      <c r="E1249" t="inlineStr">
        <is>
          <t>CONSULTOR ITSM</t>
        </is>
      </c>
      <c r="F1249" t="inlineStr">
        <is>
          <t>MEXICO</t>
        </is>
      </c>
      <c r="G1249" t="n">
        <v>3243</v>
      </c>
      <c r="H1249" t="inlineStr">
        <is>
          <t>JAIRO NEMESIO MONROY RODRIGUEZ</t>
        </is>
      </c>
      <c r="I1249" t="n">
        <v>8457</v>
      </c>
      <c r="J1249" t="inlineStr">
        <is>
          <t>GERENTE DE GOBIERNO ITSM</t>
        </is>
      </c>
      <c r="K1249" t="n">
        <v>1</v>
      </c>
      <c r="L1249" t="inlineStr">
        <is>
          <t>PRESIDENCIA EJECUTIVA DEL CONSEJO</t>
        </is>
      </c>
      <c r="M1249" t="n">
        <v>40</v>
      </c>
      <c r="N1249" t="inlineStr">
        <is>
          <t>DIRECCION GENERAL BANCO BASE</t>
        </is>
      </c>
      <c r="O1249" t="n">
        <v>310</v>
      </c>
      <c r="P1249" t="inlineStr">
        <is>
          <t>DIRECCION DE TECNOLOGIA</t>
        </is>
      </c>
      <c r="Q1249" t="n">
        <v>3110</v>
      </c>
      <c r="R1249" t="inlineStr">
        <is>
          <t>DIRECCION DE OPERACIONES DE TI</t>
        </is>
      </c>
      <c r="S1249" t="n">
        <v>31110</v>
      </c>
      <c r="T1249" t="inlineStr">
        <is>
          <t>SUBDIRECCION DE ENTREGA DE SERVICIOS DE TECNOLOGIA</t>
        </is>
      </c>
      <c r="U1249" t="n">
        <v>311000</v>
      </c>
      <c r="V1249" t="inlineStr">
        <is>
          <t>DIRECCION DE SOPORTE DE OPERACIONES TI</t>
        </is>
      </c>
      <c r="W1249" t="n">
        <v>134111</v>
      </c>
      <c r="X1249" t="inlineStr">
        <is>
          <t>LOMAS</t>
        </is>
      </c>
      <c r="Y1249" t="n">
        <v>4</v>
      </c>
      <c r="Z1249" t="inlineStr">
        <is>
          <t>CORPORATIVO</t>
        </is>
      </c>
      <c r="AA1249" t="n">
        <v>8</v>
      </c>
      <c r="AB1249" t="inlineStr">
        <is>
          <t>BAU</t>
        </is>
      </c>
      <c r="AC1249" t="n">
        <v>1</v>
      </c>
      <c r="AD1249" t="inlineStr">
        <is>
          <t>BANCO</t>
        </is>
      </c>
      <c r="AE1249" t="n">
        <v>1</v>
      </c>
      <c r="AF1249" t="inlineStr">
        <is>
          <t>BACK</t>
        </is>
      </c>
      <c r="AG1249" t="n">
        <v>134111</v>
      </c>
      <c r="AH1249" t="inlineStr">
        <is>
          <t>LOMAS</t>
        </is>
      </c>
      <c r="AI1249" t="inlineStr">
        <is>
          <t>EARREDONDV@BANCOBASE.COM</t>
        </is>
      </c>
      <c r="AJ1249" s="151" t="n">
        <v>45979</v>
      </c>
      <c r="AK1249" s="151" t="n"/>
      <c r="AL1249" s="151" t="n"/>
    </row>
    <row r="1250" hidden="1" s="150">
      <c r="A1250" t="inlineStr">
        <is>
          <t>YSANTOS</t>
        </is>
      </c>
      <c r="B1250" t="n">
        <v>2136</v>
      </c>
      <c r="C1250" t="inlineStr">
        <is>
          <t>YESSICA DE LOS ANGELES SANTOS SIFUENTES</t>
        </is>
      </c>
      <c r="D1250" t="n">
        <v>10281</v>
      </c>
      <c r="E1250" t="inlineStr">
        <is>
          <t>ANALISTA SERVICE NOW</t>
        </is>
      </c>
      <c r="F1250" t="inlineStr">
        <is>
          <t>MONTERREY</t>
        </is>
      </c>
      <c r="G1250" t="n">
        <v>3243</v>
      </c>
      <c r="H1250" t="inlineStr">
        <is>
          <t>JAIRO NEMESIO MONROY RODRIGUEZ</t>
        </is>
      </c>
      <c r="I1250" t="n">
        <v>8457</v>
      </c>
      <c r="J1250" t="inlineStr">
        <is>
          <t>GERENTE DE GOBIERNO ITSM</t>
        </is>
      </c>
      <c r="K1250" t="n">
        <v>1</v>
      </c>
      <c r="L1250" t="inlineStr">
        <is>
          <t>PRESIDENCIA EJECUTIVA DEL CONSEJO</t>
        </is>
      </c>
      <c r="M1250" t="n">
        <v>40</v>
      </c>
      <c r="N1250" t="inlineStr">
        <is>
          <t>DIRECCION GENERAL BANCO BASE</t>
        </is>
      </c>
      <c r="O1250" t="n">
        <v>310</v>
      </c>
      <c r="P1250" t="inlineStr">
        <is>
          <t>DIRECCION DE TECNOLOGIA</t>
        </is>
      </c>
      <c r="Q1250" t="n">
        <v>3110</v>
      </c>
      <c r="R1250" t="inlineStr">
        <is>
          <t>DIRECCION DE OPERACIONES DE TI</t>
        </is>
      </c>
      <c r="S1250" t="n">
        <v>31110</v>
      </c>
      <c r="T1250" t="inlineStr">
        <is>
          <t>SUBDIRECCION DE ENTREGA DE SERVICIOS DE TECNOLOGIA</t>
        </is>
      </c>
      <c r="U1250" t="n">
        <v>311000</v>
      </c>
      <c r="V1250" t="inlineStr">
        <is>
          <t>DIRECCION DE SOPORTE DE OPERACIONES TI</t>
        </is>
      </c>
      <c r="W1250" t="n">
        <v>100101</v>
      </c>
      <c r="X1250" t="inlineStr">
        <is>
          <t>CORPORATIVO</t>
        </is>
      </c>
      <c r="Y1250" t="n">
        <v>4</v>
      </c>
      <c r="Z1250" t="inlineStr">
        <is>
          <t>CORPORATIVO</t>
        </is>
      </c>
      <c r="AA1250" t="n">
        <v>1</v>
      </c>
      <c r="AB1250" t="inlineStr">
        <is>
          <t>NEGOCIO EN MARCHA</t>
        </is>
      </c>
      <c r="AC1250" t="n">
        <v>1</v>
      </c>
      <c r="AD1250" t="inlineStr">
        <is>
          <t>BANCO</t>
        </is>
      </c>
      <c r="AE1250" t="n">
        <v>1</v>
      </c>
      <c r="AF1250" t="inlineStr">
        <is>
          <t>BACK</t>
        </is>
      </c>
      <c r="AG1250" t="n">
        <v>100101</v>
      </c>
      <c r="AH1250" t="inlineStr">
        <is>
          <t>CORPORATIVO</t>
        </is>
      </c>
      <c r="AI1250" t="inlineStr">
        <is>
          <t>YSANTOS@BANCOBASE.COM</t>
        </is>
      </c>
      <c r="AJ1250" s="151" t="n">
        <v>43405</v>
      </c>
      <c r="AK1250" s="151" t="n"/>
      <c r="AL1250" s="151" t="n"/>
    </row>
    <row r="1251" hidden="1" s="150">
      <c r="A1251" t="inlineStr">
        <is>
          <t>AGOMEZL</t>
        </is>
      </c>
      <c r="B1251" t="n">
        <v>3389</v>
      </c>
      <c r="C1251" t="inlineStr">
        <is>
          <t>ADRIANA GOMEZ LOPEZ</t>
        </is>
      </c>
      <c r="D1251" t="n">
        <v>8532</v>
      </c>
      <c r="E1251" t="inlineStr">
        <is>
          <t>ESPECIALISTA ADMINISTRADOR DE AMBIENTES</t>
        </is>
      </c>
      <c r="F1251" t="inlineStr">
        <is>
          <t>MONTERREY</t>
        </is>
      </c>
      <c r="G1251" t="n">
        <v>826</v>
      </c>
      <c r="H1251" t="inlineStr">
        <is>
          <t>CESAREO FLORES SANDOVAL</t>
        </is>
      </c>
      <c r="I1251" t="n">
        <v>9435</v>
      </c>
      <c r="J1251" t="inlineStr">
        <is>
          <t>SUBDIRECTOR DE ENTREGA DE SERVICIOS DE TECNOLOGIA</t>
        </is>
      </c>
      <c r="K1251" t="n">
        <v>1</v>
      </c>
      <c r="L1251" t="inlineStr">
        <is>
          <t>PRESIDENCIA EJECUTIVA DEL CONSEJO</t>
        </is>
      </c>
      <c r="M1251" t="n">
        <v>40</v>
      </c>
      <c r="N1251" t="inlineStr">
        <is>
          <t>DIRECCION GENERAL BANCO BASE</t>
        </is>
      </c>
      <c r="O1251" t="n">
        <v>310</v>
      </c>
      <c r="P1251" t="inlineStr">
        <is>
          <t>DIRECCION DE TECNOLOGIA</t>
        </is>
      </c>
      <c r="Q1251" t="n">
        <v>3110</v>
      </c>
      <c r="R1251" t="inlineStr">
        <is>
          <t>DIRECCION DE OPERACIONES DE TI</t>
        </is>
      </c>
      <c r="S1251" t="n">
        <v>31110</v>
      </c>
      <c r="T1251" t="inlineStr">
        <is>
          <t>SUBDIRECCION DE ENTREGA DE SERVICIOS DE TECNOLOGIA</t>
        </is>
      </c>
      <c r="U1251" t="n">
        <v>311000</v>
      </c>
      <c r="V1251" t="inlineStr">
        <is>
          <t>DIRECCION DE SOPORTE DE OPERACIONES TI</t>
        </is>
      </c>
      <c r="W1251" t="n">
        <v>100101</v>
      </c>
      <c r="X1251" t="inlineStr">
        <is>
          <t>CORPORATIVO</t>
        </is>
      </c>
      <c r="Y1251" t="n">
        <v>4</v>
      </c>
      <c r="Z1251" t="inlineStr">
        <is>
          <t>CORPORATIVO</t>
        </is>
      </c>
      <c r="AA1251" t="n">
        <v>7</v>
      </c>
      <c r="AB1251" t="inlineStr">
        <is>
          <t>PROYECTO DARWIN</t>
        </is>
      </c>
      <c r="AC1251" t="n">
        <v>1</v>
      </c>
      <c r="AD1251" t="inlineStr">
        <is>
          <t>BANCO</t>
        </is>
      </c>
      <c r="AE1251" t="n">
        <v>1</v>
      </c>
      <c r="AF1251" t="inlineStr">
        <is>
          <t>BACK</t>
        </is>
      </c>
      <c r="AG1251" t="n">
        <v>100101</v>
      </c>
      <c r="AH1251" t="inlineStr">
        <is>
          <t>CORPORATIVO</t>
        </is>
      </c>
      <c r="AI1251" t="inlineStr">
        <is>
          <t>AGOMEZL@BANCOBASE.COM</t>
        </is>
      </c>
      <c r="AJ1251" s="151" t="n">
        <v>45748</v>
      </c>
      <c r="AK1251" s="151" t="n"/>
      <c r="AL1251" s="151" t="n"/>
    </row>
    <row r="1252" hidden="1" s="150">
      <c r="A1252" t="inlineStr">
        <is>
          <t>LRUIZV</t>
        </is>
      </c>
      <c r="B1252" t="n">
        <v>3373</v>
      </c>
      <c r="C1252" t="inlineStr">
        <is>
          <t>LIZETH SARAI RUIZ VALENCIANO</t>
        </is>
      </c>
      <c r="D1252" t="n">
        <v>8531</v>
      </c>
      <c r="E1252" t="inlineStr">
        <is>
          <t>ESPECIALISTA ADMINISTRADOR DE AMBIENTES</t>
        </is>
      </c>
      <c r="F1252" t="inlineStr">
        <is>
          <t>MONTERREY</t>
        </is>
      </c>
      <c r="G1252" t="n">
        <v>826</v>
      </c>
      <c r="H1252" t="inlineStr">
        <is>
          <t>CESAREO FLORES SANDOVAL</t>
        </is>
      </c>
      <c r="I1252" t="n">
        <v>9435</v>
      </c>
      <c r="J1252" t="inlineStr">
        <is>
          <t>SUBDIRECTOR DE ENTREGA DE SERVICIOS DE TECNOLOGIA</t>
        </is>
      </c>
      <c r="K1252" t="n">
        <v>1</v>
      </c>
      <c r="L1252" t="inlineStr">
        <is>
          <t>PRESIDENCIA EJECUTIVA DEL CONSEJO</t>
        </is>
      </c>
      <c r="M1252" t="n">
        <v>40</v>
      </c>
      <c r="N1252" t="inlineStr">
        <is>
          <t>DIRECCION GENERAL BANCO BASE</t>
        </is>
      </c>
      <c r="O1252" t="n">
        <v>310</v>
      </c>
      <c r="P1252" t="inlineStr">
        <is>
          <t>DIRECCION DE TECNOLOGIA</t>
        </is>
      </c>
      <c r="Q1252" t="n">
        <v>3110</v>
      </c>
      <c r="R1252" t="inlineStr">
        <is>
          <t>DIRECCION DE OPERACIONES DE TI</t>
        </is>
      </c>
      <c r="S1252" t="n">
        <v>31110</v>
      </c>
      <c r="T1252" t="inlineStr">
        <is>
          <t>SUBDIRECCION DE ENTREGA DE SERVICIOS DE TECNOLOGIA</t>
        </is>
      </c>
      <c r="U1252" t="n">
        <v>311000</v>
      </c>
      <c r="V1252" t="inlineStr">
        <is>
          <t>DIRECCION DE SOPORTE DE OPERACIONES TI</t>
        </is>
      </c>
      <c r="W1252" t="n">
        <v>100101</v>
      </c>
      <c r="X1252" t="inlineStr">
        <is>
          <t>CORPORATIVO</t>
        </is>
      </c>
      <c r="Y1252" t="n">
        <v>4</v>
      </c>
      <c r="Z1252" t="inlineStr">
        <is>
          <t>CORPORATIVO</t>
        </is>
      </c>
      <c r="AA1252" t="n">
        <v>7</v>
      </c>
      <c r="AB1252" t="inlineStr">
        <is>
          <t>PROYECTO DARWIN</t>
        </is>
      </c>
      <c r="AC1252" t="n">
        <v>1</v>
      </c>
      <c r="AD1252" t="inlineStr">
        <is>
          <t>BANCO</t>
        </is>
      </c>
      <c r="AE1252" t="n">
        <v>1</v>
      </c>
      <c r="AF1252" t="inlineStr">
        <is>
          <t>BACK</t>
        </is>
      </c>
      <c r="AG1252" t="n">
        <v>100101</v>
      </c>
      <c r="AH1252" t="inlineStr">
        <is>
          <t>CORPORATIVO</t>
        </is>
      </c>
      <c r="AI1252" t="inlineStr">
        <is>
          <t>LRUIZV@BANCOBASE.COM</t>
        </is>
      </c>
      <c r="AJ1252" s="151" t="n">
        <v>45734</v>
      </c>
      <c r="AK1252" s="151" t="n"/>
      <c r="AL1252" s="151" t="n"/>
    </row>
    <row r="1253" hidden="1" s="150">
      <c r="A1253" t="inlineStr">
        <is>
          <t>JRAMIREM</t>
        </is>
      </c>
      <c r="B1253" t="n">
        <v>2783</v>
      </c>
      <c r="C1253" t="inlineStr">
        <is>
          <t>JESUS JULIAN RAMIREZ MORENO</t>
        </is>
      </c>
      <c r="D1253" t="n">
        <v>8028</v>
      </c>
      <c r="E1253" t="inlineStr">
        <is>
          <t>ESPECIALISTA ADMINISTRADOR DE AMBIENTES</t>
        </is>
      </c>
      <c r="F1253" t="inlineStr">
        <is>
          <t>MONTERREY</t>
        </is>
      </c>
      <c r="G1253" t="n">
        <v>826</v>
      </c>
      <c r="H1253" t="inlineStr">
        <is>
          <t>CESAREO FLORES SANDOVAL</t>
        </is>
      </c>
      <c r="I1253" t="n">
        <v>9435</v>
      </c>
      <c r="J1253" t="inlineStr">
        <is>
          <t>SUBDIRECTOR DE ENTREGA DE SERVICIOS DE TECNOLOGIA</t>
        </is>
      </c>
      <c r="K1253" t="n">
        <v>1</v>
      </c>
      <c r="L1253" t="inlineStr">
        <is>
          <t>PRESIDENCIA EJECUTIVA DEL CONSEJO</t>
        </is>
      </c>
      <c r="M1253" t="n">
        <v>40</v>
      </c>
      <c r="N1253" t="inlineStr">
        <is>
          <t>DIRECCION GENERAL BANCO BASE</t>
        </is>
      </c>
      <c r="O1253" t="n">
        <v>310</v>
      </c>
      <c r="P1253" t="inlineStr">
        <is>
          <t>DIRECCION DE TECNOLOGIA</t>
        </is>
      </c>
      <c r="Q1253" t="n">
        <v>3110</v>
      </c>
      <c r="R1253" t="inlineStr">
        <is>
          <t>DIRECCION DE OPERACIONES DE TI</t>
        </is>
      </c>
      <c r="S1253" t="n">
        <v>31110</v>
      </c>
      <c r="T1253" t="inlineStr">
        <is>
          <t>SUBDIRECCION DE ENTREGA DE SERVICIOS DE TECNOLOGIA</t>
        </is>
      </c>
      <c r="U1253" t="n">
        <v>311000</v>
      </c>
      <c r="V1253" t="inlineStr">
        <is>
          <t>DIRECCION DE SOPORTE DE OPERACIONES TI</t>
        </is>
      </c>
      <c r="W1253" t="n">
        <v>100101</v>
      </c>
      <c r="X1253" t="inlineStr">
        <is>
          <t>CORPORATIVO</t>
        </is>
      </c>
      <c r="Y1253" t="n">
        <v>4</v>
      </c>
      <c r="Z1253" t="inlineStr">
        <is>
          <t>CORPORATIVO</t>
        </is>
      </c>
      <c r="AA1253" t="n">
        <v>1</v>
      </c>
      <c r="AB1253" t="inlineStr">
        <is>
          <t>NEGOCIO EN MARCHA</t>
        </is>
      </c>
      <c r="AC1253" t="n">
        <v>1</v>
      </c>
      <c r="AD1253" t="inlineStr">
        <is>
          <t>BANCO</t>
        </is>
      </c>
      <c r="AE1253" t="n">
        <v>1</v>
      </c>
      <c r="AF1253" t="inlineStr">
        <is>
          <t>BACK</t>
        </is>
      </c>
      <c r="AG1253" t="n">
        <v>100101</v>
      </c>
      <c r="AH1253" t="inlineStr">
        <is>
          <t>CORPORATIVO</t>
        </is>
      </c>
      <c r="AI1253" t="inlineStr">
        <is>
          <t>JRAMIREM@BANCOBASE.COM</t>
        </is>
      </c>
      <c r="AJ1253" s="151" t="n">
        <v>44896</v>
      </c>
      <c r="AK1253" s="151" t="n"/>
      <c r="AL1253" s="151" t="n"/>
    </row>
    <row r="1254" hidden="1" s="150">
      <c r="A1254" t="inlineStr">
        <is>
          <t>PSAUCEDO</t>
        </is>
      </c>
      <c r="B1254" t="n">
        <v>3694</v>
      </c>
      <c r="C1254" t="inlineStr">
        <is>
          <t>PERLA PATRICIA SAUCEDO GOMEZ</t>
        </is>
      </c>
      <c r="D1254" t="n">
        <v>8852</v>
      </c>
      <c r="E1254" t="inlineStr">
        <is>
          <t>ANALISTA DE CONTROL DE CAMBIOS</t>
        </is>
      </c>
      <c r="F1254" t="inlineStr">
        <is>
          <t>MONTERREY</t>
        </is>
      </c>
      <c r="G1254" t="n">
        <v>826</v>
      </c>
      <c r="H1254" t="inlineStr">
        <is>
          <t>CESAREO FLORES SANDOVAL</t>
        </is>
      </c>
      <c r="I1254" t="n">
        <v>9435</v>
      </c>
      <c r="J1254" t="inlineStr">
        <is>
          <t>SUBDIRECTOR DE ENTREGA DE SERVICIOS DE TECNOLOGIA</t>
        </is>
      </c>
      <c r="K1254" t="n">
        <v>1</v>
      </c>
      <c r="L1254" t="inlineStr">
        <is>
          <t>PRESIDENCIA EJECUTIVA DEL CONSEJO</t>
        </is>
      </c>
      <c r="M1254" t="n">
        <v>40</v>
      </c>
      <c r="N1254" t="inlineStr">
        <is>
          <t>DIRECCION GENERAL BANCO BASE</t>
        </is>
      </c>
      <c r="O1254" t="n">
        <v>310</v>
      </c>
      <c r="P1254" t="inlineStr">
        <is>
          <t>DIRECCION DE TECNOLOGIA</t>
        </is>
      </c>
      <c r="Q1254" t="n">
        <v>3110</v>
      </c>
      <c r="R1254" t="inlineStr">
        <is>
          <t>DIRECCION DE OPERACIONES DE TI</t>
        </is>
      </c>
      <c r="S1254" t="n">
        <v>31110</v>
      </c>
      <c r="T1254" t="inlineStr">
        <is>
          <t>SUBDIRECCION DE ENTREGA DE SERVICIOS DE TECNOLOGIA</t>
        </is>
      </c>
      <c r="U1254" t="n">
        <v>311000</v>
      </c>
      <c r="V1254" t="inlineStr">
        <is>
          <t>DIRECCION DE SOPORTE DE OPERACIONES TI</t>
        </is>
      </c>
      <c r="W1254" t="n">
        <v>100101</v>
      </c>
      <c r="X1254" t="inlineStr">
        <is>
          <t>CORPORATIVO</t>
        </is>
      </c>
      <c r="Y1254" t="n">
        <v>4</v>
      </c>
      <c r="Z1254" t="inlineStr">
        <is>
          <t>CORPORATIVO</t>
        </is>
      </c>
      <c r="AA1254" t="n">
        <v>1</v>
      </c>
      <c r="AB1254" t="inlineStr">
        <is>
          <t>NEGOCIO EN MARCHA</t>
        </is>
      </c>
      <c r="AC1254" t="n">
        <v>1</v>
      </c>
      <c r="AD1254" t="inlineStr">
        <is>
          <t>BANCO</t>
        </is>
      </c>
      <c r="AE1254" t="n">
        <v>1</v>
      </c>
      <c r="AF1254" t="inlineStr">
        <is>
          <t>BACK</t>
        </is>
      </c>
      <c r="AG1254" t="n">
        <v>100101</v>
      </c>
      <c r="AH1254" t="inlineStr">
        <is>
          <t>CORPORATIVO</t>
        </is>
      </c>
      <c r="AI1254" t="inlineStr">
        <is>
          <t>PSAUCEDO@BANCOBASE.COM</t>
        </is>
      </c>
      <c r="AJ1254" s="151" t="n">
        <v>45979</v>
      </c>
      <c r="AK1254" s="151" t="n"/>
      <c r="AL1254" s="151" t="n"/>
    </row>
    <row r="1255" hidden="1" s="150">
      <c r="A1255" t="inlineStr">
        <is>
          <t>MCASTILLOM</t>
        </is>
      </c>
      <c r="B1255" t="n">
        <v>3714</v>
      </c>
      <c r="C1255" t="inlineStr">
        <is>
          <t>MARCOS ISRAEL CASTILLO MORENO</t>
        </is>
      </c>
      <c r="D1255" t="n">
        <v>8965</v>
      </c>
      <c r="E1255" t="inlineStr">
        <is>
          <t>GERENTE DE MONITOREO Y OBSERVABILIDAD</t>
        </is>
      </c>
      <c r="F1255" t="inlineStr">
        <is>
          <t>MONTERREY</t>
        </is>
      </c>
      <c r="G1255" t="n">
        <v>3802</v>
      </c>
      <c r="H1255" t="inlineStr">
        <is>
          <t>EFRAIN CARBALLO JARAMILLO</t>
        </is>
      </c>
      <c r="I1255" t="n">
        <v>10079</v>
      </c>
      <c r="J1255" t="inlineStr">
        <is>
          <t>DIRECTOR DE OPERACIONES TI</t>
        </is>
      </c>
      <c r="K1255" t="n">
        <v>1</v>
      </c>
      <c r="L1255" t="inlineStr">
        <is>
          <t>PRESIDENCIA EJECUTIVA DEL CONSEJO</t>
        </is>
      </c>
      <c r="M1255" t="n">
        <v>40</v>
      </c>
      <c r="N1255" t="inlineStr">
        <is>
          <t>DIRECCION GENERAL BANCO BASE</t>
        </is>
      </c>
      <c r="O1255" t="n">
        <v>310</v>
      </c>
      <c r="P1255" t="inlineStr">
        <is>
          <t>DIRECCION DE TECNOLOGIA</t>
        </is>
      </c>
      <c r="Q1255" t="n">
        <v>3110</v>
      </c>
      <c r="R1255" t="inlineStr">
        <is>
          <t>DIRECCION DE OPERACIONES DE TI</t>
        </is>
      </c>
      <c r="S1255" t="n">
        <v>31130</v>
      </c>
      <c r="T1255" t="inlineStr">
        <is>
          <t>SUBDIRECCION DE SOLUCIONES DE INFRAESTRUCTURA</t>
        </is>
      </c>
      <c r="U1255" t="n">
        <v>312000</v>
      </c>
      <c r="V1255" t="inlineStr">
        <is>
          <t>DIRECCION DE INFRAESTRUCTURA</t>
        </is>
      </c>
      <c r="W1255" t="n">
        <v>100101</v>
      </c>
      <c r="X1255" t="inlineStr">
        <is>
          <t>CORPORATIVO</t>
        </is>
      </c>
      <c r="Y1255" t="n">
        <v>4</v>
      </c>
      <c r="Z1255" t="inlineStr">
        <is>
          <t>CORPORATIVO</t>
        </is>
      </c>
      <c r="AA1255" t="n">
        <v>1</v>
      </c>
      <c r="AB1255" t="inlineStr">
        <is>
          <t>NEGOCIO EN MARCHA</t>
        </is>
      </c>
      <c r="AC1255" t="n">
        <v>1</v>
      </c>
      <c r="AD1255" t="inlineStr">
        <is>
          <t>BANCO</t>
        </is>
      </c>
      <c r="AE1255" t="n">
        <v>1</v>
      </c>
      <c r="AF1255" t="inlineStr">
        <is>
          <t>BACK</t>
        </is>
      </c>
      <c r="AG1255" t="n">
        <v>100101</v>
      </c>
      <c r="AH1255" t="inlineStr">
        <is>
          <t>CORPORATIVO</t>
        </is>
      </c>
      <c r="AI1255" t="inlineStr">
        <is>
          <t>MCASTILLOM@BANCOBASE.COM</t>
        </is>
      </c>
      <c r="AJ1255" s="151" t="n">
        <v>46027</v>
      </c>
      <c r="AK1255" s="151" t="n"/>
      <c r="AL1255" s="151" t="n"/>
    </row>
    <row r="1256" hidden="1" s="150">
      <c r="A1256" t="inlineStr">
        <is>
          <t>CDONIAS</t>
        </is>
      </c>
      <c r="B1256" t="n">
        <v>2251</v>
      </c>
      <c r="C1256" t="inlineStr">
        <is>
          <t>CARLOS IBRAHIM DONIAS GARCIA</t>
        </is>
      </c>
      <c r="D1256" t="n">
        <v>10247</v>
      </c>
      <c r="E1256" t="inlineStr">
        <is>
          <t>ANALISTA DE MONITOREO</t>
        </is>
      </c>
      <c r="F1256" t="inlineStr">
        <is>
          <t>MONTERREY</t>
        </is>
      </c>
      <c r="G1256" t="n">
        <v>3714</v>
      </c>
      <c r="H1256" t="inlineStr">
        <is>
          <t>MARCOS ISRAEL CASTILLO MORENO</t>
        </is>
      </c>
      <c r="I1256" t="n">
        <v>8965</v>
      </c>
      <c r="J1256" t="inlineStr">
        <is>
          <t>GERENTE DE MONITOREO Y OBSERVABILIDAD</t>
        </is>
      </c>
      <c r="K1256" t="n">
        <v>1</v>
      </c>
      <c r="L1256" t="inlineStr">
        <is>
          <t>PRESIDENCIA EJECUTIVA DEL CONSEJO</t>
        </is>
      </c>
      <c r="M1256" t="n">
        <v>40</v>
      </c>
      <c r="N1256" t="inlineStr">
        <is>
          <t>DIRECCION GENERAL BANCO BASE</t>
        </is>
      </c>
      <c r="O1256" t="n">
        <v>310</v>
      </c>
      <c r="P1256" t="inlineStr">
        <is>
          <t>DIRECCION DE TECNOLOGIA</t>
        </is>
      </c>
      <c r="Q1256" t="n">
        <v>3110</v>
      </c>
      <c r="R1256" t="inlineStr">
        <is>
          <t>DIRECCION DE OPERACIONES DE TI</t>
        </is>
      </c>
      <c r="S1256" t="n">
        <v>31130</v>
      </c>
      <c r="T1256" t="inlineStr">
        <is>
          <t>SUBDIRECCION DE SOLUCIONES DE INFRAESTRUCTURA</t>
        </is>
      </c>
      <c r="U1256" t="n">
        <v>312000</v>
      </c>
      <c r="V1256" t="inlineStr">
        <is>
          <t>DIRECCION DE INFRAESTRUCTURA</t>
        </is>
      </c>
      <c r="W1256" t="n">
        <v>100101</v>
      </c>
      <c r="X1256" t="inlineStr">
        <is>
          <t>CORPORATIVO</t>
        </is>
      </c>
      <c r="Y1256" t="n">
        <v>4</v>
      </c>
      <c r="Z1256" t="inlineStr">
        <is>
          <t>CORPORATIVO</t>
        </is>
      </c>
      <c r="AA1256" t="n">
        <v>1</v>
      </c>
      <c r="AB1256" t="inlineStr">
        <is>
          <t>NEGOCIO EN MARCHA</t>
        </is>
      </c>
      <c r="AC1256" t="n">
        <v>1</v>
      </c>
      <c r="AD1256" t="inlineStr">
        <is>
          <t>BANCO</t>
        </is>
      </c>
      <c r="AE1256" t="n">
        <v>1</v>
      </c>
      <c r="AF1256" t="inlineStr">
        <is>
          <t>BACK</t>
        </is>
      </c>
      <c r="AG1256" t="n">
        <v>100101</v>
      </c>
      <c r="AH1256" t="inlineStr">
        <is>
          <t>CORPORATIVO</t>
        </is>
      </c>
      <c r="AI1256" t="inlineStr">
        <is>
          <t>CDONIAS@BANCOBASE.COM</t>
        </is>
      </c>
      <c r="AJ1256" s="151" t="n">
        <v>43601</v>
      </c>
      <c r="AK1256" s="151" t="n"/>
      <c r="AL1256" s="151" t="n"/>
    </row>
    <row r="1257" hidden="1" s="150">
      <c r="A1257" t="inlineStr">
        <is>
          <t>DBARBOZA</t>
        </is>
      </c>
      <c r="B1257" t="n">
        <v>2296</v>
      </c>
      <c r="C1257" t="inlineStr">
        <is>
          <t>DAVID BARBOZA VALLEJO</t>
        </is>
      </c>
      <c r="D1257" t="n">
        <v>9023</v>
      </c>
      <c r="E1257" t="inlineStr">
        <is>
          <t>ANALISTA DE MONITOREO</t>
        </is>
      </c>
      <c r="F1257" t="inlineStr">
        <is>
          <t>MONTERREY</t>
        </is>
      </c>
      <c r="G1257" t="n">
        <v>3714</v>
      </c>
      <c r="H1257" t="inlineStr">
        <is>
          <t>MARCOS ISRAEL CASTILLO MORENO</t>
        </is>
      </c>
      <c r="I1257" t="n">
        <v>8965</v>
      </c>
      <c r="J1257" t="inlineStr">
        <is>
          <t>GERENTE DE MONITOREO Y OBSERVABILIDAD</t>
        </is>
      </c>
      <c r="K1257" t="n">
        <v>1</v>
      </c>
      <c r="L1257" t="inlineStr">
        <is>
          <t>PRESIDENCIA EJECUTIVA DEL CONSEJO</t>
        </is>
      </c>
      <c r="M1257" t="n">
        <v>40</v>
      </c>
      <c r="N1257" t="inlineStr">
        <is>
          <t>DIRECCION GENERAL BANCO BASE</t>
        </is>
      </c>
      <c r="O1257" t="n">
        <v>310</v>
      </c>
      <c r="P1257" t="inlineStr">
        <is>
          <t>DIRECCION DE TECNOLOGIA</t>
        </is>
      </c>
      <c r="Q1257" t="n">
        <v>3110</v>
      </c>
      <c r="R1257" t="inlineStr">
        <is>
          <t>DIRECCION DE OPERACIONES DE TI</t>
        </is>
      </c>
      <c r="S1257" t="n">
        <v>31130</v>
      </c>
      <c r="T1257" t="inlineStr">
        <is>
          <t>SUBDIRECCION DE SOLUCIONES DE INFRAESTRUCTURA</t>
        </is>
      </c>
      <c r="U1257" t="n">
        <v>312000</v>
      </c>
      <c r="V1257" t="inlineStr">
        <is>
          <t>DIRECCION DE INFRAESTRUCTURA</t>
        </is>
      </c>
      <c r="W1257" t="n">
        <v>100101</v>
      </c>
      <c r="X1257" t="inlineStr">
        <is>
          <t>CORPORATIVO</t>
        </is>
      </c>
      <c r="Y1257" t="n">
        <v>4</v>
      </c>
      <c r="Z1257" t="inlineStr">
        <is>
          <t>CORPORATIVO</t>
        </is>
      </c>
      <c r="AA1257" t="n">
        <v>1</v>
      </c>
      <c r="AB1257" t="inlineStr">
        <is>
          <t>NEGOCIO EN MARCHA</t>
        </is>
      </c>
      <c r="AC1257" t="n">
        <v>1</v>
      </c>
      <c r="AD1257" t="inlineStr">
        <is>
          <t>BANCO</t>
        </is>
      </c>
      <c r="AE1257" t="n">
        <v>1</v>
      </c>
      <c r="AF1257" t="inlineStr">
        <is>
          <t>BACK</t>
        </is>
      </c>
      <c r="AG1257" t="n">
        <v>100101</v>
      </c>
      <c r="AH1257" t="inlineStr">
        <is>
          <t>CORPORATIVO</t>
        </is>
      </c>
      <c r="AI1257" t="inlineStr">
        <is>
          <t>DBARBOZA@BANCOBASE.COM</t>
        </is>
      </c>
      <c r="AJ1257" s="151" t="n">
        <v>43682</v>
      </c>
      <c r="AK1257" s="151" t="n"/>
    </row>
    <row r="1258" hidden="1" s="150">
      <c r="A1258" t="inlineStr">
        <is>
          <t>EFLORESG</t>
        </is>
      </c>
      <c r="B1258" t="n">
        <v>2898</v>
      </c>
      <c r="C1258" t="inlineStr">
        <is>
          <t>EBER ANDRES FLORES GUEVARA</t>
        </is>
      </c>
      <c r="D1258" t="n">
        <v>10248</v>
      </c>
      <c r="E1258" t="inlineStr">
        <is>
          <t>ANALISTA DE MONITOREO</t>
        </is>
      </c>
      <c r="F1258" t="inlineStr">
        <is>
          <t>MONTERREY</t>
        </is>
      </c>
      <c r="G1258" t="n">
        <v>3714</v>
      </c>
      <c r="H1258" t="inlineStr">
        <is>
          <t>MARCOS ISRAEL CASTILLO MORENO</t>
        </is>
      </c>
      <c r="I1258" t="n">
        <v>8965</v>
      </c>
      <c r="J1258" t="inlineStr">
        <is>
          <t>GERENTE DE MONITOREO Y OBSERVABILIDAD</t>
        </is>
      </c>
      <c r="K1258" t="n">
        <v>1</v>
      </c>
      <c r="L1258" t="inlineStr">
        <is>
          <t>PRESIDENCIA EJECUTIVA DEL CONSEJO</t>
        </is>
      </c>
      <c r="M1258" t="n">
        <v>40</v>
      </c>
      <c r="N1258" t="inlineStr">
        <is>
          <t>DIRECCION GENERAL BANCO BASE</t>
        </is>
      </c>
      <c r="O1258" t="n">
        <v>310</v>
      </c>
      <c r="P1258" t="inlineStr">
        <is>
          <t>DIRECCION DE TECNOLOGIA</t>
        </is>
      </c>
      <c r="Q1258" t="n">
        <v>3110</v>
      </c>
      <c r="R1258" t="inlineStr">
        <is>
          <t>DIRECCION DE OPERACIONES DE TI</t>
        </is>
      </c>
      <c r="S1258" t="n">
        <v>31130</v>
      </c>
      <c r="T1258" t="inlineStr">
        <is>
          <t>SUBDIRECCION DE SOLUCIONES DE INFRAESTRUCTURA</t>
        </is>
      </c>
      <c r="U1258" t="n">
        <v>312000</v>
      </c>
      <c r="V1258" t="inlineStr">
        <is>
          <t>DIRECCION DE INFRAESTRUCTURA</t>
        </is>
      </c>
      <c r="W1258" t="n">
        <v>100101</v>
      </c>
      <c r="X1258" t="inlineStr">
        <is>
          <t>CORPORATIVO</t>
        </is>
      </c>
      <c r="Y1258" t="n">
        <v>4</v>
      </c>
      <c r="Z1258" t="inlineStr">
        <is>
          <t>CORPORATIVO</t>
        </is>
      </c>
      <c r="AA1258" t="n">
        <v>1</v>
      </c>
      <c r="AB1258" t="inlineStr">
        <is>
          <t>NEGOCIO EN MARCHA</t>
        </is>
      </c>
      <c r="AC1258" t="n">
        <v>1</v>
      </c>
      <c r="AD1258" t="inlineStr">
        <is>
          <t>BANCO</t>
        </is>
      </c>
      <c r="AE1258" t="n">
        <v>1</v>
      </c>
      <c r="AF1258" t="inlineStr">
        <is>
          <t>BACK</t>
        </is>
      </c>
      <c r="AG1258" t="n">
        <v>100101</v>
      </c>
      <c r="AH1258" t="inlineStr">
        <is>
          <t>CORPORATIVO</t>
        </is>
      </c>
      <c r="AI1258" t="inlineStr">
        <is>
          <t>EFLORESG@BANCOBASE.COM</t>
        </is>
      </c>
      <c r="AJ1258" s="151" t="n">
        <v>45078</v>
      </c>
      <c r="AK1258" s="151" t="n"/>
    </row>
    <row r="1259" hidden="1" s="150">
      <c r="A1259" t="inlineStr">
        <is>
          <t>ELLANAS</t>
        </is>
      </c>
      <c r="B1259" t="n">
        <v>3709</v>
      </c>
      <c r="C1259" t="inlineStr">
        <is>
          <t>ERICK DANIEL LLANAS VILLARREAL</t>
        </is>
      </c>
      <c r="D1259" t="n">
        <v>6013</v>
      </c>
      <c r="E1259" t="inlineStr">
        <is>
          <t>ANALISTA DE MONITOREO</t>
        </is>
      </c>
      <c r="F1259" t="inlineStr">
        <is>
          <t>MONTERREY</t>
        </is>
      </c>
      <c r="G1259" t="n">
        <v>3714</v>
      </c>
      <c r="H1259" t="inlineStr">
        <is>
          <t>MARCOS ISRAEL CASTILLO MORENO</t>
        </is>
      </c>
      <c r="I1259" t="n">
        <v>8965</v>
      </c>
      <c r="J1259" t="inlineStr">
        <is>
          <t>GERENTE DE MONITOREO Y OBSERVABILIDAD</t>
        </is>
      </c>
      <c r="K1259" t="n">
        <v>1</v>
      </c>
      <c r="L1259" t="inlineStr">
        <is>
          <t>PRESIDENCIA EJECUTIVA DEL CONSEJO</t>
        </is>
      </c>
      <c r="M1259" t="n">
        <v>40</v>
      </c>
      <c r="N1259" t="inlineStr">
        <is>
          <t>DIRECCION GENERAL BANCO BASE</t>
        </is>
      </c>
      <c r="O1259" t="n">
        <v>310</v>
      </c>
      <c r="P1259" t="inlineStr">
        <is>
          <t>DIRECCION DE TECNOLOGIA</t>
        </is>
      </c>
      <c r="Q1259" t="n">
        <v>3110</v>
      </c>
      <c r="R1259" t="inlineStr">
        <is>
          <t>DIRECCION DE OPERACIONES DE TI</t>
        </is>
      </c>
      <c r="S1259" t="n">
        <v>31130</v>
      </c>
      <c r="T1259" t="inlineStr">
        <is>
          <t>SUBDIRECCION DE SOLUCIONES DE INFRAESTRUCTURA</t>
        </is>
      </c>
      <c r="U1259" t="n">
        <v>312000</v>
      </c>
      <c r="V1259" t="inlineStr">
        <is>
          <t>DIRECCION DE INFRAESTRUCTURA</t>
        </is>
      </c>
      <c r="W1259" t="n">
        <v>100101</v>
      </c>
      <c r="X1259" t="inlineStr">
        <is>
          <t>CORPORATIVO</t>
        </is>
      </c>
      <c r="Y1259" t="n">
        <v>4</v>
      </c>
      <c r="Z1259" t="inlineStr">
        <is>
          <t>CORPORATIVO</t>
        </is>
      </c>
      <c r="AA1259" t="n">
        <v>1</v>
      </c>
      <c r="AB1259" t="inlineStr">
        <is>
          <t>NEGOCIO EN MARCHA</t>
        </is>
      </c>
      <c r="AC1259" t="n">
        <v>1</v>
      </c>
      <c r="AD1259" t="inlineStr">
        <is>
          <t>BANCO</t>
        </is>
      </c>
      <c r="AE1259" t="n">
        <v>1</v>
      </c>
      <c r="AF1259" t="inlineStr">
        <is>
          <t>BACK</t>
        </is>
      </c>
      <c r="AG1259" t="n">
        <v>100101</v>
      </c>
      <c r="AH1259" t="inlineStr">
        <is>
          <t>CORPORATIVO</t>
        </is>
      </c>
      <c r="AI1259" t="inlineStr">
        <is>
          <t>ELLANAS@BANCOBASE.COM</t>
        </is>
      </c>
      <c r="AJ1259" s="151" t="n">
        <v>45999</v>
      </c>
      <c r="AK1259" s="151" t="n"/>
    </row>
    <row r="1260" hidden="1" s="150">
      <c r="A1260" t="inlineStr">
        <is>
          <t>HCOBOS</t>
        </is>
      </c>
      <c r="B1260" t="n">
        <v>2874</v>
      </c>
      <c r="C1260" t="inlineStr">
        <is>
          <t>HUMBERTO COBOS CABRERA</t>
        </is>
      </c>
      <c r="D1260" t="n">
        <v>9736</v>
      </c>
      <c r="E1260" t="inlineStr">
        <is>
          <t>ANALISTA DE MONITOREO</t>
        </is>
      </c>
      <c r="F1260" t="inlineStr">
        <is>
          <t>MONTERREY</t>
        </is>
      </c>
      <c r="G1260" t="n">
        <v>3714</v>
      </c>
      <c r="H1260" t="inlineStr">
        <is>
          <t>MARCOS ISRAEL CASTILLO MORENO</t>
        </is>
      </c>
      <c r="I1260" t="n">
        <v>8965</v>
      </c>
      <c r="J1260" t="inlineStr">
        <is>
          <t>GERENTE DE MONITOREO Y OBSERVABILIDAD</t>
        </is>
      </c>
      <c r="K1260" t="n">
        <v>1</v>
      </c>
      <c r="L1260" t="inlineStr">
        <is>
          <t>PRESIDENCIA EJECUTIVA DEL CONSEJO</t>
        </is>
      </c>
      <c r="M1260" t="n">
        <v>40</v>
      </c>
      <c r="N1260" t="inlineStr">
        <is>
          <t>DIRECCION GENERAL BANCO BASE</t>
        </is>
      </c>
      <c r="O1260" t="n">
        <v>310</v>
      </c>
      <c r="P1260" t="inlineStr">
        <is>
          <t>DIRECCION DE TECNOLOGIA</t>
        </is>
      </c>
      <c r="Q1260" t="n">
        <v>3110</v>
      </c>
      <c r="R1260" t="inlineStr">
        <is>
          <t>DIRECCION DE OPERACIONES DE TI</t>
        </is>
      </c>
      <c r="S1260" t="n">
        <v>31130</v>
      </c>
      <c r="T1260" t="inlineStr">
        <is>
          <t>SUBDIRECCION DE SOLUCIONES DE INFRAESTRUCTURA</t>
        </is>
      </c>
      <c r="U1260" t="n">
        <v>312000</v>
      </c>
      <c r="V1260" t="inlineStr">
        <is>
          <t>DIRECCION DE INFRAESTRUCTURA</t>
        </is>
      </c>
      <c r="W1260" t="n">
        <v>100101</v>
      </c>
      <c r="X1260" t="inlineStr">
        <is>
          <t>CORPORATIVO</t>
        </is>
      </c>
      <c r="Y1260" t="n">
        <v>4</v>
      </c>
      <c r="Z1260" t="inlineStr">
        <is>
          <t>CORPORATIVO</t>
        </is>
      </c>
      <c r="AA1260" t="n">
        <v>1</v>
      </c>
      <c r="AB1260" t="inlineStr">
        <is>
          <t>NEGOCIO EN MARCHA</t>
        </is>
      </c>
      <c r="AC1260" t="n">
        <v>1</v>
      </c>
      <c r="AD1260" t="inlineStr">
        <is>
          <t>BANCO</t>
        </is>
      </c>
      <c r="AE1260" t="n">
        <v>1</v>
      </c>
      <c r="AF1260" t="inlineStr">
        <is>
          <t>BACK</t>
        </is>
      </c>
      <c r="AG1260" t="n">
        <v>100101</v>
      </c>
      <c r="AH1260" t="inlineStr">
        <is>
          <t>CORPORATIVO</t>
        </is>
      </c>
      <c r="AI1260" t="inlineStr">
        <is>
          <t>HCOBOS@BANCOBASE.COM</t>
        </is>
      </c>
      <c r="AJ1260" s="151" t="n">
        <v>45019</v>
      </c>
      <c r="AK1260" s="151" t="n"/>
    </row>
    <row r="1261" hidden="1" s="150">
      <c r="A1261" t="inlineStr">
        <is>
          <t>PBOCARDO</t>
        </is>
      </c>
      <c r="B1261" t="n">
        <v>3708</v>
      </c>
      <c r="C1261" t="inlineStr">
        <is>
          <t>PEDRO EDUARDO BOCARDO RODRIGUEZ</t>
        </is>
      </c>
      <c r="D1261" t="n">
        <v>6012</v>
      </c>
      <c r="E1261" t="inlineStr">
        <is>
          <t>ANALISTA DE MONITOREO</t>
        </is>
      </c>
      <c r="F1261" t="inlineStr">
        <is>
          <t>MONTERREY</t>
        </is>
      </c>
      <c r="G1261" t="n">
        <v>3714</v>
      </c>
      <c r="H1261" t="inlineStr">
        <is>
          <t>MARCOS ISRAEL CASTILLO MORENO</t>
        </is>
      </c>
      <c r="I1261" t="n">
        <v>8965</v>
      </c>
      <c r="J1261" t="inlineStr">
        <is>
          <t>GERENTE DE MONITOREO Y OBSERVABILIDAD</t>
        </is>
      </c>
      <c r="K1261" t="n">
        <v>1</v>
      </c>
      <c r="L1261" t="inlineStr">
        <is>
          <t>PRESIDENCIA EJECUTIVA DEL CONSEJO</t>
        </is>
      </c>
      <c r="M1261" t="n">
        <v>40</v>
      </c>
      <c r="N1261" t="inlineStr">
        <is>
          <t>DIRECCION GENERAL BANCO BASE</t>
        </is>
      </c>
      <c r="O1261" t="n">
        <v>310</v>
      </c>
      <c r="P1261" t="inlineStr">
        <is>
          <t>DIRECCION DE TECNOLOGIA</t>
        </is>
      </c>
      <c r="Q1261" t="n">
        <v>3110</v>
      </c>
      <c r="R1261" t="inlineStr">
        <is>
          <t>DIRECCION DE OPERACIONES DE TI</t>
        </is>
      </c>
      <c r="S1261" t="n">
        <v>31130</v>
      </c>
      <c r="T1261" t="inlineStr">
        <is>
          <t>SUBDIRECCION DE SOLUCIONES DE INFRAESTRUCTURA</t>
        </is>
      </c>
      <c r="U1261" t="n">
        <v>312000</v>
      </c>
      <c r="V1261" t="inlineStr">
        <is>
          <t>DIRECCION DE INFRAESTRUCTURA</t>
        </is>
      </c>
      <c r="W1261" t="n">
        <v>100101</v>
      </c>
      <c r="X1261" t="inlineStr">
        <is>
          <t>CORPORATIVO</t>
        </is>
      </c>
      <c r="Y1261" t="n">
        <v>4</v>
      </c>
      <c r="Z1261" t="inlineStr">
        <is>
          <t>CORPORATIVO</t>
        </is>
      </c>
      <c r="AA1261" t="n">
        <v>1</v>
      </c>
      <c r="AB1261" t="inlineStr">
        <is>
          <t>NEGOCIO EN MARCHA</t>
        </is>
      </c>
      <c r="AC1261" t="n">
        <v>1</v>
      </c>
      <c r="AD1261" t="inlineStr">
        <is>
          <t>BANCO</t>
        </is>
      </c>
      <c r="AE1261" t="n">
        <v>1</v>
      </c>
      <c r="AF1261" t="inlineStr">
        <is>
          <t>BACK</t>
        </is>
      </c>
      <c r="AG1261" t="n">
        <v>100101</v>
      </c>
      <c r="AH1261" t="inlineStr">
        <is>
          <t>CORPORATIVO</t>
        </is>
      </c>
      <c r="AI1261" t="inlineStr">
        <is>
          <t>PBOCARDO@BANCOBASE.COM</t>
        </is>
      </c>
      <c r="AJ1261" s="151" t="n">
        <v>45999</v>
      </c>
      <c r="AK1261" s="151" t="n"/>
    </row>
    <row r="1262" hidden="1" s="150">
      <c r="A1262" t="inlineStr">
        <is>
          <t>HFLORESA</t>
        </is>
      </c>
      <c r="B1262" t="n">
        <v>2846</v>
      </c>
      <c r="C1262" t="inlineStr">
        <is>
          <t>HUGO FLORES ZAVALA</t>
        </is>
      </c>
      <c r="D1262" t="n">
        <v>8076</v>
      </c>
      <c r="E1262" t="inlineStr">
        <is>
          <t>ANALISTA DE MONITOREO</t>
        </is>
      </c>
      <c r="F1262" t="inlineStr">
        <is>
          <t>MEXICO</t>
        </is>
      </c>
      <c r="G1262" t="n">
        <v>3714</v>
      </c>
      <c r="H1262" t="inlineStr">
        <is>
          <t>MARCOS ISRAEL CASTILLO MORENO</t>
        </is>
      </c>
      <c r="I1262" t="n">
        <v>8965</v>
      </c>
      <c r="J1262" t="inlineStr">
        <is>
          <t>GERENTE DE MONITOREO Y OBSERVABILIDAD</t>
        </is>
      </c>
      <c r="K1262" t="n">
        <v>1</v>
      </c>
      <c r="L1262" t="inlineStr">
        <is>
          <t>PRESIDENCIA EJECUTIVA DEL CONSEJO</t>
        </is>
      </c>
      <c r="M1262" t="n">
        <v>40</v>
      </c>
      <c r="N1262" t="inlineStr">
        <is>
          <t>DIRECCION GENERAL BANCO BASE</t>
        </is>
      </c>
      <c r="O1262" t="n">
        <v>310</v>
      </c>
      <c r="P1262" t="inlineStr">
        <is>
          <t>DIRECCION DE TECNOLOGIA</t>
        </is>
      </c>
      <c r="Q1262" t="n">
        <v>3110</v>
      </c>
      <c r="R1262" t="inlineStr">
        <is>
          <t>DIRECCION DE OPERACIONES DE TI</t>
        </is>
      </c>
      <c r="S1262" t="n">
        <v>31130</v>
      </c>
      <c r="T1262" t="inlineStr">
        <is>
          <t>SUBDIRECCION DE SOLUCIONES DE INFRAESTRUCTURA</t>
        </is>
      </c>
      <c r="U1262" t="n">
        <v>312000</v>
      </c>
      <c r="V1262" t="inlineStr">
        <is>
          <t>DIRECCION DE INFRAESTRUCTURA</t>
        </is>
      </c>
      <c r="W1262" t="n">
        <v>134111</v>
      </c>
      <c r="X1262" t="inlineStr">
        <is>
          <t>LOMAS</t>
        </is>
      </c>
      <c r="Y1262" t="n">
        <v>4</v>
      </c>
      <c r="Z1262" t="inlineStr">
        <is>
          <t>CORPORATIVO</t>
        </is>
      </c>
      <c r="AA1262" t="n">
        <v>1</v>
      </c>
      <c r="AB1262" t="inlineStr">
        <is>
          <t>NEGOCIO EN MARCHA</t>
        </is>
      </c>
      <c r="AC1262" t="n">
        <v>1</v>
      </c>
      <c r="AD1262" t="inlineStr">
        <is>
          <t>BANCO</t>
        </is>
      </c>
      <c r="AE1262" t="n">
        <v>1</v>
      </c>
      <c r="AF1262" t="inlineStr">
        <is>
          <t>BACK</t>
        </is>
      </c>
      <c r="AG1262" t="n">
        <v>134111</v>
      </c>
      <c r="AH1262" t="inlineStr">
        <is>
          <t>LOMAS</t>
        </is>
      </c>
      <c r="AI1262" t="inlineStr">
        <is>
          <t>HFLORESA@BANCOBASE.COM</t>
        </is>
      </c>
      <c r="AJ1262" s="151" t="n">
        <v>44986</v>
      </c>
      <c r="AK1262" s="151" t="n"/>
    </row>
    <row r="1263" hidden="1" s="150">
      <c r="A1263" t="inlineStr">
        <is>
          <t>UOSORIO</t>
        </is>
      </c>
      <c r="B1263" t="n">
        <v>3774</v>
      </c>
      <c r="C1263" t="inlineStr">
        <is>
          <t>ULISES OSORIO OZUNA</t>
        </is>
      </c>
      <c r="D1263" t="n">
        <v>9648</v>
      </c>
      <c r="E1263" t="inlineStr">
        <is>
          <t>ESPECIALISTA DE MONITOREO SR</t>
        </is>
      </c>
      <c r="F1263" t="inlineStr">
        <is>
          <t>MEXICO</t>
        </is>
      </c>
      <c r="G1263" t="n">
        <v>3714</v>
      </c>
      <c r="H1263" t="inlineStr">
        <is>
          <t>MARCOS ISRAEL CASTILLO MORENO</t>
        </is>
      </c>
      <c r="I1263" t="n">
        <v>8965</v>
      </c>
      <c r="J1263" t="inlineStr">
        <is>
          <t>GERENTE DE MONITOREO Y OBSERVABILIDAD</t>
        </is>
      </c>
      <c r="K1263" t="n">
        <v>1</v>
      </c>
      <c r="L1263" t="inlineStr">
        <is>
          <t>PRESIDENCIA EJECUTIVA DEL CONSEJO</t>
        </is>
      </c>
      <c r="M1263" t="n">
        <v>40</v>
      </c>
      <c r="N1263" t="inlineStr">
        <is>
          <t>DIRECCION GENERAL BANCO BASE</t>
        </is>
      </c>
      <c r="O1263" t="n">
        <v>310</v>
      </c>
      <c r="P1263" t="inlineStr">
        <is>
          <t>DIRECCION DE TECNOLOGIA</t>
        </is>
      </c>
      <c r="Q1263" t="n">
        <v>3110</v>
      </c>
      <c r="R1263" t="inlineStr">
        <is>
          <t>DIRECCION DE OPERACIONES DE TI</t>
        </is>
      </c>
      <c r="S1263" t="n">
        <v>31130</v>
      </c>
      <c r="T1263" t="inlineStr">
        <is>
          <t>SUBDIRECCION DE SOLUCIONES DE INFRAESTRUCTURA</t>
        </is>
      </c>
      <c r="U1263" t="n">
        <v>312000</v>
      </c>
      <c r="V1263" t="inlineStr">
        <is>
          <t>DIRECCION DE INFRAESTRUCTURA</t>
        </is>
      </c>
      <c r="W1263" t="n">
        <v>134111</v>
      </c>
      <c r="X1263" t="inlineStr">
        <is>
          <t>LOMAS</t>
        </is>
      </c>
      <c r="Y1263" t="n">
        <v>4</v>
      </c>
      <c r="Z1263" t="inlineStr">
        <is>
          <t>CORPORATIVO</t>
        </is>
      </c>
      <c r="AA1263" t="n">
        <v>1</v>
      </c>
      <c r="AB1263" t="inlineStr">
        <is>
          <t>NEGOCIO EN MARCHA</t>
        </is>
      </c>
      <c r="AC1263" t="n">
        <v>1</v>
      </c>
      <c r="AD1263" t="inlineStr">
        <is>
          <t>BANCO</t>
        </is>
      </c>
      <c r="AE1263" t="n">
        <v>1</v>
      </c>
      <c r="AF1263" t="inlineStr">
        <is>
          <t>BACK</t>
        </is>
      </c>
      <c r="AG1263" t="n">
        <v>134111</v>
      </c>
      <c r="AH1263" t="inlineStr">
        <is>
          <t>LOMAS</t>
        </is>
      </c>
      <c r="AI1263" t="inlineStr">
        <is>
          <t>UOSORIO@BANCOBASE.COM</t>
        </is>
      </c>
      <c r="AJ1263" s="151" t="n">
        <v>46083</v>
      </c>
      <c r="AK1263" s="151" t="n"/>
    </row>
    <row r="1264" hidden="1" s="150">
      <c r="A1264" t="inlineStr">
        <is>
          <t>EROBLES</t>
        </is>
      </c>
      <c r="B1264" t="n">
        <v>3781</v>
      </c>
      <c r="C1264" t="inlineStr">
        <is>
          <t>EDUARDO ROBLES HERNANDEZ</t>
        </is>
      </c>
      <c r="D1264" t="n">
        <v>8081</v>
      </c>
      <c r="E1264" t="inlineStr">
        <is>
          <t>ANALISTA DE MONITOREO</t>
        </is>
      </c>
      <c r="F1264" t="inlineStr">
        <is>
          <t>MONTERREY</t>
        </is>
      </c>
      <c r="G1264" t="n">
        <v>3714</v>
      </c>
      <c r="H1264" t="inlineStr">
        <is>
          <t>MARCOS ISRAEL CASTILLO MORENO</t>
        </is>
      </c>
      <c r="I1264" t="n">
        <v>8965</v>
      </c>
      <c r="J1264" t="inlineStr">
        <is>
          <t>GERENTE DE MONITOREO Y OBSERVABILIDAD</t>
        </is>
      </c>
      <c r="K1264" t="n">
        <v>1</v>
      </c>
      <c r="L1264" t="inlineStr">
        <is>
          <t>PRESIDENCIA EJECUTIVA DEL CONSEJO</t>
        </is>
      </c>
      <c r="M1264" t="n">
        <v>40</v>
      </c>
      <c r="N1264" t="inlineStr">
        <is>
          <t>DIRECCION GENERAL BANCO BASE</t>
        </is>
      </c>
      <c r="O1264" t="n">
        <v>310</v>
      </c>
      <c r="P1264" t="inlineStr">
        <is>
          <t>DIRECCION DE TECNOLOGIA</t>
        </is>
      </c>
      <c r="Q1264" t="n">
        <v>3110</v>
      </c>
      <c r="R1264" t="inlineStr">
        <is>
          <t>DIRECCION DE OPERACIONES DE TI</t>
        </is>
      </c>
      <c r="S1264" t="n">
        <v>31130</v>
      </c>
      <c r="T1264" t="inlineStr">
        <is>
          <t>SUBDIRECCION DE SOLUCIONES DE INFRAESTRUCTURA</t>
        </is>
      </c>
      <c r="U1264" t="n">
        <v>312000</v>
      </c>
      <c r="V1264" t="inlineStr">
        <is>
          <t>DIRECCION DE INFRAESTRUCTURA</t>
        </is>
      </c>
      <c r="W1264" t="n">
        <v>100101</v>
      </c>
      <c r="X1264" t="inlineStr">
        <is>
          <t>CORPORATIVO</t>
        </is>
      </c>
      <c r="Y1264" t="n">
        <v>4</v>
      </c>
      <c r="Z1264" t="inlineStr">
        <is>
          <t>CORPORATIVO</t>
        </is>
      </c>
      <c r="AA1264" t="n">
        <v>1</v>
      </c>
      <c r="AB1264" t="inlineStr">
        <is>
          <t>NEGOCIO EN MARCHA</t>
        </is>
      </c>
      <c r="AC1264" t="n">
        <v>1</v>
      </c>
      <c r="AD1264" t="inlineStr">
        <is>
          <t>BANCO</t>
        </is>
      </c>
      <c r="AE1264" t="n">
        <v>1</v>
      </c>
      <c r="AF1264" t="inlineStr">
        <is>
          <t>BACK</t>
        </is>
      </c>
      <c r="AG1264" t="n">
        <v>100101</v>
      </c>
      <c r="AH1264" t="inlineStr">
        <is>
          <t>CORPORATIVO</t>
        </is>
      </c>
      <c r="AI1264" t="inlineStr">
        <is>
          <t>EROBLES@BANCOBASE.COM</t>
        </is>
      </c>
      <c r="AJ1264" s="151" t="n">
        <v>46098</v>
      </c>
      <c r="AK1264" s="151" t="n"/>
    </row>
    <row r="1265" hidden="1" s="150">
      <c r="A1265" t="inlineStr">
        <is>
          <t>OCANDELAS</t>
        </is>
      </c>
      <c r="B1265" t="n">
        <v>3832</v>
      </c>
      <c r="C1265" t="inlineStr">
        <is>
          <t>OSCAR CANDELAS TOVAR</t>
        </is>
      </c>
      <c r="D1265" t="n">
        <v>9695</v>
      </c>
      <c r="E1265" t="inlineStr">
        <is>
          <t>ANALISTA DE MONITOREO</t>
        </is>
      </c>
      <c r="F1265" t="inlineStr">
        <is>
          <t>MONTERREY</t>
        </is>
      </c>
      <c r="G1265" t="n">
        <v>3714</v>
      </c>
      <c r="H1265" t="inlineStr">
        <is>
          <t>MARCOS ISRAEL CASTILLO MORENO</t>
        </is>
      </c>
      <c r="I1265" t="n">
        <v>8965</v>
      </c>
      <c r="J1265" t="inlineStr">
        <is>
          <t>GERENTE DE MONITOREO Y OBSERVABILIDAD</t>
        </is>
      </c>
      <c r="K1265" t="n">
        <v>1</v>
      </c>
      <c r="L1265" t="inlineStr">
        <is>
          <t>PRESIDENCIA EJECUTIVA DEL CONSEJO</t>
        </is>
      </c>
      <c r="M1265" t="n">
        <v>40</v>
      </c>
      <c r="N1265" t="inlineStr">
        <is>
          <t>DIRECCION GENERAL BANCO BASE</t>
        </is>
      </c>
      <c r="O1265" t="n">
        <v>310</v>
      </c>
      <c r="P1265" t="inlineStr">
        <is>
          <t>DIRECCION DE TECNOLOGIA</t>
        </is>
      </c>
      <c r="Q1265" t="n">
        <v>3110</v>
      </c>
      <c r="R1265" t="inlineStr">
        <is>
          <t>DIRECCION DE OPERACIONES DE TI</t>
        </is>
      </c>
      <c r="S1265" t="n">
        <v>31130</v>
      </c>
      <c r="T1265" t="inlineStr">
        <is>
          <t>SUBDIRECCION DE SOLUCIONES DE INFRAESTRUCTURA</t>
        </is>
      </c>
      <c r="U1265" t="n">
        <v>312000</v>
      </c>
      <c r="V1265" t="inlineStr">
        <is>
          <t>DIRECCION DE INFRAESTRUCTURA</t>
        </is>
      </c>
      <c r="W1265" t="n">
        <v>100101</v>
      </c>
      <c r="X1265" t="inlineStr">
        <is>
          <t>CORPORATIVO</t>
        </is>
      </c>
      <c r="Y1265" t="n">
        <v>4</v>
      </c>
      <c r="Z1265" t="inlineStr">
        <is>
          <t>CORPORATIVO</t>
        </is>
      </c>
      <c r="AA1265" t="n">
        <v>1</v>
      </c>
      <c r="AB1265" t="inlineStr">
        <is>
          <t>NEGOCIO EN MARCHA</t>
        </is>
      </c>
      <c r="AC1265" t="n">
        <v>1</v>
      </c>
      <c r="AD1265" t="inlineStr">
        <is>
          <t>BANCO</t>
        </is>
      </c>
      <c r="AE1265" t="n">
        <v>1</v>
      </c>
      <c r="AF1265" t="inlineStr">
        <is>
          <t>BACK</t>
        </is>
      </c>
      <c r="AG1265" t="n">
        <v>100101</v>
      </c>
      <c r="AH1265" t="inlineStr">
        <is>
          <t>CORPORATIVO</t>
        </is>
      </c>
      <c r="AI1265" t="inlineStr">
        <is>
          <t>OCANDELAS@BANCOBASE.COM</t>
        </is>
      </c>
      <c r="AJ1265" s="151" t="n">
        <v>46128</v>
      </c>
      <c r="AK1265" s="151" t="n"/>
    </row>
    <row r="1266" hidden="1" s="150">
      <c r="A1266" t="inlineStr">
        <is>
          <t>HLOPEZV</t>
        </is>
      </c>
      <c r="B1266" t="n">
        <v>2979</v>
      </c>
      <c r="C1266" t="inlineStr">
        <is>
          <t>HERMILA ELIZABETH LOPEZ VILLANUEVA</t>
        </is>
      </c>
      <c r="D1266" t="n">
        <v>9639</v>
      </c>
      <c r="E1266" t="inlineStr">
        <is>
          <t>DIRECTOR DE OFICINA DE TI</t>
        </is>
      </c>
      <c r="F1266" t="inlineStr">
        <is>
          <t>MONTERREY</t>
        </is>
      </c>
      <c r="G1266" t="n">
        <v>3043</v>
      </c>
      <c r="H1266" t="inlineStr">
        <is>
          <t>PAOLA CAROLINA CANO CRUZ</t>
        </is>
      </c>
      <c r="I1266" t="n">
        <v>10402</v>
      </c>
      <c r="J1266" t="inlineStr">
        <is>
          <t>DIRECTOR DE TECNOLOGIA</t>
        </is>
      </c>
      <c r="K1266" t="n">
        <v>1</v>
      </c>
      <c r="L1266" t="inlineStr">
        <is>
          <t>PRESIDENCIA EJECUTIVA DEL CONSEJO</t>
        </is>
      </c>
      <c r="M1266" t="n">
        <v>40</v>
      </c>
      <c r="N1266" t="inlineStr">
        <is>
          <t>DIRECCION GENERAL BANCO BASE</t>
        </is>
      </c>
      <c r="O1266" t="n">
        <v>310</v>
      </c>
      <c r="P1266" t="inlineStr">
        <is>
          <t>DIRECCION DE TECNOLOGIA</t>
        </is>
      </c>
      <c r="Q1266" t="n">
        <v>3130</v>
      </c>
      <c r="R1266" t="inlineStr">
        <is>
          <t>DIRECCION DE OFICINA DE TI</t>
        </is>
      </c>
      <c r="S1266" t="n">
        <v>31300</v>
      </c>
      <c r="T1266" t="inlineStr">
        <is>
          <t>DIRECCION DE OFICINA DE TI</t>
        </is>
      </c>
      <c r="U1266" t="n">
        <v>313000</v>
      </c>
      <c r="V1266" t="inlineStr">
        <is>
          <t>DIRECCION DE OFICINA DE TI</t>
        </is>
      </c>
      <c r="W1266" t="n">
        <v>100101</v>
      </c>
      <c r="X1266" t="inlineStr">
        <is>
          <t>CORPORATIVO</t>
        </is>
      </c>
      <c r="Y1266" t="n">
        <v>4</v>
      </c>
      <c r="Z1266" t="inlineStr">
        <is>
          <t>CORPORATIVO</t>
        </is>
      </c>
      <c r="AA1266" t="n">
        <v>1</v>
      </c>
      <c r="AB1266" t="inlineStr">
        <is>
          <t>NEGOCIO EN MARCHA</t>
        </is>
      </c>
      <c r="AC1266" t="n">
        <v>1</v>
      </c>
      <c r="AD1266" t="inlineStr">
        <is>
          <t>BANCO</t>
        </is>
      </c>
      <c r="AE1266" t="n">
        <v>1</v>
      </c>
      <c r="AF1266" t="inlineStr">
        <is>
          <t>BACK</t>
        </is>
      </c>
      <c r="AG1266" t="n">
        <v>100101</v>
      </c>
      <c r="AH1266" t="inlineStr">
        <is>
          <t>CORPORATIVO</t>
        </is>
      </c>
      <c r="AI1266" t="inlineStr">
        <is>
          <t>HLOPEZV@BANCOBASE.COM</t>
        </is>
      </c>
      <c r="AJ1266" s="151" t="n">
        <v>45231</v>
      </c>
      <c r="AK1266" s="151" t="n"/>
    </row>
    <row r="1267" hidden="1" s="150">
      <c r="A1267" t="inlineStr">
        <is>
          <t>SROMO</t>
        </is>
      </c>
      <c r="B1267" t="n">
        <v>1189</v>
      </c>
      <c r="C1267" t="inlineStr">
        <is>
          <t>SONIA NOHEMI ROMO HERRERA</t>
        </is>
      </c>
      <c r="D1267" t="n">
        <v>8456</v>
      </c>
      <c r="E1267" t="inlineStr">
        <is>
          <t>SUBDIRECTOR DE OFICINA DE PROYECTOS</t>
        </is>
      </c>
      <c r="F1267" t="inlineStr">
        <is>
          <t>MEXICO</t>
        </is>
      </c>
      <c r="G1267" t="n">
        <v>2979</v>
      </c>
      <c r="H1267" t="inlineStr">
        <is>
          <t>HERMILA ELIZABETH LOPEZ VILLANUEVA</t>
        </is>
      </c>
      <c r="I1267" t="n">
        <v>9639</v>
      </c>
      <c r="J1267" t="inlineStr">
        <is>
          <t>DIRECTOR DE OFICINA DE TI</t>
        </is>
      </c>
      <c r="K1267" t="n">
        <v>1</v>
      </c>
      <c r="L1267" t="inlineStr">
        <is>
          <t>PRESIDENCIA EJECUTIVA DEL CONSEJO</t>
        </is>
      </c>
      <c r="M1267" t="n">
        <v>40</v>
      </c>
      <c r="N1267" t="inlineStr">
        <is>
          <t>DIRECCION GENERAL BANCO BASE</t>
        </is>
      </c>
      <c r="O1267" t="n">
        <v>310</v>
      </c>
      <c r="P1267" t="inlineStr">
        <is>
          <t>DIRECCION DE TECNOLOGIA</t>
        </is>
      </c>
      <c r="Q1267" t="n">
        <v>3130</v>
      </c>
      <c r="R1267" t="inlineStr">
        <is>
          <t>DIRECCION DE OFICINA DE TI</t>
        </is>
      </c>
      <c r="S1267" t="n">
        <v>31300</v>
      </c>
      <c r="T1267" t="inlineStr">
        <is>
          <t>DIRECCION DE OFICINA DE TI</t>
        </is>
      </c>
      <c r="U1267" t="n">
        <v>313000</v>
      </c>
      <c r="V1267" t="inlineStr">
        <is>
          <t>DIRECCION DE OFICINA DE TI</t>
        </is>
      </c>
      <c r="W1267" t="n">
        <v>134111</v>
      </c>
      <c r="X1267" t="inlineStr">
        <is>
          <t>LOMAS</t>
        </is>
      </c>
      <c r="Y1267" t="n">
        <v>4</v>
      </c>
      <c r="Z1267" t="inlineStr">
        <is>
          <t>CORPORATIVO</t>
        </is>
      </c>
      <c r="AA1267" t="n">
        <v>8</v>
      </c>
      <c r="AB1267" t="inlineStr">
        <is>
          <t>BAU</t>
        </is>
      </c>
      <c r="AC1267" t="n">
        <v>1</v>
      </c>
      <c r="AD1267" t="inlineStr">
        <is>
          <t>BANCO</t>
        </is>
      </c>
      <c r="AE1267" t="n">
        <v>1</v>
      </c>
      <c r="AF1267" t="inlineStr">
        <is>
          <t>BACK</t>
        </is>
      </c>
      <c r="AG1267" t="n">
        <v>134111</v>
      </c>
      <c r="AH1267" t="inlineStr">
        <is>
          <t>LOMAS</t>
        </is>
      </c>
      <c r="AI1267" t="inlineStr">
        <is>
          <t>SROMO@BANCOBASE.COM</t>
        </is>
      </c>
      <c r="AJ1267" s="151" t="n">
        <v>41852</v>
      </c>
      <c r="AK1267" s="151" t="n"/>
    </row>
    <row r="1268" hidden="1" s="150">
      <c r="A1268" t="inlineStr">
        <is>
          <t>JISLAS</t>
        </is>
      </c>
      <c r="B1268" t="n">
        <v>3209</v>
      </c>
      <c r="C1268" t="inlineStr">
        <is>
          <t>JOSE DAVID ISLAS ROMAN</t>
        </is>
      </c>
      <c r="D1268" t="n">
        <v>8434</v>
      </c>
      <c r="E1268" t="inlineStr">
        <is>
          <t>GERENTE DE PROYECTOS</t>
        </is>
      </c>
      <c r="F1268" t="inlineStr">
        <is>
          <t>TELETRABAJO</t>
        </is>
      </c>
      <c r="G1268" t="n">
        <v>1189</v>
      </c>
      <c r="H1268" t="inlineStr">
        <is>
          <t>SONIA NOHEMI ROMO HERRERA</t>
        </is>
      </c>
      <c r="I1268" t="n">
        <v>8456</v>
      </c>
      <c r="J1268" t="inlineStr">
        <is>
          <t>SUBDIRECTOR DE OFICINA DE PROYECTOS</t>
        </is>
      </c>
      <c r="K1268" t="n">
        <v>1</v>
      </c>
      <c r="L1268" t="inlineStr">
        <is>
          <t>PRESIDENCIA EJECUTIVA DEL CONSEJO</t>
        </is>
      </c>
      <c r="M1268" t="n">
        <v>40</v>
      </c>
      <c r="N1268" t="inlineStr">
        <is>
          <t>DIRECCION GENERAL BANCO BASE</t>
        </is>
      </c>
      <c r="O1268" t="n">
        <v>310</v>
      </c>
      <c r="P1268" t="inlineStr">
        <is>
          <t>DIRECCION DE TECNOLOGIA</t>
        </is>
      </c>
      <c r="Q1268" t="n">
        <v>3130</v>
      </c>
      <c r="R1268" t="inlineStr">
        <is>
          <t>DIRECCION DE OFICINA DE TI</t>
        </is>
      </c>
      <c r="S1268" t="n">
        <v>31300</v>
      </c>
      <c r="T1268" t="inlineStr">
        <is>
          <t>DIRECCION DE OFICINA DE TI</t>
        </is>
      </c>
      <c r="U1268" t="n">
        <v>313000</v>
      </c>
      <c r="V1268" t="inlineStr">
        <is>
          <t>DIRECCION DE OFICINA DE TI</t>
        </is>
      </c>
      <c r="W1268" t="n">
        <v>126113</v>
      </c>
      <c r="X1268" t="inlineStr">
        <is>
          <t>REYNOSA</t>
        </is>
      </c>
      <c r="Y1268" t="n">
        <v>4</v>
      </c>
      <c r="Z1268" t="inlineStr">
        <is>
          <t>CORPORATIVO</t>
        </is>
      </c>
      <c r="AA1268" t="n">
        <v>8</v>
      </c>
      <c r="AB1268" t="inlineStr">
        <is>
          <t>BAU</t>
        </is>
      </c>
      <c r="AC1268" t="n">
        <v>1</v>
      </c>
      <c r="AD1268" t="inlineStr">
        <is>
          <t>BANCO</t>
        </is>
      </c>
      <c r="AE1268" t="n">
        <v>1</v>
      </c>
      <c r="AF1268" t="inlineStr">
        <is>
          <t>BACK</t>
        </is>
      </c>
      <c r="AG1268" t="n">
        <v>126113</v>
      </c>
      <c r="AH1268" t="inlineStr">
        <is>
          <t>REYNOSA</t>
        </is>
      </c>
      <c r="AI1268" t="inlineStr">
        <is>
          <t>JISLAS@BANCOBASE.COM</t>
        </is>
      </c>
      <c r="AJ1268" s="151" t="n">
        <v>45552</v>
      </c>
      <c r="AK1268" s="151" t="n"/>
    </row>
    <row r="1269" hidden="1" s="150">
      <c r="A1269" t="inlineStr">
        <is>
          <t>UIBARRA</t>
        </is>
      </c>
      <c r="B1269" t="n">
        <v>3252</v>
      </c>
      <c r="C1269" t="inlineStr">
        <is>
          <t>ANGEL ULISES IBARRA GARCIA</t>
        </is>
      </c>
      <c r="D1269" t="n">
        <v>8460</v>
      </c>
      <c r="E1269" t="inlineStr">
        <is>
          <t>GERENTE DE PROYECTOS</t>
        </is>
      </c>
      <c r="F1269" t="inlineStr">
        <is>
          <t>MEXICO</t>
        </is>
      </c>
      <c r="G1269" t="n">
        <v>1189</v>
      </c>
      <c r="H1269" t="inlineStr">
        <is>
          <t>SONIA NOHEMI ROMO HERRERA</t>
        </is>
      </c>
      <c r="I1269" t="n">
        <v>8456</v>
      </c>
      <c r="J1269" t="inlineStr">
        <is>
          <t>SUBDIRECTOR DE OFICINA DE PROYECTOS</t>
        </is>
      </c>
      <c r="K1269" t="n">
        <v>1</v>
      </c>
      <c r="L1269" t="inlineStr">
        <is>
          <t>PRESIDENCIA EJECUTIVA DEL CONSEJO</t>
        </is>
      </c>
      <c r="M1269" t="n">
        <v>40</v>
      </c>
      <c r="N1269" t="inlineStr">
        <is>
          <t>DIRECCION GENERAL BANCO BASE</t>
        </is>
      </c>
      <c r="O1269" t="n">
        <v>310</v>
      </c>
      <c r="P1269" t="inlineStr">
        <is>
          <t>DIRECCION DE TECNOLOGIA</t>
        </is>
      </c>
      <c r="Q1269" t="n">
        <v>3130</v>
      </c>
      <c r="R1269" t="inlineStr">
        <is>
          <t>DIRECCION DE OFICINA DE TI</t>
        </is>
      </c>
      <c r="S1269" t="n">
        <v>31300</v>
      </c>
      <c r="T1269" t="inlineStr">
        <is>
          <t>DIRECCION DE OFICINA DE TI</t>
        </is>
      </c>
      <c r="U1269" t="n">
        <v>313000</v>
      </c>
      <c r="V1269" t="inlineStr">
        <is>
          <t>DIRECCION DE OFICINA DE TI</t>
        </is>
      </c>
      <c r="W1269" t="n">
        <v>134111</v>
      </c>
      <c r="X1269" t="inlineStr">
        <is>
          <t>LOMAS</t>
        </is>
      </c>
      <c r="Y1269" t="n">
        <v>4</v>
      </c>
      <c r="Z1269" t="inlineStr">
        <is>
          <t>CORPORATIVO</t>
        </is>
      </c>
      <c r="AA1269" t="n">
        <v>8</v>
      </c>
      <c r="AB1269" t="inlineStr">
        <is>
          <t>BAU</t>
        </is>
      </c>
      <c r="AC1269" t="n">
        <v>1</v>
      </c>
      <c r="AD1269" t="inlineStr">
        <is>
          <t>BANCO</t>
        </is>
      </c>
      <c r="AE1269" t="n">
        <v>1</v>
      </c>
      <c r="AF1269" t="inlineStr">
        <is>
          <t>BACK</t>
        </is>
      </c>
      <c r="AG1269" t="n">
        <v>134111</v>
      </c>
      <c r="AH1269" t="inlineStr">
        <is>
          <t>LOMAS</t>
        </is>
      </c>
      <c r="AI1269" t="inlineStr">
        <is>
          <t>UIBARRA@BANCOBASE.COM</t>
        </is>
      </c>
      <c r="AJ1269" s="151" t="n">
        <v>45600</v>
      </c>
      <c r="AK1269" s="151" t="n"/>
    </row>
    <row r="1270" hidden="1" s="150">
      <c r="A1270" t="inlineStr">
        <is>
          <t>AGARCIAH</t>
        </is>
      </c>
      <c r="B1270" t="n">
        <v>3482</v>
      </c>
      <c r="C1270" t="inlineStr">
        <is>
          <t>ALINE GABRIELA GARCIA HERNANDEZ</t>
        </is>
      </c>
      <c r="D1270" t="n">
        <v>8476</v>
      </c>
      <c r="E1270" t="inlineStr">
        <is>
          <t>GERENTE DE PROYECTOS</t>
        </is>
      </c>
      <c r="F1270" t="inlineStr">
        <is>
          <t>MEXICO</t>
        </is>
      </c>
      <c r="G1270" t="n">
        <v>1189</v>
      </c>
      <c r="H1270" t="inlineStr">
        <is>
          <t>SONIA NOHEMI ROMO HERRERA</t>
        </is>
      </c>
      <c r="I1270" t="n">
        <v>8456</v>
      </c>
      <c r="J1270" t="inlineStr">
        <is>
          <t>SUBDIRECTOR DE OFICINA DE PROYECTOS</t>
        </is>
      </c>
      <c r="K1270" t="n">
        <v>1</v>
      </c>
      <c r="L1270" t="inlineStr">
        <is>
          <t>PRESIDENCIA EJECUTIVA DEL CONSEJO</t>
        </is>
      </c>
      <c r="M1270" t="n">
        <v>40</v>
      </c>
      <c r="N1270" t="inlineStr">
        <is>
          <t>DIRECCION GENERAL BANCO BASE</t>
        </is>
      </c>
      <c r="O1270" t="n">
        <v>310</v>
      </c>
      <c r="P1270" t="inlineStr">
        <is>
          <t>DIRECCION DE TECNOLOGIA</t>
        </is>
      </c>
      <c r="Q1270" t="n">
        <v>3130</v>
      </c>
      <c r="R1270" t="inlineStr">
        <is>
          <t>DIRECCION DE OFICINA DE TI</t>
        </is>
      </c>
      <c r="S1270" t="n">
        <v>31300</v>
      </c>
      <c r="T1270" t="inlineStr">
        <is>
          <t>DIRECCION DE OFICINA DE TI</t>
        </is>
      </c>
      <c r="U1270" t="n">
        <v>313000</v>
      </c>
      <c r="V1270" t="inlineStr">
        <is>
          <t>DIRECCION DE OFICINA DE TI</t>
        </is>
      </c>
      <c r="W1270" t="n">
        <v>134111</v>
      </c>
      <c r="X1270" t="inlineStr">
        <is>
          <t>LOMAS</t>
        </is>
      </c>
      <c r="Y1270" t="n">
        <v>4</v>
      </c>
      <c r="Z1270" t="inlineStr">
        <is>
          <t>CORPORATIVO</t>
        </is>
      </c>
      <c r="AA1270" t="n">
        <v>1</v>
      </c>
      <c r="AB1270" t="inlineStr">
        <is>
          <t>NEGOCIO EN MARCHA</t>
        </is>
      </c>
      <c r="AC1270" t="n">
        <v>1</v>
      </c>
      <c r="AD1270" t="inlineStr">
        <is>
          <t>BANCO</t>
        </is>
      </c>
      <c r="AE1270" t="n">
        <v>1</v>
      </c>
      <c r="AF1270" t="inlineStr">
        <is>
          <t>BACK</t>
        </is>
      </c>
      <c r="AG1270" t="n">
        <v>134111</v>
      </c>
      <c r="AH1270" t="inlineStr">
        <is>
          <t>LOMAS</t>
        </is>
      </c>
      <c r="AI1270" t="inlineStr">
        <is>
          <t>AGARCIAH@BANCOBASE.COM</t>
        </is>
      </c>
      <c r="AJ1270" s="151" t="n">
        <v>45854</v>
      </c>
      <c r="AK1270" s="151" t="n"/>
    </row>
    <row r="1271" hidden="1" s="150">
      <c r="A1271" t="inlineStr">
        <is>
          <t>JRODRIGUEA</t>
        </is>
      </c>
      <c r="B1271" t="n">
        <v>3483</v>
      </c>
      <c r="C1271" t="inlineStr">
        <is>
          <t>JOSE RODRIGUEZ ARIAS</t>
        </is>
      </c>
      <c r="D1271" t="n">
        <v>10396</v>
      </c>
      <c r="E1271" t="inlineStr">
        <is>
          <t>GERENTE DE PROYECTOS</t>
        </is>
      </c>
      <c r="F1271" t="inlineStr">
        <is>
          <t>MEXICO</t>
        </is>
      </c>
      <c r="G1271" t="n">
        <v>1189</v>
      </c>
      <c r="H1271" t="inlineStr">
        <is>
          <t>SONIA NOHEMI ROMO HERRERA</t>
        </is>
      </c>
      <c r="I1271" t="n">
        <v>8456</v>
      </c>
      <c r="J1271" t="inlineStr">
        <is>
          <t>SUBDIRECTOR DE OFICINA DE PROYECTOS</t>
        </is>
      </c>
      <c r="K1271" t="n">
        <v>1</v>
      </c>
      <c r="L1271" t="inlineStr">
        <is>
          <t>PRESIDENCIA EJECUTIVA DEL CONSEJO</t>
        </is>
      </c>
      <c r="M1271" t="n">
        <v>40</v>
      </c>
      <c r="N1271" t="inlineStr">
        <is>
          <t>DIRECCION GENERAL BANCO BASE</t>
        </is>
      </c>
      <c r="O1271" t="n">
        <v>310</v>
      </c>
      <c r="P1271" t="inlineStr">
        <is>
          <t>DIRECCION DE TECNOLOGIA</t>
        </is>
      </c>
      <c r="Q1271" t="n">
        <v>3130</v>
      </c>
      <c r="R1271" t="inlineStr">
        <is>
          <t>DIRECCION DE OFICINA DE TI</t>
        </is>
      </c>
      <c r="S1271" t="n">
        <v>31300</v>
      </c>
      <c r="T1271" t="inlineStr">
        <is>
          <t>DIRECCION DE OFICINA DE TI</t>
        </is>
      </c>
      <c r="U1271" t="n">
        <v>313000</v>
      </c>
      <c r="V1271" t="inlineStr">
        <is>
          <t>DIRECCION DE OFICINA DE TI</t>
        </is>
      </c>
      <c r="W1271" t="n">
        <v>134111</v>
      </c>
      <c r="X1271" t="inlineStr">
        <is>
          <t>LOMAS</t>
        </is>
      </c>
      <c r="Y1271" t="n">
        <v>4</v>
      </c>
      <c r="Z1271" t="inlineStr">
        <is>
          <t>CORPORATIVO</t>
        </is>
      </c>
      <c r="AA1271" t="n">
        <v>1</v>
      </c>
      <c r="AB1271" t="inlineStr">
        <is>
          <t>NEGOCIO EN MARCHA</t>
        </is>
      </c>
      <c r="AC1271" t="n">
        <v>1</v>
      </c>
      <c r="AD1271" t="inlineStr">
        <is>
          <t>BANCO</t>
        </is>
      </c>
      <c r="AE1271" t="n">
        <v>1</v>
      </c>
      <c r="AF1271" t="inlineStr">
        <is>
          <t>BACK</t>
        </is>
      </c>
      <c r="AG1271" t="n">
        <v>134111</v>
      </c>
      <c r="AH1271" t="inlineStr">
        <is>
          <t>LOMAS</t>
        </is>
      </c>
      <c r="AI1271" t="inlineStr">
        <is>
          <t>JRODRIGUEA@BANCOBASE.COM</t>
        </is>
      </c>
      <c r="AJ1271" s="151" t="n">
        <v>45854</v>
      </c>
      <c r="AK1271" s="151" t="n"/>
    </row>
    <row r="1272" hidden="1" s="150">
      <c r="A1272" t="inlineStr">
        <is>
          <t>PMARTINEZ</t>
        </is>
      </c>
      <c r="B1272" t="n">
        <v>2142</v>
      </c>
      <c r="C1272" t="inlineStr">
        <is>
          <t>PEDRO MARTINEZ HERNANDEZ</t>
        </is>
      </c>
      <c r="D1272" t="n">
        <v>9433</v>
      </c>
      <c r="E1272" t="inlineStr">
        <is>
          <t>COORDINADOR DE PROYECTOS</t>
        </is>
      </c>
      <c r="F1272" t="inlineStr">
        <is>
          <t>MONTERREY</t>
        </is>
      </c>
      <c r="G1272" t="n">
        <v>1189</v>
      </c>
      <c r="H1272" t="inlineStr">
        <is>
          <t>SONIA NOHEMI ROMO HERRERA</t>
        </is>
      </c>
      <c r="I1272" t="n">
        <v>8456</v>
      </c>
      <c r="J1272" t="inlineStr">
        <is>
          <t>SUBDIRECTOR DE OFICINA DE PROYECTOS</t>
        </is>
      </c>
      <c r="K1272" t="n">
        <v>1</v>
      </c>
      <c r="L1272" t="inlineStr">
        <is>
          <t>PRESIDENCIA EJECUTIVA DEL CONSEJO</t>
        </is>
      </c>
      <c r="M1272" t="n">
        <v>40</v>
      </c>
      <c r="N1272" t="inlineStr">
        <is>
          <t>DIRECCION GENERAL BANCO BASE</t>
        </is>
      </c>
      <c r="O1272" t="n">
        <v>310</v>
      </c>
      <c r="P1272" t="inlineStr">
        <is>
          <t>DIRECCION DE TECNOLOGIA</t>
        </is>
      </c>
      <c r="Q1272" t="n">
        <v>3130</v>
      </c>
      <c r="R1272" t="inlineStr">
        <is>
          <t>DIRECCION DE OFICINA DE TI</t>
        </is>
      </c>
      <c r="S1272" t="n">
        <v>31300</v>
      </c>
      <c r="T1272" t="inlineStr">
        <is>
          <t>DIRECCION DE OFICINA DE TI</t>
        </is>
      </c>
      <c r="U1272" t="n">
        <v>313000</v>
      </c>
      <c r="V1272" t="inlineStr">
        <is>
          <t>DIRECCION DE OFICINA DE TI</t>
        </is>
      </c>
      <c r="W1272" t="n">
        <v>100101</v>
      </c>
      <c r="X1272" t="inlineStr">
        <is>
          <t>CORPORATIVO</t>
        </is>
      </c>
      <c r="Y1272" t="n">
        <v>4</v>
      </c>
      <c r="Z1272" t="inlineStr">
        <is>
          <t>CORPORATIVO</t>
        </is>
      </c>
      <c r="AA1272" t="n">
        <v>1</v>
      </c>
      <c r="AB1272" t="inlineStr">
        <is>
          <t>NEGOCIO EN MARCHA</t>
        </is>
      </c>
      <c r="AC1272" t="n">
        <v>1</v>
      </c>
      <c r="AD1272" t="inlineStr">
        <is>
          <t>BANCO</t>
        </is>
      </c>
      <c r="AE1272" t="n">
        <v>1</v>
      </c>
      <c r="AF1272" t="inlineStr">
        <is>
          <t>BACK</t>
        </is>
      </c>
      <c r="AG1272" t="n">
        <v>100101</v>
      </c>
      <c r="AH1272" t="inlineStr">
        <is>
          <t>CORPORATIVO</t>
        </is>
      </c>
      <c r="AI1272" t="inlineStr">
        <is>
          <t>PMARTINEZ@BANCOBASE.COM</t>
        </is>
      </c>
      <c r="AJ1272" s="151" t="n">
        <v>43420</v>
      </c>
      <c r="AK1272" s="151" t="n"/>
    </row>
    <row r="1273" hidden="1" s="150">
      <c r="A1273" t="inlineStr">
        <is>
          <t>MONDARZA</t>
        </is>
      </c>
      <c r="B1273" t="n">
        <v>653</v>
      </c>
      <c r="C1273" t="inlineStr">
        <is>
          <t>MARCO ANTONIO ONDARZA HERNANDEZ</t>
        </is>
      </c>
      <c r="D1273" t="n">
        <v>118</v>
      </c>
      <c r="E1273" t="inlineStr">
        <is>
          <t>SUPERVISOR DE PROCESOS INTERNOS DE TECNOLOGIA</t>
        </is>
      </c>
      <c r="F1273" t="inlineStr">
        <is>
          <t>MONTERREY</t>
        </is>
      </c>
      <c r="G1273" t="n">
        <v>2979</v>
      </c>
      <c r="H1273" t="inlineStr">
        <is>
          <t>HERMILA ELIZABETH LOPEZ VILLANUEVA</t>
        </is>
      </c>
      <c r="I1273" t="n">
        <v>9639</v>
      </c>
      <c r="J1273" t="inlineStr">
        <is>
          <t>DIRECTOR DE OFICINA DE TI</t>
        </is>
      </c>
      <c r="K1273" t="n">
        <v>1</v>
      </c>
      <c r="L1273" t="inlineStr">
        <is>
          <t>PRESIDENCIA EJECUTIVA DEL CONSEJO</t>
        </is>
      </c>
      <c r="M1273" t="n">
        <v>40</v>
      </c>
      <c r="N1273" t="inlineStr">
        <is>
          <t>DIRECCION GENERAL BANCO BASE</t>
        </is>
      </c>
      <c r="O1273" t="n">
        <v>310</v>
      </c>
      <c r="P1273" t="inlineStr">
        <is>
          <t>DIRECCION DE TECNOLOGIA</t>
        </is>
      </c>
      <c r="Q1273" t="n">
        <v>3130</v>
      </c>
      <c r="R1273" t="inlineStr">
        <is>
          <t>DIRECCION DE OFICINA DE TI</t>
        </is>
      </c>
      <c r="S1273" t="n">
        <v>31300</v>
      </c>
      <c r="T1273" t="inlineStr">
        <is>
          <t>DIRECCION DE OFICINA DE TI</t>
        </is>
      </c>
      <c r="U1273" t="n">
        <v>313000</v>
      </c>
      <c r="V1273" t="inlineStr">
        <is>
          <t>DIRECCION DE OFICINA DE TI</t>
        </is>
      </c>
      <c r="W1273" t="n">
        <v>100101</v>
      </c>
      <c r="X1273" t="inlineStr">
        <is>
          <t>CORPORATIVO</t>
        </is>
      </c>
      <c r="Y1273" t="n">
        <v>4</v>
      </c>
      <c r="Z1273" t="inlineStr">
        <is>
          <t>CORPORATIVO</t>
        </is>
      </c>
      <c r="AA1273" t="n">
        <v>1</v>
      </c>
      <c r="AB1273" t="inlineStr">
        <is>
          <t>NEGOCIO EN MARCHA</t>
        </is>
      </c>
      <c r="AC1273" t="n">
        <v>1</v>
      </c>
      <c r="AD1273" t="inlineStr">
        <is>
          <t>BANCO</t>
        </is>
      </c>
      <c r="AE1273" t="n">
        <v>1</v>
      </c>
      <c r="AF1273" t="inlineStr">
        <is>
          <t>BACK</t>
        </is>
      </c>
      <c r="AG1273" t="n">
        <v>100101</v>
      </c>
      <c r="AH1273" t="inlineStr">
        <is>
          <t>CORPORATIVO</t>
        </is>
      </c>
      <c r="AI1273" t="inlineStr">
        <is>
          <t>MONDARZA@BANCOBASE.COM</t>
        </is>
      </c>
      <c r="AJ1273" s="151" t="n">
        <v>40413</v>
      </c>
      <c r="AK1273" s="151" t="n"/>
    </row>
    <row r="1274" hidden="1" s="150">
      <c r="A1274" t="inlineStr">
        <is>
          <t>JFLORESGU</t>
        </is>
      </c>
      <c r="B1274" t="n">
        <v>3914</v>
      </c>
      <c r="C1274" t="inlineStr">
        <is>
          <t>JUAN JOSE FLORES GUZMAN</t>
        </is>
      </c>
      <c r="D1274" t="n">
        <v>8897</v>
      </c>
      <c r="E1274" t="inlineStr">
        <is>
          <t>GESTOR DE REVISION DE PROCESOS DE TI</t>
        </is>
      </c>
      <c r="F1274" t="inlineStr">
        <is>
          <t>MEXICO</t>
        </is>
      </c>
      <c r="G1274" t="n">
        <v>653</v>
      </c>
      <c r="H1274" t="inlineStr">
        <is>
          <t>MARCO ANTONIO ONDARZA HERNANDEZ</t>
        </is>
      </c>
      <c r="I1274" t="n">
        <v>118</v>
      </c>
      <c r="J1274" t="inlineStr">
        <is>
          <t>SUPERVISOR DE PROCESOS INTERNOS DE TECNOLOGIA</t>
        </is>
      </c>
      <c r="K1274" t="n">
        <v>1</v>
      </c>
      <c r="L1274" t="inlineStr">
        <is>
          <t>PRESIDENCIA EJECUTIVA DEL CONSEJO</t>
        </is>
      </c>
      <c r="M1274" t="n">
        <v>40</v>
      </c>
      <c r="N1274" t="inlineStr">
        <is>
          <t>DIRECCION GENERAL BANCO BASE</t>
        </is>
      </c>
      <c r="O1274" t="n">
        <v>310</v>
      </c>
      <c r="P1274" t="inlineStr">
        <is>
          <t>DIRECCION DE TECNOLOGIA</t>
        </is>
      </c>
      <c r="Q1274" t="n">
        <v>3130</v>
      </c>
      <c r="R1274" t="inlineStr">
        <is>
          <t>DIRECCION DE OFICINA DE TI</t>
        </is>
      </c>
      <c r="S1274" t="n">
        <v>31300</v>
      </c>
      <c r="T1274" t="inlineStr">
        <is>
          <t>DIRECCION DE OFICINA DE TI</t>
        </is>
      </c>
      <c r="U1274" t="n">
        <v>313000</v>
      </c>
      <c r="V1274" t="inlineStr">
        <is>
          <t>DIRECCION DE OFICINA DE TI</t>
        </is>
      </c>
      <c r="W1274" t="n">
        <v>134111</v>
      </c>
      <c r="X1274" t="inlineStr">
        <is>
          <t>LOMAS</t>
        </is>
      </c>
      <c r="Y1274" t="n">
        <v>4</v>
      </c>
      <c r="Z1274" t="inlineStr">
        <is>
          <t>CORPORATIVO</t>
        </is>
      </c>
      <c r="AA1274" t="n">
        <v>8</v>
      </c>
      <c r="AB1274" t="inlineStr">
        <is>
          <t>BAU</t>
        </is>
      </c>
      <c r="AC1274" t="n">
        <v>1</v>
      </c>
      <c r="AD1274" t="inlineStr">
        <is>
          <t>BANCO</t>
        </is>
      </c>
      <c r="AE1274" t="n">
        <v>1</v>
      </c>
      <c r="AF1274" t="inlineStr">
        <is>
          <t>BACK</t>
        </is>
      </c>
      <c r="AG1274" t="n">
        <v>134111</v>
      </c>
      <c r="AH1274" t="inlineStr">
        <is>
          <t>LOMAS</t>
        </is>
      </c>
      <c r="AI1274" t="inlineStr">
        <is>
          <t>JFLORESGU@BANCOBASE.COM</t>
        </is>
      </c>
      <c r="AJ1274" s="151" t="n">
        <v>46189</v>
      </c>
      <c r="AK1274" s="151" t="n"/>
    </row>
    <row r="1275" hidden="1" s="150">
      <c r="A1275" t="inlineStr">
        <is>
          <t>MESPINO</t>
        </is>
      </c>
      <c r="B1275" t="n">
        <v>3913</v>
      </c>
      <c r="C1275" t="inlineStr">
        <is>
          <t>MARIA JOSE ESPINO HORTA</t>
        </is>
      </c>
      <c r="D1275" t="n">
        <v>8896</v>
      </c>
      <c r="E1275" t="inlineStr">
        <is>
          <t>GESTOR DE REVISION DE PROCESOS DE TI</t>
        </is>
      </c>
      <c r="F1275" t="inlineStr">
        <is>
          <t>MEXICO</t>
        </is>
      </c>
      <c r="G1275" t="n">
        <v>653</v>
      </c>
      <c r="H1275" t="inlineStr">
        <is>
          <t>MARCO ANTONIO ONDARZA HERNANDEZ</t>
        </is>
      </c>
      <c r="I1275" t="n">
        <v>118</v>
      </c>
      <c r="J1275" t="inlineStr">
        <is>
          <t>SUPERVISOR DE PROCESOS INTERNOS DE TECNOLOGIA</t>
        </is>
      </c>
      <c r="K1275" t="n">
        <v>1</v>
      </c>
      <c r="L1275" t="inlineStr">
        <is>
          <t>PRESIDENCIA EJECUTIVA DEL CONSEJO</t>
        </is>
      </c>
      <c r="M1275" t="n">
        <v>40</v>
      </c>
      <c r="N1275" t="inlineStr">
        <is>
          <t>DIRECCION GENERAL BANCO BASE</t>
        </is>
      </c>
      <c r="O1275" t="n">
        <v>310</v>
      </c>
      <c r="P1275" t="inlineStr">
        <is>
          <t>DIRECCION DE TECNOLOGIA</t>
        </is>
      </c>
      <c r="Q1275" t="n">
        <v>3130</v>
      </c>
      <c r="R1275" t="inlineStr">
        <is>
          <t>DIRECCION DE OFICINA DE TI</t>
        </is>
      </c>
      <c r="S1275" t="n">
        <v>31300</v>
      </c>
      <c r="T1275" t="inlineStr">
        <is>
          <t>DIRECCION DE OFICINA DE TI</t>
        </is>
      </c>
      <c r="U1275" t="n">
        <v>313000</v>
      </c>
      <c r="V1275" t="inlineStr">
        <is>
          <t>DIRECCION DE OFICINA DE TI</t>
        </is>
      </c>
      <c r="W1275" t="n">
        <v>134111</v>
      </c>
      <c r="X1275" t="inlineStr">
        <is>
          <t>LOMAS</t>
        </is>
      </c>
      <c r="Y1275" t="n">
        <v>4</v>
      </c>
      <c r="Z1275" t="inlineStr">
        <is>
          <t>CORPORATIVO</t>
        </is>
      </c>
      <c r="AA1275" t="n">
        <v>8</v>
      </c>
      <c r="AB1275" t="inlineStr">
        <is>
          <t>BAU</t>
        </is>
      </c>
      <c r="AC1275" t="n">
        <v>1</v>
      </c>
      <c r="AD1275" t="inlineStr">
        <is>
          <t>BANCO</t>
        </is>
      </c>
      <c r="AE1275" t="n">
        <v>1</v>
      </c>
      <c r="AF1275" t="inlineStr">
        <is>
          <t>BACK</t>
        </is>
      </c>
      <c r="AG1275" t="n">
        <v>134111</v>
      </c>
      <c r="AH1275" t="inlineStr">
        <is>
          <t>LOMAS</t>
        </is>
      </c>
      <c r="AI1275" t="inlineStr">
        <is>
          <t>MESPINO@BANCOBASE.COM</t>
        </is>
      </c>
      <c r="AJ1275" s="151" t="n">
        <v>46189</v>
      </c>
      <c r="AK1275" s="151" t="n"/>
    </row>
    <row r="1276" hidden="1" s="150">
      <c r="A1276" t="inlineStr">
        <is>
          <t>PCEDILLOD</t>
        </is>
      </c>
      <c r="B1276" t="n">
        <v>3840</v>
      </c>
      <c r="C1276" t="inlineStr">
        <is>
          <t>PAMELA CEDILLO DE LOS SANTOS</t>
        </is>
      </c>
      <c r="D1276" t="n">
        <v>8887</v>
      </c>
      <c r="E1276" t="inlineStr">
        <is>
          <t>SUBDIRECTOR DE FINANZAS Y PROVEEDORES TI</t>
        </is>
      </c>
      <c r="F1276" t="inlineStr">
        <is>
          <t>QUERETARO</t>
        </is>
      </c>
      <c r="G1276" t="n">
        <v>2979</v>
      </c>
      <c r="H1276" t="inlineStr">
        <is>
          <t>HERMILA ELIZABETH LOPEZ VILLANUEVA</t>
        </is>
      </c>
      <c r="I1276" t="n">
        <v>9639</v>
      </c>
      <c r="J1276" t="inlineStr">
        <is>
          <t>DIRECTOR DE OFICINA DE TI</t>
        </is>
      </c>
      <c r="K1276" t="n">
        <v>1</v>
      </c>
      <c r="L1276" t="inlineStr">
        <is>
          <t>PRESIDENCIA EJECUTIVA DEL CONSEJO</t>
        </is>
      </c>
      <c r="M1276" t="n">
        <v>40</v>
      </c>
      <c r="N1276" t="inlineStr">
        <is>
          <t>DIRECCION GENERAL BANCO BASE</t>
        </is>
      </c>
      <c r="O1276" t="n">
        <v>310</v>
      </c>
      <c r="P1276" t="inlineStr">
        <is>
          <t>DIRECCION DE TECNOLOGIA</t>
        </is>
      </c>
      <c r="Q1276" t="n">
        <v>3130</v>
      </c>
      <c r="R1276" t="inlineStr">
        <is>
          <t>DIRECCION DE OFICINA DE TI</t>
        </is>
      </c>
      <c r="S1276" t="n">
        <v>31300</v>
      </c>
      <c r="T1276" t="inlineStr">
        <is>
          <t>DIRECCION DE OFICINA DE TI</t>
        </is>
      </c>
      <c r="U1276" t="n">
        <v>313000</v>
      </c>
      <c r="V1276" t="inlineStr">
        <is>
          <t>DIRECCION DE OFICINA DE TI</t>
        </is>
      </c>
      <c r="W1276" t="n">
        <v>126112</v>
      </c>
      <c r="X1276" t="inlineStr">
        <is>
          <t>QUERETARO</t>
        </is>
      </c>
      <c r="Y1276" t="n">
        <v>4</v>
      </c>
      <c r="Z1276" t="inlineStr">
        <is>
          <t>CORPORATIVO</t>
        </is>
      </c>
      <c r="AA1276" t="n">
        <v>8</v>
      </c>
      <c r="AB1276" t="inlineStr">
        <is>
          <t>BAU</t>
        </is>
      </c>
      <c r="AC1276" t="n">
        <v>1</v>
      </c>
      <c r="AD1276" t="inlineStr">
        <is>
          <t>BANCO</t>
        </is>
      </c>
      <c r="AE1276" t="n">
        <v>1</v>
      </c>
      <c r="AF1276" t="inlineStr">
        <is>
          <t>BACK</t>
        </is>
      </c>
      <c r="AG1276" t="n">
        <v>126112</v>
      </c>
      <c r="AH1276" t="inlineStr">
        <is>
          <t>QUERETARO</t>
        </is>
      </c>
      <c r="AI1276" t="inlineStr">
        <is>
          <t>PCEDILLOD@BANCOBASE.COM</t>
        </is>
      </c>
      <c r="AJ1276" s="151" t="n">
        <v>46132</v>
      </c>
      <c r="AK1276" s="151" t="n"/>
    </row>
    <row r="1277" hidden="1" s="150">
      <c r="A1277" t="inlineStr">
        <is>
          <t>VRIOSD</t>
        </is>
      </c>
      <c r="B1277" t="n">
        <v>3741</v>
      </c>
      <c r="C1277" t="inlineStr">
        <is>
          <t>VALERIA RIOS DIAZ</t>
        </is>
      </c>
      <c r="D1277" t="n">
        <v>8888</v>
      </c>
      <c r="E1277" t="inlineStr">
        <is>
          <t>GERENTE DE PROVEEDORES TI</t>
        </is>
      </c>
      <c r="F1277" t="inlineStr">
        <is>
          <t>MEXICO</t>
        </is>
      </c>
      <c r="G1277" t="n">
        <v>3840</v>
      </c>
      <c r="H1277" t="inlineStr">
        <is>
          <t>PAMELA CEDILLO DE LOS SANTOS</t>
        </is>
      </c>
      <c r="I1277" t="n">
        <v>8887</v>
      </c>
      <c r="J1277" t="inlineStr">
        <is>
          <t>SUBDIRECTOR DE FINANZAS Y PROVEEDORES TI</t>
        </is>
      </c>
      <c r="K1277" t="n">
        <v>1</v>
      </c>
      <c r="L1277" t="inlineStr">
        <is>
          <t>PRESIDENCIA EJECUTIVA DEL CONSEJO</t>
        </is>
      </c>
      <c r="M1277" t="n">
        <v>40</v>
      </c>
      <c r="N1277" t="inlineStr">
        <is>
          <t>DIRECCION GENERAL BANCO BASE</t>
        </is>
      </c>
      <c r="O1277" t="n">
        <v>310</v>
      </c>
      <c r="P1277" t="inlineStr">
        <is>
          <t>DIRECCION DE TECNOLOGIA</t>
        </is>
      </c>
      <c r="Q1277" t="n">
        <v>3130</v>
      </c>
      <c r="R1277" t="inlineStr">
        <is>
          <t>DIRECCION DE OFICINA DE TI</t>
        </is>
      </c>
      <c r="S1277" t="n">
        <v>31300</v>
      </c>
      <c r="T1277" t="inlineStr">
        <is>
          <t>DIRECCION DE OFICINA DE TI</t>
        </is>
      </c>
      <c r="U1277" t="n">
        <v>313000</v>
      </c>
      <c r="V1277" t="inlineStr">
        <is>
          <t>DIRECCION DE OFICINA DE TI</t>
        </is>
      </c>
      <c r="W1277" t="n">
        <v>134111</v>
      </c>
      <c r="X1277" t="inlineStr">
        <is>
          <t>LOMAS</t>
        </is>
      </c>
      <c r="Y1277" t="n">
        <v>4</v>
      </c>
      <c r="Z1277" t="inlineStr">
        <is>
          <t>CORPORATIVO</t>
        </is>
      </c>
      <c r="AA1277" t="n">
        <v>8</v>
      </c>
      <c r="AB1277" t="inlineStr">
        <is>
          <t>BAU</t>
        </is>
      </c>
      <c r="AC1277" t="n">
        <v>1</v>
      </c>
      <c r="AD1277" t="inlineStr">
        <is>
          <t>BANCO</t>
        </is>
      </c>
      <c r="AE1277" t="n">
        <v>1</v>
      </c>
      <c r="AF1277" t="inlineStr">
        <is>
          <t>BACK</t>
        </is>
      </c>
      <c r="AG1277" t="n">
        <v>134111</v>
      </c>
      <c r="AH1277" t="inlineStr">
        <is>
          <t>LOMAS</t>
        </is>
      </c>
      <c r="AI1277" t="inlineStr">
        <is>
          <t>VRIOSD@BANCOBASE.COM</t>
        </is>
      </c>
      <c r="AJ1277" s="151" t="n">
        <v>46041</v>
      </c>
      <c r="AK1277" s="151" t="n"/>
    </row>
    <row r="1278" hidden="1" s="150">
      <c r="A1278" t="inlineStr">
        <is>
          <t>BCORONADO</t>
        </is>
      </c>
      <c r="B1278" t="n">
        <v>1736</v>
      </c>
      <c r="C1278" t="inlineStr">
        <is>
          <t>BLANCA MARGARITA CORONADO MENA</t>
        </is>
      </c>
      <c r="D1278" t="n">
        <v>10018</v>
      </c>
      <c r="E1278" t="inlineStr">
        <is>
          <t>ANALISTA DE ARQUITECTURA DE TI</t>
        </is>
      </c>
      <c r="F1278" t="inlineStr">
        <is>
          <t>MONTERREY</t>
        </is>
      </c>
      <c r="G1278" t="n">
        <v>3741</v>
      </c>
      <c r="H1278" t="inlineStr">
        <is>
          <t>VALERIA RIOS DIAZ</t>
        </is>
      </c>
      <c r="I1278" t="n">
        <v>8888</v>
      </c>
      <c r="J1278" t="inlineStr">
        <is>
          <t>GERENTE DE PROVEEDORES TI</t>
        </is>
      </c>
      <c r="K1278" t="n">
        <v>1</v>
      </c>
      <c r="L1278" t="inlineStr">
        <is>
          <t>PRESIDENCIA EJECUTIVA DEL CONSEJO</t>
        </is>
      </c>
      <c r="M1278" t="n">
        <v>40</v>
      </c>
      <c r="N1278" t="inlineStr">
        <is>
          <t>DIRECCION GENERAL BANCO BASE</t>
        </is>
      </c>
      <c r="O1278" t="n">
        <v>310</v>
      </c>
      <c r="P1278" t="inlineStr">
        <is>
          <t>DIRECCION DE TECNOLOGIA</t>
        </is>
      </c>
      <c r="Q1278" t="n">
        <v>3130</v>
      </c>
      <c r="R1278" t="inlineStr">
        <is>
          <t>DIRECCION DE OFICINA DE TI</t>
        </is>
      </c>
      <c r="S1278" t="n">
        <v>31300</v>
      </c>
      <c r="T1278" t="inlineStr">
        <is>
          <t>DIRECCION DE OFICINA DE TI</t>
        </is>
      </c>
      <c r="U1278" t="n">
        <v>313000</v>
      </c>
      <c r="V1278" t="inlineStr">
        <is>
          <t>DIRECCION DE OFICINA DE TI</t>
        </is>
      </c>
      <c r="W1278" t="n">
        <v>100101</v>
      </c>
      <c r="X1278" t="inlineStr">
        <is>
          <t>CORPORATIVO</t>
        </is>
      </c>
      <c r="Y1278" t="n">
        <v>4</v>
      </c>
      <c r="Z1278" t="inlineStr">
        <is>
          <t>CORPORATIVO</t>
        </is>
      </c>
      <c r="AA1278" t="n">
        <v>1</v>
      </c>
      <c r="AB1278" t="inlineStr">
        <is>
          <t>NEGOCIO EN MARCHA</t>
        </is>
      </c>
      <c r="AC1278" t="n">
        <v>1</v>
      </c>
      <c r="AD1278" t="inlineStr">
        <is>
          <t>BANCO</t>
        </is>
      </c>
      <c r="AE1278" t="n">
        <v>1</v>
      </c>
      <c r="AF1278" t="inlineStr">
        <is>
          <t>BACK</t>
        </is>
      </c>
      <c r="AG1278" t="n">
        <v>100101</v>
      </c>
      <c r="AH1278" t="inlineStr">
        <is>
          <t>CORPORATIVO</t>
        </is>
      </c>
      <c r="AI1278" t="inlineStr">
        <is>
          <t>BCORONADO@BANCOBASE.COM</t>
        </is>
      </c>
      <c r="AJ1278" s="151" t="n">
        <v>42815</v>
      </c>
      <c r="AK1278" s="151" t="n"/>
    </row>
    <row r="1279" hidden="1" s="150">
      <c r="A1279" t="inlineStr">
        <is>
          <t>CMARROQUIN</t>
        </is>
      </c>
      <c r="B1279" t="n">
        <v>3152</v>
      </c>
      <c r="C1279" t="inlineStr">
        <is>
          <t>CANDELARIO SALVADOR MARROQUIN VILLEGAS</t>
        </is>
      </c>
      <c r="D1279" t="n">
        <v>8372</v>
      </c>
      <c r="E1279" t="inlineStr">
        <is>
          <t>GERENTE DE OFICINA TI</t>
        </is>
      </c>
      <c r="F1279" t="inlineStr">
        <is>
          <t>MONTERREY</t>
        </is>
      </c>
      <c r="G1279" t="n">
        <v>3840</v>
      </c>
      <c r="H1279" t="inlineStr">
        <is>
          <t>PAMELA CEDILLO DE LOS SANTOS</t>
        </is>
      </c>
      <c r="I1279" t="n">
        <v>8887</v>
      </c>
      <c r="J1279" t="inlineStr">
        <is>
          <t>SUBDIRECTOR DE FINANZAS Y PROVEEDORES TI</t>
        </is>
      </c>
      <c r="K1279" t="n">
        <v>1</v>
      </c>
      <c r="L1279" t="inlineStr">
        <is>
          <t>PRESIDENCIA EJECUTIVA DEL CONSEJO</t>
        </is>
      </c>
      <c r="M1279" t="n">
        <v>40</v>
      </c>
      <c r="N1279" t="inlineStr">
        <is>
          <t>DIRECCION GENERAL BANCO BASE</t>
        </is>
      </c>
      <c r="O1279" t="n">
        <v>310</v>
      </c>
      <c r="P1279" t="inlineStr">
        <is>
          <t>DIRECCION DE TECNOLOGIA</t>
        </is>
      </c>
      <c r="Q1279" t="n">
        <v>3130</v>
      </c>
      <c r="R1279" t="inlineStr">
        <is>
          <t>DIRECCION DE OFICINA DE TI</t>
        </is>
      </c>
      <c r="S1279" t="n">
        <v>31300</v>
      </c>
      <c r="T1279" t="inlineStr">
        <is>
          <t>DIRECCION DE OFICINA DE TI</t>
        </is>
      </c>
      <c r="U1279" t="n">
        <v>313000</v>
      </c>
      <c r="V1279" t="inlineStr">
        <is>
          <t>DIRECCION DE OFICINA DE TI</t>
        </is>
      </c>
      <c r="W1279" t="n">
        <v>100101</v>
      </c>
      <c r="X1279" t="inlineStr">
        <is>
          <t>CORPORATIVO</t>
        </is>
      </c>
      <c r="Y1279" t="n">
        <v>4</v>
      </c>
      <c r="Z1279" t="inlineStr">
        <is>
          <t>CORPORATIVO</t>
        </is>
      </c>
      <c r="AA1279" t="n">
        <v>8</v>
      </c>
      <c r="AB1279" t="inlineStr">
        <is>
          <t>BAU</t>
        </is>
      </c>
      <c r="AC1279" t="n">
        <v>1</v>
      </c>
      <c r="AD1279" t="inlineStr">
        <is>
          <t>BANCO</t>
        </is>
      </c>
      <c r="AE1279" t="n">
        <v>1</v>
      </c>
      <c r="AF1279" t="inlineStr">
        <is>
          <t>BACK</t>
        </is>
      </c>
      <c r="AG1279" t="n">
        <v>100101</v>
      </c>
      <c r="AH1279" t="inlineStr">
        <is>
          <t>CORPORATIVO</t>
        </is>
      </c>
      <c r="AI1279" t="inlineStr">
        <is>
          <t>CMARROQUIN@BANCOBASE.COM</t>
        </is>
      </c>
      <c r="AJ1279" s="151" t="n">
        <v>45474</v>
      </c>
      <c r="AK1279" s="151" t="n"/>
    </row>
    <row r="1280" hidden="1" s="150">
      <c r="A1280" t="inlineStr">
        <is>
          <t>ATOVAR</t>
        </is>
      </c>
      <c r="B1280" t="n">
        <v>858</v>
      </c>
      <c r="C1280" t="inlineStr">
        <is>
          <t>ALEXIS CAROLINA TOVAR CORRAL</t>
        </is>
      </c>
      <c r="D1280" t="n">
        <v>8408</v>
      </c>
      <c r="E1280" t="inlineStr">
        <is>
          <t>COORDINADOR DE OFICINA TI INFRAESTRUCTURA</t>
        </is>
      </c>
      <c r="F1280" t="inlineStr">
        <is>
          <t>MONTERREY</t>
        </is>
      </c>
      <c r="G1280" t="n">
        <v>3152</v>
      </c>
      <c r="H1280" t="inlineStr">
        <is>
          <t>CANDELARIO SALVADOR MARROQUIN VILLEGAS</t>
        </is>
      </c>
      <c r="I1280" t="n">
        <v>8372</v>
      </c>
      <c r="J1280" t="inlineStr">
        <is>
          <t>GERENTE DE OFICINA TI</t>
        </is>
      </c>
      <c r="K1280" t="n">
        <v>1</v>
      </c>
      <c r="L1280" t="inlineStr">
        <is>
          <t>PRESIDENCIA EJECUTIVA DEL CONSEJO</t>
        </is>
      </c>
      <c r="M1280" t="n">
        <v>40</v>
      </c>
      <c r="N1280" t="inlineStr">
        <is>
          <t>DIRECCION GENERAL BANCO BASE</t>
        </is>
      </c>
      <c r="O1280" t="n">
        <v>310</v>
      </c>
      <c r="P1280" t="inlineStr">
        <is>
          <t>DIRECCION DE TECNOLOGIA</t>
        </is>
      </c>
      <c r="Q1280" t="n">
        <v>3130</v>
      </c>
      <c r="R1280" t="inlineStr">
        <is>
          <t>DIRECCION DE OFICINA DE TI</t>
        </is>
      </c>
      <c r="S1280" t="n">
        <v>31300</v>
      </c>
      <c r="T1280" t="inlineStr">
        <is>
          <t>DIRECCION DE OFICINA DE TI</t>
        </is>
      </c>
      <c r="U1280" t="n">
        <v>313000</v>
      </c>
      <c r="V1280" t="inlineStr">
        <is>
          <t>DIRECCION DE OFICINA DE TI</t>
        </is>
      </c>
      <c r="W1280" t="n">
        <v>100101</v>
      </c>
      <c r="X1280" t="inlineStr">
        <is>
          <t>CORPORATIVO</t>
        </is>
      </c>
      <c r="Y1280" t="n">
        <v>4</v>
      </c>
      <c r="Z1280" t="inlineStr">
        <is>
          <t>CORPORATIVO</t>
        </is>
      </c>
      <c r="AA1280" t="n">
        <v>1</v>
      </c>
      <c r="AB1280" t="inlineStr">
        <is>
          <t>NEGOCIO EN MARCHA</t>
        </is>
      </c>
      <c r="AC1280" t="n">
        <v>1</v>
      </c>
      <c r="AD1280" t="inlineStr">
        <is>
          <t>BANCO</t>
        </is>
      </c>
      <c r="AE1280" t="n">
        <v>1</v>
      </c>
      <c r="AF1280" t="inlineStr">
        <is>
          <t>BACK</t>
        </is>
      </c>
      <c r="AG1280" t="n">
        <v>100101</v>
      </c>
      <c r="AH1280" t="inlineStr">
        <is>
          <t>CORPORATIVO</t>
        </is>
      </c>
      <c r="AI1280" t="inlineStr">
        <is>
          <t>ATOVAR@BANCOBASE.COM</t>
        </is>
      </c>
      <c r="AJ1280" s="151" t="n">
        <v>40988</v>
      </c>
      <c r="AK1280" s="151" t="n"/>
    </row>
    <row r="1281" hidden="1" s="150">
      <c r="A1281" t="inlineStr">
        <is>
          <t>IGAYTAN</t>
        </is>
      </c>
      <c r="B1281" t="n">
        <v>2542</v>
      </c>
      <c r="C1281" t="inlineStr">
        <is>
          <t>IRAN AMAYRANI GAYTAN FLORES</t>
        </is>
      </c>
      <c r="D1281" t="n">
        <v>9019</v>
      </c>
      <c r="E1281" t="inlineStr">
        <is>
          <t>ANALISTA DE GESTION DE TI</t>
        </is>
      </c>
      <c r="F1281" t="inlineStr">
        <is>
          <t>MONTERREY</t>
        </is>
      </c>
      <c r="G1281" t="n">
        <v>858</v>
      </c>
      <c r="H1281" t="inlineStr">
        <is>
          <t>ALEXIS CAROLINA TOVAR CORRAL</t>
        </is>
      </c>
      <c r="I1281" t="n">
        <v>8408</v>
      </c>
      <c r="J1281" t="inlineStr">
        <is>
          <t>COORDINADOR DE OFICINA TI INFRAESTRUCTURA</t>
        </is>
      </c>
      <c r="K1281" t="n">
        <v>1</v>
      </c>
      <c r="L1281" t="inlineStr">
        <is>
          <t>PRESIDENCIA EJECUTIVA DEL CONSEJO</t>
        </is>
      </c>
      <c r="M1281" t="n">
        <v>40</v>
      </c>
      <c r="N1281" t="inlineStr">
        <is>
          <t>DIRECCION GENERAL BANCO BASE</t>
        </is>
      </c>
      <c r="O1281" t="n">
        <v>310</v>
      </c>
      <c r="P1281" t="inlineStr">
        <is>
          <t>DIRECCION DE TECNOLOGIA</t>
        </is>
      </c>
      <c r="Q1281" t="n">
        <v>3130</v>
      </c>
      <c r="R1281" t="inlineStr">
        <is>
          <t>DIRECCION DE OFICINA DE TI</t>
        </is>
      </c>
      <c r="S1281" t="n">
        <v>31300</v>
      </c>
      <c r="T1281" t="inlineStr">
        <is>
          <t>DIRECCION DE OFICINA DE TI</t>
        </is>
      </c>
      <c r="U1281" t="n">
        <v>313000</v>
      </c>
      <c r="V1281" t="inlineStr">
        <is>
          <t>DIRECCION DE OFICINA DE TI</t>
        </is>
      </c>
      <c r="W1281" t="n">
        <v>100101</v>
      </c>
      <c r="X1281" t="inlineStr">
        <is>
          <t>CORPORATIVO</t>
        </is>
      </c>
      <c r="Y1281" t="n">
        <v>4</v>
      </c>
      <c r="Z1281" t="inlineStr">
        <is>
          <t>CORPORATIVO</t>
        </is>
      </c>
      <c r="AA1281" t="n">
        <v>8</v>
      </c>
      <c r="AB1281" t="inlineStr">
        <is>
          <t>BAU</t>
        </is>
      </c>
      <c r="AC1281" t="n">
        <v>1</v>
      </c>
      <c r="AD1281" t="inlineStr">
        <is>
          <t>BANCO</t>
        </is>
      </c>
      <c r="AE1281" t="n">
        <v>1</v>
      </c>
      <c r="AF1281" t="inlineStr">
        <is>
          <t>BACK</t>
        </is>
      </c>
      <c r="AG1281" t="n">
        <v>100101</v>
      </c>
      <c r="AH1281" t="inlineStr">
        <is>
          <t>CORPORATIVO</t>
        </is>
      </c>
      <c r="AI1281" t="inlineStr">
        <is>
          <t>IGAYTAN@BANCOBASE.COM</t>
        </is>
      </c>
      <c r="AJ1281" s="151" t="n">
        <v>44440</v>
      </c>
      <c r="AK1281" s="151" t="n"/>
    </row>
    <row r="1282" hidden="1" s="150">
      <c r="A1282" t="inlineStr">
        <is>
          <t>BVILLALOBO</t>
        </is>
      </c>
      <c r="B1282" t="n">
        <v>3581</v>
      </c>
      <c r="C1282" t="inlineStr">
        <is>
          <t>BRANDON ALEXIS VILLALOBOS MUZQUIZ</t>
        </is>
      </c>
      <c r="D1282" t="n">
        <v>8409</v>
      </c>
      <c r="E1282" t="inlineStr">
        <is>
          <t>COORDINADOR DE PROYECTOS</t>
        </is>
      </c>
      <c r="F1282" t="inlineStr">
        <is>
          <t>MONTERREY</t>
        </is>
      </c>
      <c r="G1282" t="n">
        <v>3152</v>
      </c>
      <c r="H1282" t="inlineStr">
        <is>
          <t>CANDELARIO SALVADOR MARROQUIN VILLEGAS</t>
        </is>
      </c>
      <c r="I1282" t="n">
        <v>8372</v>
      </c>
      <c r="J1282" t="inlineStr">
        <is>
          <t>GERENTE DE OFICINA TI</t>
        </is>
      </c>
      <c r="K1282" t="n">
        <v>1</v>
      </c>
      <c r="L1282" t="inlineStr">
        <is>
          <t>PRESIDENCIA EJECUTIVA DEL CONSEJO</t>
        </is>
      </c>
      <c r="M1282" t="n">
        <v>40</v>
      </c>
      <c r="N1282" t="inlineStr">
        <is>
          <t>DIRECCION GENERAL BANCO BASE</t>
        </is>
      </c>
      <c r="O1282" t="n">
        <v>310</v>
      </c>
      <c r="P1282" t="inlineStr">
        <is>
          <t>DIRECCION DE TECNOLOGIA</t>
        </is>
      </c>
      <c r="Q1282" t="n">
        <v>3130</v>
      </c>
      <c r="R1282" t="inlineStr">
        <is>
          <t>DIRECCION DE OFICINA DE TI</t>
        </is>
      </c>
      <c r="S1282" t="n">
        <v>31300</v>
      </c>
      <c r="T1282" t="inlineStr">
        <is>
          <t>DIRECCION DE OFICINA DE TI</t>
        </is>
      </c>
      <c r="U1282" t="n">
        <v>313000</v>
      </c>
      <c r="V1282" t="inlineStr">
        <is>
          <t>DIRECCION DE OFICINA DE TI</t>
        </is>
      </c>
      <c r="W1282" t="n">
        <v>100101</v>
      </c>
      <c r="X1282" t="inlineStr">
        <is>
          <t>CORPORATIVO</t>
        </is>
      </c>
      <c r="Y1282" t="n">
        <v>4</v>
      </c>
      <c r="Z1282" t="inlineStr">
        <is>
          <t>CORPORATIVO</t>
        </is>
      </c>
      <c r="AA1282" t="n">
        <v>1</v>
      </c>
      <c r="AB1282" t="inlineStr">
        <is>
          <t>NEGOCIO EN MARCHA</t>
        </is>
      </c>
      <c r="AC1282" t="n">
        <v>1</v>
      </c>
      <c r="AD1282" t="inlineStr">
        <is>
          <t>BANCO</t>
        </is>
      </c>
      <c r="AE1282" t="n">
        <v>1</v>
      </c>
      <c r="AF1282" t="inlineStr">
        <is>
          <t>BACK</t>
        </is>
      </c>
      <c r="AG1282" t="n">
        <v>100101</v>
      </c>
      <c r="AH1282" t="inlineStr">
        <is>
          <t>CORPORATIVO</t>
        </is>
      </c>
      <c r="AI1282" t="inlineStr">
        <is>
          <t>BVILLALOBO@BANCOBASE.COM</t>
        </is>
      </c>
      <c r="AJ1282" s="151" t="n">
        <v>45917</v>
      </c>
      <c r="AK1282" s="151" t="n"/>
    </row>
    <row r="1283" hidden="1" s="150">
      <c r="A1283" t="inlineStr">
        <is>
          <t>LRINCON</t>
        </is>
      </c>
      <c r="B1283" t="n">
        <v>3210</v>
      </c>
      <c r="C1283" t="inlineStr">
        <is>
          <t>LIZETH PAOLA RINCON CRUZ</t>
        </is>
      </c>
      <c r="D1283" t="n">
        <v>8435</v>
      </c>
      <c r="E1283" t="inlineStr">
        <is>
          <t>GERENTE DE PROYECTOS</t>
        </is>
      </c>
      <c r="F1283" t="inlineStr">
        <is>
          <t>CHIHUAHUA</t>
        </is>
      </c>
      <c r="G1283" t="n">
        <v>2979</v>
      </c>
      <c r="H1283" t="inlineStr">
        <is>
          <t>HERMILA ELIZABETH LOPEZ VILLANUEVA</t>
        </is>
      </c>
      <c r="I1283" t="n">
        <v>9639</v>
      </c>
      <c r="J1283" t="inlineStr">
        <is>
          <t>DIRECTOR DE OFICINA DE TI</t>
        </is>
      </c>
      <c r="K1283" t="n">
        <v>1</v>
      </c>
      <c r="L1283" t="inlineStr">
        <is>
          <t>PRESIDENCIA EJECUTIVA DEL CONSEJO</t>
        </is>
      </c>
      <c r="M1283" t="n">
        <v>40</v>
      </c>
      <c r="N1283" t="inlineStr">
        <is>
          <t>DIRECCION GENERAL BANCO BASE</t>
        </is>
      </c>
      <c r="O1283" t="n">
        <v>310</v>
      </c>
      <c r="P1283" t="inlineStr">
        <is>
          <t>DIRECCION DE TECNOLOGIA</t>
        </is>
      </c>
      <c r="Q1283" t="n">
        <v>3130</v>
      </c>
      <c r="R1283" t="inlineStr">
        <is>
          <t>DIRECCION DE OFICINA DE TI</t>
        </is>
      </c>
      <c r="S1283" t="n">
        <v>31300</v>
      </c>
      <c r="T1283" t="inlineStr">
        <is>
          <t>DIRECCION DE OFICINA DE TI</t>
        </is>
      </c>
      <c r="U1283" t="n">
        <v>313000</v>
      </c>
      <c r="V1283" t="inlineStr">
        <is>
          <t>DIRECCION DE OFICINA DE TI</t>
        </is>
      </c>
      <c r="W1283" t="n">
        <v>126131</v>
      </c>
      <c r="X1283" t="inlineStr">
        <is>
          <t>CHIHUAHUA</t>
        </is>
      </c>
      <c r="Y1283" t="n">
        <v>4</v>
      </c>
      <c r="Z1283" t="inlineStr">
        <is>
          <t>CORPORATIVO</t>
        </is>
      </c>
      <c r="AA1283" t="n">
        <v>8</v>
      </c>
      <c r="AB1283" t="inlineStr">
        <is>
          <t>BAU</t>
        </is>
      </c>
      <c r="AC1283" t="n">
        <v>1</v>
      </c>
      <c r="AD1283" t="inlineStr">
        <is>
          <t>BANCO</t>
        </is>
      </c>
      <c r="AE1283" t="n">
        <v>1</v>
      </c>
      <c r="AF1283" t="inlineStr">
        <is>
          <t>BACK</t>
        </is>
      </c>
      <c r="AG1283" t="n">
        <v>126131</v>
      </c>
      <c r="AH1283" t="inlineStr">
        <is>
          <t>CHIHUAHUA</t>
        </is>
      </c>
      <c r="AI1283" t="inlineStr">
        <is>
          <t>LRINCON@BANCOBASE.COM</t>
        </is>
      </c>
      <c r="AJ1283" s="151" t="n">
        <v>45552</v>
      </c>
      <c r="AK1283" s="151" t="n"/>
    </row>
    <row r="1284" hidden="1" s="150">
      <c r="A1284" t="inlineStr">
        <is>
          <t>ADAVILA</t>
        </is>
      </c>
      <c r="B1284" t="n">
        <v>3743</v>
      </c>
      <c r="C1284" t="inlineStr">
        <is>
          <t>ANTONIO HERNAN DAVILA SANCHEZ</t>
        </is>
      </c>
      <c r="D1284" t="n">
        <v>8889</v>
      </c>
      <c r="E1284" t="inlineStr">
        <is>
          <t>ESPECIALISTA DE GESTION TI</t>
        </is>
      </c>
      <c r="F1284" t="inlineStr">
        <is>
          <t>MONTERREY</t>
        </is>
      </c>
      <c r="G1284" t="n">
        <v>2979</v>
      </c>
      <c r="H1284" t="inlineStr">
        <is>
          <t>HERMILA ELIZABETH LOPEZ VILLANUEVA</t>
        </is>
      </c>
      <c r="I1284" t="n">
        <v>9639</v>
      </c>
      <c r="J1284" t="inlineStr">
        <is>
          <t>DIRECTOR DE OFICINA DE TI</t>
        </is>
      </c>
      <c r="K1284" t="n">
        <v>1</v>
      </c>
      <c r="L1284" t="inlineStr">
        <is>
          <t>PRESIDENCIA EJECUTIVA DEL CONSEJO</t>
        </is>
      </c>
      <c r="M1284" t="n">
        <v>40</v>
      </c>
      <c r="N1284" t="inlineStr">
        <is>
          <t>DIRECCION GENERAL BANCO BASE</t>
        </is>
      </c>
      <c r="O1284" t="n">
        <v>310</v>
      </c>
      <c r="P1284" t="inlineStr">
        <is>
          <t>DIRECCION DE TECNOLOGIA</t>
        </is>
      </c>
      <c r="Q1284" t="n">
        <v>3130</v>
      </c>
      <c r="R1284" t="inlineStr">
        <is>
          <t>DIRECCION DE OFICINA DE TI</t>
        </is>
      </c>
      <c r="S1284" t="n">
        <v>31300</v>
      </c>
      <c r="T1284" t="inlineStr">
        <is>
          <t>DIRECCION DE OFICINA DE TI</t>
        </is>
      </c>
      <c r="U1284" t="n">
        <v>313000</v>
      </c>
      <c r="V1284" t="inlineStr">
        <is>
          <t>DIRECCION DE OFICINA DE TI</t>
        </is>
      </c>
      <c r="W1284" t="n">
        <v>100101</v>
      </c>
      <c r="X1284" t="inlineStr">
        <is>
          <t>CORPORATIVO</t>
        </is>
      </c>
      <c r="Y1284" t="n">
        <v>4</v>
      </c>
      <c r="Z1284" t="inlineStr">
        <is>
          <t>CORPORATIVO</t>
        </is>
      </c>
      <c r="AA1284" t="n">
        <v>1</v>
      </c>
      <c r="AB1284" t="inlineStr">
        <is>
          <t>NEGOCIO EN MARCHA</t>
        </is>
      </c>
      <c r="AC1284" t="n">
        <v>1</v>
      </c>
      <c r="AD1284" t="inlineStr">
        <is>
          <t>BANCO</t>
        </is>
      </c>
      <c r="AE1284" t="n">
        <v>1</v>
      </c>
      <c r="AF1284" t="inlineStr">
        <is>
          <t>BACK</t>
        </is>
      </c>
      <c r="AG1284" t="n">
        <v>100101</v>
      </c>
      <c r="AH1284" t="inlineStr">
        <is>
          <t>CORPORATIVO</t>
        </is>
      </c>
      <c r="AI1284" t="inlineStr">
        <is>
          <t>ADAVILA@BANCOBASE.COM</t>
        </is>
      </c>
      <c r="AJ1284" s="151" t="n">
        <v>46041</v>
      </c>
      <c r="AK1284" s="151" t="n"/>
    </row>
    <row r="1285" hidden="1" s="150">
      <c r="A1285" t="inlineStr">
        <is>
          <t>MLIRAC</t>
        </is>
      </c>
      <c r="B1285" t="n">
        <v>3744</v>
      </c>
      <c r="C1285" t="inlineStr">
        <is>
          <t>MARIA LUISA LIRA CAMPOS</t>
        </is>
      </c>
      <c r="D1285" t="n">
        <v>8890</v>
      </c>
      <c r="E1285" t="inlineStr">
        <is>
          <t>ESPECIALISTA DE GESTION TI</t>
        </is>
      </c>
      <c r="F1285" t="inlineStr">
        <is>
          <t>MONTERREY</t>
        </is>
      </c>
      <c r="G1285" t="n">
        <v>2979</v>
      </c>
      <c r="H1285" t="inlineStr">
        <is>
          <t>HERMILA ELIZABETH LOPEZ VILLANUEVA</t>
        </is>
      </c>
      <c r="I1285" t="n">
        <v>9639</v>
      </c>
      <c r="J1285" t="inlineStr">
        <is>
          <t>DIRECTOR DE OFICINA DE TI</t>
        </is>
      </c>
      <c r="K1285" t="n">
        <v>1</v>
      </c>
      <c r="L1285" t="inlineStr">
        <is>
          <t>PRESIDENCIA EJECUTIVA DEL CONSEJO</t>
        </is>
      </c>
      <c r="M1285" t="n">
        <v>40</v>
      </c>
      <c r="N1285" t="inlineStr">
        <is>
          <t>DIRECCION GENERAL BANCO BASE</t>
        </is>
      </c>
      <c r="O1285" t="n">
        <v>310</v>
      </c>
      <c r="P1285" t="inlineStr">
        <is>
          <t>DIRECCION DE TECNOLOGIA</t>
        </is>
      </c>
      <c r="Q1285" t="n">
        <v>3130</v>
      </c>
      <c r="R1285" t="inlineStr">
        <is>
          <t>DIRECCION DE OFICINA DE TI</t>
        </is>
      </c>
      <c r="S1285" t="n">
        <v>31300</v>
      </c>
      <c r="T1285" t="inlineStr">
        <is>
          <t>DIRECCION DE OFICINA DE TI</t>
        </is>
      </c>
      <c r="U1285" t="n">
        <v>313000</v>
      </c>
      <c r="V1285" t="inlineStr">
        <is>
          <t>DIRECCION DE OFICINA DE TI</t>
        </is>
      </c>
      <c r="W1285" t="n">
        <v>100101</v>
      </c>
      <c r="X1285" t="inlineStr">
        <is>
          <t>CORPORATIVO</t>
        </is>
      </c>
      <c r="Y1285" t="n">
        <v>4</v>
      </c>
      <c r="Z1285" t="inlineStr">
        <is>
          <t>CORPORATIVO</t>
        </is>
      </c>
      <c r="AA1285" t="n">
        <v>1</v>
      </c>
      <c r="AB1285" t="inlineStr">
        <is>
          <t>NEGOCIO EN MARCHA</t>
        </is>
      </c>
      <c r="AC1285" t="n">
        <v>1</v>
      </c>
      <c r="AD1285" t="inlineStr">
        <is>
          <t>BANCO</t>
        </is>
      </c>
      <c r="AE1285" t="n">
        <v>1</v>
      </c>
      <c r="AF1285" t="inlineStr">
        <is>
          <t>BACK</t>
        </is>
      </c>
      <c r="AG1285" t="n">
        <v>100101</v>
      </c>
      <c r="AH1285" t="inlineStr">
        <is>
          <t>CORPORATIVO</t>
        </is>
      </c>
      <c r="AI1285" t="inlineStr">
        <is>
          <t>MLIRAC@BANCOBASE.COM</t>
        </is>
      </c>
      <c r="AJ1285" s="151" t="n">
        <v>46041</v>
      </c>
      <c r="AK1285" s="151" t="n"/>
    </row>
    <row r="1286" hidden="1" s="150">
      <c r="A1286" t="inlineStr">
        <is>
          <t>NARCHULETA</t>
        </is>
      </c>
      <c r="B1286" t="n">
        <v>2626</v>
      </c>
      <c r="C1286" t="inlineStr">
        <is>
          <t>NESTOR DARVY ARCHULETA BARRERA</t>
        </is>
      </c>
      <c r="D1286" t="n">
        <v>10109</v>
      </c>
      <c r="E1286" t="inlineStr">
        <is>
          <t>DIRECTOR DE DESARROLLO</t>
        </is>
      </c>
      <c r="F1286" t="inlineStr">
        <is>
          <t>MONTERREY</t>
        </is>
      </c>
      <c r="G1286" t="n">
        <v>3043</v>
      </c>
      <c r="H1286" t="inlineStr">
        <is>
          <t>PAOLA CAROLINA CANO CRUZ</t>
        </is>
      </c>
      <c r="I1286" t="n">
        <v>10402</v>
      </c>
      <c r="J1286" t="inlineStr">
        <is>
          <t>DIRECTOR DE TECNOLOGIA</t>
        </is>
      </c>
      <c r="K1286" t="n">
        <v>1</v>
      </c>
      <c r="L1286" t="inlineStr">
        <is>
          <t>PRESIDENCIA EJECUTIVA DEL CONSEJO</t>
        </is>
      </c>
      <c r="M1286" t="n">
        <v>40</v>
      </c>
      <c r="N1286" t="inlineStr">
        <is>
          <t>DIRECCION GENERAL BANCO BASE</t>
        </is>
      </c>
      <c r="O1286" t="n">
        <v>310</v>
      </c>
      <c r="P1286" t="inlineStr">
        <is>
          <t>DIRECCION DE TECNOLOGIA</t>
        </is>
      </c>
      <c r="Q1286" t="n">
        <v>3150</v>
      </c>
      <c r="R1286" t="inlineStr">
        <is>
          <t>DESARROLLO DE APLICATIVOS</t>
        </is>
      </c>
      <c r="S1286" t="n">
        <v>31500</v>
      </c>
      <c r="T1286" t="inlineStr">
        <is>
          <t>DESARROLLO DE APLICATIVOS</t>
        </is>
      </c>
      <c r="U1286" t="n">
        <v>315000</v>
      </c>
      <c r="V1286" t="inlineStr">
        <is>
          <t>DESARROLLO DE APLICATIVOS</t>
        </is>
      </c>
      <c r="W1286" t="n">
        <v>100101</v>
      </c>
      <c r="X1286" t="inlineStr">
        <is>
          <t>CORPORATIVO</t>
        </is>
      </c>
      <c r="Y1286" t="n">
        <v>4</v>
      </c>
      <c r="Z1286" t="inlineStr">
        <is>
          <t>CORPORATIVO</t>
        </is>
      </c>
      <c r="AA1286" t="n">
        <v>1</v>
      </c>
      <c r="AB1286" t="inlineStr">
        <is>
          <t>NEGOCIO EN MARCHA</t>
        </is>
      </c>
      <c r="AC1286" t="n">
        <v>1</v>
      </c>
      <c r="AD1286" t="inlineStr">
        <is>
          <t>BANCO</t>
        </is>
      </c>
      <c r="AE1286" t="n">
        <v>1</v>
      </c>
      <c r="AF1286" t="inlineStr">
        <is>
          <t>BACK</t>
        </is>
      </c>
      <c r="AG1286" t="n">
        <v>100101</v>
      </c>
      <c r="AH1286" t="inlineStr">
        <is>
          <t>CORPORATIVO</t>
        </is>
      </c>
      <c r="AI1286" t="inlineStr">
        <is>
          <t>NARCHULETA@BANCOBASE.COM</t>
        </is>
      </c>
      <c r="AJ1286" s="151" t="n">
        <v>44636</v>
      </c>
      <c r="AK1286" s="151" t="n"/>
    </row>
    <row r="1287" hidden="1" s="150">
      <c r="A1287" t="inlineStr">
        <is>
          <t>AMUNOZ</t>
        </is>
      </c>
      <c r="B1287" t="n">
        <v>2499</v>
      </c>
      <c r="C1287" t="inlineStr">
        <is>
          <t>ARCE MUÑOZ OCAMPO</t>
        </is>
      </c>
      <c r="D1287" t="n">
        <v>8099</v>
      </c>
      <c r="E1287" t="inlineStr">
        <is>
          <t>SUBDIRECTOR DE DESARROLLO CANALES</t>
        </is>
      </c>
      <c r="F1287" t="inlineStr">
        <is>
          <t>TELETRABAJO</t>
        </is>
      </c>
      <c r="G1287" t="n">
        <v>2626</v>
      </c>
      <c r="H1287" t="inlineStr">
        <is>
          <t>NESTOR DARVY ARCHULETA BARRERA</t>
        </is>
      </c>
      <c r="I1287" t="n">
        <v>10109</v>
      </c>
      <c r="J1287" t="inlineStr">
        <is>
          <t>DIRECTOR DE DESARROLLO</t>
        </is>
      </c>
      <c r="K1287" t="n">
        <v>1</v>
      </c>
      <c r="L1287" t="inlineStr">
        <is>
          <t>PRESIDENCIA EJECUTIVA DEL CONSEJO</t>
        </is>
      </c>
      <c r="M1287" t="n">
        <v>40</v>
      </c>
      <c r="N1287" t="inlineStr">
        <is>
          <t>DIRECCION GENERAL BANCO BASE</t>
        </is>
      </c>
      <c r="O1287" t="n">
        <v>310</v>
      </c>
      <c r="P1287" t="inlineStr">
        <is>
          <t>DIRECCION DE TECNOLOGIA</t>
        </is>
      </c>
      <c r="Q1287" t="n">
        <v>3150</v>
      </c>
      <c r="R1287" t="inlineStr">
        <is>
          <t>DESARROLLO DE APLICATIVOS</t>
        </is>
      </c>
      <c r="S1287" t="n">
        <v>31510</v>
      </c>
      <c r="T1287" t="inlineStr">
        <is>
          <t>DESARROLLO DE APLICATIVOS CANALES</t>
        </is>
      </c>
      <c r="U1287" t="n">
        <v>315000</v>
      </c>
      <c r="V1287" t="inlineStr">
        <is>
          <t>DESARROLLO DE APLICATIVOS</t>
        </is>
      </c>
      <c r="W1287" t="n">
        <v>100101</v>
      </c>
      <c r="X1287" t="inlineStr">
        <is>
          <t>CORPORATIVO</t>
        </is>
      </c>
      <c r="Y1287" t="n">
        <v>4</v>
      </c>
      <c r="Z1287" t="inlineStr">
        <is>
          <t>CORPORATIVO</t>
        </is>
      </c>
      <c r="AA1287" t="n">
        <v>1</v>
      </c>
      <c r="AB1287" t="inlineStr">
        <is>
          <t>NEGOCIO EN MARCHA</t>
        </is>
      </c>
      <c r="AC1287" t="n">
        <v>1</v>
      </c>
      <c r="AD1287" t="inlineStr">
        <is>
          <t>BANCO</t>
        </is>
      </c>
      <c r="AE1287" t="n">
        <v>1</v>
      </c>
      <c r="AF1287" t="inlineStr">
        <is>
          <t>BACK</t>
        </is>
      </c>
      <c r="AG1287" t="n">
        <v>100101</v>
      </c>
      <c r="AH1287" t="inlineStr">
        <is>
          <t>CORPORATIVO</t>
        </is>
      </c>
      <c r="AI1287" t="inlineStr">
        <is>
          <t>AMUNOZ@BANCOBASE.COM</t>
        </is>
      </c>
      <c r="AJ1287" s="151" t="n">
        <v>44341</v>
      </c>
      <c r="AK1287" s="151" t="n"/>
    </row>
    <row r="1288" hidden="1" s="150">
      <c r="A1288" t="inlineStr">
        <is>
          <t>DMARTINEZH</t>
        </is>
      </c>
      <c r="B1288" t="n">
        <v>2980</v>
      </c>
      <c r="C1288" t="inlineStr">
        <is>
          <t>DULCE MARIA MARTINEZ HERRERA</t>
        </is>
      </c>
      <c r="D1288" t="n">
        <v>8255</v>
      </c>
      <c r="E1288" t="inlineStr">
        <is>
          <t>LIDER DE DESARROLLO</t>
        </is>
      </c>
      <c r="F1288" t="inlineStr">
        <is>
          <t>TELETRABAJO</t>
        </is>
      </c>
      <c r="G1288" t="n">
        <v>2499</v>
      </c>
      <c r="H1288" t="inlineStr">
        <is>
          <t>ARCE MUÑOZ OCAMPO</t>
        </is>
      </c>
      <c r="I1288" t="n">
        <v>8099</v>
      </c>
      <c r="J1288" t="inlineStr">
        <is>
          <t>SUBDIRECTOR DE DESARROLLO CANALES</t>
        </is>
      </c>
      <c r="K1288" t="n">
        <v>1</v>
      </c>
      <c r="L1288" t="inlineStr">
        <is>
          <t>PRESIDENCIA EJECUTIVA DEL CONSEJO</t>
        </is>
      </c>
      <c r="M1288" t="n">
        <v>40</v>
      </c>
      <c r="N1288" t="inlineStr">
        <is>
          <t>DIRECCION GENERAL BANCO BASE</t>
        </is>
      </c>
      <c r="O1288" t="n">
        <v>310</v>
      </c>
      <c r="P1288" t="inlineStr">
        <is>
          <t>DIRECCION DE TECNOLOGIA</t>
        </is>
      </c>
      <c r="Q1288" t="n">
        <v>3150</v>
      </c>
      <c r="R1288" t="inlineStr">
        <is>
          <t>DESARROLLO DE APLICATIVOS</t>
        </is>
      </c>
      <c r="S1288" t="n">
        <v>31510</v>
      </c>
      <c r="T1288" t="inlineStr">
        <is>
          <t>DESARROLLO DE APLICATIVOS CANALES</t>
        </is>
      </c>
      <c r="U1288" t="n">
        <v>315000</v>
      </c>
      <c r="V1288" t="inlineStr">
        <is>
          <t>DESARROLLO DE APLICATIVOS</t>
        </is>
      </c>
      <c r="W1288" t="n">
        <v>134111</v>
      </c>
      <c r="X1288" t="inlineStr">
        <is>
          <t>LOMAS</t>
        </is>
      </c>
      <c r="Y1288" t="n">
        <v>4</v>
      </c>
      <c r="Z1288" t="inlineStr">
        <is>
          <t>CORPORATIVO</t>
        </is>
      </c>
      <c r="AA1288" t="n">
        <v>1</v>
      </c>
      <c r="AB1288" t="inlineStr">
        <is>
          <t>NEGOCIO EN MARCHA</t>
        </is>
      </c>
      <c r="AC1288" t="n">
        <v>1</v>
      </c>
      <c r="AD1288" t="inlineStr">
        <is>
          <t>BANCO</t>
        </is>
      </c>
      <c r="AE1288" t="n">
        <v>1</v>
      </c>
      <c r="AF1288" t="inlineStr">
        <is>
          <t>BACK</t>
        </is>
      </c>
      <c r="AG1288" t="n">
        <v>134111</v>
      </c>
      <c r="AH1288" t="inlineStr">
        <is>
          <t>LOMAS</t>
        </is>
      </c>
      <c r="AI1288" t="inlineStr">
        <is>
          <t>DMARTINEZH@BANCOBASE.COM</t>
        </is>
      </c>
      <c r="AJ1288" s="151" t="n">
        <v>45231</v>
      </c>
      <c r="AK1288" s="151" t="n"/>
    </row>
    <row r="1289" hidden="1" s="150">
      <c r="A1289" t="inlineStr">
        <is>
          <t>CGARCIAL</t>
        </is>
      </c>
      <c r="B1289" t="n">
        <v>3203</v>
      </c>
      <c r="C1289" t="inlineStr">
        <is>
          <t>CRISTY ARTURO GARCIA LEYVA</t>
        </is>
      </c>
      <c r="D1289" t="n">
        <v>8063</v>
      </c>
      <c r="E1289" t="inlineStr">
        <is>
          <t>DESARROLLADOR BACKEND JR</t>
        </is>
      </c>
      <c r="F1289" t="inlineStr">
        <is>
          <t>TELETRABAJO</t>
        </is>
      </c>
      <c r="G1289" t="n">
        <v>2980</v>
      </c>
      <c r="H1289" t="inlineStr">
        <is>
          <t>DULCE MARIA MARTINEZ HERRERA</t>
        </is>
      </c>
      <c r="I1289" t="n">
        <v>8255</v>
      </c>
      <c r="J1289" t="inlineStr">
        <is>
          <t>LIDER DE DESARROLLO</t>
        </is>
      </c>
      <c r="K1289" t="n">
        <v>1</v>
      </c>
      <c r="L1289" t="inlineStr">
        <is>
          <t>PRESIDENCIA EJECUTIVA DEL CONSEJO</t>
        </is>
      </c>
      <c r="M1289" t="n">
        <v>40</v>
      </c>
      <c r="N1289" t="inlineStr">
        <is>
          <t>DIRECCION GENERAL BANCO BASE</t>
        </is>
      </c>
      <c r="O1289" t="n">
        <v>310</v>
      </c>
      <c r="P1289" t="inlineStr">
        <is>
          <t>DIRECCION DE TECNOLOGIA</t>
        </is>
      </c>
      <c r="Q1289" t="n">
        <v>3150</v>
      </c>
      <c r="R1289" t="inlineStr">
        <is>
          <t>DESARROLLO DE APLICATIVOS</t>
        </is>
      </c>
      <c r="S1289" t="n">
        <v>31510</v>
      </c>
      <c r="T1289" t="inlineStr">
        <is>
          <t>DESARROLLO DE APLICATIVOS CANALES</t>
        </is>
      </c>
      <c r="U1289" t="n">
        <v>315000</v>
      </c>
      <c r="V1289" t="inlineStr">
        <is>
          <t>DESARROLLO DE APLICATIVOS</t>
        </is>
      </c>
      <c r="W1289" t="n">
        <v>134111</v>
      </c>
      <c r="X1289" t="inlineStr">
        <is>
          <t>LOMAS</t>
        </is>
      </c>
      <c r="Y1289" t="n">
        <v>4</v>
      </c>
      <c r="Z1289" t="inlineStr">
        <is>
          <t>CORPORATIVO</t>
        </is>
      </c>
      <c r="AA1289" t="n">
        <v>1</v>
      </c>
      <c r="AB1289" t="inlineStr">
        <is>
          <t>NEGOCIO EN MARCHA</t>
        </is>
      </c>
      <c r="AC1289" t="n">
        <v>1</v>
      </c>
      <c r="AD1289" t="inlineStr">
        <is>
          <t>BANCO</t>
        </is>
      </c>
      <c r="AE1289" t="n">
        <v>1</v>
      </c>
      <c r="AF1289" t="inlineStr">
        <is>
          <t>BACK</t>
        </is>
      </c>
      <c r="AG1289" t="n">
        <v>134111</v>
      </c>
      <c r="AH1289" t="inlineStr">
        <is>
          <t>LOMAS</t>
        </is>
      </c>
      <c r="AI1289" t="inlineStr">
        <is>
          <t>CGARCIAL@BANCOBASE.COM</t>
        </is>
      </c>
      <c r="AJ1289" s="151" t="n">
        <v>45544</v>
      </c>
      <c r="AK1289" s="151" t="n"/>
    </row>
    <row r="1290" hidden="1" s="150">
      <c r="A1290" t="inlineStr">
        <is>
          <t>SCARDOSO</t>
        </is>
      </c>
      <c r="B1290" t="n">
        <v>3257</v>
      </c>
      <c r="C1290" t="inlineStr">
        <is>
          <t>SERGIO RENE CARDOSO HERNANDEZ</t>
        </is>
      </c>
      <c r="D1290" t="n">
        <v>9324</v>
      </c>
      <c r="E1290" t="inlineStr">
        <is>
          <t>DESARROLLADOR BACKEND JR</t>
        </is>
      </c>
      <c r="F1290" t="inlineStr">
        <is>
          <t>TELETRABAJO</t>
        </is>
      </c>
      <c r="G1290" t="n">
        <v>2980</v>
      </c>
      <c r="H1290" t="inlineStr">
        <is>
          <t>DULCE MARIA MARTINEZ HERRERA</t>
        </is>
      </c>
      <c r="I1290" t="n">
        <v>8255</v>
      </c>
      <c r="J1290" t="inlineStr">
        <is>
          <t>LIDER DE DESARROLLO</t>
        </is>
      </c>
      <c r="K1290" t="n">
        <v>1</v>
      </c>
      <c r="L1290" t="inlineStr">
        <is>
          <t>PRESIDENCIA EJECUTIVA DEL CONSEJO</t>
        </is>
      </c>
      <c r="M1290" t="n">
        <v>40</v>
      </c>
      <c r="N1290" t="inlineStr">
        <is>
          <t>DIRECCION GENERAL BANCO BASE</t>
        </is>
      </c>
      <c r="O1290" t="n">
        <v>310</v>
      </c>
      <c r="P1290" t="inlineStr">
        <is>
          <t>DIRECCION DE TECNOLOGIA</t>
        </is>
      </c>
      <c r="Q1290" t="n">
        <v>3150</v>
      </c>
      <c r="R1290" t="inlineStr">
        <is>
          <t>DESARROLLO DE APLICATIVOS</t>
        </is>
      </c>
      <c r="S1290" t="n">
        <v>31510</v>
      </c>
      <c r="T1290" t="inlineStr">
        <is>
          <t>DESARROLLO DE APLICATIVOS CANALES</t>
        </is>
      </c>
      <c r="U1290" t="n">
        <v>315000</v>
      </c>
      <c r="V1290" t="inlineStr">
        <is>
          <t>DESARROLLO DE APLICATIVOS</t>
        </is>
      </c>
      <c r="W1290" t="n">
        <v>134111</v>
      </c>
      <c r="X1290" t="inlineStr">
        <is>
          <t>LOMAS</t>
        </is>
      </c>
      <c r="Y1290" t="n">
        <v>4</v>
      </c>
      <c r="Z1290" t="inlineStr">
        <is>
          <t>CORPORATIVO</t>
        </is>
      </c>
      <c r="AA1290" t="n">
        <v>1</v>
      </c>
      <c r="AB1290" t="inlineStr">
        <is>
          <t>NEGOCIO EN MARCHA</t>
        </is>
      </c>
      <c r="AC1290" t="n">
        <v>1</v>
      </c>
      <c r="AD1290" t="inlineStr">
        <is>
          <t>BANCO</t>
        </is>
      </c>
      <c r="AE1290" t="n">
        <v>1</v>
      </c>
      <c r="AF1290" t="inlineStr">
        <is>
          <t>BACK</t>
        </is>
      </c>
      <c r="AG1290" t="n">
        <v>134111</v>
      </c>
      <c r="AH1290" t="inlineStr">
        <is>
          <t>LOMAS</t>
        </is>
      </c>
      <c r="AI1290" t="inlineStr">
        <is>
          <t>SCARDOSO@BANCOBASE.COM</t>
        </is>
      </c>
      <c r="AJ1290" s="151" t="n">
        <v>45600</v>
      </c>
      <c r="AK1290" s="151" t="n"/>
    </row>
    <row r="1291" hidden="1" s="150">
      <c r="A1291" t="inlineStr">
        <is>
          <t>EANDRADE</t>
        </is>
      </c>
      <c r="B1291" t="n">
        <v>2840</v>
      </c>
      <c r="C1291" t="inlineStr">
        <is>
          <t>ENOCH ANDRADE ROMERO</t>
        </is>
      </c>
      <c r="D1291" t="n">
        <v>8059</v>
      </c>
      <c r="E1291" t="inlineStr">
        <is>
          <t>DESARROLLADOR BACKEND SR</t>
        </is>
      </c>
      <c r="F1291" t="inlineStr">
        <is>
          <t>TELETRABAJO</t>
        </is>
      </c>
      <c r="G1291" t="n">
        <v>2980</v>
      </c>
      <c r="H1291" t="inlineStr">
        <is>
          <t>DULCE MARIA MARTINEZ HERRERA</t>
        </is>
      </c>
      <c r="I1291" t="n">
        <v>8255</v>
      </c>
      <c r="J1291" t="inlineStr">
        <is>
          <t>LIDER DE DESARROLLO</t>
        </is>
      </c>
      <c r="K1291" t="n">
        <v>1</v>
      </c>
      <c r="L1291" t="inlineStr">
        <is>
          <t>PRESIDENCIA EJECUTIVA DEL CONSEJO</t>
        </is>
      </c>
      <c r="M1291" t="n">
        <v>40</v>
      </c>
      <c r="N1291" t="inlineStr">
        <is>
          <t>DIRECCION GENERAL BANCO BASE</t>
        </is>
      </c>
      <c r="O1291" t="n">
        <v>310</v>
      </c>
      <c r="P1291" t="inlineStr">
        <is>
          <t>DIRECCION DE TECNOLOGIA</t>
        </is>
      </c>
      <c r="Q1291" t="n">
        <v>3150</v>
      </c>
      <c r="R1291" t="inlineStr">
        <is>
          <t>DESARROLLO DE APLICATIVOS</t>
        </is>
      </c>
      <c r="S1291" t="n">
        <v>31510</v>
      </c>
      <c r="T1291" t="inlineStr">
        <is>
          <t>DESARROLLO DE APLICATIVOS CANALES</t>
        </is>
      </c>
      <c r="U1291" t="n">
        <v>315000</v>
      </c>
      <c r="V1291" t="inlineStr">
        <is>
          <t>DESARROLLO DE APLICATIVOS</t>
        </is>
      </c>
      <c r="W1291" t="n">
        <v>134111</v>
      </c>
      <c r="X1291" t="inlineStr">
        <is>
          <t>LOMAS</t>
        </is>
      </c>
      <c r="Y1291" t="n">
        <v>4</v>
      </c>
      <c r="Z1291" t="inlineStr">
        <is>
          <t>CORPORATIVO</t>
        </is>
      </c>
      <c r="AA1291" t="n">
        <v>1</v>
      </c>
      <c r="AB1291" t="inlineStr">
        <is>
          <t>NEGOCIO EN MARCHA</t>
        </is>
      </c>
      <c r="AC1291" t="n">
        <v>1</v>
      </c>
      <c r="AD1291" t="inlineStr">
        <is>
          <t>BANCO</t>
        </is>
      </c>
      <c r="AE1291" t="n">
        <v>1</v>
      </c>
      <c r="AF1291" t="inlineStr">
        <is>
          <t>BACK</t>
        </is>
      </c>
      <c r="AG1291" t="n">
        <v>134111</v>
      </c>
      <c r="AH1291" t="inlineStr">
        <is>
          <t>LOMAS</t>
        </is>
      </c>
      <c r="AI1291" t="inlineStr">
        <is>
          <t>EANDRADE@BANCOBASE.COM</t>
        </is>
      </c>
      <c r="AJ1291" s="151" t="n">
        <v>44986</v>
      </c>
      <c r="AK1291" s="151" t="n"/>
    </row>
    <row r="1292" hidden="1" s="150">
      <c r="A1292" t="inlineStr">
        <is>
          <t>SESPERON</t>
        </is>
      </c>
      <c r="B1292" t="n">
        <v>2828</v>
      </c>
      <c r="C1292" t="inlineStr">
        <is>
          <t>SERGIO ESPERON GARCIA</t>
        </is>
      </c>
      <c r="D1292" t="n">
        <v>8084</v>
      </c>
      <c r="E1292" t="inlineStr">
        <is>
          <t>DESARROLLADOR BACKEND JR</t>
        </is>
      </c>
      <c r="F1292" t="inlineStr">
        <is>
          <t>TELETRABAJO</t>
        </is>
      </c>
      <c r="G1292" t="n">
        <v>2980</v>
      </c>
      <c r="H1292" t="inlineStr">
        <is>
          <t>DULCE MARIA MARTINEZ HERRERA</t>
        </is>
      </c>
      <c r="I1292" t="n">
        <v>8255</v>
      </c>
      <c r="J1292" t="inlineStr">
        <is>
          <t>LIDER DE DESARROLLO</t>
        </is>
      </c>
      <c r="K1292" t="n">
        <v>1</v>
      </c>
      <c r="L1292" t="inlineStr">
        <is>
          <t>PRESIDENCIA EJECUTIVA DEL CONSEJO</t>
        </is>
      </c>
      <c r="M1292" t="n">
        <v>40</v>
      </c>
      <c r="N1292" t="inlineStr">
        <is>
          <t>DIRECCION GENERAL BANCO BASE</t>
        </is>
      </c>
      <c r="O1292" t="n">
        <v>310</v>
      </c>
      <c r="P1292" t="inlineStr">
        <is>
          <t>DIRECCION DE TECNOLOGIA</t>
        </is>
      </c>
      <c r="Q1292" t="n">
        <v>3150</v>
      </c>
      <c r="R1292" t="inlineStr">
        <is>
          <t>DESARROLLO DE APLICATIVOS</t>
        </is>
      </c>
      <c r="S1292" t="n">
        <v>31510</v>
      </c>
      <c r="T1292" t="inlineStr">
        <is>
          <t>DESARROLLO DE APLICATIVOS CANALES</t>
        </is>
      </c>
      <c r="U1292" t="n">
        <v>315000</v>
      </c>
      <c r="V1292" t="inlineStr">
        <is>
          <t>DESARROLLO DE APLICATIVOS</t>
        </is>
      </c>
      <c r="W1292" t="n">
        <v>134111</v>
      </c>
      <c r="X1292" t="inlineStr">
        <is>
          <t>LOMAS</t>
        </is>
      </c>
      <c r="Y1292" t="n">
        <v>4</v>
      </c>
      <c r="Z1292" t="inlineStr">
        <is>
          <t>CORPORATIVO</t>
        </is>
      </c>
      <c r="AA1292" t="n">
        <v>1</v>
      </c>
      <c r="AB1292" t="inlineStr">
        <is>
          <t>NEGOCIO EN MARCHA</t>
        </is>
      </c>
      <c r="AC1292" t="n">
        <v>1</v>
      </c>
      <c r="AD1292" t="inlineStr">
        <is>
          <t>BANCO</t>
        </is>
      </c>
      <c r="AE1292" t="n">
        <v>1</v>
      </c>
      <c r="AF1292" t="inlineStr">
        <is>
          <t>BACK</t>
        </is>
      </c>
      <c r="AG1292" t="n">
        <v>134111</v>
      </c>
      <c r="AH1292" t="inlineStr">
        <is>
          <t>LOMAS</t>
        </is>
      </c>
      <c r="AI1292" t="inlineStr">
        <is>
          <t>SESPERON@BANCOBASE.COM</t>
        </is>
      </c>
      <c r="AJ1292" s="151" t="n">
        <v>44973</v>
      </c>
    </row>
    <row r="1293" hidden="1" s="150">
      <c r="A1293" t="inlineStr">
        <is>
          <t>DCABRERA</t>
        </is>
      </c>
      <c r="B1293" t="n">
        <v>656</v>
      </c>
      <c r="C1293" t="inlineStr">
        <is>
          <t>JOSE DAMIAN CABRERA PALACIO</t>
        </is>
      </c>
      <c r="D1293" t="n">
        <v>3707</v>
      </c>
      <c r="E1293" t="inlineStr">
        <is>
          <t>LIDER DE DESARROLLO</t>
        </is>
      </c>
      <c r="F1293" t="inlineStr">
        <is>
          <t>TELETRABAJO</t>
        </is>
      </c>
      <c r="G1293" t="n">
        <v>2499</v>
      </c>
      <c r="H1293" t="inlineStr">
        <is>
          <t>ARCE MUÑOZ OCAMPO</t>
        </is>
      </c>
      <c r="I1293" t="n">
        <v>8099</v>
      </c>
      <c r="J1293" t="inlineStr">
        <is>
          <t>SUBDIRECTOR DE DESARROLLO CANALES</t>
        </is>
      </c>
      <c r="K1293" t="n">
        <v>1</v>
      </c>
      <c r="L1293" t="inlineStr">
        <is>
          <t>PRESIDENCIA EJECUTIVA DEL CONSEJO</t>
        </is>
      </c>
      <c r="M1293" t="n">
        <v>40</v>
      </c>
      <c r="N1293" t="inlineStr">
        <is>
          <t>DIRECCION GENERAL BANCO BASE</t>
        </is>
      </c>
      <c r="O1293" t="n">
        <v>310</v>
      </c>
      <c r="P1293" t="inlineStr">
        <is>
          <t>DIRECCION DE TECNOLOGIA</t>
        </is>
      </c>
      <c r="Q1293" t="n">
        <v>3150</v>
      </c>
      <c r="R1293" t="inlineStr">
        <is>
          <t>DESARROLLO DE APLICATIVOS</t>
        </is>
      </c>
      <c r="S1293" t="n">
        <v>31510</v>
      </c>
      <c r="T1293" t="inlineStr">
        <is>
          <t>DESARROLLO DE APLICATIVOS CANALES</t>
        </is>
      </c>
      <c r="U1293" t="n">
        <v>315000</v>
      </c>
      <c r="V1293" t="inlineStr">
        <is>
          <t>DESARROLLO DE APLICATIVOS</t>
        </is>
      </c>
      <c r="W1293" t="n">
        <v>100101</v>
      </c>
      <c r="X1293" t="inlineStr">
        <is>
          <t>CORPORATIVO</t>
        </is>
      </c>
      <c r="Y1293" t="n">
        <v>4</v>
      </c>
      <c r="Z1293" t="inlineStr">
        <is>
          <t>CORPORATIVO</t>
        </is>
      </c>
      <c r="AA1293" t="n">
        <v>1</v>
      </c>
      <c r="AB1293" t="inlineStr">
        <is>
          <t>NEGOCIO EN MARCHA</t>
        </is>
      </c>
      <c r="AC1293" t="n">
        <v>1</v>
      </c>
      <c r="AD1293" t="inlineStr">
        <is>
          <t>BANCO</t>
        </is>
      </c>
      <c r="AE1293" t="n">
        <v>1</v>
      </c>
      <c r="AF1293" t="inlineStr">
        <is>
          <t>BACK</t>
        </is>
      </c>
      <c r="AG1293" t="n">
        <v>100101</v>
      </c>
      <c r="AH1293" t="inlineStr">
        <is>
          <t>CORPORATIVO</t>
        </is>
      </c>
      <c r="AI1293" t="inlineStr">
        <is>
          <t>DCABRERA@BANCOBASE.COM</t>
        </is>
      </c>
      <c r="AJ1293" s="151" t="n">
        <v>40422</v>
      </c>
    </row>
    <row r="1294" hidden="1" s="150">
      <c r="A1294" t="inlineStr">
        <is>
          <t>FPABLO</t>
        </is>
      </c>
      <c r="B1294" t="n">
        <v>2800</v>
      </c>
      <c r="C1294" t="inlineStr">
        <is>
          <t>FERNANDO PABLO GERONIMO</t>
        </is>
      </c>
      <c r="D1294" t="n">
        <v>8042</v>
      </c>
      <c r="E1294" t="inlineStr">
        <is>
          <t>DESARROLLADOR BACKEND SR</t>
        </is>
      </c>
      <c r="F1294" t="inlineStr">
        <is>
          <t>TELETRABAJO</t>
        </is>
      </c>
      <c r="G1294" t="n">
        <v>656</v>
      </c>
      <c r="H1294" t="inlineStr">
        <is>
          <t>JOSE DAMIAN CABRERA PALACIO</t>
        </is>
      </c>
      <c r="I1294" t="n">
        <v>3707</v>
      </c>
      <c r="J1294" t="inlineStr">
        <is>
          <t>LIDER DE DESARROLLO</t>
        </is>
      </c>
      <c r="K1294" t="n">
        <v>1</v>
      </c>
      <c r="L1294" t="inlineStr">
        <is>
          <t>PRESIDENCIA EJECUTIVA DEL CONSEJO</t>
        </is>
      </c>
      <c r="M1294" t="n">
        <v>40</v>
      </c>
      <c r="N1294" t="inlineStr">
        <is>
          <t>DIRECCION GENERAL BANCO BASE</t>
        </is>
      </c>
      <c r="O1294" t="n">
        <v>310</v>
      </c>
      <c r="P1294" t="inlineStr">
        <is>
          <t>DIRECCION DE TECNOLOGIA</t>
        </is>
      </c>
      <c r="Q1294" t="n">
        <v>3150</v>
      </c>
      <c r="R1294" t="inlineStr">
        <is>
          <t>DESARROLLO DE APLICATIVOS</t>
        </is>
      </c>
      <c r="S1294" t="n">
        <v>31510</v>
      </c>
      <c r="T1294" t="inlineStr">
        <is>
          <t>DESARROLLO DE APLICATIVOS CANALES</t>
        </is>
      </c>
      <c r="U1294" t="n">
        <v>315000</v>
      </c>
      <c r="V1294" t="inlineStr">
        <is>
          <t>DESARROLLO DE APLICATIVOS</t>
        </is>
      </c>
      <c r="W1294" t="n">
        <v>100101</v>
      </c>
      <c r="X1294" t="inlineStr">
        <is>
          <t>CORPORATIVO</t>
        </is>
      </c>
      <c r="Y1294" t="n">
        <v>4</v>
      </c>
      <c r="Z1294" t="inlineStr">
        <is>
          <t>CORPORATIVO</t>
        </is>
      </c>
      <c r="AA1294" t="n">
        <v>1</v>
      </c>
      <c r="AB1294" t="inlineStr">
        <is>
          <t>NEGOCIO EN MARCHA</t>
        </is>
      </c>
      <c r="AC1294" t="n">
        <v>1</v>
      </c>
      <c r="AD1294" t="inlineStr">
        <is>
          <t>BANCO</t>
        </is>
      </c>
      <c r="AE1294" t="n">
        <v>1</v>
      </c>
      <c r="AF1294" t="inlineStr">
        <is>
          <t>BACK</t>
        </is>
      </c>
      <c r="AG1294" t="n">
        <v>100101</v>
      </c>
      <c r="AH1294" t="inlineStr">
        <is>
          <t>CORPORATIVO</t>
        </is>
      </c>
      <c r="AI1294" t="inlineStr">
        <is>
          <t>FPABLO@BANCOBASE.COM</t>
        </is>
      </c>
      <c r="AJ1294" s="151" t="n">
        <v>44928</v>
      </c>
    </row>
    <row r="1295" hidden="1" s="150">
      <c r="A1295" t="inlineStr">
        <is>
          <t>JGARCIASA</t>
        </is>
      </c>
      <c r="B1295" t="n">
        <v>3208</v>
      </c>
      <c r="C1295" t="inlineStr">
        <is>
          <t>JOSE SAUL GARCIA SANCHEZ</t>
        </is>
      </c>
      <c r="D1295" t="n">
        <v>8433</v>
      </c>
      <c r="E1295" t="inlineStr">
        <is>
          <t>DESARROLLADOR BACKEND SR</t>
        </is>
      </c>
      <c r="F1295" t="inlineStr">
        <is>
          <t>TELETRABAJO</t>
        </is>
      </c>
      <c r="G1295" t="n">
        <v>656</v>
      </c>
      <c r="H1295" t="inlineStr">
        <is>
          <t>JOSE DAMIAN CABRERA PALACIO</t>
        </is>
      </c>
      <c r="I1295" t="n">
        <v>3707</v>
      </c>
      <c r="J1295" t="inlineStr">
        <is>
          <t>LIDER DE DESARROLLO</t>
        </is>
      </c>
      <c r="K1295" t="n">
        <v>1</v>
      </c>
      <c r="L1295" t="inlineStr">
        <is>
          <t>PRESIDENCIA EJECUTIVA DEL CONSEJO</t>
        </is>
      </c>
      <c r="M1295" t="n">
        <v>40</v>
      </c>
      <c r="N1295" t="inlineStr">
        <is>
          <t>DIRECCION GENERAL BANCO BASE</t>
        </is>
      </c>
      <c r="O1295" t="n">
        <v>310</v>
      </c>
      <c r="P1295" t="inlineStr">
        <is>
          <t>DIRECCION DE TECNOLOGIA</t>
        </is>
      </c>
      <c r="Q1295" t="n">
        <v>3150</v>
      </c>
      <c r="R1295" t="inlineStr">
        <is>
          <t>DESARROLLO DE APLICATIVOS</t>
        </is>
      </c>
      <c r="S1295" t="n">
        <v>31510</v>
      </c>
      <c r="T1295" t="inlineStr">
        <is>
          <t>DESARROLLO DE APLICATIVOS CANALES</t>
        </is>
      </c>
      <c r="U1295" t="n">
        <v>315000</v>
      </c>
      <c r="V1295" t="inlineStr">
        <is>
          <t>DESARROLLO DE APLICATIVOS</t>
        </is>
      </c>
      <c r="W1295" t="n">
        <v>126112</v>
      </c>
      <c r="X1295" t="inlineStr">
        <is>
          <t>QUERETARO</t>
        </is>
      </c>
      <c r="Y1295" t="n">
        <v>4</v>
      </c>
      <c r="Z1295" t="inlineStr">
        <is>
          <t>CORPORATIVO</t>
        </is>
      </c>
      <c r="AA1295" t="n">
        <v>1</v>
      </c>
      <c r="AB1295" t="inlineStr">
        <is>
          <t>NEGOCIO EN MARCHA</t>
        </is>
      </c>
      <c r="AC1295" t="n">
        <v>1</v>
      </c>
      <c r="AD1295" t="inlineStr">
        <is>
          <t>BANCO</t>
        </is>
      </c>
      <c r="AE1295" t="n">
        <v>1</v>
      </c>
      <c r="AF1295" t="inlineStr">
        <is>
          <t>BACK</t>
        </is>
      </c>
      <c r="AG1295" t="n">
        <v>126112</v>
      </c>
      <c r="AH1295" t="inlineStr">
        <is>
          <t>QUERETARO</t>
        </is>
      </c>
      <c r="AI1295" t="inlineStr">
        <is>
          <t>JGARCIASA@BANCOBASE.COM</t>
        </is>
      </c>
      <c r="AJ1295" s="151" t="n">
        <v>45552</v>
      </c>
    </row>
    <row r="1296" hidden="1" s="150">
      <c r="A1296" t="inlineStr">
        <is>
          <t>VGOMEF</t>
        </is>
      </c>
      <c r="B1296" t="n">
        <v>2674</v>
      </c>
      <c r="C1296" t="inlineStr">
        <is>
          <t>VICTOR HUGO GOMEZ FLORES</t>
        </is>
      </c>
      <c r="D1296" t="n">
        <v>9354</v>
      </c>
      <c r="E1296" t="inlineStr">
        <is>
          <t>LIDER DE DESARROLLO</t>
        </is>
      </c>
      <c r="F1296" t="inlineStr">
        <is>
          <t>TELETRABAJO</t>
        </is>
      </c>
      <c r="G1296" t="n">
        <v>2499</v>
      </c>
      <c r="H1296" t="inlineStr">
        <is>
          <t>ARCE MUÑOZ OCAMPO</t>
        </is>
      </c>
      <c r="I1296" t="n">
        <v>8099</v>
      </c>
      <c r="J1296" t="inlineStr">
        <is>
          <t>SUBDIRECTOR DE DESARROLLO CANALES</t>
        </is>
      </c>
      <c r="K1296" t="n">
        <v>1</v>
      </c>
      <c r="L1296" t="inlineStr">
        <is>
          <t>PRESIDENCIA EJECUTIVA DEL CONSEJO</t>
        </is>
      </c>
      <c r="M1296" t="n">
        <v>40</v>
      </c>
      <c r="N1296" t="inlineStr">
        <is>
          <t>DIRECCION GENERAL BANCO BASE</t>
        </is>
      </c>
      <c r="O1296" t="n">
        <v>310</v>
      </c>
      <c r="P1296" t="inlineStr">
        <is>
          <t>DIRECCION DE TECNOLOGIA</t>
        </is>
      </c>
      <c r="Q1296" t="n">
        <v>3150</v>
      </c>
      <c r="R1296" t="inlineStr">
        <is>
          <t>DESARROLLO DE APLICATIVOS</t>
        </is>
      </c>
      <c r="S1296" t="n">
        <v>31510</v>
      </c>
      <c r="T1296" t="inlineStr">
        <is>
          <t>DESARROLLO DE APLICATIVOS CANALES</t>
        </is>
      </c>
      <c r="U1296" t="n">
        <v>315000</v>
      </c>
      <c r="V1296" t="inlineStr">
        <is>
          <t>DESARROLLO DE APLICATIVOS</t>
        </is>
      </c>
      <c r="W1296" t="n">
        <v>100101</v>
      </c>
      <c r="X1296" t="inlineStr">
        <is>
          <t>CORPORATIVO</t>
        </is>
      </c>
      <c r="Y1296" t="n">
        <v>4</v>
      </c>
      <c r="Z1296" t="inlineStr">
        <is>
          <t>CORPORATIVO</t>
        </is>
      </c>
      <c r="AA1296" t="n">
        <v>1</v>
      </c>
      <c r="AB1296" t="inlineStr">
        <is>
          <t>NEGOCIO EN MARCHA</t>
        </is>
      </c>
      <c r="AC1296" t="n">
        <v>1</v>
      </c>
      <c r="AD1296" t="inlineStr">
        <is>
          <t>BANCO</t>
        </is>
      </c>
      <c r="AE1296" t="n">
        <v>1</v>
      </c>
      <c r="AF1296" t="inlineStr">
        <is>
          <t>BACK</t>
        </is>
      </c>
      <c r="AG1296" t="n">
        <v>100101</v>
      </c>
      <c r="AH1296" t="inlineStr">
        <is>
          <t>CORPORATIVO</t>
        </is>
      </c>
      <c r="AI1296" t="inlineStr">
        <is>
          <t>VGOMEF@BANCOBASE.COM</t>
        </is>
      </c>
      <c r="AJ1296" s="151" t="n">
        <v>44732</v>
      </c>
    </row>
    <row r="1297" hidden="1" s="150">
      <c r="A1297" t="inlineStr">
        <is>
          <t>PESPINOZA</t>
        </is>
      </c>
      <c r="B1297" t="n">
        <v>2620</v>
      </c>
      <c r="C1297" t="inlineStr">
        <is>
          <t>PEDRO AARON ESPINOZA CRUZ</t>
        </is>
      </c>
      <c r="D1297" t="n">
        <v>9336</v>
      </c>
      <c r="E1297" t="inlineStr">
        <is>
          <t>DESARROLLADOR FRONTEND SR</t>
        </is>
      </c>
      <c r="F1297" t="inlineStr">
        <is>
          <t>TELETRABAJO</t>
        </is>
      </c>
      <c r="G1297" t="n">
        <v>2674</v>
      </c>
      <c r="H1297" t="inlineStr">
        <is>
          <t>VICTOR HUGO GOMEZ FLORES</t>
        </is>
      </c>
      <c r="I1297" t="n">
        <v>9354</v>
      </c>
      <c r="J1297" t="inlineStr">
        <is>
          <t>LIDER DE DESARROLLO</t>
        </is>
      </c>
      <c r="K1297" t="n">
        <v>1</v>
      </c>
      <c r="L1297" t="inlineStr">
        <is>
          <t>PRESIDENCIA EJECUTIVA DEL CONSEJO</t>
        </is>
      </c>
      <c r="M1297" t="n">
        <v>40</v>
      </c>
      <c r="N1297" t="inlineStr">
        <is>
          <t>DIRECCION GENERAL BANCO BASE</t>
        </is>
      </c>
      <c r="O1297" t="n">
        <v>310</v>
      </c>
      <c r="P1297" t="inlineStr">
        <is>
          <t>DIRECCION DE TECNOLOGIA</t>
        </is>
      </c>
      <c r="Q1297" t="n">
        <v>3150</v>
      </c>
      <c r="R1297" t="inlineStr">
        <is>
          <t>DESARROLLO DE APLICATIVOS</t>
        </is>
      </c>
      <c r="S1297" t="n">
        <v>31510</v>
      </c>
      <c r="T1297" t="inlineStr">
        <is>
          <t>DESARROLLO DE APLICATIVOS CANALES</t>
        </is>
      </c>
      <c r="U1297" t="n">
        <v>315000</v>
      </c>
      <c r="V1297" t="inlineStr">
        <is>
          <t>DESARROLLO DE APLICATIVOS</t>
        </is>
      </c>
      <c r="W1297" t="n">
        <v>134111</v>
      </c>
      <c r="X1297" t="inlineStr">
        <is>
          <t>LOMAS</t>
        </is>
      </c>
      <c r="Y1297" t="n">
        <v>4</v>
      </c>
      <c r="Z1297" t="inlineStr">
        <is>
          <t>CORPORATIVO</t>
        </is>
      </c>
      <c r="AA1297" t="n">
        <v>1</v>
      </c>
      <c r="AB1297" t="inlineStr">
        <is>
          <t>NEGOCIO EN MARCHA</t>
        </is>
      </c>
      <c r="AC1297" t="n">
        <v>1</v>
      </c>
      <c r="AD1297" t="inlineStr">
        <is>
          <t>BANCO</t>
        </is>
      </c>
      <c r="AE1297" t="n">
        <v>1</v>
      </c>
      <c r="AF1297" t="inlineStr">
        <is>
          <t>BACK</t>
        </is>
      </c>
      <c r="AG1297" t="n">
        <v>134111</v>
      </c>
      <c r="AH1297" t="inlineStr">
        <is>
          <t>LOMAS</t>
        </is>
      </c>
      <c r="AI1297" t="inlineStr">
        <is>
          <t>PESPINOZA@BANCOBASE.COM</t>
        </is>
      </c>
      <c r="AJ1297" s="151" t="n">
        <v>44621</v>
      </c>
    </row>
    <row r="1298" hidden="1" s="150">
      <c r="A1298" t="inlineStr">
        <is>
          <t>VCIRA</t>
        </is>
      </c>
      <c r="B1298" t="n">
        <v>2694</v>
      </c>
      <c r="C1298" t="inlineStr">
        <is>
          <t>VICTOR ALEJANDRO CIRA HUAPE</t>
        </is>
      </c>
      <c r="D1298" t="n">
        <v>9034</v>
      </c>
      <c r="E1298" t="inlineStr">
        <is>
          <t>DESARROLLADOR BACKEND SR</t>
        </is>
      </c>
      <c r="F1298" t="inlineStr">
        <is>
          <t>TELETRABAJO</t>
        </is>
      </c>
      <c r="G1298" t="n">
        <v>2674</v>
      </c>
      <c r="H1298" t="inlineStr">
        <is>
          <t>VICTOR HUGO GOMEZ FLORES</t>
        </is>
      </c>
      <c r="I1298" t="n">
        <v>9354</v>
      </c>
      <c r="J1298" t="inlineStr">
        <is>
          <t>LIDER DE DESARROLLO</t>
        </is>
      </c>
      <c r="K1298" t="n">
        <v>1</v>
      </c>
      <c r="L1298" t="inlineStr">
        <is>
          <t>PRESIDENCIA EJECUTIVA DEL CONSEJO</t>
        </is>
      </c>
      <c r="M1298" t="n">
        <v>40</v>
      </c>
      <c r="N1298" t="inlineStr">
        <is>
          <t>DIRECCION GENERAL BANCO BASE</t>
        </is>
      </c>
      <c r="O1298" t="n">
        <v>310</v>
      </c>
      <c r="P1298" t="inlineStr">
        <is>
          <t>DIRECCION DE TECNOLOGIA</t>
        </is>
      </c>
      <c r="Q1298" t="n">
        <v>3150</v>
      </c>
      <c r="R1298" t="inlineStr">
        <is>
          <t>DESARROLLO DE APLICATIVOS</t>
        </is>
      </c>
      <c r="S1298" t="n">
        <v>31510</v>
      </c>
      <c r="T1298" t="inlineStr">
        <is>
          <t>DESARROLLO DE APLICATIVOS CANALES</t>
        </is>
      </c>
      <c r="U1298" t="n">
        <v>315000</v>
      </c>
      <c r="V1298" t="inlineStr">
        <is>
          <t>DESARROLLO DE APLICATIVOS</t>
        </is>
      </c>
      <c r="W1298" t="n">
        <v>126107</v>
      </c>
      <c r="X1298" t="inlineStr">
        <is>
          <t>GUADALAJARA</t>
        </is>
      </c>
      <c r="Y1298" t="n">
        <v>4</v>
      </c>
      <c r="Z1298" t="inlineStr">
        <is>
          <t>CORPORATIVO</t>
        </is>
      </c>
      <c r="AA1298" t="n">
        <v>1</v>
      </c>
      <c r="AB1298" t="inlineStr">
        <is>
          <t>NEGOCIO EN MARCHA</t>
        </is>
      </c>
      <c r="AC1298" t="n">
        <v>1</v>
      </c>
      <c r="AD1298" t="inlineStr">
        <is>
          <t>BANCO</t>
        </is>
      </c>
      <c r="AE1298" t="n">
        <v>1</v>
      </c>
      <c r="AF1298" t="inlineStr">
        <is>
          <t>BACK</t>
        </is>
      </c>
      <c r="AG1298" t="n">
        <v>126107</v>
      </c>
      <c r="AH1298" t="inlineStr">
        <is>
          <t>GUADALAJARA</t>
        </is>
      </c>
      <c r="AI1298" t="inlineStr">
        <is>
          <t>VCIRA@BANCOBASE.COM</t>
        </is>
      </c>
      <c r="AJ1298" s="151" t="n">
        <v>44764</v>
      </c>
    </row>
    <row r="1299" hidden="1" s="150">
      <c r="A1299" t="inlineStr">
        <is>
          <t>MMALDONADO</t>
        </is>
      </c>
      <c r="B1299" t="n">
        <v>2560</v>
      </c>
      <c r="C1299" t="inlineStr">
        <is>
          <t>MANAHORE DEL CARMEN MALDONADO VAZQUEZ</t>
        </is>
      </c>
      <c r="D1299" t="n">
        <v>9283</v>
      </c>
      <c r="E1299" t="inlineStr">
        <is>
          <t>LIDER DE DESARROLLO</t>
        </is>
      </c>
      <c r="F1299" t="inlineStr">
        <is>
          <t>TELETRABAJO</t>
        </is>
      </c>
      <c r="G1299" t="n">
        <v>2499</v>
      </c>
      <c r="H1299" t="inlineStr">
        <is>
          <t>ARCE MUÑOZ OCAMPO</t>
        </is>
      </c>
      <c r="I1299" t="n">
        <v>8099</v>
      </c>
      <c r="J1299" t="inlineStr">
        <is>
          <t>SUBDIRECTOR DE DESARROLLO CANALES</t>
        </is>
      </c>
      <c r="K1299" t="n">
        <v>1</v>
      </c>
      <c r="L1299" t="inlineStr">
        <is>
          <t>PRESIDENCIA EJECUTIVA DEL CONSEJO</t>
        </is>
      </c>
      <c r="M1299" t="n">
        <v>40</v>
      </c>
      <c r="N1299" t="inlineStr">
        <is>
          <t>DIRECCION GENERAL BANCO BASE</t>
        </is>
      </c>
      <c r="O1299" t="n">
        <v>310</v>
      </c>
      <c r="P1299" t="inlineStr">
        <is>
          <t>DIRECCION DE TECNOLOGIA</t>
        </is>
      </c>
      <c r="Q1299" t="n">
        <v>3150</v>
      </c>
      <c r="R1299" t="inlineStr">
        <is>
          <t>DESARROLLO DE APLICATIVOS</t>
        </is>
      </c>
      <c r="S1299" t="n">
        <v>31510</v>
      </c>
      <c r="T1299" t="inlineStr">
        <is>
          <t>DESARROLLO DE APLICATIVOS CANALES</t>
        </is>
      </c>
      <c r="U1299" t="n">
        <v>315000</v>
      </c>
      <c r="V1299" t="inlineStr">
        <is>
          <t>DESARROLLO DE APLICATIVOS</t>
        </is>
      </c>
      <c r="W1299" t="n">
        <v>134111</v>
      </c>
      <c r="X1299" t="inlineStr">
        <is>
          <t>LOMAS</t>
        </is>
      </c>
      <c r="Y1299" t="n">
        <v>4</v>
      </c>
      <c r="Z1299" t="inlineStr">
        <is>
          <t>CORPORATIVO</t>
        </is>
      </c>
      <c r="AA1299" t="n">
        <v>1</v>
      </c>
      <c r="AB1299" t="inlineStr">
        <is>
          <t>NEGOCIO EN MARCHA</t>
        </is>
      </c>
      <c r="AC1299" t="n">
        <v>1</v>
      </c>
      <c r="AD1299" t="inlineStr">
        <is>
          <t>BANCO</t>
        </is>
      </c>
      <c r="AE1299" t="n">
        <v>1</v>
      </c>
      <c r="AF1299" t="inlineStr">
        <is>
          <t>BACK</t>
        </is>
      </c>
      <c r="AG1299" t="n">
        <v>134111</v>
      </c>
      <c r="AH1299" t="inlineStr">
        <is>
          <t>LOMAS</t>
        </is>
      </c>
      <c r="AI1299" t="inlineStr">
        <is>
          <t>MMALDONADO@BANCOBASE.COM</t>
        </is>
      </c>
      <c r="AJ1299" s="151" t="n">
        <v>44487</v>
      </c>
    </row>
    <row r="1300" hidden="1" s="150">
      <c r="A1300" t="inlineStr">
        <is>
          <t>AGUTIERREP</t>
        </is>
      </c>
      <c r="B1300" t="n">
        <v>2662</v>
      </c>
      <c r="C1300" t="inlineStr">
        <is>
          <t>JESUS ADRIAN GUTIERREZ PEREZ</t>
        </is>
      </c>
      <c r="D1300" t="n">
        <v>9041</v>
      </c>
      <c r="E1300" t="inlineStr">
        <is>
          <t>DESARROLLADOR BACKEND SR</t>
        </is>
      </c>
      <c r="F1300" t="inlineStr">
        <is>
          <t>TELETRABAJO</t>
        </is>
      </c>
      <c r="G1300" t="n">
        <v>2560</v>
      </c>
      <c r="H1300" t="inlineStr">
        <is>
          <t>MANAHORE DEL CARMEN MALDONADO VAZQUEZ</t>
        </is>
      </c>
      <c r="I1300" t="n">
        <v>9283</v>
      </c>
      <c r="J1300" t="inlineStr">
        <is>
          <t>LIDER DE DESARROLLO</t>
        </is>
      </c>
      <c r="K1300" t="n">
        <v>1</v>
      </c>
      <c r="L1300" t="inlineStr">
        <is>
          <t>PRESIDENCIA EJECUTIVA DEL CONSEJO</t>
        </is>
      </c>
      <c r="M1300" t="n">
        <v>40</v>
      </c>
      <c r="N1300" t="inlineStr">
        <is>
          <t>DIRECCION GENERAL BANCO BASE</t>
        </is>
      </c>
      <c r="O1300" t="n">
        <v>310</v>
      </c>
      <c r="P1300" t="inlineStr">
        <is>
          <t>DIRECCION DE TECNOLOGIA</t>
        </is>
      </c>
      <c r="Q1300" t="n">
        <v>3150</v>
      </c>
      <c r="R1300" t="inlineStr">
        <is>
          <t>DESARROLLO DE APLICATIVOS</t>
        </is>
      </c>
      <c r="S1300" t="n">
        <v>31510</v>
      </c>
      <c r="T1300" t="inlineStr">
        <is>
          <t>DESARROLLO DE APLICATIVOS CANALES</t>
        </is>
      </c>
      <c r="U1300" t="n">
        <v>315000</v>
      </c>
      <c r="V1300" t="inlineStr">
        <is>
          <t>DESARROLLO DE APLICATIVOS</t>
        </is>
      </c>
      <c r="W1300" t="n">
        <v>126112</v>
      </c>
      <c r="X1300" t="inlineStr">
        <is>
          <t>QUERETARO</t>
        </is>
      </c>
      <c r="Y1300" t="n">
        <v>4</v>
      </c>
      <c r="Z1300" t="inlineStr">
        <is>
          <t>CORPORATIVO</t>
        </is>
      </c>
      <c r="AA1300" t="n">
        <v>1</v>
      </c>
      <c r="AB1300" t="inlineStr">
        <is>
          <t>NEGOCIO EN MARCHA</t>
        </is>
      </c>
      <c r="AC1300" t="n">
        <v>1</v>
      </c>
      <c r="AD1300" t="inlineStr">
        <is>
          <t>BANCO</t>
        </is>
      </c>
      <c r="AE1300" t="n">
        <v>1</v>
      </c>
      <c r="AF1300" t="inlineStr">
        <is>
          <t>BACK</t>
        </is>
      </c>
      <c r="AG1300" t="n">
        <v>126112</v>
      </c>
      <c r="AH1300" t="inlineStr">
        <is>
          <t>QUERETARO</t>
        </is>
      </c>
      <c r="AI1300" t="inlineStr">
        <is>
          <t>AGUTIERREP@BANCOBASE.COM</t>
        </is>
      </c>
      <c r="AJ1300" s="151" t="n">
        <v>44718</v>
      </c>
    </row>
    <row r="1301" hidden="1" s="150">
      <c r="A1301" t="inlineStr">
        <is>
          <t>LCRUZM</t>
        </is>
      </c>
      <c r="B1301" t="n">
        <v>3575</v>
      </c>
      <c r="C1301" t="inlineStr">
        <is>
          <t>LUIS ALBERTO CRUZ MORA</t>
        </is>
      </c>
      <c r="D1301" t="n">
        <v>8491</v>
      </c>
      <c r="E1301" t="inlineStr">
        <is>
          <t>DESARROLLADOR MOBILE JR</t>
        </is>
      </c>
      <c r="F1301" t="inlineStr">
        <is>
          <t>TELETRABAJO</t>
        </is>
      </c>
      <c r="G1301" t="n">
        <v>2560</v>
      </c>
      <c r="H1301" t="inlineStr">
        <is>
          <t>MANAHORE DEL CARMEN MALDONADO VAZQUEZ</t>
        </is>
      </c>
      <c r="I1301" t="n">
        <v>9283</v>
      </c>
      <c r="J1301" t="inlineStr">
        <is>
          <t>LIDER DE DESARROLLO</t>
        </is>
      </c>
      <c r="K1301" t="n">
        <v>1</v>
      </c>
      <c r="L1301" t="inlineStr">
        <is>
          <t>PRESIDENCIA EJECUTIVA DEL CONSEJO</t>
        </is>
      </c>
      <c r="M1301" t="n">
        <v>40</v>
      </c>
      <c r="N1301" t="inlineStr">
        <is>
          <t>DIRECCION GENERAL BANCO BASE</t>
        </is>
      </c>
      <c r="O1301" t="n">
        <v>310</v>
      </c>
      <c r="P1301" t="inlineStr">
        <is>
          <t>DIRECCION DE TECNOLOGIA</t>
        </is>
      </c>
      <c r="Q1301" t="n">
        <v>3150</v>
      </c>
      <c r="R1301" t="inlineStr">
        <is>
          <t>DESARROLLO DE APLICATIVOS</t>
        </is>
      </c>
      <c r="S1301" t="n">
        <v>31510</v>
      </c>
      <c r="T1301" t="inlineStr">
        <is>
          <t>DESARROLLO DE APLICATIVOS CANALES</t>
        </is>
      </c>
      <c r="U1301" t="n">
        <v>315000</v>
      </c>
      <c r="V1301" t="inlineStr">
        <is>
          <t>DESARROLLO DE APLICATIVOS</t>
        </is>
      </c>
      <c r="W1301" t="n">
        <v>126107</v>
      </c>
      <c r="X1301" t="inlineStr">
        <is>
          <t>GUADALAJARA</t>
        </is>
      </c>
      <c r="Y1301" t="n">
        <v>4</v>
      </c>
      <c r="Z1301" t="inlineStr">
        <is>
          <t>CORPORATIVO</t>
        </is>
      </c>
      <c r="AA1301" t="n">
        <v>7</v>
      </c>
      <c r="AB1301" t="inlineStr">
        <is>
          <t>PROYECTO DARWIN</t>
        </is>
      </c>
      <c r="AC1301" t="n">
        <v>1</v>
      </c>
      <c r="AD1301" t="inlineStr">
        <is>
          <t>BANCO</t>
        </is>
      </c>
      <c r="AE1301" t="n">
        <v>1</v>
      </c>
      <c r="AF1301" t="inlineStr">
        <is>
          <t>BACK</t>
        </is>
      </c>
      <c r="AG1301" t="n">
        <v>126107</v>
      </c>
      <c r="AH1301" t="inlineStr">
        <is>
          <t>GUADALAJARA</t>
        </is>
      </c>
      <c r="AI1301" t="inlineStr">
        <is>
          <t>LCRUZM@BANCOBASE.COM</t>
        </is>
      </c>
      <c r="AJ1301" s="151" t="n">
        <v>45917</v>
      </c>
    </row>
    <row r="1302" hidden="1" s="150">
      <c r="A1302" t="inlineStr">
        <is>
          <t>HCASTRO</t>
        </is>
      </c>
      <c r="B1302" t="n">
        <v>2657</v>
      </c>
      <c r="C1302" t="inlineStr">
        <is>
          <t>HECTOR ISRAEL CASTRO DE LEON</t>
        </is>
      </c>
      <c r="D1302" t="n">
        <v>9027</v>
      </c>
      <c r="E1302" t="inlineStr">
        <is>
          <t>LIDER DE DESARROLLO</t>
        </is>
      </c>
      <c r="F1302" t="inlineStr">
        <is>
          <t>TELETRABAJO</t>
        </is>
      </c>
      <c r="G1302" t="n">
        <v>2499</v>
      </c>
      <c r="H1302" t="inlineStr">
        <is>
          <t>ARCE MUÑOZ OCAMPO</t>
        </is>
      </c>
      <c r="I1302" t="n">
        <v>8099</v>
      </c>
      <c r="J1302" t="inlineStr">
        <is>
          <t>SUBDIRECTOR DE DESARROLLO CANALES</t>
        </is>
      </c>
      <c r="K1302" t="n">
        <v>1</v>
      </c>
      <c r="L1302" t="inlineStr">
        <is>
          <t>PRESIDENCIA EJECUTIVA DEL CONSEJO</t>
        </is>
      </c>
      <c r="M1302" t="n">
        <v>40</v>
      </c>
      <c r="N1302" t="inlineStr">
        <is>
          <t>DIRECCION GENERAL BANCO BASE</t>
        </is>
      </c>
      <c r="O1302" t="n">
        <v>310</v>
      </c>
      <c r="P1302" t="inlineStr">
        <is>
          <t>DIRECCION DE TECNOLOGIA</t>
        </is>
      </c>
      <c r="Q1302" t="n">
        <v>3150</v>
      </c>
      <c r="R1302" t="inlineStr">
        <is>
          <t>DESARROLLO DE APLICATIVOS</t>
        </is>
      </c>
      <c r="S1302" t="n">
        <v>31510</v>
      </c>
      <c r="T1302" t="inlineStr">
        <is>
          <t>DESARROLLO DE APLICATIVOS CANALES</t>
        </is>
      </c>
      <c r="U1302" t="n">
        <v>315000</v>
      </c>
      <c r="V1302" t="inlineStr">
        <is>
          <t>DESARROLLO DE APLICATIVOS</t>
        </is>
      </c>
      <c r="W1302" t="n">
        <v>100101</v>
      </c>
      <c r="X1302" t="inlineStr">
        <is>
          <t>CORPORATIVO</t>
        </is>
      </c>
      <c r="Y1302" t="n">
        <v>4</v>
      </c>
      <c r="Z1302" t="inlineStr">
        <is>
          <t>CORPORATIVO</t>
        </is>
      </c>
      <c r="AA1302" t="n">
        <v>1</v>
      </c>
      <c r="AB1302" t="inlineStr">
        <is>
          <t>NEGOCIO EN MARCHA</t>
        </is>
      </c>
      <c r="AC1302" t="n">
        <v>1</v>
      </c>
      <c r="AD1302" t="inlineStr">
        <is>
          <t>BANCO</t>
        </is>
      </c>
      <c r="AE1302" t="n">
        <v>1</v>
      </c>
      <c r="AF1302" t="inlineStr">
        <is>
          <t>BACK</t>
        </is>
      </c>
      <c r="AG1302" t="n">
        <v>100101</v>
      </c>
      <c r="AH1302" t="inlineStr">
        <is>
          <t>CORPORATIVO</t>
        </is>
      </c>
      <c r="AI1302" t="inlineStr">
        <is>
          <t>HCASTRO@BANCOBASE.COM</t>
        </is>
      </c>
      <c r="AJ1302" s="151" t="n">
        <v>44713</v>
      </c>
    </row>
    <row r="1303" hidden="1" s="150">
      <c r="A1303" t="inlineStr">
        <is>
          <t>ASUAREZR</t>
        </is>
      </c>
      <c r="B1303" t="n">
        <v>2990</v>
      </c>
      <c r="C1303" t="inlineStr">
        <is>
          <t>ANDRES ARISTOTELES SUAREZ ROJAS</t>
        </is>
      </c>
      <c r="D1303" t="n">
        <v>8222</v>
      </c>
      <c r="E1303" t="inlineStr">
        <is>
          <t>DESARROLLADOR BACKEND SR</t>
        </is>
      </c>
      <c r="F1303" t="inlineStr">
        <is>
          <t>TELETRABAJO</t>
        </is>
      </c>
      <c r="G1303" t="n">
        <v>2657</v>
      </c>
      <c r="H1303" t="inlineStr">
        <is>
          <t>HECTOR ISRAEL CASTRO DE LEON</t>
        </is>
      </c>
      <c r="I1303" t="n">
        <v>9027</v>
      </c>
      <c r="J1303" t="inlineStr">
        <is>
          <t>LIDER DE DESARROLLO</t>
        </is>
      </c>
      <c r="K1303" t="n">
        <v>1</v>
      </c>
      <c r="L1303" t="inlineStr">
        <is>
          <t>PRESIDENCIA EJECUTIVA DEL CONSEJO</t>
        </is>
      </c>
      <c r="M1303" t="n">
        <v>40</v>
      </c>
      <c r="N1303" t="inlineStr">
        <is>
          <t>DIRECCION GENERAL BANCO BASE</t>
        </is>
      </c>
      <c r="O1303" t="n">
        <v>310</v>
      </c>
      <c r="P1303" t="inlineStr">
        <is>
          <t>DIRECCION DE TECNOLOGIA</t>
        </is>
      </c>
      <c r="Q1303" t="n">
        <v>3150</v>
      </c>
      <c r="R1303" t="inlineStr">
        <is>
          <t>DESARROLLO DE APLICATIVOS</t>
        </is>
      </c>
      <c r="S1303" t="n">
        <v>31510</v>
      </c>
      <c r="T1303" t="inlineStr">
        <is>
          <t>DESARROLLO DE APLICATIVOS CANALES</t>
        </is>
      </c>
      <c r="U1303" t="n">
        <v>315000</v>
      </c>
      <c r="V1303" t="inlineStr">
        <is>
          <t>DESARROLLO DE APLICATIVOS</t>
        </is>
      </c>
      <c r="W1303" t="n">
        <v>134111</v>
      </c>
      <c r="X1303" t="inlineStr">
        <is>
          <t>LOMAS</t>
        </is>
      </c>
      <c r="Y1303" t="n">
        <v>4</v>
      </c>
      <c r="Z1303" t="inlineStr">
        <is>
          <t>CORPORATIVO</t>
        </is>
      </c>
      <c r="AA1303" t="n">
        <v>1</v>
      </c>
      <c r="AB1303" t="inlineStr">
        <is>
          <t>NEGOCIO EN MARCHA</t>
        </is>
      </c>
      <c r="AC1303" t="n">
        <v>1</v>
      </c>
      <c r="AD1303" t="inlineStr">
        <is>
          <t>BANCO</t>
        </is>
      </c>
      <c r="AE1303" t="n">
        <v>1</v>
      </c>
      <c r="AF1303" t="inlineStr">
        <is>
          <t>BACK</t>
        </is>
      </c>
      <c r="AG1303" t="n">
        <v>134111</v>
      </c>
      <c r="AH1303" t="inlineStr">
        <is>
          <t>LOMAS</t>
        </is>
      </c>
      <c r="AI1303" t="inlineStr">
        <is>
          <t>ASUAREZR@BANCOBASE.COM</t>
        </is>
      </c>
      <c r="AJ1303" s="151" t="n">
        <v>45246</v>
      </c>
    </row>
    <row r="1304" hidden="1" s="150">
      <c r="A1304" t="inlineStr">
        <is>
          <t>CCASTILLOV</t>
        </is>
      </c>
      <c r="B1304" t="n">
        <v>3151</v>
      </c>
      <c r="C1304" t="inlineStr">
        <is>
          <t>CARLOS CASTILLO VIVEROS</t>
        </is>
      </c>
      <c r="D1304" t="n">
        <v>9931</v>
      </c>
      <c r="E1304" t="inlineStr">
        <is>
          <t>DESARROLLADOR BACKEND SR</t>
        </is>
      </c>
      <c r="F1304" t="inlineStr">
        <is>
          <t>TELETRABAJO</t>
        </is>
      </c>
      <c r="G1304" t="n">
        <v>2657</v>
      </c>
      <c r="H1304" t="inlineStr">
        <is>
          <t>HECTOR ISRAEL CASTRO DE LEON</t>
        </is>
      </c>
      <c r="I1304" t="n">
        <v>9027</v>
      </c>
      <c r="J1304" t="inlineStr">
        <is>
          <t>LIDER DE DESARROLLO</t>
        </is>
      </c>
      <c r="K1304" t="n">
        <v>1</v>
      </c>
      <c r="L1304" t="inlineStr">
        <is>
          <t>PRESIDENCIA EJECUTIVA DEL CONSEJO</t>
        </is>
      </c>
      <c r="M1304" t="n">
        <v>40</v>
      </c>
      <c r="N1304" t="inlineStr">
        <is>
          <t>DIRECCION GENERAL BANCO BASE</t>
        </is>
      </c>
      <c r="O1304" t="n">
        <v>310</v>
      </c>
      <c r="P1304" t="inlineStr">
        <is>
          <t>DIRECCION DE TECNOLOGIA</t>
        </is>
      </c>
      <c r="Q1304" t="n">
        <v>3150</v>
      </c>
      <c r="R1304" t="inlineStr">
        <is>
          <t>DESARROLLO DE APLICATIVOS</t>
        </is>
      </c>
      <c r="S1304" t="n">
        <v>31510</v>
      </c>
      <c r="T1304" t="inlineStr">
        <is>
          <t>DESARROLLO DE APLICATIVOS CANALES</t>
        </is>
      </c>
      <c r="U1304" t="n">
        <v>315000</v>
      </c>
      <c r="V1304" t="inlineStr">
        <is>
          <t>DESARROLLO DE APLICATIVOS</t>
        </is>
      </c>
      <c r="W1304" t="n">
        <v>134111</v>
      </c>
      <c r="X1304" t="inlineStr">
        <is>
          <t>LOMAS</t>
        </is>
      </c>
      <c r="Y1304" t="n">
        <v>4</v>
      </c>
      <c r="Z1304" t="inlineStr">
        <is>
          <t>CORPORATIVO</t>
        </is>
      </c>
      <c r="AA1304" t="n">
        <v>1</v>
      </c>
      <c r="AB1304" t="inlineStr">
        <is>
          <t>NEGOCIO EN MARCHA</t>
        </is>
      </c>
      <c r="AC1304" t="n">
        <v>1</v>
      </c>
      <c r="AD1304" t="inlineStr">
        <is>
          <t>BANCO</t>
        </is>
      </c>
      <c r="AE1304" t="n">
        <v>1</v>
      </c>
      <c r="AF1304" t="inlineStr">
        <is>
          <t>BACK</t>
        </is>
      </c>
      <c r="AG1304" t="n">
        <v>134111</v>
      </c>
      <c r="AH1304" t="inlineStr">
        <is>
          <t>LOMAS</t>
        </is>
      </c>
      <c r="AI1304" t="inlineStr">
        <is>
          <t>CCASTILLOV@BANCOBASE.COM</t>
        </is>
      </c>
      <c r="AJ1304" s="151" t="n">
        <v>45474</v>
      </c>
    </row>
    <row r="1305" hidden="1" s="150">
      <c r="A1305" t="inlineStr">
        <is>
          <t>EDELACRUZ</t>
        </is>
      </c>
      <c r="B1305" t="n">
        <v>3242</v>
      </c>
      <c r="C1305" t="inlineStr">
        <is>
          <t>ETAILI VIRIDIANA DE LA CRUZ HUARACHA</t>
        </is>
      </c>
      <c r="D1305" t="n">
        <v>8043</v>
      </c>
      <c r="E1305" t="inlineStr">
        <is>
          <t>DESARROLLADOR BACKEND JR</t>
        </is>
      </c>
      <c r="F1305" t="inlineStr">
        <is>
          <t>TELETRABAJO</t>
        </is>
      </c>
      <c r="G1305" t="n">
        <v>2657</v>
      </c>
      <c r="H1305" t="inlineStr">
        <is>
          <t>HECTOR ISRAEL CASTRO DE LEON</t>
        </is>
      </c>
      <c r="I1305" t="n">
        <v>9027</v>
      </c>
      <c r="J1305" t="inlineStr">
        <is>
          <t>LIDER DE DESARROLLO</t>
        </is>
      </c>
      <c r="K1305" t="n">
        <v>1</v>
      </c>
      <c r="L1305" t="inlineStr">
        <is>
          <t>PRESIDENCIA EJECUTIVA DEL CONSEJO</t>
        </is>
      </c>
      <c r="M1305" t="n">
        <v>40</v>
      </c>
      <c r="N1305" t="inlineStr">
        <is>
          <t>DIRECCION GENERAL BANCO BASE</t>
        </is>
      </c>
      <c r="O1305" t="n">
        <v>310</v>
      </c>
      <c r="P1305" t="inlineStr">
        <is>
          <t>DIRECCION DE TECNOLOGIA</t>
        </is>
      </c>
      <c r="Q1305" t="n">
        <v>3150</v>
      </c>
      <c r="R1305" t="inlineStr">
        <is>
          <t>DESARROLLO DE APLICATIVOS</t>
        </is>
      </c>
      <c r="S1305" t="n">
        <v>31510</v>
      </c>
      <c r="T1305" t="inlineStr">
        <is>
          <t>DESARROLLO DE APLICATIVOS CANALES</t>
        </is>
      </c>
      <c r="U1305" t="n">
        <v>315000</v>
      </c>
      <c r="V1305" t="inlineStr">
        <is>
          <t>DESARROLLO DE APLICATIVOS</t>
        </is>
      </c>
      <c r="W1305" t="n">
        <v>100101</v>
      </c>
      <c r="X1305" t="inlineStr">
        <is>
          <t>CORPORATIVO</t>
        </is>
      </c>
      <c r="Y1305" t="n">
        <v>4</v>
      </c>
      <c r="Z1305" t="inlineStr">
        <is>
          <t>CORPORATIVO</t>
        </is>
      </c>
      <c r="AA1305" t="n">
        <v>1</v>
      </c>
      <c r="AB1305" t="inlineStr">
        <is>
          <t>NEGOCIO EN MARCHA</t>
        </is>
      </c>
      <c r="AC1305" t="n">
        <v>1</v>
      </c>
      <c r="AD1305" t="inlineStr">
        <is>
          <t>BANCO</t>
        </is>
      </c>
      <c r="AE1305" t="n">
        <v>1</v>
      </c>
      <c r="AF1305" t="inlineStr">
        <is>
          <t>BACK</t>
        </is>
      </c>
      <c r="AG1305" t="n">
        <v>100101</v>
      </c>
      <c r="AH1305" t="inlineStr">
        <is>
          <t>CORPORATIVO</t>
        </is>
      </c>
      <c r="AI1305" t="inlineStr">
        <is>
          <t>EDELACRUZ@BANCOBASE.COM</t>
        </is>
      </c>
      <c r="AJ1305" s="151" t="n">
        <v>45581</v>
      </c>
    </row>
    <row r="1306" hidden="1" s="150">
      <c r="A1306" t="inlineStr">
        <is>
          <t>GACOSTA</t>
        </is>
      </c>
      <c r="B1306" t="n">
        <v>2647</v>
      </c>
      <c r="C1306" t="inlineStr">
        <is>
          <t>GIBRAN DEMETRIO ACOSTA ARENAS</t>
        </is>
      </c>
      <c r="D1306" t="n">
        <v>9559</v>
      </c>
      <c r="E1306" t="inlineStr">
        <is>
          <t>DESARROLLADOR BACKEND SR</t>
        </is>
      </c>
      <c r="F1306" t="inlineStr">
        <is>
          <t>TELETRABAJO</t>
        </is>
      </c>
      <c r="G1306" t="n">
        <v>2657</v>
      </c>
      <c r="H1306" t="inlineStr">
        <is>
          <t>HECTOR ISRAEL CASTRO DE LEON</t>
        </is>
      </c>
      <c r="I1306" t="n">
        <v>9027</v>
      </c>
      <c r="J1306" t="inlineStr">
        <is>
          <t>LIDER DE DESARROLLO</t>
        </is>
      </c>
      <c r="K1306" t="n">
        <v>1</v>
      </c>
      <c r="L1306" t="inlineStr">
        <is>
          <t>PRESIDENCIA EJECUTIVA DEL CONSEJO</t>
        </is>
      </c>
      <c r="M1306" t="n">
        <v>40</v>
      </c>
      <c r="N1306" t="inlineStr">
        <is>
          <t>DIRECCION GENERAL BANCO BASE</t>
        </is>
      </c>
      <c r="O1306" t="n">
        <v>310</v>
      </c>
      <c r="P1306" t="inlineStr">
        <is>
          <t>DIRECCION DE TECNOLOGIA</t>
        </is>
      </c>
      <c r="Q1306" t="n">
        <v>3150</v>
      </c>
      <c r="R1306" t="inlineStr">
        <is>
          <t>DESARROLLO DE APLICATIVOS</t>
        </is>
      </c>
      <c r="S1306" t="n">
        <v>31510</v>
      </c>
      <c r="T1306" t="inlineStr">
        <is>
          <t>DESARROLLO DE APLICATIVOS CANALES</t>
        </is>
      </c>
      <c r="U1306" t="n">
        <v>315000</v>
      </c>
      <c r="V1306" t="inlineStr">
        <is>
          <t>DESARROLLO DE APLICATIVOS</t>
        </is>
      </c>
      <c r="W1306" t="n">
        <v>100101</v>
      </c>
      <c r="X1306" t="inlineStr">
        <is>
          <t>CORPORATIVO</t>
        </is>
      </c>
      <c r="Y1306" t="n">
        <v>4</v>
      </c>
      <c r="Z1306" t="inlineStr">
        <is>
          <t>CORPORATIVO</t>
        </is>
      </c>
      <c r="AA1306" t="n">
        <v>1</v>
      </c>
      <c r="AB1306" t="inlineStr">
        <is>
          <t>NEGOCIO EN MARCHA</t>
        </is>
      </c>
      <c r="AC1306" t="n">
        <v>1</v>
      </c>
      <c r="AD1306" t="inlineStr">
        <is>
          <t>BANCO</t>
        </is>
      </c>
      <c r="AE1306" t="n">
        <v>1</v>
      </c>
      <c r="AF1306" t="inlineStr">
        <is>
          <t>BACK</t>
        </is>
      </c>
      <c r="AG1306" t="n">
        <v>100101</v>
      </c>
      <c r="AH1306" t="inlineStr">
        <is>
          <t>CORPORATIVO</t>
        </is>
      </c>
      <c r="AI1306" t="inlineStr">
        <is>
          <t>GACOSTA@BANCOBASE.COM</t>
        </is>
      </c>
      <c r="AJ1306" s="151" t="n">
        <v>44697</v>
      </c>
    </row>
    <row r="1307" hidden="1" s="150">
      <c r="A1307" t="inlineStr">
        <is>
          <t>GTECO</t>
        </is>
      </c>
      <c r="B1307" t="n">
        <v>2610</v>
      </c>
      <c r="C1307" t="inlineStr">
        <is>
          <t>GALILEO TECO JUAREZ</t>
        </is>
      </c>
      <c r="D1307" t="n">
        <v>3742</v>
      </c>
      <c r="E1307" t="inlineStr">
        <is>
          <t>DESARROLLADOR BACKEND SR</t>
        </is>
      </c>
      <c r="F1307" t="inlineStr">
        <is>
          <t>TELETRABAJO</t>
        </is>
      </c>
      <c r="G1307" t="n">
        <v>2657</v>
      </c>
      <c r="H1307" t="inlineStr">
        <is>
          <t>HECTOR ISRAEL CASTRO DE LEON</t>
        </is>
      </c>
      <c r="I1307" t="n">
        <v>9027</v>
      </c>
      <c r="J1307" t="inlineStr">
        <is>
          <t>LIDER DE DESARROLLO</t>
        </is>
      </c>
      <c r="K1307" t="n">
        <v>1</v>
      </c>
      <c r="L1307" t="inlineStr">
        <is>
          <t>PRESIDENCIA EJECUTIVA DEL CONSEJO</t>
        </is>
      </c>
      <c r="M1307" t="n">
        <v>40</v>
      </c>
      <c r="N1307" t="inlineStr">
        <is>
          <t>DIRECCION GENERAL BANCO BASE</t>
        </is>
      </c>
      <c r="O1307" t="n">
        <v>310</v>
      </c>
      <c r="P1307" t="inlineStr">
        <is>
          <t>DIRECCION DE TECNOLOGIA</t>
        </is>
      </c>
      <c r="Q1307" t="n">
        <v>3150</v>
      </c>
      <c r="R1307" t="inlineStr">
        <is>
          <t>DESARROLLO DE APLICATIVOS</t>
        </is>
      </c>
      <c r="S1307" t="n">
        <v>31510</v>
      </c>
      <c r="T1307" t="inlineStr">
        <is>
          <t>DESARROLLO DE APLICATIVOS CANALES</t>
        </is>
      </c>
      <c r="U1307" t="n">
        <v>315000</v>
      </c>
      <c r="V1307" t="inlineStr">
        <is>
          <t>DESARROLLO DE APLICATIVOS</t>
        </is>
      </c>
      <c r="W1307" t="n">
        <v>126121</v>
      </c>
      <c r="X1307" t="inlineStr">
        <is>
          <t>CANCUN</t>
        </is>
      </c>
      <c r="Y1307" t="n">
        <v>4</v>
      </c>
      <c r="Z1307" t="inlineStr">
        <is>
          <t>CORPORATIVO</t>
        </is>
      </c>
      <c r="AA1307" t="n">
        <v>1</v>
      </c>
      <c r="AB1307" t="inlineStr">
        <is>
          <t>NEGOCIO EN MARCHA</t>
        </is>
      </c>
      <c r="AC1307" t="n">
        <v>1</v>
      </c>
      <c r="AD1307" t="inlineStr">
        <is>
          <t>BANCO</t>
        </is>
      </c>
      <c r="AE1307" t="n">
        <v>1</v>
      </c>
      <c r="AF1307" t="inlineStr">
        <is>
          <t>BACK</t>
        </is>
      </c>
      <c r="AG1307" t="n">
        <v>126121</v>
      </c>
      <c r="AH1307" t="inlineStr">
        <is>
          <t>CANCUN</t>
        </is>
      </c>
      <c r="AI1307" t="inlineStr">
        <is>
          <t>GTECO@BANCOBASE.COM</t>
        </is>
      </c>
      <c r="AJ1307" s="151" t="n">
        <v>44600</v>
      </c>
    </row>
    <row r="1308" hidden="1" s="150">
      <c r="A1308" t="inlineStr">
        <is>
          <t>MGUERRERO</t>
        </is>
      </c>
      <c r="B1308" t="n">
        <v>2679</v>
      </c>
      <c r="C1308" t="inlineStr">
        <is>
          <t>LUIS MANUEL GUERRERO DE LA ROSA</t>
        </is>
      </c>
      <c r="D1308" t="n">
        <v>9225</v>
      </c>
      <c r="E1308" t="inlineStr">
        <is>
          <t>DESARROLLADOR BACKEND SR</t>
        </is>
      </c>
      <c r="F1308" t="inlineStr">
        <is>
          <t>TELETRABAJO</t>
        </is>
      </c>
      <c r="G1308" t="n">
        <v>2657</v>
      </c>
      <c r="H1308" t="inlineStr">
        <is>
          <t>HECTOR ISRAEL CASTRO DE LEON</t>
        </is>
      </c>
      <c r="I1308" t="n">
        <v>9027</v>
      </c>
      <c r="J1308" t="inlineStr">
        <is>
          <t>LIDER DE DESARROLLO</t>
        </is>
      </c>
      <c r="K1308" t="n">
        <v>1</v>
      </c>
      <c r="L1308" t="inlineStr">
        <is>
          <t>PRESIDENCIA EJECUTIVA DEL CONSEJO</t>
        </is>
      </c>
      <c r="M1308" t="n">
        <v>40</v>
      </c>
      <c r="N1308" t="inlineStr">
        <is>
          <t>DIRECCION GENERAL BANCO BASE</t>
        </is>
      </c>
      <c r="O1308" t="n">
        <v>310</v>
      </c>
      <c r="P1308" t="inlineStr">
        <is>
          <t>DIRECCION DE TECNOLOGIA</t>
        </is>
      </c>
      <c r="Q1308" t="n">
        <v>3150</v>
      </c>
      <c r="R1308" t="inlineStr">
        <is>
          <t>DESARROLLO DE APLICATIVOS</t>
        </is>
      </c>
      <c r="S1308" t="n">
        <v>31510</v>
      </c>
      <c r="T1308" t="inlineStr">
        <is>
          <t>DESARROLLO DE APLICATIVOS CANALES</t>
        </is>
      </c>
      <c r="U1308" t="n">
        <v>315000</v>
      </c>
      <c r="V1308" t="inlineStr">
        <is>
          <t>DESARROLLO DE APLICATIVOS</t>
        </is>
      </c>
      <c r="W1308" t="n">
        <v>100101</v>
      </c>
      <c r="X1308" t="inlineStr">
        <is>
          <t>CORPORATIVO</t>
        </is>
      </c>
      <c r="Y1308" t="n">
        <v>4</v>
      </c>
      <c r="Z1308" t="inlineStr">
        <is>
          <t>CORPORATIVO</t>
        </is>
      </c>
      <c r="AA1308" t="n">
        <v>1</v>
      </c>
      <c r="AB1308" t="inlineStr">
        <is>
          <t>NEGOCIO EN MARCHA</t>
        </is>
      </c>
      <c r="AC1308" t="n">
        <v>1</v>
      </c>
      <c r="AD1308" t="inlineStr">
        <is>
          <t>BANCO</t>
        </is>
      </c>
      <c r="AE1308" t="n">
        <v>1</v>
      </c>
      <c r="AF1308" t="inlineStr">
        <is>
          <t>BACK</t>
        </is>
      </c>
      <c r="AG1308" t="n">
        <v>100101</v>
      </c>
      <c r="AH1308" t="inlineStr">
        <is>
          <t>CORPORATIVO</t>
        </is>
      </c>
      <c r="AI1308" t="inlineStr">
        <is>
          <t>MGUERRERO@BANCOBASE.COM</t>
        </is>
      </c>
      <c r="AJ1308" s="151" t="n">
        <v>44743</v>
      </c>
    </row>
    <row r="1309" hidden="1" s="150">
      <c r="A1309" t="inlineStr">
        <is>
          <t>MVAZQUEZA</t>
        </is>
      </c>
      <c r="B1309" t="n">
        <v>2751</v>
      </c>
      <c r="C1309" t="inlineStr">
        <is>
          <t>MANUEL ANDRES VAZQUEZ ANTONIO</t>
        </is>
      </c>
      <c r="D1309" t="n">
        <v>8011</v>
      </c>
      <c r="E1309" t="inlineStr">
        <is>
          <t>DESARROLLADOR BACKEND SR</t>
        </is>
      </c>
      <c r="F1309" t="inlineStr">
        <is>
          <t>TELETRABAJO</t>
        </is>
      </c>
      <c r="G1309" t="n">
        <v>2657</v>
      </c>
      <c r="H1309" t="inlineStr">
        <is>
          <t>HECTOR ISRAEL CASTRO DE LEON</t>
        </is>
      </c>
      <c r="I1309" t="n">
        <v>9027</v>
      </c>
      <c r="J1309" t="inlineStr">
        <is>
          <t>LIDER DE DESARROLLO</t>
        </is>
      </c>
      <c r="K1309" t="n">
        <v>1</v>
      </c>
      <c r="L1309" t="inlineStr">
        <is>
          <t>PRESIDENCIA EJECUTIVA DEL CONSEJO</t>
        </is>
      </c>
      <c r="M1309" t="n">
        <v>40</v>
      </c>
      <c r="N1309" t="inlineStr">
        <is>
          <t>DIRECCION GENERAL BANCO BASE</t>
        </is>
      </c>
      <c r="O1309" t="n">
        <v>310</v>
      </c>
      <c r="P1309" t="inlineStr">
        <is>
          <t>DIRECCION DE TECNOLOGIA</t>
        </is>
      </c>
      <c r="Q1309" t="n">
        <v>3150</v>
      </c>
      <c r="R1309" t="inlineStr">
        <is>
          <t>DESARROLLO DE APLICATIVOS</t>
        </is>
      </c>
      <c r="S1309" t="n">
        <v>31510</v>
      </c>
      <c r="T1309" t="inlineStr">
        <is>
          <t>DESARROLLO DE APLICATIVOS CANALES</t>
        </is>
      </c>
      <c r="U1309" t="n">
        <v>315000</v>
      </c>
      <c r="V1309" t="inlineStr">
        <is>
          <t>DESARROLLO DE APLICATIVOS</t>
        </is>
      </c>
      <c r="W1309" t="n">
        <v>134111</v>
      </c>
      <c r="X1309" t="inlineStr">
        <is>
          <t>LOMAS</t>
        </is>
      </c>
      <c r="Y1309" t="n">
        <v>4</v>
      </c>
      <c r="Z1309" t="inlineStr">
        <is>
          <t>CORPORATIVO</t>
        </is>
      </c>
      <c r="AA1309" t="n">
        <v>1</v>
      </c>
      <c r="AB1309" t="inlineStr">
        <is>
          <t>NEGOCIO EN MARCHA</t>
        </is>
      </c>
      <c r="AC1309" t="n">
        <v>1</v>
      </c>
      <c r="AD1309" t="inlineStr">
        <is>
          <t>BANCO</t>
        </is>
      </c>
      <c r="AE1309" t="n">
        <v>1</v>
      </c>
      <c r="AF1309" t="inlineStr">
        <is>
          <t>BACK</t>
        </is>
      </c>
      <c r="AG1309" t="n">
        <v>134111</v>
      </c>
      <c r="AH1309" t="inlineStr">
        <is>
          <t>LOMAS</t>
        </is>
      </c>
      <c r="AI1309" t="inlineStr">
        <is>
          <t>MVAZQUEZA@BANCOBASE.COM</t>
        </is>
      </c>
      <c r="AJ1309" s="151" t="n">
        <v>44851</v>
      </c>
    </row>
    <row r="1310" hidden="1" s="150">
      <c r="A1310" t="inlineStr">
        <is>
          <t>FPACHECO</t>
        </is>
      </c>
      <c r="B1310" t="n">
        <v>2723</v>
      </c>
      <c r="C1310" t="inlineStr">
        <is>
          <t>FERNANDO PACHECO MARTINEZ</t>
        </is>
      </c>
      <c r="D1310" t="n">
        <v>9991</v>
      </c>
      <c r="E1310" t="inlineStr">
        <is>
          <t>DESARROLLADOR FULLSTACK</t>
        </is>
      </c>
      <c r="F1310" t="inlineStr">
        <is>
          <t>TELETRABAJO</t>
        </is>
      </c>
      <c r="G1310" t="n">
        <v>2499</v>
      </c>
      <c r="H1310" t="inlineStr">
        <is>
          <t>ARCE MUÑOZ OCAMPO</t>
        </is>
      </c>
      <c r="I1310" t="n">
        <v>8099</v>
      </c>
      <c r="J1310" t="inlineStr">
        <is>
          <t>SUBDIRECTOR DE DESARROLLO CANALES</t>
        </is>
      </c>
      <c r="K1310" t="n">
        <v>1</v>
      </c>
      <c r="L1310" t="inlineStr">
        <is>
          <t>PRESIDENCIA EJECUTIVA DEL CONSEJO</t>
        </is>
      </c>
      <c r="M1310" t="n">
        <v>40</v>
      </c>
      <c r="N1310" t="inlineStr">
        <is>
          <t>DIRECCION GENERAL BANCO BASE</t>
        </is>
      </c>
      <c r="O1310" t="n">
        <v>310</v>
      </c>
      <c r="P1310" t="inlineStr">
        <is>
          <t>DIRECCION DE TECNOLOGIA</t>
        </is>
      </c>
      <c r="Q1310" t="n">
        <v>3150</v>
      </c>
      <c r="R1310" t="inlineStr">
        <is>
          <t>DESARROLLO DE APLICATIVOS</t>
        </is>
      </c>
      <c r="S1310" t="n">
        <v>31510</v>
      </c>
      <c r="T1310" t="inlineStr">
        <is>
          <t>DESARROLLO DE APLICATIVOS CANALES</t>
        </is>
      </c>
      <c r="U1310" t="n">
        <v>315000</v>
      </c>
      <c r="V1310" t="inlineStr">
        <is>
          <t>DESARROLLO DE APLICATIVOS</t>
        </is>
      </c>
      <c r="W1310" t="n">
        <v>134111</v>
      </c>
      <c r="X1310" t="inlineStr">
        <is>
          <t>LOMAS</t>
        </is>
      </c>
      <c r="Y1310" t="n">
        <v>4</v>
      </c>
      <c r="Z1310" t="inlineStr">
        <is>
          <t>CORPORATIVO</t>
        </is>
      </c>
      <c r="AA1310" t="n">
        <v>1</v>
      </c>
      <c r="AB1310" t="inlineStr">
        <is>
          <t>NEGOCIO EN MARCHA</t>
        </is>
      </c>
      <c r="AC1310" t="n">
        <v>1</v>
      </c>
      <c r="AD1310" t="inlineStr">
        <is>
          <t>BANCO</t>
        </is>
      </c>
      <c r="AE1310" t="n">
        <v>1</v>
      </c>
      <c r="AF1310" t="inlineStr">
        <is>
          <t>BACK</t>
        </is>
      </c>
      <c r="AG1310" t="n">
        <v>134111</v>
      </c>
      <c r="AH1310" t="inlineStr">
        <is>
          <t>LOMAS</t>
        </is>
      </c>
      <c r="AI1310" t="inlineStr">
        <is>
          <t>FPACHECO@BANCOBASE.COM</t>
        </is>
      </c>
      <c r="AJ1310" s="151" t="n">
        <v>44805</v>
      </c>
    </row>
    <row r="1311" hidden="1" s="150">
      <c r="A1311" t="inlineStr">
        <is>
          <t>HLOHORA</t>
        </is>
      </c>
      <c r="B1311" t="n">
        <v>2829</v>
      </c>
      <c r="C1311" t="inlineStr">
        <is>
          <t>HARLAND YATZET LOHORA ESPINOZA</t>
        </is>
      </c>
      <c r="D1311" t="n">
        <v>8083</v>
      </c>
      <c r="E1311" t="inlineStr">
        <is>
          <t>DESARROLLADOR FULLSTACK</t>
        </is>
      </c>
      <c r="F1311" t="inlineStr">
        <is>
          <t>TELETRABAJO</t>
        </is>
      </c>
      <c r="G1311" t="n">
        <v>2499</v>
      </c>
      <c r="H1311" t="inlineStr">
        <is>
          <t>ARCE MUÑOZ OCAMPO</t>
        </is>
      </c>
      <c r="I1311" t="n">
        <v>8099</v>
      </c>
      <c r="J1311" t="inlineStr">
        <is>
          <t>SUBDIRECTOR DE DESARROLLO CANALES</t>
        </is>
      </c>
      <c r="K1311" t="n">
        <v>1</v>
      </c>
      <c r="L1311" t="inlineStr">
        <is>
          <t>PRESIDENCIA EJECUTIVA DEL CONSEJO</t>
        </is>
      </c>
      <c r="M1311" t="n">
        <v>40</v>
      </c>
      <c r="N1311" t="inlineStr">
        <is>
          <t>DIRECCION GENERAL BANCO BASE</t>
        </is>
      </c>
      <c r="O1311" t="n">
        <v>310</v>
      </c>
      <c r="P1311" t="inlineStr">
        <is>
          <t>DIRECCION DE TECNOLOGIA</t>
        </is>
      </c>
      <c r="Q1311" t="n">
        <v>3150</v>
      </c>
      <c r="R1311" t="inlineStr">
        <is>
          <t>DESARROLLO DE APLICATIVOS</t>
        </is>
      </c>
      <c r="S1311" t="n">
        <v>31510</v>
      </c>
      <c r="T1311" t="inlineStr">
        <is>
          <t>DESARROLLO DE APLICATIVOS CANALES</t>
        </is>
      </c>
      <c r="U1311" t="n">
        <v>315000</v>
      </c>
      <c r="V1311" t="inlineStr">
        <is>
          <t>DESARROLLO DE APLICATIVOS</t>
        </is>
      </c>
      <c r="W1311" t="n">
        <v>134111</v>
      </c>
      <c r="X1311" t="inlineStr">
        <is>
          <t>LOMAS</t>
        </is>
      </c>
      <c r="Y1311" t="n">
        <v>4</v>
      </c>
      <c r="Z1311" t="inlineStr">
        <is>
          <t>CORPORATIVO</t>
        </is>
      </c>
      <c r="AA1311" t="n">
        <v>1</v>
      </c>
      <c r="AB1311" t="inlineStr">
        <is>
          <t>NEGOCIO EN MARCHA</t>
        </is>
      </c>
      <c r="AC1311" t="n">
        <v>1</v>
      </c>
      <c r="AD1311" t="inlineStr">
        <is>
          <t>BANCO</t>
        </is>
      </c>
      <c r="AE1311" t="n">
        <v>1</v>
      </c>
      <c r="AF1311" t="inlineStr">
        <is>
          <t>BACK</t>
        </is>
      </c>
      <c r="AG1311" t="n">
        <v>134111</v>
      </c>
      <c r="AH1311" t="inlineStr">
        <is>
          <t>LOMAS</t>
        </is>
      </c>
      <c r="AI1311" t="inlineStr">
        <is>
          <t>HLOHORA@BANCOBASE.COM</t>
        </is>
      </c>
      <c r="AJ1311" s="151" t="n">
        <v>44973</v>
      </c>
    </row>
    <row r="1312" hidden="1" s="150">
      <c r="A1312" t="inlineStr">
        <is>
          <t>MHERNANDEH</t>
        </is>
      </c>
      <c r="B1312" t="n">
        <v>4006</v>
      </c>
      <c r="C1312" t="inlineStr">
        <is>
          <t>MARIANA HERNANDEZ HERNANDEZ</t>
        </is>
      </c>
      <c r="D1312" t="n">
        <v>8504</v>
      </c>
      <c r="E1312" t="inlineStr">
        <is>
          <t>DESARROLLADOR BACKEND JAVA</t>
        </is>
      </c>
      <c r="F1312" t="inlineStr">
        <is>
          <t>TELETRABAJO</t>
        </is>
      </c>
      <c r="G1312" t="n">
        <v>2499</v>
      </c>
      <c r="H1312" t="inlineStr">
        <is>
          <t>ARCE MUÑOZ OCAMPO</t>
        </is>
      </c>
      <c r="I1312" t="n">
        <v>8099</v>
      </c>
      <c r="J1312" t="inlineStr">
        <is>
          <t>SUBDIRECTOR DE DESARROLLO CANALES</t>
        </is>
      </c>
      <c r="K1312" t="n">
        <v>1</v>
      </c>
      <c r="L1312" t="inlineStr">
        <is>
          <t>PRESIDENCIA EJECUTIVA DEL CONSEJO</t>
        </is>
      </c>
      <c r="M1312" t="n">
        <v>40</v>
      </c>
      <c r="N1312" t="inlineStr">
        <is>
          <t>DIRECCION GENERAL BANCO BASE</t>
        </is>
      </c>
      <c r="O1312" t="n">
        <v>310</v>
      </c>
      <c r="P1312" t="inlineStr">
        <is>
          <t>DIRECCION DE TECNOLOGIA</t>
        </is>
      </c>
      <c r="Q1312" t="n">
        <v>3150</v>
      </c>
      <c r="R1312" t="inlineStr">
        <is>
          <t>DESARROLLO DE APLICATIVOS</t>
        </is>
      </c>
      <c r="S1312" t="n">
        <v>31510</v>
      </c>
      <c r="T1312" t="inlineStr">
        <is>
          <t>DESARROLLO DE APLICATIVOS CANALES</t>
        </is>
      </c>
      <c r="U1312" t="n">
        <v>315000</v>
      </c>
      <c r="V1312" t="inlineStr">
        <is>
          <t>DESARROLLO DE APLICATIVOS</t>
        </is>
      </c>
      <c r="W1312" t="n">
        <v>134111</v>
      </c>
      <c r="X1312" t="inlineStr">
        <is>
          <t>LOMAS</t>
        </is>
      </c>
      <c r="Y1312" t="n">
        <v>4</v>
      </c>
      <c r="Z1312" t="inlineStr">
        <is>
          <t>CORPORATIVO</t>
        </is>
      </c>
      <c r="AA1312" t="n">
        <v>1</v>
      </c>
      <c r="AB1312" t="inlineStr">
        <is>
          <t>NEGOCIO EN MARCHA</t>
        </is>
      </c>
      <c r="AC1312" t="n">
        <v>1</v>
      </c>
      <c r="AD1312" t="inlineStr">
        <is>
          <t>BANCO</t>
        </is>
      </c>
      <c r="AE1312" t="n">
        <v>1</v>
      </c>
      <c r="AF1312" t="inlineStr">
        <is>
          <t>BACK</t>
        </is>
      </c>
      <c r="AG1312" t="n">
        <v>134111</v>
      </c>
      <c r="AH1312" t="inlineStr">
        <is>
          <t>LOMAS</t>
        </is>
      </c>
      <c r="AI1312" t="inlineStr">
        <is>
          <t>MHERNANDEH@BANCONASE.COM</t>
        </is>
      </c>
      <c r="AJ1312" s="151" t="n">
        <v>46258</v>
      </c>
    </row>
    <row r="1313" hidden="1" s="150">
      <c r="A1313" t="inlineStr">
        <is>
          <t>FPECINA</t>
        </is>
      </c>
      <c r="B1313" t="n">
        <v>2092</v>
      </c>
      <c r="C1313" t="inlineStr">
        <is>
          <t>FRANCISCO ENRIQUE PECINA MONTEVERDE</t>
        </is>
      </c>
      <c r="D1313" t="n">
        <v>8101</v>
      </c>
      <c r="E1313" t="inlineStr">
        <is>
          <t>SUBDIRECTOR DE DESARROLLO CLIENTES</t>
        </is>
      </c>
      <c r="F1313" t="inlineStr">
        <is>
          <t>TELETRABAJO</t>
        </is>
      </c>
      <c r="G1313" t="n">
        <v>2626</v>
      </c>
      <c r="H1313" t="inlineStr">
        <is>
          <t>NESTOR DARVY ARCHULETA BARRERA</t>
        </is>
      </c>
      <c r="I1313" t="n">
        <v>10109</v>
      </c>
      <c r="J1313" t="inlineStr">
        <is>
          <t>DIRECTOR DE DESARROLLO</t>
        </is>
      </c>
      <c r="K1313" t="n">
        <v>1</v>
      </c>
      <c r="L1313" t="inlineStr">
        <is>
          <t>PRESIDENCIA EJECUTIVA DEL CONSEJO</t>
        </is>
      </c>
      <c r="M1313" t="n">
        <v>40</v>
      </c>
      <c r="N1313" t="inlineStr">
        <is>
          <t>DIRECCION GENERAL BANCO BASE</t>
        </is>
      </c>
      <c r="O1313" t="n">
        <v>310</v>
      </c>
      <c r="P1313" t="inlineStr">
        <is>
          <t>DIRECCION DE TECNOLOGIA</t>
        </is>
      </c>
      <c r="Q1313" t="n">
        <v>3150</v>
      </c>
      <c r="R1313" t="inlineStr">
        <is>
          <t>DESARROLLO DE APLICATIVOS</t>
        </is>
      </c>
      <c r="S1313" t="n">
        <v>31700</v>
      </c>
      <c r="T1313" t="inlineStr">
        <is>
          <t>DESARROLLO DE APLICATIVOS CLIENTES</t>
        </is>
      </c>
      <c r="U1313" t="n">
        <v>317000</v>
      </c>
      <c r="V1313" t="inlineStr">
        <is>
          <t>DESARROLLO DE APLICATIVOS 2</t>
        </is>
      </c>
      <c r="W1313" t="n">
        <v>100101</v>
      </c>
      <c r="X1313" t="inlineStr">
        <is>
          <t>CORPORATIVO</t>
        </is>
      </c>
      <c r="Y1313" t="n">
        <v>4</v>
      </c>
      <c r="Z1313" t="inlineStr">
        <is>
          <t>CORPORATIVO</t>
        </is>
      </c>
      <c r="AA1313" t="n">
        <v>1</v>
      </c>
      <c r="AB1313" t="inlineStr">
        <is>
          <t>NEGOCIO EN MARCHA</t>
        </is>
      </c>
      <c r="AC1313" t="n">
        <v>1</v>
      </c>
      <c r="AD1313" t="inlineStr">
        <is>
          <t>BANCO</t>
        </is>
      </c>
      <c r="AE1313" t="n">
        <v>1</v>
      </c>
      <c r="AF1313" t="inlineStr">
        <is>
          <t>BACK</t>
        </is>
      </c>
      <c r="AG1313" t="n">
        <v>100101</v>
      </c>
      <c r="AH1313" t="inlineStr">
        <is>
          <t>CORPORATIVO</t>
        </is>
      </c>
      <c r="AI1313" t="inlineStr">
        <is>
          <t>FPECINA@BANCOBASE.COM</t>
        </is>
      </c>
      <c r="AJ1313" s="151" t="n">
        <v>43346</v>
      </c>
    </row>
    <row r="1314" hidden="1" s="150">
      <c r="A1314" t="inlineStr">
        <is>
          <t>UCERON</t>
        </is>
      </c>
      <c r="B1314" t="n">
        <v>2845</v>
      </c>
      <c r="C1314" t="inlineStr">
        <is>
          <t>URIEL ANTONIO CERON SANCHEZ</t>
        </is>
      </c>
      <c r="D1314" t="n">
        <v>8082</v>
      </c>
      <c r="E1314" t="inlineStr">
        <is>
          <t>LIDER DE DESARROLLO</t>
        </is>
      </c>
      <c r="F1314" t="inlineStr">
        <is>
          <t>TELETRABAJO</t>
        </is>
      </c>
      <c r="G1314" t="n">
        <v>2092</v>
      </c>
      <c r="H1314" t="inlineStr">
        <is>
          <t>FRANCISCO ENRIQUE PECINA MONTEVERDE</t>
        </is>
      </c>
      <c r="I1314" t="n">
        <v>8101</v>
      </c>
      <c r="J1314" t="inlineStr">
        <is>
          <t>SUBDIRECTOR DE DESARROLLO CLIENTES</t>
        </is>
      </c>
      <c r="K1314" t="n">
        <v>1</v>
      </c>
      <c r="L1314" t="inlineStr">
        <is>
          <t>PRESIDENCIA EJECUTIVA DEL CONSEJO</t>
        </is>
      </c>
      <c r="M1314" t="n">
        <v>40</v>
      </c>
      <c r="N1314" t="inlineStr">
        <is>
          <t>DIRECCION GENERAL BANCO BASE</t>
        </is>
      </c>
      <c r="O1314" t="n">
        <v>310</v>
      </c>
      <c r="P1314" t="inlineStr">
        <is>
          <t>DIRECCION DE TECNOLOGIA</t>
        </is>
      </c>
      <c r="Q1314" t="n">
        <v>3150</v>
      </c>
      <c r="R1314" t="inlineStr">
        <is>
          <t>DESARROLLO DE APLICATIVOS</t>
        </is>
      </c>
      <c r="S1314" t="n">
        <v>31700</v>
      </c>
      <c r="T1314" t="inlineStr">
        <is>
          <t>DESARROLLO DE APLICATIVOS CLIENTES</t>
        </is>
      </c>
      <c r="U1314" t="n">
        <v>317000</v>
      </c>
      <c r="V1314" t="inlineStr">
        <is>
          <t>DESARROLLO DE APLICATIVOS 2</t>
        </is>
      </c>
      <c r="W1314" t="n">
        <v>134111</v>
      </c>
      <c r="X1314" t="inlineStr">
        <is>
          <t>LOMAS</t>
        </is>
      </c>
      <c r="Y1314" t="n">
        <v>4</v>
      </c>
      <c r="Z1314" t="inlineStr">
        <is>
          <t>CORPORATIVO</t>
        </is>
      </c>
      <c r="AA1314" t="n">
        <v>1</v>
      </c>
      <c r="AB1314" t="inlineStr">
        <is>
          <t>NEGOCIO EN MARCHA</t>
        </is>
      </c>
      <c r="AC1314" t="n">
        <v>1</v>
      </c>
      <c r="AD1314" t="inlineStr">
        <is>
          <t>BANCO</t>
        </is>
      </c>
      <c r="AE1314" t="n">
        <v>1</v>
      </c>
      <c r="AF1314" t="inlineStr">
        <is>
          <t>BACK</t>
        </is>
      </c>
      <c r="AG1314" t="n">
        <v>134111</v>
      </c>
      <c r="AH1314" t="inlineStr">
        <is>
          <t>LOMAS</t>
        </is>
      </c>
      <c r="AI1314" t="inlineStr">
        <is>
          <t>UCERON@BANCOBASE.COM</t>
        </is>
      </c>
      <c r="AJ1314" s="151" t="n">
        <v>44986</v>
      </c>
    </row>
    <row r="1315" hidden="1" s="150">
      <c r="A1315" t="inlineStr">
        <is>
          <t>JCASTILLOC</t>
        </is>
      </c>
      <c r="B1315" t="n">
        <v>3266</v>
      </c>
      <c r="C1315" t="inlineStr">
        <is>
          <t>JOSE CHAYANE CASTILLO CONTRERAS</t>
        </is>
      </c>
      <c r="D1315" t="n">
        <v>10214</v>
      </c>
      <c r="E1315" t="inlineStr">
        <is>
          <t>DESARROLLADOR BACKEND SR</t>
        </is>
      </c>
      <c r="F1315" t="inlineStr">
        <is>
          <t>TELETRABAJO</t>
        </is>
      </c>
      <c r="G1315" t="n">
        <v>2845</v>
      </c>
      <c r="H1315" t="inlineStr">
        <is>
          <t>URIEL ANTONIO CERON SANCHEZ</t>
        </is>
      </c>
      <c r="I1315" t="n">
        <v>8082</v>
      </c>
      <c r="J1315" t="inlineStr">
        <is>
          <t>LIDER DE DESARROLLO</t>
        </is>
      </c>
      <c r="K1315" t="n">
        <v>1</v>
      </c>
      <c r="L1315" t="inlineStr">
        <is>
          <t>PRESIDENCIA EJECUTIVA DEL CONSEJO</t>
        </is>
      </c>
      <c r="M1315" t="n">
        <v>40</v>
      </c>
      <c r="N1315" t="inlineStr">
        <is>
          <t>DIRECCION GENERAL BANCO BASE</t>
        </is>
      </c>
      <c r="O1315" t="n">
        <v>310</v>
      </c>
      <c r="P1315" t="inlineStr">
        <is>
          <t>DIRECCION DE TECNOLOGIA</t>
        </is>
      </c>
      <c r="Q1315" t="n">
        <v>3150</v>
      </c>
      <c r="R1315" t="inlineStr">
        <is>
          <t>DESARROLLO DE APLICATIVOS</t>
        </is>
      </c>
      <c r="S1315" t="n">
        <v>31700</v>
      </c>
      <c r="T1315" t="inlineStr">
        <is>
          <t>DESARROLLO DE APLICATIVOS CLIENTES</t>
        </is>
      </c>
      <c r="U1315" t="n">
        <v>317000</v>
      </c>
      <c r="V1315" t="inlineStr">
        <is>
          <t>DESARROLLO DE APLICATIVOS 2</t>
        </is>
      </c>
      <c r="W1315" t="n">
        <v>134111</v>
      </c>
      <c r="X1315" t="inlineStr">
        <is>
          <t>LOMAS</t>
        </is>
      </c>
      <c r="Y1315" t="n">
        <v>4</v>
      </c>
      <c r="Z1315" t="inlineStr">
        <is>
          <t>CORPORATIVO</t>
        </is>
      </c>
      <c r="AA1315" t="n">
        <v>1</v>
      </c>
      <c r="AB1315" t="inlineStr">
        <is>
          <t>NEGOCIO EN MARCHA</t>
        </is>
      </c>
      <c r="AC1315" t="n">
        <v>1</v>
      </c>
      <c r="AD1315" t="inlineStr">
        <is>
          <t>BANCO</t>
        </is>
      </c>
      <c r="AE1315" t="n">
        <v>1</v>
      </c>
      <c r="AF1315" t="inlineStr">
        <is>
          <t>BACK</t>
        </is>
      </c>
      <c r="AG1315" t="n">
        <v>134111</v>
      </c>
      <c r="AH1315" t="inlineStr">
        <is>
          <t>LOMAS</t>
        </is>
      </c>
      <c r="AI1315" t="inlineStr">
        <is>
          <t>JCASTILLOC@BANCOBASE.COM</t>
        </is>
      </c>
      <c r="AJ1315" s="151" t="n">
        <v>45603</v>
      </c>
    </row>
    <row r="1316" hidden="1" s="150">
      <c r="A1316" t="inlineStr">
        <is>
          <t>JGARZALO</t>
        </is>
      </c>
      <c r="B1316" t="n">
        <v>2505</v>
      </c>
      <c r="C1316" t="inlineStr">
        <is>
          <t>JOSE MANUEL GARZA LOPEZ</t>
        </is>
      </c>
      <c r="D1316" t="n">
        <v>8413</v>
      </c>
      <c r="E1316" t="inlineStr">
        <is>
          <t>DESARROLLADOR BACKEND JR</t>
        </is>
      </c>
      <c r="F1316" t="inlineStr">
        <is>
          <t>TELETRABAJO</t>
        </is>
      </c>
      <c r="G1316" t="n">
        <v>2845</v>
      </c>
      <c r="H1316" t="inlineStr">
        <is>
          <t>URIEL ANTONIO CERON SANCHEZ</t>
        </is>
      </c>
      <c r="I1316" t="n">
        <v>8082</v>
      </c>
      <c r="J1316" t="inlineStr">
        <is>
          <t>LIDER DE DESARROLLO</t>
        </is>
      </c>
      <c r="K1316" t="n">
        <v>1</v>
      </c>
      <c r="L1316" t="inlineStr">
        <is>
          <t>PRESIDENCIA EJECUTIVA DEL CONSEJO</t>
        </is>
      </c>
      <c r="M1316" t="n">
        <v>40</v>
      </c>
      <c r="N1316" t="inlineStr">
        <is>
          <t>DIRECCION GENERAL BANCO BASE</t>
        </is>
      </c>
      <c r="O1316" t="n">
        <v>310</v>
      </c>
      <c r="P1316" t="inlineStr">
        <is>
          <t>DIRECCION DE TECNOLOGIA</t>
        </is>
      </c>
      <c r="Q1316" t="n">
        <v>3150</v>
      </c>
      <c r="R1316" t="inlineStr">
        <is>
          <t>DESARROLLO DE APLICATIVOS</t>
        </is>
      </c>
      <c r="S1316" t="n">
        <v>31700</v>
      </c>
      <c r="T1316" t="inlineStr">
        <is>
          <t>DESARROLLO DE APLICATIVOS CLIENTES</t>
        </is>
      </c>
      <c r="U1316" t="n">
        <v>317000</v>
      </c>
      <c r="V1316" t="inlineStr">
        <is>
          <t>DESARROLLO DE APLICATIVOS 2</t>
        </is>
      </c>
      <c r="W1316" t="n">
        <v>100101</v>
      </c>
      <c r="X1316" t="inlineStr">
        <is>
          <t>CORPORATIVO</t>
        </is>
      </c>
      <c r="Y1316" t="n">
        <v>4</v>
      </c>
      <c r="Z1316" t="inlineStr">
        <is>
          <t>CORPORATIVO</t>
        </is>
      </c>
      <c r="AA1316" t="n">
        <v>8</v>
      </c>
      <c r="AB1316" t="inlineStr">
        <is>
          <t>BAU</t>
        </is>
      </c>
      <c r="AC1316" t="n">
        <v>1</v>
      </c>
      <c r="AD1316" t="inlineStr">
        <is>
          <t>BANCO</t>
        </is>
      </c>
      <c r="AE1316" t="n">
        <v>1</v>
      </c>
      <c r="AF1316" t="inlineStr">
        <is>
          <t>BACK</t>
        </is>
      </c>
      <c r="AG1316" t="n">
        <v>100101</v>
      </c>
      <c r="AH1316" t="inlineStr">
        <is>
          <t>CORPORATIVO</t>
        </is>
      </c>
      <c r="AI1316" t="inlineStr">
        <is>
          <t>JGARZALO@BANCOBASE.COM</t>
        </is>
      </c>
      <c r="AJ1316" s="151" t="n">
        <v>44348</v>
      </c>
    </row>
    <row r="1317" hidden="1" s="150">
      <c r="A1317" t="inlineStr">
        <is>
          <t>MREYESG</t>
        </is>
      </c>
      <c r="B1317" t="n">
        <v>2813</v>
      </c>
      <c r="C1317" t="inlineStr">
        <is>
          <t>MOISES ISMAEL REYES GARCIA</t>
        </is>
      </c>
      <c r="D1317" t="n">
        <v>8050</v>
      </c>
      <c r="E1317" t="inlineStr">
        <is>
          <t>DESARROLLADOR FULLSTACK JR</t>
        </is>
      </c>
      <c r="F1317" t="inlineStr">
        <is>
          <t>TELETRABAJO</t>
        </is>
      </c>
      <c r="G1317" t="n">
        <v>2845</v>
      </c>
      <c r="H1317" t="inlineStr">
        <is>
          <t>URIEL ANTONIO CERON SANCHEZ</t>
        </is>
      </c>
      <c r="I1317" t="n">
        <v>8082</v>
      </c>
      <c r="J1317" t="inlineStr">
        <is>
          <t>LIDER DE DESARROLLO</t>
        </is>
      </c>
      <c r="K1317" t="n">
        <v>1</v>
      </c>
      <c r="L1317" t="inlineStr">
        <is>
          <t>PRESIDENCIA EJECUTIVA DEL CONSEJO</t>
        </is>
      </c>
      <c r="M1317" t="n">
        <v>40</v>
      </c>
      <c r="N1317" t="inlineStr">
        <is>
          <t>DIRECCION GENERAL BANCO BASE</t>
        </is>
      </c>
      <c r="O1317" t="n">
        <v>310</v>
      </c>
      <c r="P1317" t="inlineStr">
        <is>
          <t>DIRECCION DE TECNOLOGIA</t>
        </is>
      </c>
      <c r="Q1317" t="n">
        <v>3150</v>
      </c>
      <c r="R1317" t="inlineStr">
        <is>
          <t>DESARROLLO DE APLICATIVOS</t>
        </is>
      </c>
      <c r="S1317" t="n">
        <v>31700</v>
      </c>
      <c r="T1317" t="inlineStr">
        <is>
          <t>DESARROLLO DE APLICATIVOS CLIENTES</t>
        </is>
      </c>
      <c r="U1317" t="n">
        <v>317000</v>
      </c>
      <c r="V1317" t="inlineStr">
        <is>
          <t>DESARROLLO DE APLICATIVOS 2</t>
        </is>
      </c>
      <c r="W1317" t="n">
        <v>126112</v>
      </c>
      <c r="X1317" t="inlineStr">
        <is>
          <t>QUERETARO</t>
        </is>
      </c>
      <c r="Y1317" t="n">
        <v>4</v>
      </c>
      <c r="Z1317" t="inlineStr">
        <is>
          <t>CORPORATIVO</t>
        </is>
      </c>
      <c r="AA1317" t="n">
        <v>1</v>
      </c>
      <c r="AB1317" t="inlineStr">
        <is>
          <t>NEGOCIO EN MARCHA</t>
        </is>
      </c>
      <c r="AC1317" t="n">
        <v>1</v>
      </c>
      <c r="AD1317" t="inlineStr">
        <is>
          <t>BANCO</t>
        </is>
      </c>
      <c r="AE1317" t="n">
        <v>1</v>
      </c>
      <c r="AF1317" t="inlineStr">
        <is>
          <t>BACK</t>
        </is>
      </c>
      <c r="AG1317" t="n">
        <v>126112</v>
      </c>
      <c r="AH1317" t="inlineStr">
        <is>
          <t>QUERETARO</t>
        </is>
      </c>
      <c r="AI1317" t="inlineStr">
        <is>
          <t>MREYESG@BANCOBASE.COM</t>
        </is>
      </c>
      <c r="AJ1317" s="151" t="n">
        <v>44943</v>
      </c>
    </row>
    <row r="1318" hidden="1" s="150">
      <c r="A1318" t="inlineStr">
        <is>
          <t>MCASTANEDA</t>
        </is>
      </c>
      <c r="B1318" t="n">
        <v>2526</v>
      </c>
      <c r="C1318" t="inlineStr">
        <is>
          <t>MARTIN CASTAÑEDA ROJAS</t>
        </is>
      </c>
      <c r="D1318" t="n">
        <v>10012</v>
      </c>
      <c r="E1318" t="inlineStr">
        <is>
          <t>LIDER DE DESARROLLO</t>
        </is>
      </c>
      <c r="F1318" t="inlineStr">
        <is>
          <t>TELETRABAJO</t>
        </is>
      </c>
      <c r="G1318" t="n">
        <v>2092</v>
      </c>
      <c r="H1318" t="inlineStr">
        <is>
          <t>FRANCISCO ENRIQUE PECINA MONTEVERDE</t>
        </is>
      </c>
      <c r="I1318" t="n">
        <v>8101</v>
      </c>
      <c r="J1318" t="inlineStr">
        <is>
          <t>SUBDIRECTOR DE DESARROLLO CLIENTES</t>
        </is>
      </c>
      <c r="K1318" t="n">
        <v>1</v>
      </c>
      <c r="L1318" t="inlineStr">
        <is>
          <t>PRESIDENCIA EJECUTIVA DEL CONSEJO</t>
        </is>
      </c>
      <c r="M1318" t="n">
        <v>40</v>
      </c>
      <c r="N1318" t="inlineStr">
        <is>
          <t>DIRECCION GENERAL BANCO BASE</t>
        </is>
      </c>
      <c r="O1318" t="n">
        <v>310</v>
      </c>
      <c r="P1318" t="inlineStr">
        <is>
          <t>DIRECCION DE TECNOLOGIA</t>
        </is>
      </c>
      <c r="Q1318" t="n">
        <v>3150</v>
      </c>
      <c r="R1318" t="inlineStr">
        <is>
          <t>DESARROLLO DE APLICATIVOS</t>
        </is>
      </c>
      <c r="S1318" t="n">
        <v>31700</v>
      </c>
      <c r="T1318" t="inlineStr">
        <is>
          <t>DESARROLLO DE APLICATIVOS CLIENTES</t>
        </is>
      </c>
      <c r="U1318" t="n">
        <v>317000</v>
      </c>
      <c r="V1318" t="inlineStr">
        <is>
          <t>DESARROLLO DE APLICATIVOS 2</t>
        </is>
      </c>
      <c r="W1318" t="n">
        <v>134111</v>
      </c>
      <c r="X1318" t="inlineStr">
        <is>
          <t>LOMAS</t>
        </is>
      </c>
      <c r="Y1318" t="n">
        <v>4</v>
      </c>
      <c r="Z1318" t="inlineStr">
        <is>
          <t>CORPORATIVO</t>
        </is>
      </c>
      <c r="AA1318" t="n">
        <v>1</v>
      </c>
      <c r="AB1318" t="inlineStr">
        <is>
          <t>NEGOCIO EN MARCHA</t>
        </is>
      </c>
      <c r="AC1318" t="n">
        <v>1</v>
      </c>
      <c r="AD1318" t="inlineStr">
        <is>
          <t>BANCO</t>
        </is>
      </c>
      <c r="AE1318" t="n">
        <v>1</v>
      </c>
      <c r="AF1318" t="inlineStr">
        <is>
          <t>BACK</t>
        </is>
      </c>
      <c r="AG1318" t="n">
        <v>134111</v>
      </c>
      <c r="AH1318" t="inlineStr">
        <is>
          <t>LOMAS</t>
        </is>
      </c>
      <c r="AI1318" t="inlineStr">
        <is>
          <t>MCASTANEDA@BANCOBASE.COM</t>
        </is>
      </c>
      <c r="AJ1318" s="151" t="n">
        <v>44393</v>
      </c>
    </row>
    <row r="1319" hidden="1" s="150">
      <c r="A1319" t="inlineStr">
        <is>
          <t>AMARTINEZH</t>
        </is>
      </c>
      <c r="B1319" t="n">
        <v>3186</v>
      </c>
      <c r="C1319" t="inlineStr">
        <is>
          <t>ALAN MARTINEZ HERNANDEZ</t>
        </is>
      </c>
      <c r="D1319" t="n">
        <v>8415</v>
      </c>
      <c r="E1319" t="inlineStr">
        <is>
          <t>DESARROLLADOR BACKEND SR</t>
        </is>
      </c>
      <c r="F1319" t="inlineStr">
        <is>
          <t>TELETRABAJO</t>
        </is>
      </c>
      <c r="G1319" t="n">
        <v>2526</v>
      </c>
      <c r="H1319" t="inlineStr">
        <is>
          <t>MARTIN CASTAÑEDA ROJAS</t>
        </is>
      </c>
      <c r="I1319" t="n">
        <v>10012</v>
      </c>
      <c r="J1319" t="inlineStr">
        <is>
          <t>LIDER DE DESARROLLO</t>
        </is>
      </c>
      <c r="K1319" t="n">
        <v>1</v>
      </c>
      <c r="L1319" t="inlineStr">
        <is>
          <t>PRESIDENCIA EJECUTIVA DEL CONSEJO</t>
        </is>
      </c>
      <c r="M1319" t="n">
        <v>40</v>
      </c>
      <c r="N1319" t="inlineStr">
        <is>
          <t>DIRECCION GENERAL BANCO BASE</t>
        </is>
      </c>
      <c r="O1319" t="n">
        <v>310</v>
      </c>
      <c r="P1319" t="inlineStr">
        <is>
          <t>DIRECCION DE TECNOLOGIA</t>
        </is>
      </c>
      <c r="Q1319" t="n">
        <v>3150</v>
      </c>
      <c r="R1319" t="inlineStr">
        <is>
          <t>DESARROLLO DE APLICATIVOS</t>
        </is>
      </c>
      <c r="S1319" t="n">
        <v>31700</v>
      </c>
      <c r="T1319" t="inlineStr">
        <is>
          <t>DESARROLLO DE APLICATIVOS CLIENTES</t>
        </is>
      </c>
      <c r="U1319" t="n">
        <v>317000</v>
      </c>
      <c r="V1319" t="inlineStr">
        <is>
          <t>DESARROLLO DE APLICATIVOS 2</t>
        </is>
      </c>
      <c r="W1319" t="n">
        <v>134111</v>
      </c>
      <c r="X1319" t="inlineStr">
        <is>
          <t>LOMAS</t>
        </is>
      </c>
      <c r="Y1319" t="n">
        <v>4</v>
      </c>
      <c r="Z1319" t="inlineStr">
        <is>
          <t>CORPORATIVO</t>
        </is>
      </c>
      <c r="AA1319" t="n">
        <v>8</v>
      </c>
      <c r="AB1319" t="inlineStr">
        <is>
          <t>BAU</t>
        </is>
      </c>
      <c r="AC1319" t="n">
        <v>1</v>
      </c>
      <c r="AD1319" t="inlineStr">
        <is>
          <t>BANCO</t>
        </is>
      </c>
      <c r="AE1319" t="n">
        <v>1</v>
      </c>
      <c r="AF1319" t="inlineStr">
        <is>
          <t>BACK</t>
        </is>
      </c>
      <c r="AG1319" t="n">
        <v>134111</v>
      </c>
      <c r="AH1319" t="inlineStr">
        <is>
          <t>LOMAS</t>
        </is>
      </c>
      <c r="AI1319" t="inlineStr">
        <is>
          <t>AMARTINEZH@BANCOBASE.COM</t>
        </is>
      </c>
      <c r="AJ1319" s="151" t="n">
        <v>45523</v>
      </c>
    </row>
    <row r="1320" hidden="1" s="150">
      <c r="A1320" t="inlineStr">
        <is>
          <t>GPERALTA</t>
        </is>
      </c>
      <c r="B1320" t="n">
        <v>2856</v>
      </c>
      <c r="C1320" t="inlineStr">
        <is>
          <t>GISEL PERALTA GIL</t>
        </is>
      </c>
      <c r="D1320" t="n">
        <v>8141</v>
      </c>
      <c r="E1320" t="inlineStr">
        <is>
          <t>DESARROLLADOR BACKEND SR</t>
        </is>
      </c>
      <c r="F1320" t="inlineStr">
        <is>
          <t>TELETRABAJO</t>
        </is>
      </c>
      <c r="G1320" t="n">
        <v>2526</v>
      </c>
      <c r="H1320" t="inlineStr">
        <is>
          <t>MARTIN CASTAÑEDA ROJAS</t>
        </is>
      </c>
      <c r="I1320" t="n">
        <v>10012</v>
      </c>
      <c r="J1320" t="inlineStr">
        <is>
          <t>LIDER DE DESARROLLO</t>
        </is>
      </c>
      <c r="K1320" t="n">
        <v>1</v>
      </c>
      <c r="L1320" t="inlineStr">
        <is>
          <t>PRESIDENCIA EJECUTIVA DEL CONSEJO</t>
        </is>
      </c>
      <c r="M1320" t="n">
        <v>40</v>
      </c>
      <c r="N1320" t="inlineStr">
        <is>
          <t>DIRECCION GENERAL BANCO BASE</t>
        </is>
      </c>
      <c r="O1320" t="n">
        <v>310</v>
      </c>
      <c r="P1320" t="inlineStr">
        <is>
          <t>DIRECCION DE TECNOLOGIA</t>
        </is>
      </c>
      <c r="Q1320" t="n">
        <v>3150</v>
      </c>
      <c r="R1320" t="inlineStr">
        <is>
          <t>DESARROLLO DE APLICATIVOS</t>
        </is>
      </c>
      <c r="S1320" t="n">
        <v>31700</v>
      </c>
      <c r="T1320" t="inlineStr">
        <is>
          <t>DESARROLLO DE APLICATIVOS CLIENTES</t>
        </is>
      </c>
      <c r="U1320" t="n">
        <v>317000</v>
      </c>
      <c r="V1320" t="inlineStr">
        <is>
          <t>DESARROLLO DE APLICATIVOS 2</t>
        </is>
      </c>
      <c r="W1320" t="n">
        <v>134111</v>
      </c>
      <c r="X1320" t="inlineStr">
        <is>
          <t>LOMAS</t>
        </is>
      </c>
      <c r="Y1320" t="n">
        <v>4</v>
      </c>
      <c r="Z1320" t="inlineStr">
        <is>
          <t>CORPORATIVO</t>
        </is>
      </c>
      <c r="AA1320" t="n">
        <v>1</v>
      </c>
      <c r="AB1320" t="inlineStr">
        <is>
          <t>NEGOCIO EN MARCHA</t>
        </is>
      </c>
      <c r="AC1320" t="n">
        <v>1</v>
      </c>
      <c r="AD1320" t="inlineStr">
        <is>
          <t>BANCO</t>
        </is>
      </c>
      <c r="AE1320" t="n">
        <v>1</v>
      </c>
      <c r="AF1320" t="inlineStr">
        <is>
          <t>BACK</t>
        </is>
      </c>
      <c r="AG1320" t="n">
        <v>134111</v>
      </c>
      <c r="AH1320" t="inlineStr">
        <is>
          <t>LOMAS</t>
        </is>
      </c>
      <c r="AI1320" t="inlineStr">
        <is>
          <t>GPERALTA@BANCOBASE.COM</t>
        </is>
      </c>
      <c r="AJ1320" s="151" t="n">
        <v>44991</v>
      </c>
    </row>
    <row r="1321" hidden="1" s="150">
      <c r="A1321" t="inlineStr">
        <is>
          <t>IJUAREZG</t>
        </is>
      </c>
      <c r="B1321" t="n">
        <v>3253</v>
      </c>
      <c r="C1321" t="inlineStr">
        <is>
          <t>ISIS ATENEA JUAREZ GUZMAN</t>
        </is>
      </c>
      <c r="D1321" t="n">
        <v>9323</v>
      </c>
      <c r="E1321" t="inlineStr">
        <is>
          <t>DESARROLLADOR BACKEND SR</t>
        </is>
      </c>
      <c r="F1321" t="inlineStr">
        <is>
          <t>TELETRABAJO</t>
        </is>
      </c>
      <c r="G1321" t="n">
        <v>2526</v>
      </c>
      <c r="H1321" t="inlineStr">
        <is>
          <t>MARTIN CASTAÑEDA ROJAS</t>
        </is>
      </c>
      <c r="I1321" t="n">
        <v>10012</v>
      </c>
      <c r="J1321" t="inlineStr">
        <is>
          <t>LIDER DE DESARROLLO</t>
        </is>
      </c>
      <c r="K1321" t="n">
        <v>1</v>
      </c>
      <c r="L1321" t="inlineStr">
        <is>
          <t>PRESIDENCIA EJECUTIVA DEL CONSEJO</t>
        </is>
      </c>
      <c r="M1321" t="n">
        <v>40</v>
      </c>
      <c r="N1321" t="inlineStr">
        <is>
          <t>DIRECCION GENERAL BANCO BASE</t>
        </is>
      </c>
      <c r="O1321" t="n">
        <v>310</v>
      </c>
      <c r="P1321" t="inlineStr">
        <is>
          <t>DIRECCION DE TECNOLOGIA</t>
        </is>
      </c>
      <c r="Q1321" t="n">
        <v>3150</v>
      </c>
      <c r="R1321" t="inlineStr">
        <is>
          <t>DESARROLLO DE APLICATIVOS</t>
        </is>
      </c>
      <c r="S1321" t="n">
        <v>31700</v>
      </c>
      <c r="T1321" t="inlineStr">
        <is>
          <t>DESARROLLO DE APLICATIVOS CLIENTES</t>
        </is>
      </c>
      <c r="U1321" t="n">
        <v>317000</v>
      </c>
      <c r="V1321" t="inlineStr">
        <is>
          <t>DESARROLLO DE APLICATIVOS 2</t>
        </is>
      </c>
      <c r="W1321" t="n">
        <v>134111</v>
      </c>
      <c r="X1321" t="inlineStr">
        <is>
          <t>LOMAS</t>
        </is>
      </c>
      <c r="Y1321" t="n">
        <v>4</v>
      </c>
      <c r="Z1321" t="inlineStr">
        <is>
          <t>CORPORATIVO</t>
        </is>
      </c>
      <c r="AA1321" t="n">
        <v>8</v>
      </c>
      <c r="AB1321" t="inlineStr">
        <is>
          <t>BAU</t>
        </is>
      </c>
      <c r="AC1321" t="n">
        <v>1</v>
      </c>
      <c r="AD1321" t="inlineStr">
        <is>
          <t>BANCO</t>
        </is>
      </c>
      <c r="AE1321" t="n">
        <v>1</v>
      </c>
      <c r="AF1321" t="inlineStr">
        <is>
          <t>BACK</t>
        </is>
      </c>
      <c r="AG1321" t="n">
        <v>134111</v>
      </c>
      <c r="AH1321" t="inlineStr">
        <is>
          <t>LOMAS</t>
        </is>
      </c>
      <c r="AI1321" t="inlineStr">
        <is>
          <t>IJUAREZG@BANCOBASE.COM</t>
        </is>
      </c>
      <c r="AJ1321" s="151" t="n">
        <v>45600</v>
      </c>
    </row>
    <row r="1322" hidden="1" s="150">
      <c r="A1322" t="inlineStr">
        <is>
          <t>JALCOCER</t>
        </is>
      </c>
      <c r="B1322" t="n">
        <v>2772</v>
      </c>
      <c r="C1322" t="inlineStr">
        <is>
          <t>JESUS ADRIAN ALCOCER DOÑEZ</t>
        </is>
      </c>
      <c r="D1322" t="n">
        <v>8412</v>
      </c>
      <c r="E1322" t="inlineStr">
        <is>
          <t>DESARROLLADOR BACKEND JR</t>
        </is>
      </c>
      <c r="F1322" t="inlineStr">
        <is>
          <t>TELETRABAJO</t>
        </is>
      </c>
      <c r="G1322" t="n">
        <v>2526</v>
      </c>
      <c r="H1322" t="inlineStr">
        <is>
          <t>MARTIN CASTAÑEDA ROJAS</t>
        </is>
      </c>
      <c r="I1322" t="n">
        <v>10012</v>
      </c>
      <c r="J1322" t="inlineStr">
        <is>
          <t>LIDER DE DESARROLLO</t>
        </is>
      </c>
      <c r="K1322" t="n">
        <v>1</v>
      </c>
      <c r="L1322" t="inlineStr">
        <is>
          <t>PRESIDENCIA EJECUTIVA DEL CONSEJO</t>
        </is>
      </c>
      <c r="M1322" t="n">
        <v>40</v>
      </c>
      <c r="N1322" t="inlineStr">
        <is>
          <t>DIRECCION GENERAL BANCO BASE</t>
        </is>
      </c>
      <c r="O1322" t="n">
        <v>310</v>
      </c>
      <c r="P1322" t="inlineStr">
        <is>
          <t>DIRECCION DE TECNOLOGIA</t>
        </is>
      </c>
      <c r="Q1322" t="n">
        <v>3150</v>
      </c>
      <c r="R1322" t="inlineStr">
        <is>
          <t>DESARROLLO DE APLICATIVOS</t>
        </is>
      </c>
      <c r="S1322" t="n">
        <v>31700</v>
      </c>
      <c r="T1322" t="inlineStr">
        <is>
          <t>DESARROLLO DE APLICATIVOS CLIENTES</t>
        </is>
      </c>
      <c r="U1322" t="n">
        <v>317000</v>
      </c>
      <c r="V1322" t="inlineStr">
        <is>
          <t>DESARROLLO DE APLICATIVOS 2</t>
        </is>
      </c>
      <c r="W1322" t="n">
        <v>100101</v>
      </c>
      <c r="X1322" t="inlineStr">
        <is>
          <t>CORPORATIVO</t>
        </is>
      </c>
      <c r="Y1322" t="n">
        <v>4</v>
      </c>
      <c r="Z1322" t="inlineStr">
        <is>
          <t>CORPORATIVO</t>
        </is>
      </c>
      <c r="AA1322" t="n">
        <v>8</v>
      </c>
      <c r="AB1322" t="inlineStr">
        <is>
          <t>BAU</t>
        </is>
      </c>
      <c r="AC1322" t="n">
        <v>1</v>
      </c>
      <c r="AD1322" t="inlineStr">
        <is>
          <t>BANCO</t>
        </is>
      </c>
      <c r="AE1322" t="n">
        <v>1</v>
      </c>
      <c r="AF1322" t="inlineStr">
        <is>
          <t>BACK</t>
        </is>
      </c>
      <c r="AG1322" t="n">
        <v>100101</v>
      </c>
      <c r="AH1322" t="inlineStr">
        <is>
          <t>CORPORATIVO</t>
        </is>
      </c>
      <c r="AI1322" t="inlineStr">
        <is>
          <t>JALCOCER@BANCOBASE.COM</t>
        </is>
      </c>
      <c r="AJ1322" s="151" t="n">
        <v>44866</v>
      </c>
    </row>
    <row r="1323" hidden="1" s="150">
      <c r="A1323" t="inlineStr">
        <is>
          <t>MBENITEZ</t>
        </is>
      </c>
      <c r="B1323" t="n">
        <v>3254</v>
      </c>
      <c r="C1323" t="inlineStr">
        <is>
          <t>MACIEL FILEMON BENITEZ CRUZ</t>
        </is>
      </c>
      <c r="D1323" t="n">
        <v>9644</v>
      </c>
      <c r="E1323" t="inlineStr">
        <is>
          <t>DESARROLLADOR BACKEND SR</t>
        </is>
      </c>
      <c r="F1323" t="inlineStr">
        <is>
          <t>TELETRABAJO</t>
        </is>
      </c>
      <c r="G1323" t="n">
        <v>2526</v>
      </c>
      <c r="H1323" t="inlineStr">
        <is>
          <t>MARTIN CASTAÑEDA ROJAS</t>
        </is>
      </c>
      <c r="I1323" t="n">
        <v>10012</v>
      </c>
      <c r="J1323" t="inlineStr">
        <is>
          <t>LIDER DE DESARROLLO</t>
        </is>
      </c>
      <c r="K1323" t="n">
        <v>1</v>
      </c>
      <c r="L1323" t="inlineStr">
        <is>
          <t>PRESIDENCIA EJECUTIVA DEL CONSEJO</t>
        </is>
      </c>
      <c r="M1323" t="n">
        <v>40</v>
      </c>
      <c r="N1323" t="inlineStr">
        <is>
          <t>DIRECCION GENERAL BANCO BASE</t>
        </is>
      </c>
      <c r="O1323" t="n">
        <v>310</v>
      </c>
      <c r="P1323" t="inlineStr">
        <is>
          <t>DIRECCION DE TECNOLOGIA</t>
        </is>
      </c>
      <c r="Q1323" t="n">
        <v>3150</v>
      </c>
      <c r="R1323" t="inlineStr">
        <is>
          <t>DESARROLLO DE APLICATIVOS</t>
        </is>
      </c>
      <c r="S1323" t="n">
        <v>31700</v>
      </c>
      <c r="T1323" t="inlineStr">
        <is>
          <t>DESARROLLO DE APLICATIVOS CLIENTES</t>
        </is>
      </c>
      <c r="U1323" t="n">
        <v>317000</v>
      </c>
      <c r="V1323" t="inlineStr">
        <is>
          <t>DESARROLLO DE APLICATIVOS 2</t>
        </is>
      </c>
      <c r="W1323" t="n">
        <v>134111</v>
      </c>
      <c r="X1323" t="inlineStr">
        <is>
          <t>LOMAS</t>
        </is>
      </c>
      <c r="Y1323" t="n">
        <v>4</v>
      </c>
      <c r="Z1323" t="inlineStr">
        <is>
          <t>CORPORATIVO</t>
        </is>
      </c>
      <c r="AA1323" t="n">
        <v>8</v>
      </c>
      <c r="AB1323" t="inlineStr">
        <is>
          <t>BAU</t>
        </is>
      </c>
      <c r="AC1323" t="n">
        <v>1</v>
      </c>
      <c r="AD1323" t="inlineStr">
        <is>
          <t>BANCO</t>
        </is>
      </c>
      <c r="AE1323" t="n">
        <v>1</v>
      </c>
      <c r="AF1323" t="inlineStr">
        <is>
          <t>BACK</t>
        </is>
      </c>
      <c r="AG1323" t="n">
        <v>134111</v>
      </c>
      <c r="AH1323" t="inlineStr">
        <is>
          <t>LOMAS</t>
        </is>
      </c>
      <c r="AI1323" t="inlineStr">
        <is>
          <t>MBENITEZ@BANCOBASE.COM</t>
        </is>
      </c>
      <c r="AJ1323" s="151" t="n">
        <v>45600</v>
      </c>
    </row>
    <row r="1324" hidden="1" s="150">
      <c r="A1324" t="inlineStr">
        <is>
          <t>MQUINTANA</t>
        </is>
      </c>
      <c r="B1324" t="n">
        <v>3291</v>
      </c>
      <c r="C1324" t="inlineStr">
        <is>
          <t>MARIA MARTHA QUINTANA LOPEZ</t>
        </is>
      </c>
      <c r="D1324" t="n">
        <v>8517</v>
      </c>
      <c r="E1324" t="inlineStr">
        <is>
          <t>DESARROLLADOR BACKEND SR</t>
        </is>
      </c>
      <c r="F1324" t="inlineStr">
        <is>
          <t>TELETRABAJO</t>
        </is>
      </c>
      <c r="G1324" t="n">
        <v>2526</v>
      </c>
      <c r="H1324" t="inlineStr">
        <is>
          <t>MARTIN CASTAÑEDA ROJAS</t>
        </is>
      </c>
      <c r="I1324" t="n">
        <v>10012</v>
      </c>
      <c r="J1324" t="inlineStr">
        <is>
          <t>LIDER DE DESARROLLO</t>
        </is>
      </c>
      <c r="K1324" t="n">
        <v>1</v>
      </c>
      <c r="L1324" t="inlineStr">
        <is>
          <t>PRESIDENCIA EJECUTIVA DEL CONSEJO</t>
        </is>
      </c>
      <c r="M1324" t="n">
        <v>40</v>
      </c>
      <c r="N1324" t="inlineStr">
        <is>
          <t>DIRECCION GENERAL BANCO BASE</t>
        </is>
      </c>
      <c r="O1324" t="n">
        <v>310</v>
      </c>
      <c r="P1324" t="inlineStr">
        <is>
          <t>DIRECCION DE TECNOLOGIA</t>
        </is>
      </c>
      <c r="Q1324" t="n">
        <v>3150</v>
      </c>
      <c r="R1324" t="inlineStr">
        <is>
          <t>DESARROLLO DE APLICATIVOS</t>
        </is>
      </c>
      <c r="S1324" t="n">
        <v>31700</v>
      </c>
      <c r="T1324" t="inlineStr">
        <is>
          <t>DESARROLLO DE APLICATIVOS CLIENTES</t>
        </is>
      </c>
      <c r="U1324" t="n">
        <v>317000</v>
      </c>
      <c r="V1324" t="inlineStr">
        <is>
          <t>DESARROLLO DE APLICATIVOS 2</t>
        </is>
      </c>
      <c r="W1324" t="n">
        <v>134111</v>
      </c>
      <c r="X1324" t="inlineStr">
        <is>
          <t>LOMAS</t>
        </is>
      </c>
      <c r="Y1324" t="n">
        <v>4</v>
      </c>
      <c r="Z1324" t="inlineStr">
        <is>
          <t>CORPORATIVO</t>
        </is>
      </c>
      <c r="AA1324" t="n">
        <v>8</v>
      </c>
      <c r="AB1324" t="inlineStr">
        <is>
          <t>BAU</t>
        </is>
      </c>
      <c r="AC1324" t="n">
        <v>1</v>
      </c>
      <c r="AD1324" t="inlineStr">
        <is>
          <t>BANCO</t>
        </is>
      </c>
      <c r="AE1324" t="n">
        <v>1</v>
      </c>
      <c r="AF1324" t="inlineStr">
        <is>
          <t>BACK</t>
        </is>
      </c>
      <c r="AG1324" t="n">
        <v>134111</v>
      </c>
      <c r="AH1324" t="inlineStr">
        <is>
          <t>LOMAS</t>
        </is>
      </c>
      <c r="AI1324" t="inlineStr">
        <is>
          <t>MQUINTANA@BANCOBASE.COM</t>
        </is>
      </c>
      <c r="AJ1324" s="151" t="n">
        <v>45642</v>
      </c>
    </row>
    <row r="1325" hidden="1" s="150">
      <c r="A1325" t="inlineStr">
        <is>
          <t>NRAMIREZR</t>
        </is>
      </c>
      <c r="B1325" t="n">
        <v>2720</v>
      </c>
      <c r="C1325" t="inlineStr">
        <is>
          <t>NESTOR DANIEL RAMIREZ RAMIREZ</t>
        </is>
      </c>
      <c r="D1325" t="n">
        <v>9316</v>
      </c>
      <c r="E1325" t="inlineStr">
        <is>
          <t>LIDER DE DESARROLLO</t>
        </is>
      </c>
      <c r="F1325" t="inlineStr">
        <is>
          <t>TELETRABAJO</t>
        </is>
      </c>
      <c r="G1325" t="n">
        <v>2092</v>
      </c>
      <c r="H1325" t="inlineStr">
        <is>
          <t>FRANCISCO ENRIQUE PECINA MONTEVERDE</t>
        </is>
      </c>
      <c r="I1325" t="n">
        <v>8101</v>
      </c>
      <c r="J1325" t="inlineStr">
        <is>
          <t>SUBDIRECTOR DE DESARROLLO CLIENTES</t>
        </is>
      </c>
      <c r="K1325" t="n">
        <v>1</v>
      </c>
      <c r="L1325" t="inlineStr">
        <is>
          <t>PRESIDENCIA EJECUTIVA DEL CONSEJO</t>
        </is>
      </c>
      <c r="M1325" t="n">
        <v>40</v>
      </c>
      <c r="N1325" t="inlineStr">
        <is>
          <t>DIRECCION GENERAL BANCO BASE</t>
        </is>
      </c>
      <c r="O1325" t="n">
        <v>310</v>
      </c>
      <c r="P1325" t="inlineStr">
        <is>
          <t>DIRECCION DE TECNOLOGIA</t>
        </is>
      </c>
      <c r="Q1325" t="n">
        <v>3150</v>
      </c>
      <c r="R1325" t="inlineStr">
        <is>
          <t>DESARROLLO DE APLICATIVOS</t>
        </is>
      </c>
      <c r="S1325" t="n">
        <v>31700</v>
      </c>
      <c r="T1325" t="inlineStr">
        <is>
          <t>DESARROLLO DE APLICATIVOS CLIENTES</t>
        </is>
      </c>
      <c r="U1325" t="n">
        <v>317000</v>
      </c>
      <c r="V1325" t="inlineStr">
        <is>
          <t>DESARROLLO DE APLICATIVOS 2</t>
        </is>
      </c>
      <c r="W1325" t="n">
        <v>134111</v>
      </c>
      <c r="X1325" t="inlineStr">
        <is>
          <t>LOMAS</t>
        </is>
      </c>
      <c r="Y1325" t="n">
        <v>4</v>
      </c>
      <c r="Z1325" t="inlineStr">
        <is>
          <t>CORPORATIVO</t>
        </is>
      </c>
      <c r="AA1325" t="n">
        <v>1</v>
      </c>
      <c r="AB1325" t="inlineStr">
        <is>
          <t>NEGOCIO EN MARCHA</t>
        </is>
      </c>
      <c r="AC1325" t="n">
        <v>1</v>
      </c>
      <c r="AD1325" t="inlineStr">
        <is>
          <t>BANCO</t>
        </is>
      </c>
      <c r="AE1325" t="n">
        <v>1</v>
      </c>
      <c r="AF1325" t="inlineStr">
        <is>
          <t>BACK</t>
        </is>
      </c>
      <c r="AG1325" t="n">
        <v>134111</v>
      </c>
      <c r="AH1325" t="inlineStr">
        <is>
          <t>LOMAS</t>
        </is>
      </c>
      <c r="AI1325" t="inlineStr">
        <is>
          <t>NRAMIREZR@BANCOBASE.COM</t>
        </is>
      </c>
      <c r="AJ1325" s="151" t="n">
        <v>44795</v>
      </c>
    </row>
    <row r="1326" hidden="1" s="150">
      <c r="A1326" t="inlineStr">
        <is>
          <t>DPLIEGO</t>
        </is>
      </c>
      <c r="B1326" t="n">
        <v>2810</v>
      </c>
      <c r="C1326" t="inlineStr">
        <is>
          <t>DANIEL PLIEGO VEGA</t>
        </is>
      </c>
      <c r="D1326" t="n">
        <v>8051</v>
      </c>
      <c r="E1326" t="inlineStr">
        <is>
          <t>DESARROLLADOR FULLSTACK JR</t>
        </is>
      </c>
      <c r="F1326" t="inlineStr">
        <is>
          <t>TELETRABAJO</t>
        </is>
      </c>
      <c r="G1326" t="n">
        <v>2720</v>
      </c>
      <c r="H1326" t="inlineStr">
        <is>
          <t>NESTOR DANIEL RAMIREZ RAMIREZ</t>
        </is>
      </c>
      <c r="I1326" t="n">
        <v>9316</v>
      </c>
      <c r="J1326" t="inlineStr">
        <is>
          <t>LIDER DE DESARROLLO</t>
        </is>
      </c>
      <c r="K1326" t="n">
        <v>1</v>
      </c>
      <c r="L1326" t="inlineStr">
        <is>
          <t>PRESIDENCIA EJECUTIVA DEL CONSEJO</t>
        </is>
      </c>
      <c r="M1326" t="n">
        <v>40</v>
      </c>
      <c r="N1326" t="inlineStr">
        <is>
          <t>DIRECCION GENERAL BANCO BASE</t>
        </is>
      </c>
      <c r="O1326" t="n">
        <v>310</v>
      </c>
      <c r="P1326" t="inlineStr">
        <is>
          <t>DIRECCION DE TECNOLOGIA</t>
        </is>
      </c>
      <c r="Q1326" t="n">
        <v>3150</v>
      </c>
      <c r="R1326" t="inlineStr">
        <is>
          <t>DESARROLLO DE APLICATIVOS</t>
        </is>
      </c>
      <c r="S1326" t="n">
        <v>31700</v>
      </c>
      <c r="T1326" t="inlineStr">
        <is>
          <t>DESARROLLO DE APLICATIVOS CLIENTES</t>
        </is>
      </c>
      <c r="U1326" t="n">
        <v>317000</v>
      </c>
      <c r="V1326" t="inlineStr">
        <is>
          <t>DESARROLLO DE APLICATIVOS 2</t>
        </is>
      </c>
      <c r="W1326" t="n">
        <v>126121</v>
      </c>
      <c r="X1326" t="inlineStr">
        <is>
          <t>CANCUN</t>
        </is>
      </c>
      <c r="Y1326" t="n">
        <v>4</v>
      </c>
      <c r="Z1326" t="inlineStr">
        <is>
          <t>CORPORATIVO</t>
        </is>
      </c>
      <c r="AA1326" t="n">
        <v>1</v>
      </c>
      <c r="AB1326" t="inlineStr">
        <is>
          <t>NEGOCIO EN MARCHA</t>
        </is>
      </c>
      <c r="AC1326" t="n">
        <v>1</v>
      </c>
      <c r="AD1326" t="inlineStr">
        <is>
          <t>BANCO</t>
        </is>
      </c>
      <c r="AE1326" t="n">
        <v>1</v>
      </c>
      <c r="AF1326" t="inlineStr">
        <is>
          <t>BACK</t>
        </is>
      </c>
      <c r="AG1326" t="n">
        <v>126121</v>
      </c>
      <c r="AH1326" t="inlineStr">
        <is>
          <t>CANCUN</t>
        </is>
      </c>
      <c r="AI1326" t="inlineStr">
        <is>
          <t>DPLIEGO@BANCOBASE.COM</t>
        </is>
      </c>
      <c r="AJ1326" s="151" t="n">
        <v>44942</v>
      </c>
    </row>
    <row r="1327" hidden="1" s="150">
      <c r="A1327" t="inlineStr">
        <is>
          <t>UGARCIAA</t>
        </is>
      </c>
      <c r="B1327" t="n">
        <v>3948</v>
      </c>
      <c r="C1327" t="inlineStr">
        <is>
          <t>URI MISAEL GARCIA ANDRADE</t>
        </is>
      </c>
      <c r="D1327" t="n">
        <v>6079</v>
      </c>
      <c r="E1327" t="inlineStr">
        <is>
          <t>DESARROLLADOR BACKEND SR</t>
        </is>
      </c>
      <c r="F1327" t="inlineStr">
        <is>
          <t>TELETRABAJO</t>
        </is>
      </c>
      <c r="G1327" t="n">
        <v>2720</v>
      </c>
      <c r="H1327" t="inlineStr">
        <is>
          <t>NESTOR DANIEL RAMIREZ RAMIREZ</t>
        </is>
      </c>
      <c r="I1327" t="n">
        <v>9316</v>
      </c>
      <c r="J1327" t="inlineStr">
        <is>
          <t>LIDER DE DESARROLLO</t>
        </is>
      </c>
      <c r="K1327" t="n">
        <v>1</v>
      </c>
      <c r="L1327" t="inlineStr">
        <is>
          <t>PRESIDENCIA EJECUTIVA DEL CONSEJO</t>
        </is>
      </c>
      <c r="M1327" t="n">
        <v>40</v>
      </c>
      <c r="N1327" t="inlineStr">
        <is>
          <t>DIRECCION GENERAL BANCO BASE</t>
        </is>
      </c>
      <c r="O1327" t="n">
        <v>310</v>
      </c>
      <c r="P1327" t="inlineStr">
        <is>
          <t>DIRECCION DE TECNOLOGIA</t>
        </is>
      </c>
      <c r="Q1327" t="n">
        <v>3150</v>
      </c>
      <c r="R1327" t="inlineStr">
        <is>
          <t>DESARROLLO DE APLICATIVOS</t>
        </is>
      </c>
      <c r="S1327" t="n">
        <v>31700</v>
      </c>
      <c r="T1327" t="inlineStr">
        <is>
          <t>DESARROLLO DE APLICATIVOS CLIENTES</t>
        </is>
      </c>
      <c r="U1327" t="n">
        <v>317000</v>
      </c>
      <c r="V1327" t="inlineStr">
        <is>
          <t>DESARROLLO DE APLICATIVOS 2</t>
        </is>
      </c>
      <c r="W1327" t="n">
        <v>134111</v>
      </c>
      <c r="X1327" t="inlineStr">
        <is>
          <t>LOMAS</t>
        </is>
      </c>
      <c r="Y1327" t="n">
        <v>4</v>
      </c>
      <c r="Z1327" t="inlineStr">
        <is>
          <t>CORPORATIVO</t>
        </is>
      </c>
      <c r="AA1327" t="n">
        <v>8</v>
      </c>
      <c r="AB1327" t="inlineStr">
        <is>
          <t>BAU</t>
        </is>
      </c>
      <c r="AC1327" t="n">
        <v>1</v>
      </c>
      <c r="AD1327" t="inlineStr">
        <is>
          <t>BANCO</t>
        </is>
      </c>
      <c r="AE1327" t="n">
        <v>1</v>
      </c>
      <c r="AF1327" t="inlineStr">
        <is>
          <t>BACK</t>
        </is>
      </c>
      <c r="AG1327" t="n">
        <v>134111</v>
      </c>
      <c r="AH1327" t="inlineStr">
        <is>
          <t>LOMAS</t>
        </is>
      </c>
      <c r="AI1327" t="inlineStr">
        <is>
          <t>UGARCIAA@BANCOBASE.COM</t>
        </is>
      </c>
      <c r="AJ1327" s="151" t="n">
        <v>46219</v>
      </c>
    </row>
    <row r="1328" hidden="1" s="150">
      <c r="A1328" t="inlineStr">
        <is>
          <t>JGIL</t>
        </is>
      </c>
      <c r="B1328" t="n">
        <v>698</v>
      </c>
      <c r="C1328" t="inlineStr">
        <is>
          <t>JESUS MIGUEL GIL GASTELUM</t>
        </is>
      </c>
      <c r="D1328" t="n">
        <v>8164</v>
      </c>
      <c r="E1328" t="inlineStr">
        <is>
          <t>LIDER DE DESARROLLO BACKOFFICE</t>
        </is>
      </c>
      <c r="F1328" t="inlineStr">
        <is>
          <t>TELETRABAJO</t>
        </is>
      </c>
      <c r="G1328" t="n">
        <v>2092</v>
      </c>
      <c r="H1328" t="inlineStr">
        <is>
          <t>FRANCISCO ENRIQUE PECINA MONTEVERDE</t>
        </is>
      </c>
      <c r="I1328" t="n">
        <v>8101</v>
      </c>
      <c r="J1328" t="inlineStr">
        <is>
          <t>SUBDIRECTOR DE DESARROLLO CLIENTES</t>
        </is>
      </c>
      <c r="K1328" t="n">
        <v>1</v>
      </c>
      <c r="L1328" t="inlineStr">
        <is>
          <t>PRESIDENCIA EJECUTIVA DEL CONSEJO</t>
        </is>
      </c>
      <c r="M1328" t="n">
        <v>40</v>
      </c>
      <c r="N1328" t="inlineStr">
        <is>
          <t>DIRECCION GENERAL BANCO BASE</t>
        </is>
      </c>
      <c r="O1328" t="n">
        <v>310</v>
      </c>
      <c r="P1328" t="inlineStr">
        <is>
          <t>DIRECCION DE TECNOLOGIA</t>
        </is>
      </c>
      <c r="Q1328" t="n">
        <v>3150</v>
      </c>
      <c r="R1328" t="inlineStr">
        <is>
          <t>DESARROLLO DE APLICATIVOS</t>
        </is>
      </c>
      <c r="S1328" t="n">
        <v>31700</v>
      </c>
      <c r="T1328" t="inlineStr">
        <is>
          <t>DESARROLLO DE APLICATIVOS CLIENTES</t>
        </is>
      </c>
      <c r="U1328" t="n">
        <v>317000</v>
      </c>
      <c r="V1328" t="inlineStr">
        <is>
          <t>DESARROLLO DE APLICATIVOS 2</t>
        </is>
      </c>
      <c r="W1328" t="n">
        <v>100101</v>
      </c>
      <c r="X1328" t="inlineStr">
        <is>
          <t>CORPORATIVO</t>
        </is>
      </c>
      <c r="Y1328" t="n">
        <v>4</v>
      </c>
      <c r="Z1328" t="inlineStr">
        <is>
          <t>CORPORATIVO</t>
        </is>
      </c>
      <c r="AA1328" t="n">
        <v>1</v>
      </c>
      <c r="AB1328" t="inlineStr">
        <is>
          <t>NEGOCIO EN MARCHA</t>
        </is>
      </c>
      <c r="AC1328" t="n">
        <v>1</v>
      </c>
      <c r="AD1328" t="inlineStr">
        <is>
          <t>BANCO</t>
        </is>
      </c>
      <c r="AE1328" t="n">
        <v>1</v>
      </c>
      <c r="AF1328" t="inlineStr">
        <is>
          <t>BACK</t>
        </is>
      </c>
      <c r="AG1328" t="n">
        <v>100101</v>
      </c>
      <c r="AH1328" t="inlineStr">
        <is>
          <t>CORPORATIVO</t>
        </is>
      </c>
      <c r="AI1328" t="inlineStr">
        <is>
          <t>JGIL@BANCOBASE.COM</t>
        </is>
      </c>
      <c r="AJ1328" s="151" t="n">
        <v>40560</v>
      </c>
    </row>
    <row r="1329" hidden="1" s="150">
      <c r="A1329" t="inlineStr">
        <is>
          <t>FLOPEZA</t>
        </is>
      </c>
      <c r="B1329" t="n">
        <v>3399</v>
      </c>
      <c r="C1329" t="inlineStr">
        <is>
          <t>FRANCISCO JAVIER LOPEZ ACEVEDO</t>
        </is>
      </c>
      <c r="D1329" t="n">
        <v>9372</v>
      </c>
      <c r="E1329" t="inlineStr">
        <is>
          <t>DESARROLLADOR BACKEND SR</t>
        </is>
      </c>
      <c r="F1329" t="inlineStr">
        <is>
          <t>TELETRABAJO</t>
        </is>
      </c>
      <c r="G1329" t="n">
        <v>698</v>
      </c>
      <c r="H1329" t="inlineStr">
        <is>
          <t>JESUS MIGUEL GIL GASTELUM</t>
        </is>
      </c>
      <c r="I1329" t="n">
        <v>8164</v>
      </c>
      <c r="J1329" t="inlineStr">
        <is>
          <t>LIDER DE DESARROLLO BACKOFFICE</t>
        </is>
      </c>
      <c r="K1329" t="n">
        <v>1</v>
      </c>
      <c r="L1329" t="inlineStr">
        <is>
          <t>PRESIDENCIA EJECUTIVA DEL CONSEJO</t>
        </is>
      </c>
      <c r="M1329" t="n">
        <v>40</v>
      </c>
      <c r="N1329" t="inlineStr">
        <is>
          <t>DIRECCION GENERAL BANCO BASE</t>
        </is>
      </c>
      <c r="O1329" t="n">
        <v>310</v>
      </c>
      <c r="P1329" t="inlineStr">
        <is>
          <t>DIRECCION DE TECNOLOGIA</t>
        </is>
      </c>
      <c r="Q1329" t="n">
        <v>3150</v>
      </c>
      <c r="R1329" t="inlineStr">
        <is>
          <t>DESARROLLO DE APLICATIVOS</t>
        </is>
      </c>
      <c r="S1329" t="n">
        <v>31700</v>
      </c>
      <c r="T1329" t="inlineStr">
        <is>
          <t>DESARROLLO DE APLICATIVOS CLIENTES</t>
        </is>
      </c>
      <c r="U1329" t="n">
        <v>317000</v>
      </c>
      <c r="V1329" t="inlineStr">
        <is>
          <t>DESARROLLO DE APLICATIVOS 2</t>
        </is>
      </c>
      <c r="W1329" t="n">
        <v>134111</v>
      </c>
      <c r="X1329" t="inlineStr">
        <is>
          <t>LOMAS</t>
        </is>
      </c>
      <c r="Y1329" t="n">
        <v>4</v>
      </c>
      <c r="Z1329" t="inlineStr">
        <is>
          <t>CORPORATIVO</t>
        </is>
      </c>
      <c r="AA1329" t="n">
        <v>1</v>
      </c>
      <c r="AB1329" t="inlineStr">
        <is>
          <t>NEGOCIO EN MARCHA</t>
        </is>
      </c>
      <c r="AC1329" t="n">
        <v>1</v>
      </c>
      <c r="AD1329" t="inlineStr">
        <is>
          <t>BANCO</t>
        </is>
      </c>
      <c r="AE1329" t="n">
        <v>1</v>
      </c>
      <c r="AF1329" t="inlineStr">
        <is>
          <t>BACK</t>
        </is>
      </c>
      <c r="AG1329" t="n">
        <v>134111</v>
      </c>
      <c r="AH1329" t="inlineStr">
        <is>
          <t>LOMAS</t>
        </is>
      </c>
      <c r="AI1329" t="inlineStr">
        <is>
          <t>FLOPEZA@BANCOBASE.COM</t>
        </is>
      </c>
      <c r="AJ1329" s="151" t="n">
        <v>45768</v>
      </c>
    </row>
    <row r="1330" hidden="1" s="150">
      <c r="A1330" t="inlineStr">
        <is>
          <t>NMILIAN</t>
        </is>
      </c>
      <c r="B1330" t="n">
        <v>2865</v>
      </c>
      <c r="C1330" t="inlineStr">
        <is>
          <t>NESTOR GEOVANNI MILIAN ESPAÑA</t>
        </is>
      </c>
      <c r="D1330" t="n">
        <v>8104</v>
      </c>
      <c r="E1330" t="inlineStr">
        <is>
          <t>DESARROLLADOR BACKEND SR</t>
        </is>
      </c>
      <c r="F1330" t="inlineStr">
        <is>
          <t>TELETRABAJO</t>
        </is>
      </c>
      <c r="G1330" t="n">
        <v>698</v>
      </c>
      <c r="H1330" t="inlineStr">
        <is>
          <t>JESUS MIGUEL GIL GASTELUM</t>
        </is>
      </c>
      <c r="I1330" t="n">
        <v>8164</v>
      </c>
      <c r="J1330" t="inlineStr">
        <is>
          <t>LIDER DE DESARROLLO BACKOFFICE</t>
        </is>
      </c>
      <c r="K1330" t="n">
        <v>1</v>
      </c>
      <c r="L1330" t="inlineStr">
        <is>
          <t>PRESIDENCIA EJECUTIVA DEL CONSEJO</t>
        </is>
      </c>
      <c r="M1330" t="n">
        <v>40</v>
      </c>
      <c r="N1330" t="inlineStr">
        <is>
          <t>DIRECCION GENERAL BANCO BASE</t>
        </is>
      </c>
      <c r="O1330" t="n">
        <v>310</v>
      </c>
      <c r="P1330" t="inlineStr">
        <is>
          <t>DIRECCION DE TECNOLOGIA</t>
        </is>
      </c>
      <c r="Q1330" t="n">
        <v>3150</v>
      </c>
      <c r="R1330" t="inlineStr">
        <is>
          <t>DESARROLLO DE APLICATIVOS</t>
        </is>
      </c>
      <c r="S1330" t="n">
        <v>31700</v>
      </c>
      <c r="T1330" t="inlineStr">
        <is>
          <t>DESARROLLO DE APLICATIVOS CLIENTES</t>
        </is>
      </c>
      <c r="U1330" t="n">
        <v>317000</v>
      </c>
      <c r="V1330" t="inlineStr">
        <is>
          <t>DESARROLLO DE APLICATIVOS 2</t>
        </is>
      </c>
      <c r="W1330" t="n">
        <v>126107</v>
      </c>
      <c r="X1330" t="inlineStr">
        <is>
          <t>GUADALAJARA</t>
        </is>
      </c>
      <c r="Y1330" t="n">
        <v>4</v>
      </c>
      <c r="Z1330" t="inlineStr">
        <is>
          <t>CORPORATIVO</t>
        </is>
      </c>
      <c r="AA1330" t="n">
        <v>1</v>
      </c>
      <c r="AB1330" t="inlineStr">
        <is>
          <t>NEGOCIO EN MARCHA</t>
        </is>
      </c>
      <c r="AC1330" t="n">
        <v>1</v>
      </c>
      <c r="AD1330" t="inlineStr">
        <is>
          <t>BANCO</t>
        </is>
      </c>
      <c r="AE1330" t="n">
        <v>1</v>
      </c>
      <c r="AF1330" t="inlineStr">
        <is>
          <t>BACK</t>
        </is>
      </c>
      <c r="AG1330" t="n">
        <v>126107</v>
      </c>
      <c r="AH1330" t="inlineStr">
        <is>
          <t>GUADALAJARA</t>
        </is>
      </c>
      <c r="AI1330" t="inlineStr">
        <is>
          <t>NMILIAN@BANCOBASE.COM</t>
        </is>
      </c>
      <c r="AJ1330" s="151" t="n">
        <v>45001</v>
      </c>
    </row>
    <row r="1331" hidden="1" s="150">
      <c r="A1331" t="inlineStr">
        <is>
          <t>MDELEON</t>
        </is>
      </c>
      <c r="B1331" t="n">
        <v>2793</v>
      </c>
      <c r="C1331" t="inlineStr">
        <is>
          <t>MARIO ALBERTO DE LEON AVILEZ</t>
        </is>
      </c>
      <c r="D1331" t="n">
        <v>8036</v>
      </c>
      <c r="E1331" t="inlineStr">
        <is>
          <t>DESARROLLADOR BACKEND SR</t>
        </is>
      </c>
      <c r="F1331" t="inlineStr">
        <is>
          <t>TELETRABAJO</t>
        </is>
      </c>
      <c r="G1331" t="n">
        <v>698</v>
      </c>
      <c r="H1331" t="inlineStr">
        <is>
          <t>JESUS MIGUEL GIL GASTELUM</t>
        </is>
      </c>
      <c r="I1331" t="n">
        <v>8164</v>
      </c>
      <c r="J1331" t="inlineStr">
        <is>
          <t>LIDER DE DESARROLLO BACKOFFICE</t>
        </is>
      </c>
      <c r="K1331" t="n">
        <v>1</v>
      </c>
      <c r="L1331" t="inlineStr">
        <is>
          <t>PRESIDENCIA EJECUTIVA DEL CONSEJO</t>
        </is>
      </c>
      <c r="M1331" t="n">
        <v>40</v>
      </c>
      <c r="N1331" t="inlineStr">
        <is>
          <t>DIRECCION GENERAL BANCO BASE</t>
        </is>
      </c>
      <c r="O1331" t="n">
        <v>310</v>
      </c>
      <c r="P1331" t="inlineStr">
        <is>
          <t>DIRECCION DE TECNOLOGIA</t>
        </is>
      </c>
      <c r="Q1331" t="n">
        <v>3150</v>
      </c>
      <c r="R1331" t="inlineStr">
        <is>
          <t>DESARROLLO DE APLICATIVOS</t>
        </is>
      </c>
      <c r="S1331" t="n">
        <v>31700</v>
      </c>
      <c r="T1331" t="inlineStr">
        <is>
          <t>DESARROLLO DE APLICATIVOS CLIENTES</t>
        </is>
      </c>
      <c r="U1331" t="n">
        <v>317000</v>
      </c>
      <c r="V1331" t="inlineStr">
        <is>
          <t>DESARROLLO DE APLICATIVOS 2</t>
        </is>
      </c>
      <c r="W1331" t="n">
        <v>134111</v>
      </c>
      <c r="X1331" t="inlineStr">
        <is>
          <t>LOMAS</t>
        </is>
      </c>
      <c r="Y1331" t="n">
        <v>4</v>
      </c>
      <c r="Z1331" t="inlineStr">
        <is>
          <t>CORPORATIVO</t>
        </is>
      </c>
      <c r="AA1331" t="n">
        <v>1</v>
      </c>
      <c r="AB1331" t="inlineStr">
        <is>
          <t>NEGOCIO EN MARCHA</t>
        </is>
      </c>
      <c r="AC1331" t="n">
        <v>1</v>
      </c>
      <c r="AD1331" t="inlineStr">
        <is>
          <t>BANCO</t>
        </is>
      </c>
      <c r="AE1331" t="n">
        <v>1</v>
      </c>
      <c r="AF1331" t="inlineStr">
        <is>
          <t>BACK</t>
        </is>
      </c>
      <c r="AG1331" t="n">
        <v>134111</v>
      </c>
      <c r="AH1331" t="inlineStr">
        <is>
          <t>LOMAS</t>
        </is>
      </c>
      <c r="AI1331" t="inlineStr">
        <is>
          <t>MDELEON@BANCOBASE.COM</t>
        </is>
      </c>
      <c r="AJ1331" s="151" t="n">
        <v>44904</v>
      </c>
    </row>
    <row r="1332" hidden="1" s="150">
      <c r="A1332" t="inlineStr">
        <is>
          <t>JMARTINEL</t>
        </is>
      </c>
      <c r="B1332" t="n">
        <v>3048</v>
      </c>
      <c r="C1332" t="inlineStr">
        <is>
          <t>JORGE ANTONIO MARTINEZ LOPEZ</t>
        </is>
      </c>
      <c r="D1332" t="n">
        <v>8077</v>
      </c>
      <c r="E1332" t="inlineStr">
        <is>
          <t>DESARROLLADOR BACKEND SR</t>
        </is>
      </c>
      <c r="F1332" t="inlineStr">
        <is>
          <t>TELETRABAJO</t>
        </is>
      </c>
      <c r="G1332" t="n">
        <v>698</v>
      </c>
      <c r="H1332" t="inlineStr">
        <is>
          <t>JESUS MIGUEL GIL GASTELUM</t>
        </is>
      </c>
      <c r="I1332" t="n">
        <v>8164</v>
      </c>
      <c r="J1332" t="inlineStr">
        <is>
          <t>LIDER DE DESARROLLO BACKOFFICE</t>
        </is>
      </c>
      <c r="K1332" t="n">
        <v>1</v>
      </c>
      <c r="L1332" t="inlineStr">
        <is>
          <t>PRESIDENCIA EJECUTIVA DEL CONSEJO</t>
        </is>
      </c>
      <c r="M1332" t="n">
        <v>40</v>
      </c>
      <c r="N1332" t="inlineStr">
        <is>
          <t>DIRECCION GENERAL BANCO BASE</t>
        </is>
      </c>
      <c r="O1332" t="n">
        <v>310</v>
      </c>
      <c r="P1332" t="inlineStr">
        <is>
          <t>DIRECCION DE TECNOLOGIA</t>
        </is>
      </c>
      <c r="Q1332" t="n">
        <v>3150</v>
      </c>
      <c r="R1332" t="inlineStr">
        <is>
          <t>DESARROLLO DE APLICATIVOS</t>
        </is>
      </c>
      <c r="S1332" t="n">
        <v>31700</v>
      </c>
      <c r="T1332" t="inlineStr">
        <is>
          <t>DESARROLLO DE APLICATIVOS CLIENTES</t>
        </is>
      </c>
      <c r="U1332" t="n">
        <v>317000</v>
      </c>
      <c r="V1332" t="inlineStr">
        <is>
          <t>DESARROLLO DE APLICATIVOS 2</t>
        </is>
      </c>
      <c r="W1332" t="n">
        <v>100101</v>
      </c>
      <c r="X1332" t="inlineStr">
        <is>
          <t>CORPORATIVO</t>
        </is>
      </c>
      <c r="Y1332" t="n">
        <v>4</v>
      </c>
      <c r="Z1332" t="inlineStr">
        <is>
          <t>CORPORATIVO</t>
        </is>
      </c>
      <c r="AA1332" t="n">
        <v>1</v>
      </c>
      <c r="AB1332" t="inlineStr">
        <is>
          <t>NEGOCIO EN MARCHA</t>
        </is>
      </c>
      <c r="AC1332" t="n">
        <v>1</v>
      </c>
      <c r="AD1332" t="inlineStr">
        <is>
          <t>BANCO</t>
        </is>
      </c>
      <c r="AE1332" t="n">
        <v>1</v>
      </c>
      <c r="AF1332" t="inlineStr">
        <is>
          <t>BACK</t>
        </is>
      </c>
      <c r="AG1332" t="n">
        <v>100101</v>
      </c>
      <c r="AH1332" t="inlineStr">
        <is>
          <t>CORPORATIVO</t>
        </is>
      </c>
      <c r="AI1332" t="inlineStr">
        <is>
          <t>JMARTINEL@BANCOBASE.COM</t>
        </is>
      </c>
      <c r="AJ1332" s="151" t="n">
        <v>45352</v>
      </c>
    </row>
    <row r="1333" hidden="1" s="150">
      <c r="A1333" t="inlineStr">
        <is>
          <t>JVICTORIA</t>
        </is>
      </c>
      <c r="B1333" t="n">
        <v>2768</v>
      </c>
      <c r="C1333" t="inlineStr">
        <is>
          <t>JOSE DAVID VICTORIA REYES</t>
        </is>
      </c>
      <c r="D1333" t="n">
        <v>8019</v>
      </c>
      <c r="E1333" t="inlineStr">
        <is>
          <t>DESARROLLADOR FRONTEND SR</t>
        </is>
      </c>
      <c r="F1333" t="inlineStr">
        <is>
          <t>TELETRABAJO</t>
        </is>
      </c>
      <c r="G1333" t="n">
        <v>698</v>
      </c>
      <c r="H1333" t="inlineStr">
        <is>
          <t>JESUS MIGUEL GIL GASTELUM</t>
        </is>
      </c>
      <c r="I1333" t="n">
        <v>8164</v>
      </c>
      <c r="J1333" t="inlineStr">
        <is>
          <t>LIDER DE DESARROLLO BACKOFFICE</t>
        </is>
      </c>
      <c r="K1333" t="n">
        <v>1</v>
      </c>
      <c r="L1333" t="inlineStr">
        <is>
          <t>PRESIDENCIA EJECUTIVA DEL CONSEJO</t>
        </is>
      </c>
      <c r="M1333" t="n">
        <v>40</v>
      </c>
      <c r="N1333" t="inlineStr">
        <is>
          <t>DIRECCION GENERAL BANCO BASE</t>
        </is>
      </c>
      <c r="O1333" t="n">
        <v>310</v>
      </c>
      <c r="P1333" t="inlineStr">
        <is>
          <t>DIRECCION DE TECNOLOGIA</t>
        </is>
      </c>
      <c r="Q1333" t="n">
        <v>3150</v>
      </c>
      <c r="R1333" t="inlineStr">
        <is>
          <t>DESARROLLO DE APLICATIVOS</t>
        </is>
      </c>
      <c r="S1333" t="n">
        <v>31700</v>
      </c>
      <c r="T1333" t="inlineStr">
        <is>
          <t>DESARROLLO DE APLICATIVOS CLIENTES</t>
        </is>
      </c>
      <c r="U1333" t="n">
        <v>317000</v>
      </c>
      <c r="V1333" t="inlineStr">
        <is>
          <t>DESARROLLO DE APLICATIVOS 2</t>
        </is>
      </c>
      <c r="W1333" t="n">
        <v>100101</v>
      </c>
      <c r="X1333" t="inlineStr">
        <is>
          <t>CORPORATIVO</t>
        </is>
      </c>
      <c r="Y1333" t="n">
        <v>4</v>
      </c>
      <c r="Z1333" t="inlineStr">
        <is>
          <t>CORPORATIVO</t>
        </is>
      </c>
      <c r="AA1333" t="n">
        <v>1</v>
      </c>
      <c r="AB1333" t="inlineStr">
        <is>
          <t>NEGOCIO EN MARCHA</t>
        </is>
      </c>
      <c r="AC1333" t="n">
        <v>1</v>
      </c>
      <c r="AD1333" t="inlineStr">
        <is>
          <t>BANCO</t>
        </is>
      </c>
      <c r="AE1333" t="n">
        <v>1</v>
      </c>
      <c r="AF1333" t="inlineStr">
        <is>
          <t>BACK</t>
        </is>
      </c>
      <c r="AG1333" t="n">
        <v>100101</v>
      </c>
      <c r="AH1333" t="inlineStr">
        <is>
          <t>CORPORATIVO</t>
        </is>
      </c>
      <c r="AI1333" t="inlineStr">
        <is>
          <t>JVICTORIA@BANCOBASE.COM</t>
        </is>
      </c>
      <c r="AJ1333" s="151" t="n">
        <v>44868</v>
      </c>
    </row>
    <row r="1334" hidden="1" s="150">
      <c r="A1334" t="inlineStr">
        <is>
          <t>JAGUILARO</t>
        </is>
      </c>
      <c r="B1334" t="n">
        <v>3285</v>
      </c>
      <c r="C1334" t="inlineStr">
        <is>
          <t>JONATHAN JESUS AGUILAR RODRIGUEZ</t>
        </is>
      </c>
      <c r="D1334" t="n">
        <v>8480</v>
      </c>
      <c r="E1334" t="inlineStr">
        <is>
          <t>DESARROLLADOR BACKEND SR</t>
        </is>
      </c>
      <c r="F1334" t="inlineStr">
        <is>
          <t>TELETRABAJO</t>
        </is>
      </c>
      <c r="G1334" t="n">
        <v>698</v>
      </c>
      <c r="H1334" t="inlineStr">
        <is>
          <t>JESUS MIGUEL GIL GASTELUM</t>
        </is>
      </c>
      <c r="I1334" t="n">
        <v>8164</v>
      </c>
      <c r="J1334" t="inlineStr">
        <is>
          <t>LIDER DE DESARROLLO BACKOFFICE</t>
        </is>
      </c>
      <c r="K1334" t="n">
        <v>1</v>
      </c>
      <c r="L1334" t="inlineStr">
        <is>
          <t>PRESIDENCIA EJECUTIVA DEL CONSEJO</t>
        </is>
      </c>
      <c r="M1334" t="n">
        <v>40</v>
      </c>
      <c r="N1334" t="inlineStr">
        <is>
          <t>DIRECCION GENERAL BANCO BASE</t>
        </is>
      </c>
      <c r="O1334" t="n">
        <v>310</v>
      </c>
      <c r="P1334" t="inlineStr">
        <is>
          <t>DIRECCION DE TECNOLOGIA</t>
        </is>
      </c>
      <c r="Q1334" t="n">
        <v>3150</v>
      </c>
      <c r="R1334" t="inlineStr">
        <is>
          <t>DESARROLLO DE APLICATIVOS</t>
        </is>
      </c>
      <c r="S1334" t="n">
        <v>31700</v>
      </c>
      <c r="T1334" t="inlineStr">
        <is>
          <t>DESARROLLO DE APLICATIVOS CLIENTES</t>
        </is>
      </c>
      <c r="U1334" t="n">
        <v>317000</v>
      </c>
      <c r="V1334" t="inlineStr">
        <is>
          <t>DESARROLLO DE APLICATIVOS 2</t>
        </is>
      </c>
      <c r="W1334" t="n">
        <v>100101</v>
      </c>
      <c r="X1334" t="inlineStr">
        <is>
          <t>CORPORATIVO</t>
        </is>
      </c>
      <c r="Y1334" t="n">
        <v>4</v>
      </c>
      <c r="Z1334" t="inlineStr">
        <is>
          <t>CORPORATIVO</t>
        </is>
      </c>
      <c r="AA1334" t="n">
        <v>8</v>
      </c>
      <c r="AB1334" t="inlineStr">
        <is>
          <t>BAU</t>
        </is>
      </c>
      <c r="AC1334" t="n">
        <v>1</v>
      </c>
      <c r="AD1334" t="inlineStr">
        <is>
          <t>BANCO</t>
        </is>
      </c>
      <c r="AE1334" t="n">
        <v>1</v>
      </c>
      <c r="AF1334" t="inlineStr">
        <is>
          <t>BACK</t>
        </is>
      </c>
      <c r="AG1334" t="n">
        <v>100101</v>
      </c>
      <c r="AH1334" t="inlineStr">
        <is>
          <t>CORPORATIVO</t>
        </is>
      </c>
      <c r="AI1334" t="inlineStr">
        <is>
          <t>JAGUILARO@BANCOBASE.COM</t>
        </is>
      </c>
      <c r="AJ1334" s="151" t="n">
        <v>45628</v>
      </c>
    </row>
    <row r="1335" hidden="1" s="150">
      <c r="A1335" t="inlineStr">
        <is>
          <t>AOLIVARES</t>
        </is>
      </c>
      <c r="B1335" t="n">
        <v>2724</v>
      </c>
      <c r="C1335" t="inlineStr">
        <is>
          <t>ANTONIO OLIVARES ORTIZ</t>
        </is>
      </c>
      <c r="D1335" t="n">
        <v>9929</v>
      </c>
      <c r="E1335" t="inlineStr">
        <is>
          <t>DESARROLLADOR BACKEND SR</t>
        </is>
      </c>
      <c r="F1335" t="inlineStr">
        <is>
          <t>TELETRABAJO</t>
        </is>
      </c>
      <c r="G1335" t="n">
        <v>698</v>
      </c>
      <c r="H1335" t="inlineStr">
        <is>
          <t>JESUS MIGUEL GIL GASTELUM</t>
        </is>
      </c>
      <c r="I1335" t="n">
        <v>8164</v>
      </c>
      <c r="J1335" t="inlineStr">
        <is>
          <t>LIDER DE DESARROLLO BACKOFFICE</t>
        </is>
      </c>
      <c r="K1335" t="n">
        <v>1</v>
      </c>
      <c r="L1335" t="inlineStr">
        <is>
          <t>PRESIDENCIA EJECUTIVA DEL CONSEJO</t>
        </is>
      </c>
      <c r="M1335" t="n">
        <v>40</v>
      </c>
      <c r="N1335" t="inlineStr">
        <is>
          <t>DIRECCION GENERAL BANCO BASE</t>
        </is>
      </c>
      <c r="O1335" t="n">
        <v>310</v>
      </c>
      <c r="P1335" t="inlineStr">
        <is>
          <t>DIRECCION DE TECNOLOGIA</t>
        </is>
      </c>
      <c r="Q1335" t="n">
        <v>3150</v>
      </c>
      <c r="R1335" t="inlineStr">
        <is>
          <t>DESARROLLO DE APLICATIVOS</t>
        </is>
      </c>
      <c r="S1335" t="n">
        <v>31700</v>
      </c>
      <c r="T1335" t="inlineStr">
        <is>
          <t>DESARROLLO DE APLICATIVOS CLIENTES</t>
        </is>
      </c>
      <c r="U1335" t="n">
        <v>317000</v>
      </c>
      <c r="V1335" t="inlineStr">
        <is>
          <t>DESARROLLO DE APLICATIVOS 2</t>
        </is>
      </c>
      <c r="W1335" t="n">
        <v>134111</v>
      </c>
      <c r="X1335" t="inlineStr">
        <is>
          <t>LOMAS</t>
        </is>
      </c>
      <c r="Y1335" t="n">
        <v>4</v>
      </c>
      <c r="Z1335" t="inlineStr">
        <is>
          <t>CORPORATIVO</t>
        </is>
      </c>
      <c r="AA1335" t="n">
        <v>1</v>
      </c>
      <c r="AB1335" t="inlineStr">
        <is>
          <t>NEGOCIO EN MARCHA</t>
        </is>
      </c>
      <c r="AC1335" t="n">
        <v>1</v>
      </c>
      <c r="AD1335" t="inlineStr">
        <is>
          <t>BANCO</t>
        </is>
      </c>
      <c r="AE1335" t="n">
        <v>1</v>
      </c>
      <c r="AF1335" t="inlineStr">
        <is>
          <t>BACK</t>
        </is>
      </c>
      <c r="AG1335" t="n">
        <v>134111</v>
      </c>
      <c r="AH1335" t="inlineStr">
        <is>
          <t>LOMAS</t>
        </is>
      </c>
      <c r="AI1335" t="inlineStr">
        <is>
          <t>AOLIVARES@BANCOBASE.COM</t>
        </is>
      </c>
      <c r="AJ1335" s="151" t="n">
        <v>44805</v>
      </c>
    </row>
    <row r="1336" hidden="1" s="150">
      <c r="A1336" t="inlineStr">
        <is>
          <t>JJASSO</t>
        </is>
      </c>
      <c r="B1336" t="n">
        <v>3302</v>
      </c>
      <c r="C1336" t="inlineStr">
        <is>
          <t>JUAN JOSE JASSO GARDUÑO</t>
        </is>
      </c>
      <c r="D1336" t="n">
        <v>8505</v>
      </c>
      <c r="E1336" t="inlineStr">
        <is>
          <t>DESARROLLADOR BACKEND JR</t>
        </is>
      </c>
      <c r="F1336" t="inlineStr">
        <is>
          <t>TELETRABAJO</t>
        </is>
      </c>
      <c r="G1336" t="n">
        <v>698</v>
      </c>
      <c r="H1336" t="inlineStr">
        <is>
          <t>JESUS MIGUEL GIL GASTELUM</t>
        </is>
      </c>
      <c r="I1336" t="n">
        <v>8164</v>
      </c>
      <c r="J1336" t="inlineStr">
        <is>
          <t>LIDER DE DESARROLLO BACKOFFICE</t>
        </is>
      </c>
      <c r="K1336" t="n">
        <v>1</v>
      </c>
      <c r="L1336" t="inlineStr">
        <is>
          <t>PRESIDENCIA EJECUTIVA DEL CONSEJO</t>
        </is>
      </c>
      <c r="M1336" t="n">
        <v>40</v>
      </c>
      <c r="N1336" t="inlineStr">
        <is>
          <t>DIRECCION GENERAL BANCO BASE</t>
        </is>
      </c>
      <c r="O1336" t="n">
        <v>310</v>
      </c>
      <c r="P1336" t="inlineStr">
        <is>
          <t>DIRECCION DE TECNOLOGIA</t>
        </is>
      </c>
      <c r="Q1336" t="n">
        <v>3150</v>
      </c>
      <c r="R1336" t="inlineStr">
        <is>
          <t>DESARROLLO DE APLICATIVOS</t>
        </is>
      </c>
      <c r="S1336" t="n">
        <v>31700</v>
      </c>
      <c r="T1336" t="inlineStr">
        <is>
          <t>DESARROLLO DE APLICATIVOS CLIENTES</t>
        </is>
      </c>
      <c r="U1336" t="n">
        <v>317000</v>
      </c>
      <c r="V1336" t="inlineStr">
        <is>
          <t>DESARROLLO DE APLICATIVOS 2</t>
        </is>
      </c>
      <c r="W1336" t="n">
        <v>134111</v>
      </c>
      <c r="X1336" t="inlineStr">
        <is>
          <t>LOMAS</t>
        </is>
      </c>
      <c r="Y1336" t="n">
        <v>4</v>
      </c>
      <c r="Z1336" t="inlineStr">
        <is>
          <t>CORPORATIVO</t>
        </is>
      </c>
      <c r="AA1336" t="n">
        <v>7</v>
      </c>
      <c r="AB1336" t="inlineStr">
        <is>
          <t>PROYECTO DARWIN</t>
        </is>
      </c>
      <c r="AC1336" t="n">
        <v>1</v>
      </c>
      <c r="AD1336" t="inlineStr">
        <is>
          <t>BANCO</t>
        </is>
      </c>
      <c r="AE1336" t="n">
        <v>1</v>
      </c>
      <c r="AF1336" t="inlineStr">
        <is>
          <t>BACK</t>
        </is>
      </c>
      <c r="AG1336" t="n">
        <v>134111</v>
      </c>
      <c r="AH1336" t="inlineStr">
        <is>
          <t>LOMAS</t>
        </is>
      </c>
      <c r="AI1336" t="inlineStr">
        <is>
          <t>JJASSO@BANCOBASE.COM</t>
        </is>
      </c>
      <c r="AJ1336" s="151" t="n">
        <v>45659</v>
      </c>
    </row>
    <row r="1337" hidden="1" s="150">
      <c r="A1337" t="inlineStr">
        <is>
          <t>AALVARADOM</t>
        </is>
      </c>
      <c r="B1337" t="n">
        <v>3952</v>
      </c>
      <c r="C1337" t="inlineStr">
        <is>
          <t>ADRIAN ALVARADO MANTILLA</t>
        </is>
      </c>
      <c r="D1337" t="n">
        <v>8509</v>
      </c>
      <c r="E1337" t="inlineStr">
        <is>
          <t>DESARROLLADOR FRONTEND SR</t>
        </is>
      </c>
      <c r="F1337" t="inlineStr">
        <is>
          <t>MEXICO</t>
        </is>
      </c>
      <c r="G1337" t="n">
        <v>698</v>
      </c>
      <c r="H1337" t="inlineStr">
        <is>
          <t>JESUS MIGUEL GIL GASTELUM</t>
        </is>
      </c>
      <c r="I1337" t="n">
        <v>8164</v>
      </c>
      <c r="J1337" t="inlineStr">
        <is>
          <t>LIDER DE DESARROLLO BACKOFFICE</t>
        </is>
      </c>
      <c r="K1337" t="n">
        <v>1</v>
      </c>
      <c r="L1337" t="inlineStr">
        <is>
          <t>PRESIDENCIA EJECUTIVA DEL CONSEJO</t>
        </is>
      </c>
      <c r="M1337" t="n">
        <v>40</v>
      </c>
      <c r="N1337" t="inlineStr">
        <is>
          <t>DIRECCION GENERAL BANCO BASE</t>
        </is>
      </c>
      <c r="O1337" t="n">
        <v>310</v>
      </c>
      <c r="P1337" t="inlineStr">
        <is>
          <t>DIRECCION DE TECNOLOGIA</t>
        </is>
      </c>
      <c r="Q1337" t="n">
        <v>3150</v>
      </c>
      <c r="R1337" t="inlineStr">
        <is>
          <t>DESARROLLO DE APLICATIVOS</t>
        </is>
      </c>
      <c r="S1337" t="n">
        <v>31700</v>
      </c>
      <c r="T1337" t="inlineStr">
        <is>
          <t>DESARROLLO DE APLICATIVOS CLIENTES</t>
        </is>
      </c>
      <c r="U1337" t="n">
        <v>317000</v>
      </c>
      <c r="V1337" t="inlineStr">
        <is>
          <t>DESARROLLO DE APLICATIVOS 2</t>
        </is>
      </c>
      <c r="W1337" t="n">
        <v>134111</v>
      </c>
      <c r="X1337" t="inlineStr">
        <is>
          <t>LOMAS</t>
        </is>
      </c>
      <c r="Y1337" t="n">
        <v>4</v>
      </c>
      <c r="Z1337" t="inlineStr">
        <is>
          <t>CORPORATIVO</t>
        </is>
      </c>
      <c r="AA1337" t="n">
        <v>1</v>
      </c>
      <c r="AB1337" t="inlineStr">
        <is>
          <t>NEGOCIO EN MARCHA</t>
        </is>
      </c>
      <c r="AC1337" t="n">
        <v>1</v>
      </c>
      <c r="AD1337" t="inlineStr">
        <is>
          <t>BANCO</t>
        </is>
      </c>
      <c r="AE1337" t="n">
        <v>1</v>
      </c>
      <c r="AF1337" t="inlineStr">
        <is>
          <t>BACK</t>
        </is>
      </c>
      <c r="AG1337" t="n">
        <v>134111</v>
      </c>
      <c r="AH1337" t="inlineStr">
        <is>
          <t>LOMAS</t>
        </is>
      </c>
      <c r="AI1337" t="inlineStr">
        <is>
          <t>AALVARADOM@BANCOBASE.COM</t>
        </is>
      </c>
      <c r="AJ1337" s="151" t="n">
        <v>46219</v>
      </c>
    </row>
    <row r="1338" hidden="1" s="150">
      <c r="A1338" t="n">
        <v>26923</v>
      </c>
      <c r="B1338" t="inlineStr">
        <is>
          <t>EXT-99555</t>
        </is>
      </c>
      <c r="C1338" t="inlineStr">
        <is>
          <t xml:space="preserve">AAIRAM JARED PEREZ VAZQUEZ </t>
        </is>
      </c>
      <c r="D1338" t="n">
        <v>6006</v>
      </c>
      <c r="E1338" t="inlineStr">
        <is>
          <t>DESARROLLADOR SALESFORCE</t>
        </is>
      </c>
      <c r="F1338" t="inlineStr">
        <is>
          <t>MEXICO</t>
        </is>
      </c>
      <c r="G1338" t="n">
        <v>2092</v>
      </c>
      <c r="H1338" t="inlineStr">
        <is>
          <t>FRANCISCO ENRIQUE PECINA MONTEVERDE</t>
        </is>
      </c>
      <c r="I1338" t="n">
        <v>8101</v>
      </c>
      <c r="J1338" t="inlineStr">
        <is>
          <t>SUBDIRECTOR DE DESARROLLO CLIENTES</t>
        </is>
      </c>
      <c r="K1338" t="n">
        <v>1</v>
      </c>
      <c r="L1338" t="inlineStr">
        <is>
          <t>PRESIDENCIA EJECUTIVA DEL CONSEJO</t>
        </is>
      </c>
      <c r="M1338" t="n">
        <v>30</v>
      </c>
      <c r="N1338" t="inlineStr">
        <is>
          <t>DIRECCION GENERAL ADJUNTA PRODUCTO Y TRANSFORMACIO</t>
        </is>
      </c>
      <c r="O1338" t="n">
        <v>301</v>
      </c>
      <c r="P1338" t="inlineStr">
        <is>
          <t>DOMINIO</t>
        </is>
      </c>
      <c r="Q1338" t="n">
        <v>3100</v>
      </c>
      <c r="R1338" t="inlineStr">
        <is>
          <t>DIRECCION DE TECNOLOGIA</t>
        </is>
      </c>
      <c r="S1338" t="n">
        <v>31500</v>
      </c>
      <c r="T1338" t="inlineStr">
        <is>
          <t>DESARROLLO DE APLICATIVOS</t>
        </is>
      </c>
      <c r="U1338" t="n">
        <v>301220</v>
      </c>
      <c r="V1338" t="inlineStr">
        <is>
          <t>ONBOARDING</t>
        </is>
      </c>
      <c r="W1338" t="n">
        <v>134111</v>
      </c>
      <c r="X1338" t="inlineStr">
        <is>
          <t>LOMAS</t>
        </is>
      </c>
      <c r="Y1338" t="n">
        <v>4</v>
      </c>
      <c r="Z1338" t="inlineStr">
        <is>
          <t>CORPORATIVO</t>
        </is>
      </c>
      <c r="AA1338" t="n">
        <v>11</v>
      </c>
      <c r="AB1338" t="inlineStr">
        <is>
          <t>DOMINIO HA</t>
        </is>
      </c>
      <c r="AC1338" t="n">
        <v>1</v>
      </c>
      <c r="AD1338" t="inlineStr">
        <is>
          <t>BANCO</t>
        </is>
      </c>
      <c r="AE1338" t="n">
        <v>1</v>
      </c>
      <c r="AF1338" t="inlineStr">
        <is>
          <t>BACK</t>
        </is>
      </c>
      <c r="AG1338" t="n">
        <v>134111</v>
      </c>
      <c r="AH1338" t="inlineStr">
        <is>
          <t>LOMAS</t>
        </is>
      </c>
      <c r="AI1338" t="inlineStr">
        <is>
          <t>EXTJPEREZ@BANCOBASE.COM</t>
        </is>
      </c>
      <c r="AJ1338" s="151" t="n">
        <v>46245</v>
      </c>
    </row>
    <row r="1339" hidden="1" s="150">
      <c r="A1339" t="inlineStr">
        <is>
          <t>AESPINOSAM</t>
        </is>
      </c>
      <c r="B1339" t="n">
        <v>2808</v>
      </c>
      <c r="C1339" t="inlineStr">
        <is>
          <t>ABRAHAM ESPINOSA MENDOZA</t>
        </is>
      </c>
      <c r="D1339" t="n">
        <v>5064</v>
      </c>
      <c r="E1339" t="inlineStr">
        <is>
          <t>DESARROLLADOR FRONTEND</t>
        </is>
      </c>
      <c r="F1339" t="inlineStr">
        <is>
          <t>TELETRABAJO</t>
        </is>
      </c>
      <c r="G1339" t="n">
        <v>2092</v>
      </c>
      <c r="H1339" t="inlineStr">
        <is>
          <t>FRANCISCO ENRIQUE PECINA MONTEVERDE</t>
        </is>
      </c>
      <c r="I1339" t="n">
        <v>8101</v>
      </c>
      <c r="J1339" t="inlineStr">
        <is>
          <t>SUBDIRECTOR DE DESARROLLO CLIENTES</t>
        </is>
      </c>
      <c r="K1339" t="n">
        <v>1</v>
      </c>
      <c r="L1339" t="inlineStr">
        <is>
          <t>PRESIDENCIA EJECUTIVA DEL CONSEJO</t>
        </is>
      </c>
      <c r="M1339" t="n">
        <v>30</v>
      </c>
      <c r="N1339" t="inlineStr">
        <is>
          <t>DIRECCION GENERAL ADJUNTA PRODUCTO Y TRANSFORMACIO</t>
        </is>
      </c>
      <c r="O1339" t="n">
        <v>301</v>
      </c>
      <c r="P1339" t="inlineStr">
        <is>
          <t>DOMINIO</t>
        </is>
      </c>
      <c r="Q1339" t="n">
        <v>3100</v>
      </c>
      <c r="R1339" t="inlineStr">
        <is>
          <t>DIRECCION DE TECNOLOGIA</t>
        </is>
      </c>
      <c r="S1339" t="n">
        <v>31500</v>
      </c>
      <c r="T1339" t="inlineStr">
        <is>
          <t>DESARROLLO DE APLICATIVOS</t>
        </is>
      </c>
      <c r="U1339" t="n">
        <v>301220</v>
      </c>
      <c r="V1339" t="inlineStr">
        <is>
          <t>ONBOARDING</t>
        </is>
      </c>
      <c r="W1339" t="n">
        <v>126121</v>
      </c>
      <c r="X1339" t="inlineStr">
        <is>
          <t>CANCUN</t>
        </is>
      </c>
      <c r="Y1339" t="n">
        <v>4</v>
      </c>
      <c r="Z1339" t="inlineStr">
        <is>
          <t>CORPORATIVO</t>
        </is>
      </c>
      <c r="AA1339" t="n">
        <v>11</v>
      </c>
      <c r="AB1339" t="inlineStr">
        <is>
          <t>DOMINIO HA</t>
        </is>
      </c>
      <c r="AC1339" t="n">
        <v>1</v>
      </c>
      <c r="AD1339" t="inlineStr">
        <is>
          <t>BANCO</t>
        </is>
      </c>
      <c r="AE1339" t="n">
        <v>1</v>
      </c>
      <c r="AF1339" t="inlineStr">
        <is>
          <t>BACK</t>
        </is>
      </c>
      <c r="AG1339" t="n">
        <v>126121</v>
      </c>
      <c r="AH1339" t="inlineStr">
        <is>
          <t>CANCUN</t>
        </is>
      </c>
      <c r="AI1339" t="inlineStr">
        <is>
          <t>AESPINOSAM@BANCOBASE.COM</t>
        </is>
      </c>
      <c r="AJ1339" s="151" t="n">
        <v>44942</v>
      </c>
    </row>
    <row r="1340" hidden="1" s="150">
      <c r="A1340" t="inlineStr">
        <is>
          <t>BCAMPOS</t>
        </is>
      </c>
      <c r="B1340" t="n">
        <v>3877</v>
      </c>
      <c r="C1340" t="inlineStr">
        <is>
          <t>BRIAN CAMPOS ISLAS</t>
        </is>
      </c>
      <c r="D1340" t="n">
        <v>5086</v>
      </c>
      <c r="E1340" t="inlineStr">
        <is>
          <t>DESARROLLADOR BACKEND</t>
        </is>
      </c>
      <c r="F1340" t="inlineStr">
        <is>
          <t>MEXICO</t>
        </is>
      </c>
      <c r="G1340" t="n">
        <v>2092</v>
      </c>
      <c r="H1340" t="inlineStr">
        <is>
          <t>FRANCISCO ENRIQUE PECINA MONTEVERDE</t>
        </is>
      </c>
      <c r="I1340" t="n">
        <v>8101</v>
      </c>
      <c r="J1340" t="inlineStr">
        <is>
          <t>SUBDIRECTOR DE DESARROLLO CLIENTES</t>
        </is>
      </c>
      <c r="K1340" t="n">
        <v>1</v>
      </c>
      <c r="L1340" t="inlineStr">
        <is>
          <t>PRESIDENCIA EJECUTIVA DEL CONSEJO</t>
        </is>
      </c>
      <c r="M1340" t="n">
        <v>30</v>
      </c>
      <c r="N1340" t="inlineStr">
        <is>
          <t>DIRECCION GENERAL ADJUNTA PRODUCTO Y TRANSFORMACIO</t>
        </is>
      </c>
      <c r="O1340" t="n">
        <v>301</v>
      </c>
      <c r="P1340" t="inlineStr">
        <is>
          <t>DOMINIO</t>
        </is>
      </c>
      <c r="Q1340" t="n">
        <v>3100</v>
      </c>
      <c r="R1340" t="inlineStr">
        <is>
          <t>DIRECCION DE TECNOLOGIA</t>
        </is>
      </c>
      <c r="S1340" t="n">
        <v>31500</v>
      </c>
      <c r="T1340" t="inlineStr">
        <is>
          <t>DESARROLLO DE APLICATIVOS</t>
        </is>
      </c>
      <c r="U1340" t="n">
        <v>301220</v>
      </c>
      <c r="V1340" t="inlineStr">
        <is>
          <t>ONBOARDING</t>
        </is>
      </c>
      <c r="W1340" t="n">
        <v>134111</v>
      </c>
      <c r="X1340" t="inlineStr">
        <is>
          <t>LOMAS</t>
        </is>
      </c>
      <c r="Y1340" t="n">
        <v>4</v>
      </c>
      <c r="Z1340" t="inlineStr">
        <is>
          <t>CORPORATIVO</t>
        </is>
      </c>
      <c r="AA1340" t="n">
        <v>11</v>
      </c>
      <c r="AB1340" t="inlineStr">
        <is>
          <t>DOMINIO HA</t>
        </is>
      </c>
      <c r="AC1340" t="n">
        <v>1</v>
      </c>
      <c r="AD1340" t="inlineStr">
        <is>
          <t>BANCO</t>
        </is>
      </c>
      <c r="AE1340" t="n">
        <v>1</v>
      </c>
      <c r="AF1340" t="inlineStr">
        <is>
          <t>BACK</t>
        </is>
      </c>
      <c r="AG1340" t="n">
        <v>134111</v>
      </c>
      <c r="AH1340" t="inlineStr">
        <is>
          <t>LOMAS</t>
        </is>
      </c>
      <c r="AI1340" t="inlineStr">
        <is>
          <t>BCAMPOS@BANCOBASE.COM</t>
        </is>
      </c>
      <c r="AJ1340" s="151" t="n">
        <v>46160</v>
      </c>
    </row>
    <row r="1341" hidden="1" s="150">
      <c r="A1341" t="inlineStr">
        <is>
          <t>IMONGE</t>
        </is>
      </c>
      <c r="B1341" t="n">
        <v>3353</v>
      </c>
      <c r="C1341" t="inlineStr">
        <is>
          <t>IRAIS ALEJANDRA MONGE TELLES</t>
        </is>
      </c>
      <c r="D1341" t="n">
        <v>5088</v>
      </c>
      <c r="E1341" t="inlineStr">
        <is>
          <t>DESARROLLADOR BACKEND</t>
        </is>
      </c>
      <c r="F1341" t="inlineStr">
        <is>
          <t>TELETRABAJO</t>
        </is>
      </c>
      <c r="G1341" t="n">
        <v>2092</v>
      </c>
      <c r="H1341" t="inlineStr">
        <is>
          <t>FRANCISCO ENRIQUE PECINA MONTEVERDE</t>
        </is>
      </c>
      <c r="I1341" t="n">
        <v>8101</v>
      </c>
      <c r="J1341" t="inlineStr">
        <is>
          <t>SUBDIRECTOR DE DESARROLLO CLIENTES</t>
        </is>
      </c>
      <c r="K1341" t="n">
        <v>1</v>
      </c>
      <c r="L1341" t="inlineStr">
        <is>
          <t>PRESIDENCIA EJECUTIVA DEL CONSEJO</t>
        </is>
      </c>
      <c r="M1341" t="n">
        <v>30</v>
      </c>
      <c r="N1341" t="inlineStr">
        <is>
          <t>DIRECCION GENERAL ADJUNTA PRODUCTO Y TRANSFORMACIO</t>
        </is>
      </c>
      <c r="O1341" t="n">
        <v>301</v>
      </c>
      <c r="P1341" t="inlineStr">
        <is>
          <t>DOMINIO</t>
        </is>
      </c>
      <c r="Q1341" t="n">
        <v>3100</v>
      </c>
      <c r="R1341" t="inlineStr">
        <is>
          <t>DIRECCION DE TECNOLOGIA</t>
        </is>
      </c>
      <c r="S1341" t="n">
        <v>31500</v>
      </c>
      <c r="T1341" t="inlineStr">
        <is>
          <t>DESARROLLO DE APLICATIVOS</t>
        </is>
      </c>
      <c r="U1341" t="n">
        <v>301220</v>
      </c>
      <c r="V1341" t="inlineStr">
        <is>
          <t>ONBOARDING</t>
        </is>
      </c>
      <c r="W1341" t="n">
        <v>134111</v>
      </c>
      <c r="X1341" t="inlineStr">
        <is>
          <t>LOMAS</t>
        </is>
      </c>
      <c r="Y1341" t="n">
        <v>4</v>
      </c>
      <c r="Z1341" t="inlineStr">
        <is>
          <t>CORPORATIVO</t>
        </is>
      </c>
      <c r="AA1341" t="n">
        <v>11</v>
      </c>
      <c r="AB1341" t="inlineStr">
        <is>
          <t>DOMINIO HA</t>
        </is>
      </c>
      <c r="AC1341" t="n">
        <v>1</v>
      </c>
      <c r="AD1341" t="inlineStr">
        <is>
          <t>BANCO</t>
        </is>
      </c>
      <c r="AE1341" t="n">
        <v>1</v>
      </c>
      <c r="AF1341" t="inlineStr">
        <is>
          <t>BACK</t>
        </is>
      </c>
      <c r="AG1341" t="n">
        <v>134111</v>
      </c>
      <c r="AH1341" t="inlineStr">
        <is>
          <t>LOMAS</t>
        </is>
      </c>
      <c r="AI1341" t="inlineStr">
        <is>
          <t>IMONGE@BANCOBASE.COM</t>
        </is>
      </c>
      <c r="AJ1341" s="151" t="n">
        <v>45719</v>
      </c>
    </row>
    <row r="1342" hidden="1" s="150">
      <c r="A1342" t="n">
        <v>26919</v>
      </c>
      <c r="B1342" t="inlineStr">
        <is>
          <t>EXT-99552</t>
        </is>
      </c>
      <c r="C1342" t="inlineStr">
        <is>
          <t>ADRIAN REYES TENORIO</t>
        </is>
      </c>
      <c r="D1342" t="n">
        <v>5082</v>
      </c>
      <c r="E1342" t="inlineStr">
        <is>
          <t>TECH LEAD ACTIVACION</t>
        </is>
      </c>
      <c r="F1342" t="inlineStr">
        <is>
          <t>MEXICO</t>
        </is>
      </c>
      <c r="G1342" t="n">
        <v>3706</v>
      </c>
      <c r="H1342" t="inlineStr">
        <is>
          <t>GABRIEL ANTONIO PENICHE EGUIA</t>
        </is>
      </c>
      <c r="I1342" t="n">
        <v>5124</v>
      </c>
      <c r="J1342" t="inlineStr">
        <is>
          <t>SUBDIRECTOR RDM EVOLUTION</t>
        </is>
      </c>
      <c r="K1342" t="n">
        <v>1</v>
      </c>
      <c r="L1342" t="inlineStr">
        <is>
          <t>PRESIDENCIA EJECUTIVA DEL CONSEJO</t>
        </is>
      </c>
      <c r="M1342" t="n">
        <v>30</v>
      </c>
      <c r="N1342" t="inlineStr">
        <is>
          <t>DIRECCION GENERAL ADJUNTA PRODUCTO Y TRANSFORMACIO</t>
        </is>
      </c>
      <c r="O1342" t="n">
        <v>301</v>
      </c>
      <c r="P1342" t="inlineStr">
        <is>
          <t>DOMINIO</t>
        </is>
      </c>
      <c r="Q1342" t="n">
        <v>3100</v>
      </c>
      <c r="R1342" t="inlineStr">
        <is>
          <t>DIRECCION DE TECNOLOGIA</t>
        </is>
      </c>
      <c r="S1342" t="n">
        <v>31600</v>
      </c>
      <c r="T1342" t="inlineStr">
        <is>
          <t>DIRECCION DE GESTION DE DATOS</t>
        </is>
      </c>
      <c r="U1342" t="n">
        <v>301230</v>
      </c>
      <c r="V1342" t="inlineStr">
        <is>
          <t>ACTIVACION</t>
        </is>
      </c>
      <c r="W1342" t="n">
        <v>134111</v>
      </c>
      <c r="X1342" t="inlineStr">
        <is>
          <t>LOMAS</t>
        </is>
      </c>
      <c r="Y1342" t="n">
        <v>4</v>
      </c>
      <c r="Z1342" t="inlineStr">
        <is>
          <t>CORPORATIVO</t>
        </is>
      </c>
      <c r="AA1342" t="n">
        <v>11</v>
      </c>
      <c r="AB1342" t="inlineStr">
        <is>
          <t>DOMINIO HA</t>
        </is>
      </c>
      <c r="AC1342" t="n">
        <v>1</v>
      </c>
      <c r="AD1342" t="inlineStr">
        <is>
          <t>BANCO</t>
        </is>
      </c>
      <c r="AE1342" t="n">
        <v>1</v>
      </c>
      <c r="AF1342" t="inlineStr">
        <is>
          <t>BACK</t>
        </is>
      </c>
      <c r="AG1342" t="n">
        <v>134111</v>
      </c>
      <c r="AH1342" t="inlineStr">
        <is>
          <t>LOMAS</t>
        </is>
      </c>
      <c r="AJ1342" s="151" t="n">
        <v>46245</v>
      </c>
    </row>
    <row r="1343" hidden="1" s="150">
      <c r="A1343" t="n">
        <v>26918</v>
      </c>
      <c r="B1343" t="inlineStr">
        <is>
          <t>EXT-99550</t>
        </is>
      </c>
      <c r="C1343" t="inlineStr">
        <is>
          <t>ISAI SANCHEZ ZAYAGO</t>
        </is>
      </c>
      <c r="D1343" t="n">
        <v>6009</v>
      </c>
      <c r="E1343" t="inlineStr">
        <is>
          <t>DESARROLLADOR SALESFORCE</t>
        </is>
      </c>
      <c r="F1343" t="inlineStr">
        <is>
          <t>TELETRABAJO</t>
        </is>
      </c>
      <c r="G1343" t="n">
        <v>2092</v>
      </c>
      <c r="H1343" t="inlineStr">
        <is>
          <t>FRANCISCO ENRIQUE PECINA MONTEVERDE</t>
        </is>
      </c>
      <c r="I1343" t="n">
        <v>8101</v>
      </c>
      <c r="J1343" t="inlineStr">
        <is>
          <t>SUBDIRECTOR DE DESARROLLO CLIENTES</t>
        </is>
      </c>
      <c r="K1343" t="n">
        <v>1</v>
      </c>
      <c r="L1343" t="inlineStr">
        <is>
          <t>PRESIDENCIA EJECUTIVA DEL CONSEJO</t>
        </is>
      </c>
      <c r="M1343" t="n">
        <v>30</v>
      </c>
      <c r="N1343" t="inlineStr">
        <is>
          <t>DIRECCION GENERAL ADJUNTA PRODUCTO Y TRANSFORMACIO</t>
        </is>
      </c>
      <c r="O1343" t="n">
        <v>301</v>
      </c>
      <c r="P1343" t="inlineStr">
        <is>
          <t>DOMINIO</t>
        </is>
      </c>
      <c r="Q1343" t="n">
        <v>3100</v>
      </c>
      <c r="R1343" t="inlineStr">
        <is>
          <t>DIRECCION DE TECNOLOGIA</t>
        </is>
      </c>
      <c r="S1343" t="n">
        <v>31500</v>
      </c>
      <c r="T1343" t="inlineStr">
        <is>
          <t>DESARROLLO DE APLICATIVOS</t>
        </is>
      </c>
      <c r="U1343" t="n">
        <v>301230</v>
      </c>
      <c r="V1343" t="inlineStr">
        <is>
          <t>ACTIVACION</t>
        </is>
      </c>
      <c r="W1343" t="n">
        <v>134111</v>
      </c>
      <c r="X1343" t="inlineStr">
        <is>
          <t>LOMAS</t>
        </is>
      </c>
      <c r="Y1343" t="n">
        <v>4</v>
      </c>
      <c r="Z1343" t="inlineStr">
        <is>
          <t>CORPORATIVO</t>
        </is>
      </c>
      <c r="AA1343" t="n">
        <v>11</v>
      </c>
      <c r="AB1343" t="inlineStr">
        <is>
          <t>DOMINIO HA</t>
        </is>
      </c>
      <c r="AC1343" t="n">
        <v>1</v>
      </c>
      <c r="AD1343" t="inlineStr">
        <is>
          <t>BANCO</t>
        </is>
      </c>
      <c r="AE1343" t="n">
        <v>1</v>
      </c>
      <c r="AF1343" t="inlineStr">
        <is>
          <t>BACK</t>
        </is>
      </c>
      <c r="AG1343" t="n">
        <v>134111</v>
      </c>
      <c r="AH1343" t="inlineStr">
        <is>
          <t>LOMAS</t>
        </is>
      </c>
      <c r="AJ1343" s="151" t="n">
        <v>46245</v>
      </c>
    </row>
    <row r="1344" hidden="1" s="150">
      <c r="A1344" t="inlineStr">
        <is>
          <t>CECE0107248C6</t>
        </is>
      </c>
      <c r="B1344" t="inlineStr">
        <is>
          <t>EXT-99557</t>
        </is>
      </c>
      <c r="C1344" t="inlineStr">
        <is>
          <t>ERIK LEONEL CEDILLO CRUZ</t>
        </is>
      </c>
      <c r="D1344" t="n">
        <v>5089</v>
      </c>
      <c r="E1344" t="inlineStr">
        <is>
          <t>DESARROLLADOR BACKEND</t>
        </is>
      </c>
      <c r="F1344" t="inlineStr">
        <is>
          <t>TELETRABAJO</t>
        </is>
      </c>
      <c r="G1344" t="n">
        <v>2092</v>
      </c>
      <c r="H1344" t="inlineStr">
        <is>
          <t>FRANCISCO ENRIQUE PECINA MONTEVERDE</t>
        </is>
      </c>
      <c r="I1344" t="n">
        <v>8101</v>
      </c>
      <c r="J1344" t="inlineStr">
        <is>
          <t>SUBDIRECTOR DE DESARROLLO CLIENTES</t>
        </is>
      </c>
      <c r="K1344" t="n">
        <v>1</v>
      </c>
      <c r="L1344" t="inlineStr">
        <is>
          <t>PRESIDENCIA EJECUTIVA DEL CONSEJO</t>
        </is>
      </c>
      <c r="M1344" t="n">
        <v>30</v>
      </c>
      <c r="N1344" t="inlineStr">
        <is>
          <t>DIRECCION GENERAL ADJUNTA PRODUCTO Y TRANSFORMACIO</t>
        </is>
      </c>
      <c r="O1344" t="n">
        <v>301</v>
      </c>
      <c r="P1344" t="inlineStr">
        <is>
          <t>DOMINIO</t>
        </is>
      </c>
      <c r="Q1344" t="n">
        <v>3100</v>
      </c>
      <c r="R1344" t="inlineStr">
        <is>
          <t>DIRECCION DE TECNOLOGIA</t>
        </is>
      </c>
      <c r="S1344" t="n">
        <v>31500</v>
      </c>
      <c r="T1344" t="inlineStr">
        <is>
          <t>DESARROLLO DE APLICATIVOS</t>
        </is>
      </c>
      <c r="U1344" t="n">
        <v>301230</v>
      </c>
      <c r="V1344" t="inlineStr">
        <is>
          <t>ACTIVACION</t>
        </is>
      </c>
      <c r="W1344" t="n">
        <v>134111</v>
      </c>
      <c r="X1344" t="inlineStr">
        <is>
          <t>LOMAS</t>
        </is>
      </c>
      <c r="Y1344" t="n">
        <v>4</v>
      </c>
      <c r="Z1344" t="inlineStr">
        <is>
          <t>CORPORATIVO</t>
        </is>
      </c>
      <c r="AA1344" t="n">
        <v>11</v>
      </c>
      <c r="AB1344" t="inlineStr">
        <is>
          <t>DOMINIO HA</t>
        </is>
      </c>
      <c r="AC1344" t="n">
        <v>1</v>
      </c>
      <c r="AD1344" t="inlineStr">
        <is>
          <t>BANCO</t>
        </is>
      </c>
      <c r="AE1344" t="n">
        <v>1</v>
      </c>
      <c r="AF1344" t="inlineStr">
        <is>
          <t>BACK</t>
        </is>
      </c>
      <c r="AG1344" t="n">
        <v>134111</v>
      </c>
      <c r="AH1344" t="inlineStr">
        <is>
          <t>LOMAS</t>
        </is>
      </c>
      <c r="AJ1344" s="151" t="n">
        <v>46245</v>
      </c>
    </row>
    <row r="1345" hidden="1" s="150">
      <c r="A1345" t="inlineStr">
        <is>
          <t>RRODRIGUEM</t>
        </is>
      </c>
      <c r="B1345" t="n">
        <v>2704</v>
      </c>
      <c r="C1345" t="inlineStr">
        <is>
          <t>RAMIRO DE JESUS RODRIGUEZ MONTES</t>
        </is>
      </c>
      <c r="D1345" t="n">
        <v>5087</v>
      </c>
      <c r="E1345" t="inlineStr">
        <is>
          <t>DESARROLLADOR BACKEND</t>
        </is>
      </c>
      <c r="F1345" t="inlineStr">
        <is>
          <t>TELETRABAJO</t>
        </is>
      </c>
      <c r="G1345" t="n">
        <v>2092</v>
      </c>
      <c r="H1345" t="inlineStr">
        <is>
          <t>FRANCISCO ENRIQUE PECINA MONTEVERDE</t>
        </is>
      </c>
      <c r="I1345" t="n">
        <v>8101</v>
      </c>
      <c r="J1345" t="inlineStr">
        <is>
          <t>SUBDIRECTOR DE DESARROLLO CLIENTES</t>
        </is>
      </c>
      <c r="K1345" t="n">
        <v>1</v>
      </c>
      <c r="L1345" t="inlineStr">
        <is>
          <t>PRESIDENCIA EJECUTIVA DEL CONSEJO</t>
        </is>
      </c>
      <c r="M1345" t="n">
        <v>30</v>
      </c>
      <c r="N1345" t="inlineStr">
        <is>
          <t>DIRECCION GENERAL ADJUNTA PRODUCTO Y TRANSFORMACIO</t>
        </is>
      </c>
      <c r="O1345" t="n">
        <v>301</v>
      </c>
      <c r="P1345" t="inlineStr">
        <is>
          <t>DOMINIO</t>
        </is>
      </c>
      <c r="Q1345" t="n">
        <v>3100</v>
      </c>
      <c r="R1345" t="inlineStr">
        <is>
          <t>DIRECCION DE TECNOLOGIA</t>
        </is>
      </c>
      <c r="S1345" t="n">
        <v>31500</v>
      </c>
      <c r="T1345" t="inlineStr">
        <is>
          <t>DESARROLLO DE APLICATIVOS</t>
        </is>
      </c>
      <c r="U1345" t="n">
        <v>301230</v>
      </c>
      <c r="V1345" t="inlineStr">
        <is>
          <t>ACTIVACION</t>
        </is>
      </c>
      <c r="W1345" t="n">
        <v>134111</v>
      </c>
      <c r="X1345" t="inlineStr">
        <is>
          <t>LOMAS</t>
        </is>
      </c>
      <c r="Y1345" t="n">
        <v>4</v>
      </c>
      <c r="Z1345" t="inlineStr">
        <is>
          <t>CORPORATIVO</t>
        </is>
      </c>
      <c r="AA1345" t="n">
        <v>11</v>
      </c>
      <c r="AB1345" t="inlineStr">
        <is>
          <t>DOMINIO HA</t>
        </is>
      </c>
      <c r="AC1345" t="n">
        <v>1</v>
      </c>
      <c r="AD1345" t="inlineStr">
        <is>
          <t>BANCO</t>
        </is>
      </c>
      <c r="AE1345" t="n">
        <v>1</v>
      </c>
      <c r="AF1345" t="inlineStr">
        <is>
          <t>BACK</t>
        </is>
      </c>
      <c r="AG1345" t="n">
        <v>134111</v>
      </c>
      <c r="AH1345" t="inlineStr">
        <is>
          <t>LOMAS</t>
        </is>
      </c>
      <c r="AI1345" t="inlineStr">
        <is>
          <t>RRODRIGUEM@BANCOBASE.COM</t>
        </is>
      </c>
      <c r="AJ1345" s="151" t="n">
        <v>44774</v>
      </c>
    </row>
    <row r="1346" hidden="1" s="150">
      <c r="A1346" t="n">
        <v>26934</v>
      </c>
      <c r="B1346" t="inlineStr">
        <is>
          <t>EXT-99558</t>
        </is>
      </c>
      <c r="C1346" t="inlineStr">
        <is>
          <t>JONATHAN ULISES HERNANDEZ DABOXTHA</t>
        </is>
      </c>
      <c r="D1346" t="n">
        <v>6004</v>
      </c>
      <c r="E1346" t="inlineStr">
        <is>
          <t>DESARROLLADOR SALESFORCE</t>
        </is>
      </c>
      <c r="F1346" t="inlineStr">
        <is>
          <t>TELETRABAJO</t>
        </is>
      </c>
      <c r="G1346" t="n">
        <v>2092</v>
      </c>
      <c r="H1346" t="inlineStr">
        <is>
          <t>FRANCISCO ENRIQUE PECINA MONTEVERDE</t>
        </is>
      </c>
      <c r="I1346" t="n">
        <v>8101</v>
      </c>
      <c r="J1346" t="inlineStr">
        <is>
          <t>SUBDIRECTOR DE DESARROLLO CLIENTES</t>
        </is>
      </c>
      <c r="K1346" t="n">
        <v>1</v>
      </c>
      <c r="L1346" t="inlineStr">
        <is>
          <t>PRESIDENCIA EJECUTIVA DEL CONSEJO</t>
        </is>
      </c>
      <c r="M1346" t="n">
        <v>30</v>
      </c>
      <c r="N1346" t="inlineStr">
        <is>
          <t>DIRECCION GENERAL ADJUNTA PRODUCTO Y TRANSFORMACIO</t>
        </is>
      </c>
      <c r="O1346" t="n">
        <v>301</v>
      </c>
      <c r="P1346" t="inlineStr">
        <is>
          <t>DOMINIO</t>
        </is>
      </c>
      <c r="Q1346" t="n">
        <v>3100</v>
      </c>
      <c r="R1346" t="inlineStr">
        <is>
          <t>DIRECCION DE TECNOLOGIA</t>
        </is>
      </c>
      <c r="S1346" t="n">
        <v>31500</v>
      </c>
      <c r="T1346" t="inlineStr">
        <is>
          <t>DESARROLLO DE APLICATIVOS</t>
        </is>
      </c>
      <c r="U1346" t="n">
        <v>301240</v>
      </c>
      <c r="V1346" t="inlineStr">
        <is>
          <t>ADQUISICION</t>
        </is>
      </c>
      <c r="W1346" t="n">
        <v>134111</v>
      </c>
      <c r="X1346" t="inlineStr">
        <is>
          <t>LOMAS</t>
        </is>
      </c>
      <c r="Y1346" t="n">
        <v>4</v>
      </c>
      <c r="Z1346" t="inlineStr">
        <is>
          <t>CORPORATIVO</t>
        </is>
      </c>
      <c r="AA1346" t="n">
        <v>11</v>
      </c>
      <c r="AB1346" t="inlineStr">
        <is>
          <t>DOMINIO HA</t>
        </is>
      </c>
      <c r="AC1346" t="n">
        <v>1</v>
      </c>
      <c r="AD1346" t="inlineStr">
        <is>
          <t>BANCO</t>
        </is>
      </c>
      <c r="AE1346" t="n">
        <v>1</v>
      </c>
      <c r="AF1346" t="inlineStr">
        <is>
          <t>BACK</t>
        </is>
      </c>
      <c r="AG1346" t="n">
        <v>134111</v>
      </c>
      <c r="AH1346" t="inlineStr">
        <is>
          <t>LOMAS</t>
        </is>
      </c>
      <c r="AJ1346" s="151" t="n">
        <v>46239</v>
      </c>
    </row>
    <row r="1347" hidden="1" s="150">
      <c r="A1347" t="inlineStr">
        <is>
          <t>ALOZADA</t>
        </is>
      </c>
      <c r="B1347" t="n">
        <v>3978</v>
      </c>
      <c r="C1347" t="inlineStr">
        <is>
          <t>ADRIAN FRANCISCO LOZADA REBOCENO</t>
        </is>
      </c>
      <c r="D1347" t="n">
        <v>5143</v>
      </c>
      <c r="E1347" t="inlineStr">
        <is>
          <t>DESARROLLADOR BACKEND</t>
        </is>
      </c>
      <c r="F1347" t="inlineStr">
        <is>
          <t>TELETRABAJO</t>
        </is>
      </c>
      <c r="G1347" t="n">
        <v>2092</v>
      </c>
      <c r="H1347" t="inlineStr">
        <is>
          <t>FRANCISCO ENRIQUE PECINA MONTEVERDE</t>
        </is>
      </c>
      <c r="I1347" t="n">
        <v>8101</v>
      </c>
      <c r="J1347" t="inlineStr">
        <is>
          <t>SUBDIRECTOR DE DESARROLLO CLIENTES</t>
        </is>
      </c>
      <c r="K1347" t="n">
        <v>1</v>
      </c>
      <c r="L1347" t="inlineStr">
        <is>
          <t>PRESIDENCIA EJECUTIVA DEL CONSEJO</t>
        </is>
      </c>
      <c r="M1347" t="n">
        <v>30</v>
      </c>
      <c r="N1347" t="inlineStr">
        <is>
          <t>DIRECCION GENERAL ADJUNTA PRODUCTO Y TRANSFORMACIO</t>
        </is>
      </c>
      <c r="O1347" t="n">
        <v>301</v>
      </c>
      <c r="P1347" t="inlineStr">
        <is>
          <t>DOMINIO</t>
        </is>
      </c>
      <c r="Q1347" t="n">
        <v>3100</v>
      </c>
      <c r="R1347" t="inlineStr">
        <is>
          <t>DIRECCION DE TECNOLOGIA</t>
        </is>
      </c>
      <c r="S1347" t="n">
        <v>31500</v>
      </c>
      <c r="T1347" t="inlineStr">
        <is>
          <t>DESARROLLO DE APLICATIVOS</t>
        </is>
      </c>
      <c r="U1347" t="n">
        <v>301240</v>
      </c>
      <c r="V1347" t="inlineStr">
        <is>
          <t>ADQUISICION</t>
        </is>
      </c>
      <c r="W1347" t="n">
        <v>134111</v>
      </c>
      <c r="X1347" t="inlineStr">
        <is>
          <t>LOMAS</t>
        </is>
      </c>
      <c r="Y1347" t="n">
        <v>4</v>
      </c>
      <c r="Z1347" t="inlineStr">
        <is>
          <t>CORPORATIVO</t>
        </is>
      </c>
      <c r="AA1347" t="n">
        <v>11</v>
      </c>
      <c r="AB1347" t="inlineStr">
        <is>
          <t>DOMINIO HA</t>
        </is>
      </c>
      <c r="AC1347" t="n">
        <v>1</v>
      </c>
      <c r="AD1347" t="inlineStr">
        <is>
          <t>BANCO</t>
        </is>
      </c>
      <c r="AE1347" t="n">
        <v>1</v>
      </c>
      <c r="AF1347" t="inlineStr">
        <is>
          <t>BACK</t>
        </is>
      </c>
      <c r="AG1347" t="n">
        <v>134111</v>
      </c>
      <c r="AH1347" t="inlineStr">
        <is>
          <t>LOMAS</t>
        </is>
      </c>
      <c r="AI1347" t="inlineStr">
        <is>
          <t>ALOZADA@BANCOBASE.COM</t>
        </is>
      </c>
      <c r="AJ1347" s="151" t="n">
        <v>46244</v>
      </c>
    </row>
    <row r="1348" hidden="1" s="150">
      <c r="A1348" t="inlineStr">
        <is>
          <t>DRAMOST</t>
        </is>
      </c>
      <c r="B1348" t="n">
        <v>3979</v>
      </c>
      <c r="C1348" t="inlineStr">
        <is>
          <t>DARIO RAMOS TOSCANO</t>
        </is>
      </c>
      <c r="D1348" t="n">
        <v>5144</v>
      </c>
      <c r="E1348" t="inlineStr">
        <is>
          <t>DESARROLLADOR BACKEND</t>
        </is>
      </c>
      <c r="F1348" t="inlineStr">
        <is>
          <t>TELETRABAJO</t>
        </is>
      </c>
      <c r="G1348" t="n">
        <v>2092</v>
      </c>
      <c r="H1348" t="inlineStr">
        <is>
          <t>FRANCISCO ENRIQUE PECINA MONTEVERDE</t>
        </is>
      </c>
      <c r="I1348" t="n">
        <v>8101</v>
      </c>
      <c r="J1348" t="inlineStr">
        <is>
          <t>SUBDIRECTOR DE DESARROLLO CLIENTES</t>
        </is>
      </c>
      <c r="K1348" t="n">
        <v>1</v>
      </c>
      <c r="L1348" t="inlineStr">
        <is>
          <t>PRESIDENCIA EJECUTIVA DEL CONSEJO</t>
        </is>
      </c>
      <c r="M1348" t="n">
        <v>30</v>
      </c>
      <c r="N1348" t="inlineStr">
        <is>
          <t>DIRECCION GENERAL ADJUNTA PRODUCTO Y TRANSFORMACIO</t>
        </is>
      </c>
      <c r="O1348" t="n">
        <v>301</v>
      </c>
      <c r="P1348" t="inlineStr">
        <is>
          <t>DOMINIO</t>
        </is>
      </c>
      <c r="Q1348" t="n">
        <v>3100</v>
      </c>
      <c r="R1348" t="inlineStr">
        <is>
          <t>DIRECCION DE TECNOLOGIA</t>
        </is>
      </c>
      <c r="S1348" t="n">
        <v>31500</v>
      </c>
      <c r="T1348" t="inlineStr">
        <is>
          <t>DESARROLLO DE APLICATIVOS</t>
        </is>
      </c>
      <c r="U1348" t="n">
        <v>301240</v>
      </c>
      <c r="V1348" t="inlineStr">
        <is>
          <t>ADQUISICION</t>
        </is>
      </c>
      <c r="W1348" t="n">
        <v>126107</v>
      </c>
      <c r="X1348" t="inlineStr">
        <is>
          <t>GUADALAJARA</t>
        </is>
      </c>
      <c r="Y1348" t="n">
        <v>4</v>
      </c>
      <c r="Z1348" t="inlineStr">
        <is>
          <t>CORPORATIVO</t>
        </is>
      </c>
      <c r="AA1348" t="n">
        <v>11</v>
      </c>
      <c r="AB1348" t="inlineStr">
        <is>
          <t>DOMINIO HA</t>
        </is>
      </c>
      <c r="AC1348" t="n">
        <v>1</v>
      </c>
      <c r="AD1348" t="inlineStr">
        <is>
          <t>BANCO</t>
        </is>
      </c>
      <c r="AE1348" t="n">
        <v>1</v>
      </c>
      <c r="AF1348" t="inlineStr">
        <is>
          <t>BACK</t>
        </is>
      </c>
      <c r="AG1348" t="n">
        <v>126107</v>
      </c>
      <c r="AH1348" t="inlineStr">
        <is>
          <t>GUADALAJARA</t>
        </is>
      </c>
      <c r="AI1348" t="inlineStr">
        <is>
          <t>DRAMOST@BANCOBASE.COM</t>
        </is>
      </c>
      <c r="AJ1348" s="151" t="n">
        <v>46244</v>
      </c>
    </row>
    <row r="1349" hidden="1" s="150">
      <c r="A1349" t="inlineStr">
        <is>
          <t>CLIMAG</t>
        </is>
      </c>
      <c r="B1349" t="n">
        <v>2750</v>
      </c>
      <c r="C1349" t="inlineStr">
        <is>
          <t>CARLOS LIMA GARCIA</t>
        </is>
      </c>
      <c r="D1349" t="n">
        <v>5133</v>
      </c>
      <c r="E1349" t="inlineStr">
        <is>
          <t>TECH LEAD SERVICING</t>
        </is>
      </c>
      <c r="F1349" t="inlineStr">
        <is>
          <t>MEXICO</t>
        </is>
      </c>
      <c r="G1349" t="n">
        <v>2092</v>
      </c>
      <c r="H1349" t="inlineStr">
        <is>
          <t>FRANCISCO ENRIQUE PECINA MONTEVERDE</t>
        </is>
      </c>
      <c r="I1349" t="n">
        <v>8101</v>
      </c>
      <c r="J1349" t="inlineStr">
        <is>
          <t>SUBDIRECTOR DE DESARROLLO CLIENTES</t>
        </is>
      </c>
      <c r="K1349" t="n">
        <v>1</v>
      </c>
      <c r="L1349" t="inlineStr">
        <is>
          <t>PRESIDENCIA EJECUTIVA DEL CONSEJO</t>
        </is>
      </c>
      <c r="M1349" t="n">
        <v>30</v>
      </c>
      <c r="N1349" t="inlineStr">
        <is>
          <t>DIRECCION GENERAL ADJUNTA PRODUCTO Y TRANSFORMACIO</t>
        </is>
      </c>
      <c r="O1349" t="n">
        <v>301</v>
      </c>
      <c r="P1349" t="inlineStr">
        <is>
          <t>DOMINIO</t>
        </is>
      </c>
      <c r="Q1349" t="n">
        <v>3100</v>
      </c>
      <c r="R1349" t="inlineStr">
        <is>
          <t>DIRECCION DE TECNOLOGIA</t>
        </is>
      </c>
      <c r="S1349" t="n">
        <v>31500</v>
      </c>
      <c r="T1349" t="inlineStr">
        <is>
          <t>DESARROLLO DE APLICATIVOS</t>
        </is>
      </c>
      <c r="U1349" t="n">
        <v>301250</v>
      </c>
      <c r="V1349" t="inlineStr">
        <is>
          <t>SERVICING</t>
        </is>
      </c>
      <c r="W1349" t="n">
        <v>134111</v>
      </c>
      <c r="X1349" t="inlineStr">
        <is>
          <t>LOMAS</t>
        </is>
      </c>
      <c r="Y1349" t="n">
        <v>4</v>
      </c>
      <c r="Z1349" t="inlineStr">
        <is>
          <t>CORPORATIVO</t>
        </is>
      </c>
      <c r="AA1349" t="n">
        <v>11</v>
      </c>
      <c r="AB1349" t="inlineStr">
        <is>
          <t>DOMINIO HA</t>
        </is>
      </c>
      <c r="AC1349" t="n">
        <v>1</v>
      </c>
      <c r="AD1349" t="inlineStr">
        <is>
          <t>BANCO</t>
        </is>
      </c>
      <c r="AE1349" t="n">
        <v>1</v>
      </c>
      <c r="AF1349" t="inlineStr">
        <is>
          <t>BACK</t>
        </is>
      </c>
      <c r="AG1349" t="n">
        <v>134111</v>
      </c>
      <c r="AH1349" t="inlineStr">
        <is>
          <t>LOMAS</t>
        </is>
      </c>
      <c r="AI1349" t="inlineStr">
        <is>
          <t>CLIMAG@BANCOBASE.COM</t>
        </is>
      </c>
      <c r="AJ1349" s="151" t="n">
        <v>44851</v>
      </c>
    </row>
    <row r="1350" hidden="1" s="150">
      <c r="A1350" t="inlineStr">
        <is>
          <t>FMARTINEZM</t>
        </is>
      </c>
      <c r="B1350" t="n">
        <v>3982</v>
      </c>
      <c r="C1350" t="inlineStr">
        <is>
          <t>FRANCISCO JAVIER MARTINEZ MUNOZ</t>
        </is>
      </c>
      <c r="D1350" t="n">
        <v>5065</v>
      </c>
      <c r="E1350" t="inlineStr">
        <is>
          <t>DESARROLLADOR FRONTEND</t>
        </is>
      </c>
      <c r="F1350" t="inlineStr">
        <is>
          <t>TELETRABAJO</t>
        </is>
      </c>
      <c r="G1350" t="n">
        <v>2092</v>
      </c>
      <c r="H1350" t="inlineStr">
        <is>
          <t>FRANCISCO ENRIQUE PECINA MONTEVERDE</t>
        </is>
      </c>
      <c r="I1350" t="n">
        <v>8101</v>
      </c>
      <c r="J1350" t="inlineStr">
        <is>
          <t>SUBDIRECTOR DE DESARROLLO CLIENTES</t>
        </is>
      </c>
      <c r="K1350" t="n">
        <v>1</v>
      </c>
      <c r="L1350" t="inlineStr">
        <is>
          <t>PRESIDENCIA EJECUTIVA DEL CONSEJO</t>
        </is>
      </c>
      <c r="M1350" t="n">
        <v>30</v>
      </c>
      <c r="N1350" t="inlineStr">
        <is>
          <t>DIRECCION GENERAL ADJUNTA PRODUCTO Y TRANSFORMACIO</t>
        </is>
      </c>
      <c r="O1350" t="n">
        <v>301</v>
      </c>
      <c r="P1350" t="inlineStr">
        <is>
          <t>DOMINIO</t>
        </is>
      </c>
      <c r="Q1350" t="n">
        <v>3100</v>
      </c>
      <c r="R1350" t="inlineStr">
        <is>
          <t>DIRECCION DE TECNOLOGIA</t>
        </is>
      </c>
      <c r="S1350" t="n">
        <v>31500</v>
      </c>
      <c r="T1350" t="inlineStr">
        <is>
          <t>DESARROLLO DE APLICATIVOS</t>
        </is>
      </c>
      <c r="U1350" t="n">
        <v>301250</v>
      </c>
      <c r="V1350" t="inlineStr">
        <is>
          <t>SERVICING</t>
        </is>
      </c>
      <c r="W1350" t="n">
        <v>126114</v>
      </c>
      <c r="X1350" t="inlineStr">
        <is>
          <t>TIJUANA</t>
        </is>
      </c>
      <c r="Y1350" t="n">
        <v>4</v>
      </c>
      <c r="Z1350" t="inlineStr">
        <is>
          <t>CORPORATIVO</t>
        </is>
      </c>
      <c r="AA1350" t="n">
        <v>11</v>
      </c>
      <c r="AB1350" t="inlineStr">
        <is>
          <t>DOMINIO HA</t>
        </is>
      </c>
      <c r="AC1350" t="n">
        <v>1</v>
      </c>
      <c r="AD1350" t="inlineStr">
        <is>
          <t>BANCO</t>
        </is>
      </c>
      <c r="AE1350" t="n">
        <v>1</v>
      </c>
      <c r="AF1350" t="inlineStr">
        <is>
          <t>BACK</t>
        </is>
      </c>
      <c r="AG1350" t="n">
        <v>126114</v>
      </c>
      <c r="AH1350" t="inlineStr">
        <is>
          <t>TIJUANA</t>
        </is>
      </c>
      <c r="AI1350" t="inlineStr">
        <is>
          <t>FMARTINEZM@BANCOBASE.COM</t>
        </is>
      </c>
      <c r="AJ1350" s="151" t="n">
        <v>46244</v>
      </c>
    </row>
    <row r="1351" hidden="1" s="150">
      <c r="A1351" t="inlineStr">
        <is>
          <t>GFLOREH</t>
        </is>
      </c>
      <c r="B1351" t="n">
        <v>2736</v>
      </c>
      <c r="C1351" t="inlineStr">
        <is>
          <t>GLEN FLORES HERNANDEZ</t>
        </is>
      </c>
      <c r="D1351" t="n">
        <v>8001</v>
      </c>
      <c r="E1351" t="inlineStr">
        <is>
          <t>LIDER DE DESARROLLO</t>
        </is>
      </c>
      <c r="F1351" t="inlineStr">
        <is>
          <t>TELETRABAJO</t>
        </is>
      </c>
      <c r="G1351" t="n">
        <v>2092</v>
      </c>
      <c r="H1351" t="inlineStr">
        <is>
          <t>FRANCISCO ENRIQUE PECINA MONTEVERDE</t>
        </is>
      </c>
      <c r="I1351" t="n">
        <v>8101</v>
      </c>
      <c r="J1351" t="inlineStr">
        <is>
          <t>SUBDIRECTOR DE DESARROLLO CLIENTES</t>
        </is>
      </c>
      <c r="K1351" t="n">
        <v>1</v>
      </c>
      <c r="L1351" t="inlineStr">
        <is>
          <t>PRESIDENCIA EJECUTIVA DEL CONSEJO</t>
        </is>
      </c>
      <c r="M1351" t="n">
        <v>40</v>
      </c>
      <c r="N1351" t="inlineStr">
        <is>
          <t>DIRECCION GENERAL BANCO BASE</t>
        </is>
      </c>
      <c r="O1351" t="n">
        <v>310</v>
      </c>
      <c r="P1351" t="inlineStr">
        <is>
          <t>DIRECCION DE TECNOLOGIA</t>
        </is>
      </c>
      <c r="Q1351" t="n">
        <v>3150</v>
      </c>
      <c r="R1351" t="inlineStr">
        <is>
          <t>DESARROLLO DE APLICATIVOS</t>
        </is>
      </c>
      <c r="S1351" t="n">
        <v>31700</v>
      </c>
      <c r="T1351" t="inlineStr">
        <is>
          <t>DESARROLLO DE APLICATIVOS CLIENTES</t>
        </is>
      </c>
      <c r="U1351" t="n">
        <v>317000</v>
      </c>
      <c r="V1351" t="inlineStr">
        <is>
          <t>DESARROLLO DE APLICATIVOS 2</t>
        </is>
      </c>
      <c r="W1351" t="n">
        <v>134111</v>
      </c>
      <c r="X1351" t="inlineStr">
        <is>
          <t>LOMAS</t>
        </is>
      </c>
      <c r="Y1351" t="n">
        <v>4</v>
      </c>
      <c r="Z1351" t="inlineStr">
        <is>
          <t>CORPORATIVO</t>
        </is>
      </c>
      <c r="AA1351" t="n">
        <v>1</v>
      </c>
      <c r="AB1351" t="inlineStr">
        <is>
          <t>NEGOCIO EN MARCHA</t>
        </is>
      </c>
      <c r="AC1351" t="n">
        <v>1</v>
      </c>
      <c r="AD1351" t="inlineStr">
        <is>
          <t>BANCO</t>
        </is>
      </c>
      <c r="AE1351" t="n">
        <v>1</v>
      </c>
      <c r="AF1351" t="inlineStr">
        <is>
          <t>BACK</t>
        </is>
      </c>
      <c r="AG1351" t="n">
        <v>134111</v>
      </c>
      <c r="AH1351" t="inlineStr">
        <is>
          <t>LOMAS</t>
        </is>
      </c>
      <c r="AI1351" t="inlineStr">
        <is>
          <t>GFLOREH@BANCOBASE.COM</t>
        </is>
      </c>
      <c r="AJ1351" s="151" t="n">
        <v>44823</v>
      </c>
    </row>
    <row r="1352" hidden="1" s="150">
      <c r="A1352" t="inlineStr">
        <is>
          <t>ZGONZALEZ</t>
        </is>
      </c>
      <c r="B1352" t="n">
        <v>2705</v>
      </c>
      <c r="C1352" t="inlineStr">
        <is>
          <t>ZINHUE GONZALEZ MONTELONGO</t>
        </is>
      </c>
      <c r="D1352" t="n">
        <v>9036</v>
      </c>
      <c r="E1352" t="inlineStr">
        <is>
          <t>LIDER DE DESARROLLO</t>
        </is>
      </c>
      <c r="F1352" t="inlineStr">
        <is>
          <t>TELETRABAJO</t>
        </is>
      </c>
      <c r="G1352" t="n">
        <v>2092</v>
      </c>
      <c r="H1352" t="inlineStr">
        <is>
          <t>FRANCISCO ENRIQUE PECINA MONTEVERDE</t>
        </is>
      </c>
      <c r="I1352" t="n">
        <v>8101</v>
      </c>
      <c r="J1352" t="inlineStr">
        <is>
          <t>SUBDIRECTOR DE DESARROLLO CLIENTES</t>
        </is>
      </c>
      <c r="K1352" t="n">
        <v>1</v>
      </c>
      <c r="L1352" t="inlineStr">
        <is>
          <t>PRESIDENCIA EJECUTIVA DEL CONSEJO</t>
        </is>
      </c>
      <c r="M1352" t="n">
        <v>40</v>
      </c>
      <c r="N1352" t="inlineStr">
        <is>
          <t>DIRECCION GENERAL BANCO BASE</t>
        </is>
      </c>
      <c r="O1352" t="n">
        <v>310</v>
      </c>
      <c r="P1352" t="inlineStr">
        <is>
          <t>DIRECCION DE TECNOLOGIA</t>
        </is>
      </c>
      <c r="Q1352" t="n">
        <v>3150</v>
      </c>
      <c r="R1352" t="inlineStr">
        <is>
          <t>DESARROLLO DE APLICATIVOS</t>
        </is>
      </c>
      <c r="S1352" t="n">
        <v>31700</v>
      </c>
      <c r="T1352" t="inlineStr">
        <is>
          <t>DESARROLLO DE APLICATIVOS CLIENTES</t>
        </is>
      </c>
      <c r="U1352" t="n">
        <v>317000</v>
      </c>
      <c r="V1352" t="inlineStr">
        <is>
          <t>DESARROLLO DE APLICATIVOS 2</t>
        </is>
      </c>
      <c r="W1352" t="n">
        <v>134111</v>
      </c>
      <c r="X1352" t="inlineStr">
        <is>
          <t>LOMAS</t>
        </is>
      </c>
      <c r="Y1352" t="n">
        <v>4</v>
      </c>
      <c r="Z1352" t="inlineStr">
        <is>
          <t>CORPORATIVO</t>
        </is>
      </c>
      <c r="AA1352" t="n">
        <v>1</v>
      </c>
      <c r="AB1352" t="inlineStr">
        <is>
          <t>NEGOCIO EN MARCHA</t>
        </is>
      </c>
      <c r="AC1352" t="n">
        <v>1</v>
      </c>
      <c r="AD1352" t="inlineStr">
        <is>
          <t>BANCO</t>
        </is>
      </c>
      <c r="AE1352" t="n">
        <v>1</v>
      </c>
      <c r="AF1352" t="inlineStr">
        <is>
          <t>BACK</t>
        </is>
      </c>
      <c r="AG1352" t="n">
        <v>134111</v>
      </c>
      <c r="AH1352" t="inlineStr">
        <is>
          <t>LOMAS</t>
        </is>
      </c>
      <c r="AI1352" t="inlineStr">
        <is>
          <t>ZGONZALEZ@BANCOBASE.COM</t>
        </is>
      </c>
      <c r="AJ1352" s="151" t="n">
        <v>44774</v>
      </c>
    </row>
    <row r="1353" hidden="1" s="150">
      <c r="A1353" t="inlineStr">
        <is>
          <t>ASANDOVALA</t>
        </is>
      </c>
      <c r="B1353" t="n">
        <v>3356</v>
      </c>
      <c r="C1353" t="inlineStr">
        <is>
          <t>ALAN SANDOVAL ALMARAZ</t>
        </is>
      </c>
      <c r="D1353" t="n">
        <v>8507</v>
      </c>
      <c r="E1353" t="inlineStr">
        <is>
          <t>DESARROLLADOR BACKEND JR</t>
        </is>
      </c>
      <c r="F1353" t="inlineStr">
        <is>
          <t>TELETRABAJO</t>
        </is>
      </c>
      <c r="G1353" t="n">
        <v>2705</v>
      </c>
      <c r="H1353" t="inlineStr">
        <is>
          <t>ZINHUE GONZALEZ MONTELONGO</t>
        </is>
      </c>
      <c r="I1353" t="n">
        <v>9036</v>
      </c>
      <c r="J1353" t="inlineStr">
        <is>
          <t>LIDER DE DESARROLLO</t>
        </is>
      </c>
      <c r="K1353" t="n">
        <v>1</v>
      </c>
      <c r="L1353" t="inlineStr">
        <is>
          <t>PRESIDENCIA EJECUTIVA DEL CONSEJO</t>
        </is>
      </c>
      <c r="M1353" t="n">
        <v>40</v>
      </c>
      <c r="N1353" t="inlineStr">
        <is>
          <t>DIRECCION GENERAL BANCO BASE</t>
        </is>
      </c>
      <c r="O1353" t="n">
        <v>310</v>
      </c>
      <c r="P1353" t="inlineStr">
        <is>
          <t>DIRECCION DE TECNOLOGIA</t>
        </is>
      </c>
      <c r="Q1353" t="n">
        <v>3150</v>
      </c>
      <c r="R1353" t="inlineStr">
        <is>
          <t>DESARROLLO DE APLICATIVOS</t>
        </is>
      </c>
      <c r="S1353" t="n">
        <v>31700</v>
      </c>
      <c r="T1353" t="inlineStr">
        <is>
          <t>DESARROLLO DE APLICATIVOS CLIENTES</t>
        </is>
      </c>
      <c r="U1353" t="n">
        <v>317000</v>
      </c>
      <c r="V1353" t="inlineStr">
        <is>
          <t>DESARROLLO DE APLICATIVOS 2</t>
        </is>
      </c>
      <c r="W1353" t="n">
        <v>134111</v>
      </c>
      <c r="X1353" t="inlineStr">
        <is>
          <t>LOMAS</t>
        </is>
      </c>
      <c r="Y1353" t="n">
        <v>4</v>
      </c>
      <c r="Z1353" t="inlineStr">
        <is>
          <t>CORPORATIVO</t>
        </is>
      </c>
      <c r="AA1353" t="n">
        <v>7</v>
      </c>
      <c r="AB1353" t="inlineStr">
        <is>
          <t>PROYECTO DARWIN</t>
        </is>
      </c>
      <c r="AC1353" t="n">
        <v>1</v>
      </c>
      <c r="AD1353" t="inlineStr">
        <is>
          <t>BANCO</t>
        </is>
      </c>
      <c r="AE1353" t="n">
        <v>1</v>
      </c>
      <c r="AF1353" t="inlineStr">
        <is>
          <t>BACK</t>
        </is>
      </c>
      <c r="AG1353" t="n">
        <v>134111</v>
      </c>
      <c r="AH1353" t="inlineStr">
        <is>
          <t>LOMAS</t>
        </is>
      </c>
      <c r="AI1353" t="inlineStr">
        <is>
          <t>ASANDOVALA@BANCOBASE.COM</t>
        </is>
      </c>
      <c r="AJ1353" s="151" t="n">
        <v>45719</v>
      </c>
    </row>
    <row r="1354" hidden="1" s="150">
      <c r="A1354" t="inlineStr">
        <is>
          <t>MMORENOR</t>
        </is>
      </c>
      <c r="B1354" t="n">
        <v>2811</v>
      </c>
      <c r="C1354" t="inlineStr">
        <is>
          <t>MIGUEL ALEJANDRO MORENO RUIZ</t>
        </is>
      </c>
      <c r="D1354" t="n">
        <v>8052</v>
      </c>
      <c r="E1354" t="inlineStr">
        <is>
          <t>DESARROLLADOR BACKEND JR</t>
        </is>
      </c>
      <c r="F1354" t="inlineStr">
        <is>
          <t>TELETRABAJO</t>
        </is>
      </c>
      <c r="G1354" t="n">
        <v>2705</v>
      </c>
      <c r="H1354" t="inlineStr">
        <is>
          <t>ZINHUE GONZALEZ MONTELONGO</t>
        </is>
      </c>
      <c r="I1354" t="n">
        <v>9036</v>
      </c>
      <c r="J1354" t="inlineStr">
        <is>
          <t>LIDER DE DESARROLLO</t>
        </is>
      </c>
      <c r="K1354" t="n">
        <v>1</v>
      </c>
      <c r="L1354" t="inlineStr">
        <is>
          <t>PRESIDENCIA EJECUTIVA DEL CONSEJO</t>
        </is>
      </c>
      <c r="M1354" t="n">
        <v>40</v>
      </c>
      <c r="N1354" t="inlineStr">
        <is>
          <t>DIRECCION GENERAL BANCO BASE</t>
        </is>
      </c>
      <c r="O1354" t="n">
        <v>310</v>
      </c>
      <c r="P1354" t="inlineStr">
        <is>
          <t>DIRECCION DE TECNOLOGIA</t>
        </is>
      </c>
      <c r="Q1354" t="n">
        <v>3150</v>
      </c>
      <c r="R1354" t="inlineStr">
        <is>
          <t>DESARROLLO DE APLICATIVOS</t>
        </is>
      </c>
      <c r="S1354" t="n">
        <v>31700</v>
      </c>
      <c r="T1354" t="inlineStr">
        <is>
          <t>DESARROLLO DE APLICATIVOS CLIENTES</t>
        </is>
      </c>
      <c r="U1354" t="n">
        <v>317000</v>
      </c>
      <c r="V1354" t="inlineStr">
        <is>
          <t>DESARROLLO DE APLICATIVOS 2</t>
        </is>
      </c>
      <c r="W1354" t="n">
        <v>126128</v>
      </c>
      <c r="X1354" t="inlineStr">
        <is>
          <t>LEON</t>
        </is>
      </c>
      <c r="Y1354" t="n">
        <v>4</v>
      </c>
      <c r="Z1354" t="inlineStr">
        <is>
          <t>CORPORATIVO</t>
        </is>
      </c>
      <c r="AA1354" t="n">
        <v>1</v>
      </c>
      <c r="AB1354" t="inlineStr">
        <is>
          <t>NEGOCIO EN MARCHA</t>
        </is>
      </c>
      <c r="AC1354" t="n">
        <v>1</v>
      </c>
      <c r="AD1354" t="inlineStr">
        <is>
          <t>BANCO</t>
        </is>
      </c>
      <c r="AE1354" t="n">
        <v>1</v>
      </c>
      <c r="AF1354" t="inlineStr">
        <is>
          <t>BACK</t>
        </is>
      </c>
      <c r="AG1354" t="n">
        <v>126128</v>
      </c>
      <c r="AH1354" t="inlineStr">
        <is>
          <t>LEON</t>
        </is>
      </c>
      <c r="AI1354" t="inlineStr">
        <is>
          <t>MMORENOR@BANCOBASE.COM</t>
        </is>
      </c>
      <c r="AJ1354" s="151" t="n">
        <v>44942</v>
      </c>
    </row>
    <row r="1355" hidden="1" s="150">
      <c r="A1355" t="inlineStr">
        <is>
          <t>VSAUCEDO</t>
        </is>
      </c>
      <c r="B1355" t="n">
        <v>651</v>
      </c>
      <c r="C1355" t="inlineStr">
        <is>
          <t>VICTOR MANUEL SAUCEDO SEGOVIA</t>
        </is>
      </c>
      <c r="D1355" t="n">
        <v>8273</v>
      </c>
      <c r="E1355" t="inlineStr">
        <is>
          <t>SUBDIRECTOR DE DESARROLLO MD Y CREDITO</t>
        </is>
      </c>
      <c r="F1355" t="inlineStr">
        <is>
          <t>MONTERREY</t>
        </is>
      </c>
      <c r="G1355" t="n">
        <v>2626</v>
      </c>
      <c r="H1355" t="inlineStr">
        <is>
          <t>NESTOR DARVY ARCHULETA BARRERA</t>
        </is>
      </c>
      <c r="I1355" t="n">
        <v>10109</v>
      </c>
      <c r="J1355" t="inlineStr">
        <is>
          <t>DIRECTOR DE DESARROLLO</t>
        </is>
      </c>
      <c r="K1355" t="n">
        <v>1</v>
      </c>
      <c r="L1355" t="inlineStr">
        <is>
          <t>PRESIDENCIA EJECUTIVA DEL CONSEJO</t>
        </is>
      </c>
      <c r="M1355" t="n">
        <v>40</v>
      </c>
      <c r="N1355" t="inlineStr">
        <is>
          <t>DIRECCION GENERAL BANCO BASE</t>
        </is>
      </c>
      <c r="O1355" t="n">
        <v>310</v>
      </c>
      <c r="P1355" t="inlineStr">
        <is>
          <t>DIRECCION DE TECNOLOGIA</t>
        </is>
      </c>
      <c r="Q1355" t="n">
        <v>3150</v>
      </c>
      <c r="R1355" t="inlineStr">
        <is>
          <t>DESARROLLO DE APLICATIVOS</t>
        </is>
      </c>
      <c r="S1355" t="n">
        <v>31520</v>
      </c>
      <c r="T1355" t="inlineStr">
        <is>
          <t>DESARROLLO DE APLICATIVOS CREDITO</t>
        </is>
      </c>
      <c r="U1355" t="n">
        <v>315200</v>
      </c>
      <c r="V1355" t="inlineStr">
        <is>
          <t>APLICATIVOS 1</t>
        </is>
      </c>
      <c r="W1355" t="n">
        <v>100101</v>
      </c>
      <c r="X1355" t="inlineStr">
        <is>
          <t>CORPORATIVO</t>
        </is>
      </c>
      <c r="Y1355" t="n">
        <v>4</v>
      </c>
      <c r="Z1355" t="inlineStr">
        <is>
          <t>CORPORATIVO</t>
        </is>
      </c>
      <c r="AA1355" t="n">
        <v>1</v>
      </c>
      <c r="AB1355" t="inlineStr">
        <is>
          <t>NEGOCIO EN MARCHA</t>
        </is>
      </c>
      <c r="AC1355" t="n">
        <v>1</v>
      </c>
      <c r="AD1355" t="inlineStr">
        <is>
          <t>BANCO</t>
        </is>
      </c>
      <c r="AE1355" t="n">
        <v>1</v>
      </c>
      <c r="AF1355" t="inlineStr">
        <is>
          <t>BACK</t>
        </is>
      </c>
      <c r="AG1355" t="n">
        <v>100101</v>
      </c>
      <c r="AH1355" t="inlineStr">
        <is>
          <t>CORPORATIVO</t>
        </is>
      </c>
      <c r="AI1355" t="inlineStr">
        <is>
          <t>VSAUCEDO@BANCOBASE.COM</t>
        </is>
      </c>
      <c r="AJ1355" s="151" t="n">
        <v>40399</v>
      </c>
    </row>
    <row r="1356" hidden="1" s="150">
      <c r="A1356" t="inlineStr">
        <is>
          <t>RREGALADO</t>
        </is>
      </c>
      <c r="B1356" t="n">
        <v>2864</v>
      </c>
      <c r="C1356" t="inlineStr">
        <is>
          <t>JOEL RUBEN REGALADO ROMERO</t>
        </is>
      </c>
      <c r="D1356" t="n">
        <v>8075</v>
      </c>
      <c r="E1356" t="inlineStr">
        <is>
          <t>LIDER DE DESARROLLO</t>
        </is>
      </c>
      <c r="F1356" t="inlineStr">
        <is>
          <t>TELETRABAJO</t>
        </is>
      </c>
      <c r="G1356" t="n">
        <v>651</v>
      </c>
      <c r="H1356" t="inlineStr">
        <is>
          <t>VICTOR MANUEL SAUCEDO SEGOVIA</t>
        </is>
      </c>
      <c r="I1356" t="n">
        <v>8273</v>
      </c>
      <c r="J1356" t="inlineStr">
        <is>
          <t>SUBDIRECTOR DE DESARROLLO MD Y CREDITO</t>
        </is>
      </c>
      <c r="K1356" t="n">
        <v>1</v>
      </c>
      <c r="L1356" t="inlineStr">
        <is>
          <t>PRESIDENCIA EJECUTIVA DEL CONSEJO</t>
        </is>
      </c>
      <c r="M1356" t="n">
        <v>40</v>
      </c>
      <c r="N1356" t="inlineStr">
        <is>
          <t>DIRECCION GENERAL BANCO BASE</t>
        </is>
      </c>
      <c r="O1356" t="n">
        <v>310</v>
      </c>
      <c r="P1356" t="inlineStr">
        <is>
          <t>DIRECCION DE TECNOLOGIA</t>
        </is>
      </c>
      <c r="Q1356" t="n">
        <v>3150</v>
      </c>
      <c r="R1356" t="inlineStr">
        <is>
          <t>DESARROLLO DE APLICATIVOS</t>
        </is>
      </c>
      <c r="S1356" t="n">
        <v>31520</v>
      </c>
      <c r="T1356" t="inlineStr">
        <is>
          <t>DESARROLLO DE APLICATIVOS CREDITO</t>
        </is>
      </c>
      <c r="U1356" t="n">
        <v>315200</v>
      </c>
      <c r="V1356" t="inlineStr">
        <is>
          <t>APLICATIVOS 1</t>
        </is>
      </c>
      <c r="W1356" t="n">
        <v>134111</v>
      </c>
      <c r="X1356" t="inlineStr">
        <is>
          <t>LOMAS</t>
        </is>
      </c>
      <c r="Y1356" t="n">
        <v>4</v>
      </c>
      <c r="Z1356" t="inlineStr">
        <is>
          <t>CORPORATIVO</t>
        </is>
      </c>
      <c r="AA1356" t="n">
        <v>1</v>
      </c>
      <c r="AB1356" t="inlineStr">
        <is>
          <t>NEGOCIO EN MARCHA</t>
        </is>
      </c>
      <c r="AC1356" t="n">
        <v>1</v>
      </c>
      <c r="AD1356" t="inlineStr">
        <is>
          <t>BANCO</t>
        </is>
      </c>
      <c r="AE1356" t="n">
        <v>1</v>
      </c>
      <c r="AF1356" t="inlineStr">
        <is>
          <t>BACK</t>
        </is>
      </c>
      <c r="AG1356" t="n">
        <v>134111</v>
      </c>
      <c r="AH1356" t="inlineStr">
        <is>
          <t>LOMAS</t>
        </is>
      </c>
      <c r="AI1356" t="inlineStr">
        <is>
          <t>RREGALADO@BANCOBASE.COM</t>
        </is>
      </c>
      <c r="AJ1356" s="151" t="n">
        <v>45001</v>
      </c>
    </row>
    <row r="1357" hidden="1" s="150">
      <c r="A1357" t="inlineStr">
        <is>
          <t>EGONZALER</t>
        </is>
      </c>
      <c r="B1357" t="n">
        <v>2805</v>
      </c>
      <c r="C1357" t="inlineStr">
        <is>
          <t>SAID ELISEO GONZALEZ REBOLLAR</t>
        </is>
      </c>
      <c r="D1357" t="n">
        <v>8047</v>
      </c>
      <c r="E1357" t="inlineStr">
        <is>
          <t>DESARROLLADOR BACKEND SR</t>
        </is>
      </c>
      <c r="F1357" t="inlineStr">
        <is>
          <t>TELETRABAJO</t>
        </is>
      </c>
      <c r="G1357" t="n">
        <v>2864</v>
      </c>
      <c r="H1357" t="inlineStr">
        <is>
          <t>JOEL RUBEN REGALADO ROMERO</t>
        </is>
      </c>
      <c r="I1357" t="n">
        <v>8075</v>
      </c>
      <c r="J1357" t="inlineStr">
        <is>
          <t>LIDER DE DESARROLLO</t>
        </is>
      </c>
      <c r="K1357" t="n">
        <v>1</v>
      </c>
      <c r="L1357" t="inlineStr">
        <is>
          <t>PRESIDENCIA EJECUTIVA DEL CONSEJO</t>
        </is>
      </c>
      <c r="M1357" t="n">
        <v>40</v>
      </c>
      <c r="N1357" t="inlineStr">
        <is>
          <t>DIRECCION GENERAL BANCO BASE</t>
        </is>
      </c>
      <c r="O1357" t="n">
        <v>310</v>
      </c>
      <c r="P1357" t="inlineStr">
        <is>
          <t>DIRECCION DE TECNOLOGIA</t>
        </is>
      </c>
      <c r="Q1357" t="n">
        <v>3150</v>
      </c>
      <c r="R1357" t="inlineStr">
        <is>
          <t>DESARROLLO DE APLICATIVOS</t>
        </is>
      </c>
      <c r="S1357" t="n">
        <v>31520</v>
      </c>
      <c r="T1357" t="inlineStr">
        <is>
          <t>DESARROLLO DE APLICATIVOS CREDITO</t>
        </is>
      </c>
      <c r="U1357" t="n">
        <v>315200</v>
      </c>
      <c r="V1357" t="inlineStr">
        <is>
          <t>APLICATIVOS 1</t>
        </is>
      </c>
      <c r="W1357" t="n">
        <v>126107</v>
      </c>
      <c r="X1357" t="inlineStr">
        <is>
          <t>GUADALAJARA</t>
        </is>
      </c>
      <c r="Y1357" t="n">
        <v>4</v>
      </c>
      <c r="Z1357" t="inlineStr">
        <is>
          <t>CORPORATIVO</t>
        </is>
      </c>
      <c r="AA1357" t="n">
        <v>1</v>
      </c>
      <c r="AB1357" t="inlineStr">
        <is>
          <t>NEGOCIO EN MARCHA</t>
        </is>
      </c>
      <c r="AC1357" t="n">
        <v>1</v>
      </c>
      <c r="AD1357" t="inlineStr">
        <is>
          <t>BANCO</t>
        </is>
      </c>
      <c r="AE1357" t="n">
        <v>1</v>
      </c>
      <c r="AF1357" t="inlineStr">
        <is>
          <t>BACK</t>
        </is>
      </c>
      <c r="AG1357" t="n">
        <v>134111</v>
      </c>
      <c r="AH1357" t="inlineStr">
        <is>
          <t>LOMAS</t>
        </is>
      </c>
      <c r="AI1357" t="inlineStr">
        <is>
          <t>EGONZALER@BANCOBASE.COM</t>
        </is>
      </c>
      <c r="AJ1357" s="151" t="n">
        <v>44935</v>
      </c>
    </row>
    <row r="1358" hidden="1" s="150">
      <c r="A1358" t="inlineStr">
        <is>
          <t>ELOPEZL</t>
        </is>
      </c>
      <c r="B1358" t="n">
        <v>2806</v>
      </c>
      <c r="C1358" t="inlineStr">
        <is>
          <t>ELEU LOPEZ LOPEZ</t>
        </is>
      </c>
      <c r="D1358" t="n">
        <v>8048</v>
      </c>
      <c r="E1358" t="inlineStr">
        <is>
          <t>DESARROLLADOR FRONTEND SR</t>
        </is>
      </c>
      <c r="F1358" t="inlineStr">
        <is>
          <t>TELETRABAJO</t>
        </is>
      </c>
      <c r="G1358" t="n">
        <v>2864</v>
      </c>
      <c r="H1358" t="inlineStr">
        <is>
          <t>JOEL RUBEN REGALADO ROMERO</t>
        </is>
      </c>
      <c r="I1358" t="n">
        <v>8075</v>
      </c>
      <c r="J1358" t="inlineStr">
        <is>
          <t>LIDER DE DESARROLLO</t>
        </is>
      </c>
      <c r="K1358" t="n">
        <v>1</v>
      </c>
      <c r="L1358" t="inlineStr">
        <is>
          <t>PRESIDENCIA EJECUTIVA DEL CONSEJO</t>
        </is>
      </c>
      <c r="M1358" t="n">
        <v>40</v>
      </c>
      <c r="N1358" t="inlineStr">
        <is>
          <t>DIRECCION GENERAL BANCO BASE</t>
        </is>
      </c>
      <c r="O1358" t="n">
        <v>310</v>
      </c>
      <c r="P1358" t="inlineStr">
        <is>
          <t>DIRECCION DE TECNOLOGIA</t>
        </is>
      </c>
      <c r="Q1358" t="n">
        <v>3150</v>
      </c>
      <c r="R1358" t="inlineStr">
        <is>
          <t>DESARROLLO DE APLICATIVOS</t>
        </is>
      </c>
      <c r="S1358" t="n">
        <v>31520</v>
      </c>
      <c r="T1358" t="inlineStr">
        <is>
          <t>DESARROLLO DE APLICATIVOS CREDITO</t>
        </is>
      </c>
      <c r="U1358" t="n">
        <v>315200</v>
      </c>
      <c r="V1358" t="inlineStr">
        <is>
          <t>APLICATIVOS 1</t>
        </is>
      </c>
      <c r="W1358" t="n">
        <v>134111</v>
      </c>
      <c r="X1358" t="inlineStr">
        <is>
          <t>LOMAS</t>
        </is>
      </c>
      <c r="Y1358" t="n">
        <v>4</v>
      </c>
      <c r="Z1358" t="inlineStr">
        <is>
          <t>CORPORATIVO</t>
        </is>
      </c>
      <c r="AA1358" t="n">
        <v>1</v>
      </c>
      <c r="AB1358" t="inlineStr">
        <is>
          <t>NEGOCIO EN MARCHA</t>
        </is>
      </c>
      <c r="AC1358" t="n">
        <v>1</v>
      </c>
      <c r="AD1358" t="inlineStr">
        <is>
          <t>BANCO</t>
        </is>
      </c>
      <c r="AE1358" t="n">
        <v>1</v>
      </c>
      <c r="AF1358" t="inlineStr">
        <is>
          <t>BACK</t>
        </is>
      </c>
      <c r="AG1358" t="n">
        <v>134111</v>
      </c>
      <c r="AH1358" t="inlineStr">
        <is>
          <t>LOMAS</t>
        </is>
      </c>
      <c r="AI1358" t="inlineStr">
        <is>
          <t>ELOPEZL@BANCOBASE.COM</t>
        </is>
      </c>
      <c r="AJ1358" s="151" t="n">
        <v>44935</v>
      </c>
    </row>
    <row r="1359" hidden="1" s="150">
      <c r="A1359" t="inlineStr">
        <is>
          <t>JAGUAS</t>
        </is>
      </c>
      <c r="B1359" t="n">
        <v>2804</v>
      </c>
      <c r="C1359" t="inlineStr">
        <is>
          <t>JOSE MAURILIO AGUAS ROJAS</t>
        </is>
      </c>
      <c r="D1359" t="n">
        <v>8046</v>
      </c>
      <c r="E1359" t="inlineStr">
        <is>
          <t>DESARROLLADOR FRONTEND SR</t>
        </is>
      </c>
      <c r="F1359" t="inlineStr">
        <is>
          <t>TELETRABAJO</t>
        </is>
      </c>
      <c r="G1359" t="n">
        <v>2864</v>
      </c>
      <c r="H1359" t="inlineStr">
        <is>
          <t>JOEL RUBEN REGALADO ROMERO</t>
        </is>
      </c>
      <c r="I1359" t="n">
        <v>8075</v>
      </c>
      <c r="J1359" t="inlineStr">
        <is>
          <t>LIDER DE DESARROLLO</t>
        </is>
      </c>
      <c r="K1359" t="n">
        <v>1</v>
      </c>
      <c r="L1359" t="inlineStr">
        <is>
          <t>PRESIDENCIA EJECUTIVA DEL CONSEJO</t>
        </is>
      </c>
      <c r="M1359" t="n">
        <v>40</v>
      </c>
      <c r="N1359" t="inlineStr">
        <is>
          <t>DIRECCION GENERAL BANCO BASE</t>
        </is>
      </c>
      <c r="O1359" t="n">
        <v>310</v>
      </c>
      <c r="P1359" t="inlineStr">
        <is>
          <t>DIRECCION DE TECNOLOGIA</t>
        </is>
      </c>
      <c r="Q1359" t="n">
        <v>3150</v>
      </c>
      <c r="R1359" t="inlineStr">
        <is>
          <t>DESARROLLO DE APLICATIVOS</t>
        </is>
      </c>
      <c r="S1359" t="n">
        <v>31520</v>
      </c>
      <c r="T1359" t="inlineStr">
        <is>
          <t>DESARROLLO DE APLICATIVOS CREDITO</t>
        </is>
      </c>
      <c r="U1359" t="n">
        <v>315200</v>
      </c>
      <c r="V1359" t="inlineStr">
        <is>
          <t>APLICATIVOS 1</t>
        </is>
      </c>
      <c r="W1359" t="n">
        <v>134111</v>
      </c>
      <c r="X1359" t="inlineStr">
        <is>
          <t>LOMAS</t>
        </is>
      </c>
      <c r="Y1359" t="n">
        <v>4</v>
      </c>
      <c r="Z1359" t="inlineStr">
        <is>
          <t>CORPORATIVO</t>
        </is>
      </c>
      <c r="AA1359" t="n">
        <v>1</v>
      </c>
      <c r="AB1359" t="inlineStr">
        <is>
          <t>NEGOCIO EN MARCHA</t>
        </is>
      </c>
      <c r="AC1359" t="n">
        <v>1</v>
      </c>
      <c r="AD1359" t="inlineStr">
        <is>
          <t>BANCO</t>
        </is>
      </c>
      <c r="AE1359" t="n">
        <v>1</v>
      </c>
      <c r="AF1359" t="inlineStr">
        <is>
          <t>BACK</t>
        </is>
      </c>
      <c r="AG1359" t="n">
        <v>134111</v>
      </c>
      <c r="AH1359" t="inlineStr">
        <is>
          <t>LOMAS</t>
        </is>
      </c>
      <c r="AI1359" t="inlineStr">
        <is>
          <t>JAGUAS@BANCOBASE.COM</t>
        </is>
      </c>
      <c r="AJ1359" s="151" t="n">
        <v>44935</v>
      </c>
    </row>
    <row r="1360" hidden="1" s="150">
      <c r="A1360" t="inlineStr">
        <is>
          <t>JZUNIGA</t>
        </is>
      </c>
      <c r="B1360" t="n">
        <v>1360</v>
      </c>
      <c r="C1360" t="inlineStr">
        <is>
          <t>JORGE ARTURO ZUÑIGA ALVARADO</t>
        </is>
      </c>
      <c r="D1360" t="n">
        <v>3750</v>
      </c>
      <c r="E1360" t="inlineStr">
        <is>
          <t>DESARROLLADOR BACKEND MID</t>
        </is>
      </c>
      <c r="F1360" t="inlineStr">
        <is>
          <t>TELETRABAJO</t>
        </is>
      </c>
      <c r="G1360" t="n">
        <v>2864</v>
      </c>
      <c r="H1360" t="inlineStr">
        <is>
          <t>JOEL RUBEN REGALADO ROMERO</t>
        </is>
      </c>
      <c r="I1360" t="n">
        <v>8075</v>
      </c>
      <c r="J1360" t="inlineStr">
        <is>
          <t>LIDER DE DESARROLLO</t>
        </is>
      </c>
      <c r="K1360" t="n">
        <v>1</v>
      </c>
      <c r="L1360" t="inlineStr">
        <is>
          <t>PRESIDENCIA EJECUTIVA DEL CONSEJO</t>
        </is>
      </c>
      <c r="M1360" t="n">
        <v>40</v>
      </c>
      <c r="N1360" t="inlineStr">
        <is>
          <t>DIRECCION GENERAL BANCO BASE</t>
        </is>
      </c>
      <c r="O1360" t="n">
        <v>310</v>
      </c>
      <c r="P1360" t="inlineStr">
        <is>
          <t>DIRECCION DE TECNOLOGIA</t>
        </is>
      </c>
      <c r="Q1360" t="n">
        <v>3150</v>
      </c>
      <c r="R1360" t="inlineStr">
        <is>
          <t>DESARROLLO DE APLICATIVOS</t>
        </is>
      </c>
      <c r="S1360" t="n">
        <v>31520</v>
      </c>
      <c r="T1360" t="inlineStr">
        <is>
          <t>DESARROLLO DE APLICATIVOS CREDITO</t>
        </is>
      </c>
      <c r="U1360" t="n">
        <v>315200</v>
      </c>
      <c r="V1360" t="inlineStr">
        <is>
          <t>APLICATIVOS 1</t>
        </is>
      </c>
      <c r="W1360" t="n">
        <v>100101</v>
      </c>
      <c r="X1360" t="inlineStr">
        <is>
          <t>CORPORATIVO</t>
        </is>
      </c>
      <c r="Y1360" t="n">
        <v>4</v>
      </c>
      <c r="Z1360" t="inlineStr">
        <is>
          <t>CORPORATIVO</t>
        </is>
      </c>
      <c r="AA1360" t="n">
        <v>1</v>
      </c>
      <c r="AB1360" t="inlineStr">
        <is>
          <t>NEGOCIO EN MARCHA</t>
        </is>
      </c>
      <c r="AC1360" t="n">
        <v>1</v>
      </c>
      <c r="AD1360" t="inlineStr">
        <is>
          <t>BANCO</t>
        </is>
      </c>
      <c r="AE1360" t="n">
        <v>1</v>
      </c>
      <c r="AF1360" t="inlineStr">
        <is>
          <t>BACK</t>
        </is>
      </c>
      <c r="AG1360" t="n">
        <v>100101</v>
      </c>
      <c r="AH1360" t="inlineStr">
        <is>
          <t>CORPORATIVO</t>
        </is>
      </c>
      <c r="AI1360" t="inlineStr">
        <is>
          <t>JZUNIGA@BANCOBASE.COM</t>
        </is>
      </c>
      <c r="AJ1360" s="151" t="n">
        <v>42248</v>
      </c>
    </row>
    <row r="1361" hidden="1" s="150">
      <c r="A1361" t="inlineStr">
        <is>
          <t>ASALAS</t>
        </is>
      </c>
      <c r="B1361" t="n">
        <v>3424</v>
      </c>
      <c r="C1361" t="inlineStr">
        <is>
          <t>MANUEL ALEJANDRO SALAS CASTELLANOS</t>
        </is>
      </c>
      <c r="D1361" t="n">
        <v>8513</v>
      </c>
      <c r="E1361" t="inlineStr">
        <is>
          <t>LIDER DE DESARROLLO</t>
        </is>
      </c>
      <c r="F1361" t="inlineStr">
        <is>
          <t>TELETRABAJO</t>
        </is>
      </c>
      <c r="G1361" t="n">
        <v>651</v>
      </c>
      <c r="H1361" t="inlineStr">
        <is>
          <t>VICTOR MANUEL SAUCEDO SEGOVIA</t>
        </is>
      </c>
      <c r="I1361" t="n">
        <v>8273</v>
      </c>
      <c r="J1361" t="inlineStr">
        <is>
          <t>SUBDIRECTOR DE DESARROLLO MD Y CREDITO</t>
        </is>
      </c>
      <c r="K1361" t="n">
        <v>1</v>
      </c>
      <c r="L1361" t="inlineStr">
        <is>
          <t>PRESIDENCIA EJECUTIVA DEL CONSEJO</t>
        </is>
      </c>
      <c r="M1361" t="n">
        <v>40</v>
      </c>
      <c r="N1361" t="inlineStr">
        <is>
          <t>DIRECCION GENERAL BANCO BASE</t>
        </is>
      </c>
      <c r="O1361" t="n">
        <v>310</v>
      </c>
      <c r="P1361" t="inlineStr">
        <is>
          <t>DIRECCION DE TECNOLOGIA</t>
        </is>
      </c>
      <c r="Q1361" t="n">
        <v>3150</v>
      </c>
      <c r="R1361" t="inlineStr">
        <is>
          <t>DESARROLLO DE APLICATIVOS</t>
        </is>
      </c>
      <c r="S1361" t="n">
        <v>31520</v>
      </c>
      <c r="T1361" t="inlineStr">
        <is>
          <t>DESARROLLO DE APLICATIVOS CREDITO</t>
        </is>
      </c>
      <c r="U1361" t="n">
        <v>315200</v>
      </c>
      <c r="V1361" t="inlineStr">
        <is>
          <t>APLICATIVOS 1</t>
        </is>
      </c>
      <c r="W1361" t="n">
        <v>100101</v>
      </c>
      <c r="X1361" t="inlineStr">
        <is>
          <t>CORPORATIVO</t>
        </is>
      </c>
      <c r="Y1361" t="n">
        <v>4</v>
      </c>
      <c r="Z1361" t="inlineStr">
        <is>
          <t>CORPORATIVO</t>
        </is>
      </c>
      <c r="AA1361" t="n">
        <v>8</v>
      </c>
      <c r="AB1361" t="inlineStr">
        <is>
          <t>BAU</t>
        </is>
      </c>
      <c r="AC1361" t="n">
        <v>1</v>
      </c>
      <c r="AD1361" t="inlineStr">
        <is>
          <t>BANCO</t>
        </is>
      </c>
      <c r="AE1361" t="n">
        <v>1</v>
      </c>
      <c r="AF1361" t="inlineStr">
        <is>
          <t>BACK</t>
        </is>
      </c>
      <c r="AG1361" t="n">
        <v>100101</v>
      </c>
      <c r="AH1361" t="inlineStr">
        <is>
          <t>CORPORATIVO</t>
        </is>
      </c>
      <c r="AI1361" t="inlineStr">
        <is>
          <t>ASALAS@BANCOBASE.COM</t>
        </is>
      </c>
      <c r="AJ1361" s="151" t="n">
        <v>45782</v>
      </c>
    </row>
    <row r="1362" hidden="1" s="150">
      <c r="A1362" t="inlineStr">
        <is>
          <t>AESTRADA</t>
        </is>
      </c>
      <c r="B1362" t="n">
        <v>3370</v>
      </c>
      <c r="C1362" t="inlineStr">
        <is>
          <t>ALEJANDRO ESTRADA MARES</t>
        </is>
      </c>
      <c r="D1362" t="n">
        <v>8489</v>
      </c>
      <c r="E1362" t="inlineStr">
        <is>
          <t>DESARROLLADOR BACKEND SR</t>
        </is>
      </c>
      <c r="F1362" t="inlineStr">
        <is>
          <t>TELETRABAJO</t>
        </is>
      </c>
      <c r="G1362" t="n">
        <v>3424</v>
      </c>
      <c r="H1362" t="inlineStr">
        <is>
          <t>MANUEL ALEJANDRO SALAS CASTELLANOS</t>
        </is>
      </c>
      <c r="I1362" t="n">
        <v>8513</v>
      </c>
      <c r="J1362" t="inlineStr">
        <is>
          <t>LIDER DE DESARROLLO</t>
        </is>
      </c>
      <c r="K1362" t="n">
        <v>1</v>
      </c>
      <c r="L1362" t="inlineStr">
        <is>
          <t>PRESIDENCIA EJECUTIVA DEL CONSEJO</t>
        </is>
      </c>
      <c r="M1362" t="n">
        <v>40</v>
      </c>
      <c r="N1362" t="inlineStr">
        <is>
          <t>DIRECCION GENERAL BANCO BASE</t>
        </is>
      </c>
      <c r="O1362" t="n">
        <v>310</v>
      </c>
      <c r="P1362" t="inlineStr">
        <is>
          <t>DIRECCION DE TECNOLOGIA</t>
        </is>
      </c>
      <c r="Q1362" t="n">
        <v>3150</v>
      </c>
      <c r="R1362" t="inlineStr">
        <is>
          <t>DESARROLLO DE APLICATIVOS</t>
        </is>
      </c>
      <c r="S1362" t="n">
        <v>31520</v>
      </c>
      <c r="T1362" t="inlineStr">
        <is>
          <t>DESARROLLO DE APLICATIVOS CREDITO</t>
        </is>
      </c>
      <c r="U1362" t="n">
        <v>315200</v>
      </c>
      <c r="V1362" t="inlineStr">
        <is>
          <t>APLICATIVOS 1</t>
        </is>
      </c>
      <c r="W1362" t="n">
        <v>134111</v>
      </c>
      <c r="X1362" t="inlineStr">
        <is>
          <t>LOMAS</t>
        </is>
      </c>
      <c r="Y1362" t="n">
        <v>4</v>
      </c>
      <c r="Z1362" t="inlineStr">
        <is>
          <t>CORPORATIVO</t>
        </is>
      </c>
      <c r="AA1362" t="n">
        <v>8</v>
      </c>
      <c r="AB1362" t="inlineStr">
        <is>
          <t>BAU</t>
        </is>
      </c>
      <c r="AC1362" t="n">
        <v>1</v>
      </c>
      <c r="AD1362" t="inlineStr">
        <is>
          <t>BANCO</t>
        </is>
      </c>
      <c r="AE1362" t="n">
        <v>1</v>
      </c>
      <c r="AF1362" t="inlineStr">
        <is>
          <t>BACK</t>
        </is>
      </c>
      <c r="AG1362" t="n">
        <v>134111</v>
      </c>
      <c r="AH1362" t="inlineStr">
        <is>
          <t>LOMAS</t>
        </is>
      </c>
      <c r="AI1362" t="inlineStr">
        <is>
          <t>AESTRADA@BANCOBASE.COM</t>
        </is>
      </c>
      <c r="AJ1362" s="151" t="n">
        <v>45734</v>
      </c>
    </row>
    <row r="1363" hidden="1" s="150">
      <c r="A1363" t="inlineStr">
        <is>
          <t>BLUNAR</t>
        </is>
      </c>
      <c r="B1363" t="n">
        <v>2844</v>
      </c>
      <c r="C1363" t="inlineStr">
        <is>
          <t>BERNABE LUNA RAMIREZ</t>
        </is>
      </c>
      <c r="D1363" t="n">
        <v>8078</v>
      </c>
      <c r="E1363" t="inlineStr">
        <is>
          <t>DESARROLLADOR BACKEND SR</t>
        </is>
      </c>
      <c r="F1363" t="inlineStr">
        <is>
          <t>TELETRABAJO</t>
        </is>
      </c>
      <c r="G1363" t="n">
        <v>3424</v>
      </c>
      <c r="H1363" t="inlineStr">
        <is>
          <t>MANUEL ALEJANDRO SALAS CASTELLANOS</t>
        </is>
      </c>
      <c r="I1363" t="n">
        <v>8513</v>
      </c>
      <c r="J1363" t="inlineStr">
        <is>
          <t>LIDER DE DESARROLLO</t>
        </is>
      </c>
      <c r="K1363" t="n">
        <v>1</v>
      </c>
      <c r="L1363" t="inlineStr">
        <is>
          <t>PRESIDENCIA EJECUTIVA DEL CONSEJO</t>
        </is>
      </c>
      <c r="M1363" t="n">
        <v>40</v>
      </c>
      <c r="N1363" t="inlineStr">
        <is>
          <t>DIRECCION GENERAL BANCO BASE</t>
        </is>
      </c>
      <c r="O1363" t="n">
        <v>310</v>
      </c>
      <c r="P1363" t="inlineStr">
        <is>
          <t>DIRECCION DE TECNOLOGIA</t>
        </is>
      </c>
      <c r="Q1363" t="n">
        <v>3150</v>
      </c>
      <c r="R1363" t="inlineStr">
        <is>
          <t>DESARROLLO DE APLICATIVOS</t>
        </is>
      </c>
      <c r="S1363" t="n">
        <v>31520</v>
      </c>
      <c r="T1363" t="inlineStr">
        <is>
          <t>DESARROLLO DE APLICATIVOS CREDITO</t>
        </is>
      </c>
      <c r="U1363" t="n">
        <v>315200</v>
      </c>
      <c r="V1363" t="inlineStr">
        <is>
          <t>APLICATIVOS 1</t>
        </is>
      </c>
      <c r="W1363" t="n">
        <v>100101</v>
      </c>
      <c r="X1363" t="inlineStr">
        <is>
          <t>CORPORATIVO</t>
        </is>
      </c>
      <c r="Y1363" t="n">
        <v>4</v>
      </c>
      <c r="Z1363" t="inlineStr">
        <is>
          <t>CORPORATIVO</t>
        </is>
      </c>
      <c r="AA1363" t="n">
        <v>1</v>
      </c>
      <c r="AB1363" t="inlineStr">
        <is>
          <t>NEGOCIO EN MARCHA</t>
        </is>
      </c>
      <c r="AC1363" t="n">
        <v>1</v>
      </c>
      <c r="AD1363" t="inlineStr">
        <is>
          <t>BANCO</t>
        </is>
      </c>
      <c r="AE1363" t="n">
        <v>1</v>
      </c>
      <c r="AF1363" t="inlineStr">
        <is>
          <t>BACK</t>
        </is>
      </c>
      <c r="AG1363" t="n">
        <v>100101</v>
      </c>
      <c r="AH1363" t="inlineStr">
        <is>
          <t>CORPORATIVO</t>
        </is>
      </c>
      <c r="AI1363" t="inlineStr">
        <is>
          <t>BLUNAR@BANCOBASE.COM</t>
        </is>
      </c>
      <c r="AJ1363" s="151" t="n">
        <v>44986</v>
      </c>
    </row>
    <row r="1364" hidden="1" s="150">
      <c r="A1364" t="inlineStr">
        <is>
          <t>PBENAVIDES</t>
        </is>
      </c>
      <c r="B1364" t="n">
        <v>3371</v>
      </c>
      <c r="C1364" t="inlineStr">
        <is>
          <t>PABLO BENAVIDES MOLINA</t>
        </is>
      </c>
      <c r="D1364" t="n">
        <v>8490</v>
      </c>
      <c r="E1364" t="inlineStr">
        <is>
          <t>DESARROLLADOR BACKEND SR</t>
        </is>
      </c>
      <c r="F1364" t="inlineStr">
        <is>
          <t>TELETRABAJO</t>
        </is>
      </c>
      <c r="G1364" t="n">
        <v>3424</v>
      </c>
      <c r="H1364" t="inlineStr">
        <is>
          <t>MANUEL ALEJANDRO SALAS CASTELLANOS</t>
        </is>
      </c>
      <c r="I1364" t="n">
        <v>8513</v>
      </c>
      <c r="J1364" t="inlineStr">
        <is>
          <t>LIDER DE DESARROLLO</t>
        </is>
      </c>
      <c r="K1364" t="n">
        <v>1</v>
      </c>
      <c r="L1364" t="inlineStr">
        <is>
          <t>PRESIDENCIA EJECUTIVA DEL CONSEJO</t>
        </is>
      </c>
      <c r="M1364" t="n">
        <v>40</v>
      </c>
      <c r="N1364" t="inlineStr">
        <is>
          <t>DIRECCION GENERAL BANCO BASE</t>
        </is>
      </c>
      <c r="O1364" t="n">
        <v>310</v>
      </c>
      <c r="P1364" t="inlineStr">
        <is>
          <t>DIRECCION DE TECNOLOGIA</t>
        </is>
      </c>
      <c r="Q1364" t="n">
        <v>3150</v>
      </c>
      <c r="R1364" t="inlineStr">
        <is>
          <t>DESARROLLO DE APLICATIVOS</t>
        </is>
      </c>
      <c r="S1364" t="n">
        <v>31520</v>
      </c>
      <c r="T1364" t="inlineStr">
        <is>
          <t>DESARROLLO DE APLICATIVOS CREDITO</t>
        </is>
      </c>
      <c r="U1364" t="n">
        <v>315200</v>
      </c>
      <c r="V1364" t="inlineStr">
        <is>
          <t>APLICATIVOS 1</t>
        </is>
      </c>
      <c r="W1364" t="n">
        <v>100101</v>
      </c>
      <c r="X1364" t="inlineStr">
        <is>
          <t>CORPORATIVO</t>
        </is>
      </c>
      <c r="Y1364" t="n">
        <v>4</v>
      </c>
      <c r="Z1364" t="inlineStr">
        <is>
          <t>CORPORATIVO</t>
        </is>
      </c>
      <c r="AA1364" t="n">
        <v>8</v>
      </c>
      <c r="AB1364" t="inlineStr">
        <is>
          <t>BAU</t>
        </is>
      </c>
      <c r="AC1364" t="n">
        <v>1</v>
      </c>
      <c r="AD1364" t="inlineStr">
        <is>
          <t>BANCO</t>
        </is>
      </c>
      <c r="AE1364" t="n">
        <v>1</v>
      </c>
      <c r="AF1364" t="inlineStr">
        <is>
          <t>BACK</t>
        </is>
      </c>
      <c r="AG1364" t="n">
        <v>100101</v>
      </c>
      <c r="AH1364" t="inlineStr">
        <is>
          <t>CORPORATIVO</t>
        </is>
      </c>
      <c r="AI1364" t="inlineStr">
        <is>
          <t>PBENAVIDES@BANCOBASE.COM</t>
        </is>
      </c>
      <c r="AJ1364" s="151" t="n">
        <v>45734</v>
      </c>
    </row>
    <row r="1365" hidden="1" s="150">
      <c r="A1365" t="inlineStr">
        <is>
          <t>UGARCIA</t>
        </is>
      </c>
      <c r="B1365" t="n">
        <v>3313</v>
      </c>
      <c r="C1365" t="inlineStr">
        <is>
          <t>ULISES GARCIA CAMINO</t>
        </is>
      </c>
      <c r="D1365" t="n">
        <v>8502</v>
      </c>
      <c r="E1365" t="inlineStr">
        <is>
          <t>ANALISTA FUNCIONAL</t>
        </is>
      </c>
      <c r="F1365" t="inlineStr">
        <is>
          <t>TELETRABAJO</t>
        </is>
      </c>
      <c r="G1365" t="n">
        <v>3424</v>
      </c>
      <c r="H1365" t="inlineStr">
        <is>
          <t>MANUEL ALEJANDRO SALAS CASTELLANOS</t>
        </is>
      </c>
      <c r="I1365" t="n">
        <v>8513</v>
      </c>
      <c r="J1365" t="inlineStr">
        <is>
          <t>LIDER DE DESARROLLO</t>
        </is>
      </c>
      <c r="K1365" t="n">
        <v>1</v>
      </c>
      <c r="L1365" t="inlineStr">
        <is>
          <t>PRESIDENCIA EJECUTIVA DEL CONSEJO</t>
        </is>
      </c>
      <c r="M1365" t="n">
        <v>40</v>
      </c>
      <c r="N1365" t="inlineStr">
        <is>
          <t>DIRECCION GENERAL BANCO BASE</t>
        </is>
      </c>
      <c r="O1365" t="n">
        <v>310</v>
      </c>
      <c r="P1365" t="inlineStr">
        <is>
          <t>DIRECCION DE TECNOLOGIA</t>
        </is>
      </c>
      <c r="Q1365" t="n">
        <v>3150</v>
      </c>
      <c r="R1365" t="inlineStr">
        <is>
          <t>DESARROLLO DE APLICATIVOS</t>
        </is>
      </c>
      <c r="S1365" t="n">
        <v>31520</v>
      </c>
      <c r="T1365" t="inlineStr">
        <is>
          <t>DESARROLLO DE APLICATIVOS CREDITO</t>
        </is>
      </c>
      <c r="U1365" t="n">
        <v>315200</v>
      </c>
      <c r="V1365" t="inlineStr">
        <is>
          <t>APLICATIVOS 1</t>
        </is>
      </c>
      <c r="W1365" t="n">
        <v>134111</v>
      </c>
      <c r="X1365" t="inlineStr">
        <is>
          <t>LOMAS</t>
        </is>
      </c>
      <c r="Y1365" t="n">
        <v>4</v>
      </c>
      <c r="Z1365" t="inlineStr">
        <is>
          <t>CORPORATIVO</t>
        </is>
      </c>
      <c r="AA1365" t="n">
        <v>8</v>
      </c>
      <c r="AB1365" t="inlineStr">
        <is>
          <t>BAU</t>
        </is>
      </c>
      <c r="AC1365" t="n">
        <v>1</v>
      </c>
      <c r="AD1365" t="inlineStr">
        <is>
          <t>BANCO</t>
        </is>
      </c>
      <c r="AE1365" t="n">
        <v>1</v>
      </c>
      <c r="AF1365" t="inlineStr">
        <is>
          <t>BACK</t>
        </is>
      </c>
      <c r="AG1365" t="n">
        <v>134111</v>
      </c>
      <c r="AH1365" t="inlineStr">
        <is>
          <t>LOMAS</t>
        </is>
      </c>
      <c r="AI1365" t="inlineStr">
        <is>
          <t>UGARCIA@BANCOBASE.COM</t>
        </is>
      </c>
      <c r="AJ1365" s="151" t="n">
        <v>45663</v>
      </c>
    </row>
    <row r="1366" hidden="1" s="150">
      <c r="A1366" t="inlineStr">
        <is>
          <t>CGAYTAN</t>
        </is>
      </c>
      <c r="B1366" t="n">
        <v>1642</v>
      </c>
      <c r="C1366" t="inlineStr">
        <is>
          <t>CARLOS ALBERTO GAYTAN CEDILLO</t>
        </is>
      </c>
      <c r="D1366" t="n">
        <v>8376</v>
      </c>
      <c r="E1366" t="inlineStr">
        <is>
          <t>SUBDIRECTOR DE DESARROLLO SERVICIOS CORE</t>
        </is>
      </c>
      <c r="F1366" t="inlineStr">
        <is>
          <t>TELETRABAJO</t>
        </is>
      </c>
      <c r="G1366" t="n">
        <v>2626</v>
      </c>
      <c r="H1366" t="inlineStr">
        <is>
          <t>NESTOR DARVY ARCHULETA BARRERA</t>
        </is>
      </c>
      <c r="I1366" t="n">
        <v>10109</v>
      </c>
      <c r="J1366" t="inlineStr">
        <is>
          <t>DIRECTOR DE DESARROLLO</t>
        </is>
      </c>
      <c r="K1366" t="n">
        <v>1</v>
      </c>
      <c r="L1366" t="inlineStr">
        <is>
          <t>PRESIDENCIA EJECUTIVA DEL CONSEJO</t>
        </is>
      </c>
      <c r="M1366" t="n">
        <v>40</v>
      </c>
      <c r="N1366" t="inlineStr">
        <is>
          <t>DIRECCION GENERAL BANCO BASE</t>
        </is>
      </c>
      <c r="O1366" t="n">
        <v>310</v>
      </c>
      <c r="P1366" t="inlineStr">
        <is>
          <t>DIRECCION DE TECNOLOGIA</t>
        </is>
      </c>
      <c r="Q1366" t="n">
        <v>3150</v>
      </c>
      <c r="R1366" t="inlineStr">
        <is>
          <t>DESARROLLO DE APLICATIVOS</t>
        </is>
      </c>
      <c r="S1366" t="n">
        <v>31540</v>
      </c>
      <c r="T1366" t="inlineStr">
        <is>
          <t>DESARROLLO DE APLICATIVOS SERVICIOS CORE</t>
        </is>
      </c>
      <c r="U1366" t="n">
        <v>315400</v>
      </c>
      <c r="V1366" t="inlineStr">
        <is>
          <t>APLICATIVOS 3</t>
        </is>
      </c>
      <c r="W1366" t="n">
        <v>100101</v>
      </c>
      <c r="X1366" t="inlineStr">
        <is>
          <t>CORPORATIVO</t>
        </is>
      </c>
      <c r="Y1366" t="n">
        <v>4</v>
      </c>
      <c r="Z1366" t="inlineStr">
        <is>
          <t>CORPORATIVO</t>
        </is>
      </c>
      <c r="AA1366" t="n">
        <v>1</v>
      </c>
      <c r="AB1366" t="inlineStr">
        <is>
          <t>NEGOCIO EN MARCHA</t>
        </is>
      </c>
      <c r="AC1366" t="n">
        <v>1</v>
      </c>
      <c r="AD1366" t="inlineStr">
        <is>
          <t>BANCO</t>
        </is>
      </c>
      <c r="AE1366" t="n">
        <v>1</v>
      </c>
      <c r="AF1366" t="inlineStr">
        <is>
          <t>BACK</t>
        </is>
      </c>
      <c r="AG1366" t="n">
        <v>100101</v>
      </c>
      <c r="AH1366" t="inlineStr">
        <is>
          <t>CORPORATIVO</t>
        </is>
      </c>
      <c r="AI1366" t="inlineStr">
        <is>
          <t>CGAYTAN@BANCOBASE.COM</t>
        </is>
      </c>
      <c r="AJ1366" s="151" t="n">
        <v>42667</v>
      </c>
    </row>
    <row r="1367" hidden="1" s="150">
      <c r="A1367" t="inlineStr">
        <is>
          <t>DTREJO</t>
        </is>
      </c>
      <c r="B1367" t="n">
        <v>2663</v>
      </c>
      <c r="C1367" t="inlineStr">
        <is>
          <t>DIEGO ALEJANDRO TREJO ANGELINO</t>
        </is>
      </c>
      <c r="D1367" t="n">
        <v>9042</v>
      </c>
      <c r="E1367" t="inlineStr">
        <is>
          <t>LIDER DE DESARROLLO</t>
        </is>
      </c>
      <c r="F1367" t="inlineStr">
        <is>
          <t>TELETRABAJO</t>
        </is>
      </c>
      <c r="G1367" t="n">
        <v>1642</v>
      </c>
      <c r="H1367" t="inlineStr">
        <is>
          <t>CARLOS ALBERTO GAYTAN CEDILLO</t>
        </is>
      </c>
      <c r="I1367" t="n">
        <v>8376</v>
      </c>
      <c r="J1367" t="inlineStr">
        <is>
          <t>SUBDIRECTOR DE DESARROLLO SERVICIOS CORE</t>
        </is>
      </c>
      <c r="K1367" t="n">
        <v>1</v>
      </c>
      <c r="L1367" t="inlineStr">
        <is>
          <t>PRESIDENCIA EJECUTIVA DEL CONSEJO</t>
        </is>
      </c>
      <c r="M1367" t="n">
        <v>40</v>
      </c>
      <c r="N1367" t="inlineStr">
        <is>
          <t>DIRECCION GENERAL BANCO BASE</t>
        </is>
      </c>
      <c r="O1367" t="n">
        <v>310</v>
      </c>
      <c r="P1367" t="inlineStr">
        <is>
          <t>DIRECCION DE TECNOLOGIA</t>
        </is>
      </c>
      <c r="Q1367" t="n">
        <v>3150</v>
      </c>
      <c r="R1367" t="inlineStr">
        <is>
          <t>DESARROLLO DE APLICATIVOS</t>
        </is>
      </c>
      <c r="S1367" t="n">
        <v>31540</v>
      </c>
      <c r="T1367" t="inlineStr">
        <is>
          <t>DESARROLLO DE APLICATIVOS SERVICIOS CORE</t>
        </is>
      </c>
      <c r="U1367" t="n">
        <v>315400</v>
      </c>
      <c r="V1367" t="inlineStr">
        <is>
          <t>APLICATIVOS 3</t>
        </is>
      </c>
      <c r="W1367" t="n">
        <v>134111</v>
      </c>
      <c r="X1367" t="inlineStr">
        <is>
          <t>LOMAS</t>
        </is>
      </c>
      <c r="Y1367" t="n">
        <v>4</v>
      </c>
      <c r="Z1367" t="inlineStr">
        <is>
          <t>CORPORATIVO</t>
        </is>
      </c>
      <c r="AA1367" t="n">
        <v>1</v>
      </c>
      <c r="AB1367" t="inlineStr">
        <is>
          <t>NEGOCIO EN MARCHA</t>
        </is>
      </c>
      <c r="AC1367" t="n">
        <v>1</v>
      </c>
      <c r="AD1367" t="inlineStr">
        <is>
          <t>BANCO</t>
        </is>
      </c>
      <c r="AE1367" t="n">
        <v>1</v>
      </c>
      <c r="AF1367" t="inlineStr">
        <is>
          <t>BACK</t>
        </is>
      </c>
      <c r="AG1367" t="n">
        <v>134111</v>
      </c>
      <c r="AH1367" t="inlineStr">
        <is>
          <t>LOMAS</t>
        </is>
      </c>
      <c r="AI1367" t="inlineStr">
        <is>
          <t>DTREJO@BANCOBASE.COM</t>
        </is>
      </c>
      <c r="AJ1367" s="151" t="n">
        <v>44718</v>
      </c>
    </row>
    <row r="1368" hidden="1" s="150">
      <c r="A1368" t="inlineStr">
        <is>
          <t>CGOMEZS</t>
        </is>
      </c>
      <c r="B1368" t="n">
        <v>2691</v>
      </c>
      <c r="C1368" t="inlineStr">
        <is>
          <t>CARLOS GOMEZ SECUNDINO</t>
        </is>
      </c>
      <c r="D1368" t="n">
        <v>9048</v>
      </c>
      <c r="E1368" t="inlineStr">
        <is>
          <t>DESARROLLADOR BACKEND SR</t>
        </is>
      </c>
      <c r="F1368" t="inlineStr">
        <is>
          <t>TELETRABAJO</t>
        </is>
      </c>
      <c r="G1368" t="n">
        <v>2663</v>
      </c>
      <c r="H1368" t="inlineStr">
        <is>
          <t>DIEGO ALEJANDRO TREJO ANGELINO</t>
        </is>
      </c>
      <c r="I1368" t="n">
        <v>9042</v>
      </c>
      <c r="J1368" t="inlineStr">
        <is>
          <t>LIDER DE DESARROLLO</t>
        </is>
      </c>
      <c r="K1368" t="n">
        <v>1</v>
      </c>
      <c r="L1368" t="inlineStr">
        <is>
          <t>PRESIDENCIA EJECUTIVA DEL CONSEJO</t>
        </is>
      </c>
      <c r="M1368" t="n">
        <v>40</v>
      </c>
      <c r="N1368" t="inlineStr">
        <is>
          <t>DIRECCION GENERAL BANCO BASE</t>
        </is>
      </c>
      <c r="O1368" t="n">
        <v>310</v>
      </c>
      <c r="P1368" t="inlineStr">
        <is>
          <t>DIRECCION DE TECNOLOGIA</t>
        </is>
      </c>
      <c r="Q1368" t="n">
        <v>3150</v>
      </c>
      <c r="R1368" t="inlineStr">
        <is>
          <t>DESARROLLO DE APLICATIVOS</t>
        </is>
      </c>
      <c r="S1368" t="n">
        <v>31540</v>
      </c>
      <c r="T1368" t="inlineStr">
        <is>
          <t>DESARROLLO DE APLICATIVOS SERVICIOS CORE</t>
        </is>
      </c>
      <c r="U1368" t="n">
        <v>315400</v>
      </c>
      <c r="V1368" t="inlineStr">
        <is>
          <t>APLICATIVOS 3</t>
        </is>
      </c>
      <c r="W1368" t="n">
        <v>134111</v>
      </c>
      <c r="X1368" t="inlineStr">
        <is>
          <t>LOMAS</t>
        </is>
      </c>
      <c r="Y1368" t="n">
        <v>4</v>
      </c>
      <c r="Z1368" t="inlineStr">
        <is>
          <t>CORPORATIVO</t>
        </is>
      </c>
      <c r="AA1368" t="n">
        <v>1</v>
      </c>
      <c r="AB1368" t="inlineStr">
        <is>
          <t>NEGOCIO EN MARCHA</t>
        </is>
      </c>
      <c r="AC1368" t="n">
        <v>1</v>
      </c>
      <c r="AD1368" t="inlineStr">
        <is>
          <t>BANCO</t>
        </is>
      </c>
      <c r="AE1368" t="n">
        <v>1</v>
      </c>
      <c r="AF1368" t="inlineStr">
        <is>
          <t>BACK</t>
        </is>
      </c>
      <c r="AG1368" t="n">
        <v>134111</v>
      </c>
      <c r="AH1368" t="inlineStr">
        <is>
          <t>LOMAS</t>
        </is>
      </c>
      <c r="AI1368" t="inlineStr">
        <is>
          <t>CGOMEZS@BANCOBASE.COM</t>
        </is>
      </c>
      <c r="AJ1368" s="151" t="n">
        <v>44760</v>
      </c>
    </row>
    <row r="1369" hidden="1" s="150">
      <c r="A1369" t="inlineStr">
        <is>
          <t>GREYES</t>
        </is>
      </c>
      <c r="B1369" t="n">
        <v>3372</v>
      </c>
      <c r="C1369" t="inlineStr">
        <is>
          <t>GABRIEL OSCAR REYES SEVERIANO</t>
        </is>
      </c>
      <c r="D1369" t="n">
        <v>8497</v>
      </c>
      <c r="E1369" t="inlineStr">
        <is>
          <t>DESARROLLADOR BACKEND SR</t>
        </is>
      </c>
      <c r="F1369" t="inlineStr">
        <is>
          <t>TELETRABAJO</t>
        </is>
      </c>
      <c r="G1369" t="n">
        <v>2663</v>
      </c>
      <c r="H1369" t="inlineStr">
        <is>
          <t>DIEGO ALEJANDRO TREJO ANGELINO</t>
        </is>
      </c>
      <c r="I1369" t="n">
        <v>9042</v>
      </c>
      <c r="J1369" t="inlineStr">
        <is>
          <t>LIDER DE DESARROLLO</t>
        </is>
      </c>
      <c r="K1369" t="n">
        <v>1</v>
      </c>
      <c r="L1369" t="inlineStr">
        <is>
          <t>PRESIDENCIA EJECUTIVA DEL CONSEJO</t>
        </is>
      </c>
      <c r="M1369" t="n">
        <v>40</v>
      </c>
      <c r="N1369" t="inlineStr">
        <is>
          <t>DIRECCION GENERAL BANCO BASE</t>
        </is>
      </c>
      <c r="O1369" t="n">
        <v>310</v>
      </c>
      <c r="P1369" t="inlineStr">
        <is>
          <t>DIRECCION DE TECNOLOGIA</t>
        </is>
      </c>
      <c r="Q1369" t="n">
        <v>3150</v>
      </c>
      <c r="R1369" t="inlineStr">
        <is>
          <t>DESARROLLO DE APLICATIVOS</t>
        </is>
      </c>
      <c r="S1369" t="n">
        <v>31540</v>
      </c>
      <c r="T1369" t="inlineStr">
        <is>
          <t>DESARROLLO DE APLICATIVOS SERVICIOS CORE</t>
        </is>
      </c>
      <c r="U1369" t="n">
        <v>315400</v>
      </c>
      <c r="V1369" t="inlineStr">
        <is>
          <t>APLICATIVOS 3</t>
        </is>
      </c>
      <c r="W1369" t="n">
        <v>134111</v>
      </c>
      <c r="X1369" t="inlineStr">
        <is>
          <t>LOMAS</t>
        </is>
      </c>
      <c r="Y1369" t="n">
        <v>4</v>
      </c>
      <c r="Z1369" t="inlineStr">
        <is>
          <t>CORPORATIVO</t>
        </is>
      </c>
      <c r="AA1369" t="n">
        <v>8</v>
      </c>
      <c r="AB1369" t="inlineStr">
        <is>
          <t>BAU</t>
        </is>
      </c>
      <c r="AC1369" t="n">
        <v>1</v>
      </c>
      <c r="AD1369" t="inlineStr">
        <is>
          <t>BANCO</t>
        </is>
      </c>
      <c r="AE1369" t="n">
        <v>1</v>
      </c>
      <c r="AF1369" t="inlineStr">
        <is>
          <t>BACK</t>
        </is>
      </c>
      <c r="AG1369" t="n">
        <v>134111</v>
      </c>
      <c r="AH1369" t="inlineStr">
        <is>
          <t>LOMAS</t>
        </is>
      </c>
      <c r="AI1369" t="inlineStr">
        <is>
          <t>GREYES@BANCOBASE.COM</t>
        </is>
      </c>
      <c r="AJ1369" s="151" t="n">
        <v>45734</v>
      </c>
    </row>
    <row r="1370" hidden="1" s="150">
      <c r="A1370" t="inlineStr">
        <is>
          <t>JPEREZM</t>
        </is>
      </c>
      <c r="B1370" t="n">
        <v>2934</v>
      </c>
      <c r="C1370" t="inlineStr">
        <is>
          <t>JOSUE ELI PEREZ MORALES</t>
        </is>
      </c>
      <c r="D1370" t="n">
        <v>8186</v>
      </c>
      <c r="E1370" t="inlineStr">
        <is>
          <t>LIDER DE DESARROLLO</t>
        </is>
      </c>
      <c r="F1370" t="inlineStr">
        <is>
          <t>TELETRABAJO</t>
        </is>
      </c>
      <c r="G1370" t="n">
        <v>1642</v>
      </c>
      <c r="H1370" t="inlineStr">
        <is>
          <t>CARLOS ALBERTO GAYTAN CEDILLO</t>
        </is>
      </c>
      <c r="I1370" t="n">
        <v>8376</v>
      </c>
      <c r="J1370" t="inlineStr">
        <is>
          <t>SUBDIRECTOR DE DESARROLLO SERVICIOS CORE</t>
        </is>
      </c>
      <c r="K1370" t="n">
        <v>1</v>
      </c>
      <c r="L1370" t="inlineStr">
        <is>
          <t>PRESIDENCIA EJECUTIVA DEL CONSEJO</t>
        </is>
      </c>
      <c r="M1370" t="n">
        <v>40</v>
      </c>
      <c r="N1370" t="inlineStr">
        <is>
          <t>DIRECCION GENERAL BANCO BASE</t>
        </is>
      </c>
      <c r="O1370" t="n">
        <v>310</v>
      </c>
      <c r="P1370" t="inlineStr">
        <is>
          <t>DIRECCION DE TECNOLOGIA</t>
        </is>
      </c>
      <c r="Q1370" t="n">
        <v>3150</v>
      </c>
      <c r="R1370" t="inlineStr">
        <is>
          <t>DESARROLLO DE APLICATIVOS</t>
        </is>
      </c>
      <c r="S1370" t="n">
        <v>31540</v>
      </c>
      <c r="T1370" t="inlineStr">
        <is>
          <t>DESARROLLO DE APLICATIVOS SERVICIOS CORE</t>
        </is>
      </c>
      <c r="U1370" t="n">
        <v>315400</v>
      </c>
      <c r="V1370" t="inlineStr">
        <is>
          <t>APLICATIVOS 3</t>
        </is>
      </c>
      <c r="W1370" t="n">
        <v>134111</v>
      </c>
      <c r="X1370" t="inlineStr">
        <is>
          <t>LOMAS</t>
        </is>
      </c>
      <c r="Y1370" t="n">
        <v>4</v>
      </c>
      <c r="Z1370" t="inlineStr">
        <is>
          <t>CORPORATIVO</t>
        </is>
      </c>
      <c r="AA1370" t="n">
        <v>1</v>
      </c>
      <c r="AB1370" t="inlineStr">
        <is>
          <t>NEGOCIO EN MARCHA</t>
        </is>
      </c>
      <c r="AC1370" t="n">
        <v>1</v>
      </c>
      <c r="AD1370" t="inlineStr">
        <is>
          <t>BANCO</t>
        </is>
      </c>
      <c r="AE1370" t="n">
        <v>1</v>
      </c>
      <c r="AF1370" t="inlineStr">
        <is>
          <t>BACK</t>
        </is>
      </c>
      <c r="AG1370" t="n">
        <v>134111</v>
      </c>
      <c r="AH1370" t="inlineStr">
        <is>
          <t>LOMAS</t>
        </is>
      </c>
      <c r="AI1370" t="inlineStr">
        <is>
          <t>JPEREZM@BANCOBASE.COM</t>
        </is>
      </c>
      <c r="AJ1370" s="151" t="n">
        <v>45139</v>
      </c>
    </row>
    <row r="1371" hidden="1" s="150">
      <c r="A1371" t="inlineStr">
        <is>
          <t>AMARTINEG</t>
        </is>
      </c>
      <c r="B1371" t="n">
        <v>2802</v>
      </c>
      <c r="C1371" t="inlineStr">
        <is>
          <t>ANGEL JUAN MARTINEZ GARCIA</t>
        </is>
      </c>
      <c r="D1371" t="n">
        <v>8044</v>
      </c>
      <c r="E1371" t="inlineStr">
        <is>
          <t>DESARROLLADOR BACKEND SR</t>
        </is>
      </c>
      <c r="F1371" t="inlineStr">
        <is>
          <t>TELETRABAJO</t>
        </is>
      </c>
      <c r="G1371" t="n">
        <v>2934</v>
      </c>
      <c r="H1371" t="inlineStr">
        <is>
          <t>JOSUE ELI PEREZ MORALES</t>
        </is>
      </c>
      <c r="I1371" t="n">
        <v>8186</v>
      </c>
      <c r="J1371" t="inlineStr">
        <is>
          <t>LIDER DE DESARROLLO</t>
        </is>
      </c>
      <c r="K1371" t="n">
        <v>1</v>
      </c>
      <c r="L1371" t="inlineStr">
        <is>
          <t>PRESIDENCIA EJECUTIVA DEL CONSEJO</t>
        </is>
      </c>
      <c r="M1371" t="n">
        <v>40</v>
      </c>
      <c r="N1371" t="inlineStr">
        <is>
          <t>DIRECCION GENERAL BANCO BASE</t>
        </is>
      </c>
      <c r="O1371" t="n">
        <v>310</v>
      </c>
      <c r="P1371" t="inlineStr">
        <is>
          <t>DIRECCION DE TECNOLOGIA</t>
        </is>
      </c>
      <c r="Q1371" t="n">
        <v>3150</v>
      </c>
      <c r="R1371" t="inlineStr">
        <is>
          <t>DESARROLLO DE APLICATIVOS</t>
        </is>
      </c>
      <c r="S1371" t="n">
        <v>31540</v>
      </c>
      <c r="T1371" t="inlineStr">
        <is>
          <t>DESARROLLO DE APLICATIVOS SERVICIOS CORE</t>
        </is>
      </c>
      <c r="U1371" t="n">
        <v>315400</v>
      </c>
      <c r="V1371" t="inlineStr">
        <is>
          <t>APLICATIVOS 3</t>
        </is>
      </c>
      <c r="W1371" t="n">
        <v>134111</v>
      </c>
      <c r="X1371" t="inlineStr">
        <is>
          <t>LOMAS</t>
        </is>
      </c>
      <c r="Y1371" t="n">
        <v>4</v>
      </c>
      <c r="Z1371" t="inlineStr">
        <is>
          <t>CORPORATIVO</t>
        </is>
      </c>
      <c r="AA1371" t="n">
        <v>1</v>
      </c>
      <c r="AB1371" t="inlineStr">
        <is>
          <t>NEGOCIO EN MARCHA</t>
        </is>
      </c>
      <c r="AC1371" t="n">
        <v>1</v>
      </c>
      <c r="AD1371" t="inlineStr">
        <is>
          <t>BANCO</t>
        </is>
      </c>
      <c r="AE1371" t="n">
        <v>1</v>
      </c>
      <c r="AF1371" t="inlineStr">
        <is>
          <t>BACK</t>
        </is>
      </c>
      <c r="AG1371" t="n">
        <v>134111</v>
      </c>
      <c r="AH1371" t="inlineStr">
        <is>
          <t>LOMAS</t>
        </is>
      </c>
      <c r="AI1371" t="inlineStr">
        <is>
          <t>AMARTINEG@BANCOBASE.COM</t>
        </is>
      </c>
      <c r="AJ1371" s="151" t="n">
        <v>44930</v>
      </c>
    </row>
    <row r="1372" hidden="1" s="150">
      <c r="A1372" t="inlineStr">
        <is>
          <t>DRAMIREZJ</t>
        </is>
      </c>
      <c r="B1372" t="n">
        <v>3398</v>
      </c>
      <c r="C1372" t="inlineStr">
        <is>
          <t>DEINER RAMIREZ JUAREZ</t>
        </is>
      </c>
      <c r="D1372" t="n">
        <v>8499</v>
      </c>
      <c r="E1372" t="inlineStr">
        <is>
          <t>DESARROLLADOR BACKEND SR</t>
        </is>
      </c>
      <c r="F1372" t="inlineStr">
        <is>
          <t>TELETRABAJO</t>
        </is>
      </c>
      <c r="G1372" t="n">
        <v>2934</v>
      </c>
      <c r="H1372" t="inlineStr">
        <is>
          <t>JOSUE ELI PEREZ MORALES</t>
        </is>
      </c>
      <c r="I1372" t="n">
        <v>8186</v>
      </c>
      <c r="J1372" t="inlineStr">
        <is>
          <t>LIDER DE DESARROLLO</t>
        </is>
      </c>
      <c r="K1372" t="n">
        <v>1</v>
      </c>
      <c r="L1372" t="inlineStr">
        <is>
          <t>PRESIDENCIA EJECUTIVA DEL CONSEJO</t>
        </is>
      </c>
      <c r="M1372" t="n">
        <v>40</v>
      </c>
      <c r="N1372" t="inlineStr">
        <is>
          <t>DIRECCION GENERAL BANCO BASE</t>
        </is>
      </c>
      <c r="O1372" t="n">
        <v>310</v>
      </c>
      <c r="P1372" t="inlineStr">
        <is>
          <t>DIRECCION DE TECNOLOGIA</t>
        </is>
      </c>
      <c r="Q1372" t="n">
        <v>3150</v>
      </c>
      <c r="R1372" t="inlineStr">
        <is>
          <t>DESARROLLO DE APLICATIVOS</t>
        </is>
      </c>
      <c r="S1372" t="n">
        <v>31540</v>
      </c>
      <c r="T1372" t="inlineStr">
        <is>
          <t>DESARROLLO DE APLICATIVOS SERVICIOS CORE</t>
        </is>
      </c>
      <c r="U1372" t="n">
        <v>315400</v>
      </c>
      <c r="V1372" t="inlineStr">
        <is>
          <t>APLICATIVOS 3</t>
        </is>
      </c>
      <c r="W1372" t="n">
        <v>134111</v>
      </c>
      <c r="X1372" t="inlineStr">
        <is>
          <t>LOMAS</t>
        </is>
      </c>
      <c r="Y1372" t="n">
        <v>4</v>
      </c>
      <c r="Z1372" t="inlineStr">
        <is>
          <t>CORPORATIVO</t>
        </is>
      </c>
      <c r="AA1372" t="n">
        <v>8</v>
      </c>
      <c r="AB1372" t="inlineStr">
        <is>
          <t>BAU</t>
        </is>
      </c>
      <c r="AC1372" t="n">
        <v>1</v>
      </c>
      <c r="AD1372" t="inlineStr">
        <is>
          <t>BANCO</t>
        </is>
      </c>
      <c r="AE1372" t="n">
        <v>1</v>
      </c>
      <c r="AF1372" t="inlineStr">
        <is>
          <t>BACK</t>
        </is>
      </c>
      <c r="AG1372" t="n">
        <v>134111</v>
      </c>
      <c r="AH1372" t="inlineStr">
        <is>
          <t>LOMAS</t>
        </is>
      </c>
      <c r="AI1372" t="inlineStr">
        <is>
          <t>DRAMIREZJ@BANCOBASE.COM</t>
        </is>
      </c>
      <c r="AJ1372" s="151" t="n">
        <v>45768</v>
      </c>
    </row>
    <row r="1373" hidden="1" s="150">
      <c r="A1373" t="inlineStr">
        <is>
          <t>MMOSQUEDA</t>
        </is>
      </c>
      <c r="B1373" t="n">
        <v>2830</v>
      </c>
      <c r="C1373" t="inlineStr">
        <is>
          <t>MARIANA MOSQUEDA LEON</t>
        </is>
      </c>
      <c r="D1373" t="n">
        <v>8085</v>
      </c>
      <c r="E1373" t="inlineStr">
        <is>
          <t>DESARROLLADOR BACKEND JR</t>
        </is>
      </c>
      <c r="F1373" t="inlineStr">
        <is>
          <t>TELETRABAJO</t>
        </is>
      </c>
      <c r="G1373" t="n">
        <v>2934</v>
      </c>
      <c r="H1373" t="inlineStr">
        <is>
          <t>JOSUE ELI PEREZ MORALES</t>
        </is>
      </c>
      <c r="I1373" t="n">
        <v>8186</v>
      </c>
      <c r="J1373" t="inlineStr">
        <is>
          <t>LIDER DE DESARROLLO</t>
        </is>
      </c>
      <c r="K1373" t="n">
        <v>1</v>
      </c>
      <c r="L1373" t="inlineStr">
        <is>
          <t>PRESIDENCIA EJECUTIVA DEL CONSEJO</t>
        </is>
      </c>
      <c r="M1373" t="n">
        <v>40</v>
      </c>
      <c r="N1373" t="inlineStr">
        <is>
          <t>DIRECCION GENERAL BANCO BASE</t>
        </is>
      </c>
      <c r="O1373" t="n">
        <v>310</v>
      </c>
      <c r="P1373" t="inlineStr">
        <is>
          <t>DIRECCION DE TECNOLOGIA</t>
        </is>
      </c>
      <c r="Q1373" t="n">
        <v>3150</v>
      </c>
      <c r="R1373" t="inlineStr">
        <is>
          <t>DESARROLLO DE APLICATIVOS</t>
        </is>
      </c>
      <c r="S1373" t="n">
        <v>31540</v>
      </c>
      <c r="T1373" t="inlineStr">
        <is>
          <t>DESARROLLO DE APLICATIVOS SERVICIOS CORE</t>
        </is>
      </c>
      <c r="U1373" t="n">
        <v>315400</v>
      </c>
      <c r="V1373" t="inlineStr">
        <is>
          <t>APLICATIVOS 3</t>
        </is>
      </c>
      <c r="W1373" t="n">
        <v>126112</v>
      </c>
      <c r="X1373" t="inlineStr">
        <is>
          <t>QUERETARO</t>
        </is>
      </c>
      <c r="Y1373" t="n">
        <v>4</v>
      </c>
      <c r="Z1373" t="inlineStr">
        <is>
          <t>CORPORATIVO</t>
        </is>
      </c>
      <c r="AA1373" t="n">
        <v>1</v>
      </c>
      <c r="AB1373" t="inlineStr">
        <is>
          <t>NEGOCIO EN MARCHA</t>
        </is>
      </c>
      <c r="AC1373" t="n">
        <v>1</v>
      </c>
      <c r="AD1373" t="inlineStr">
        <is>
          <t>BANCO</t>
        </is>
      </c>
      <c r="AE1373" t="n">
        <v>1</v>
      </c>
      <c r="AF1373" t="inlineStr">
        <is>
          <t>BACK</t>
        </is>
      </c>
      <c r="AG1373" t="n">
        <v>126112</v>
      </c>
      <c r="AH1373" t="inlineStr">
        <is>
          <t>QUERETARO</t>
        </is>
      </c>
      <c r="AI1373" t="inlineStr">
        <is>
          <t>MMOSQUEDA@BANCOBASE.COM</t>
        </is>
      </c>
      <c r="AJ1373" s="151" t="n">
        <v>44973</v>
      </c>
    </row>
    <row r="1374" hidden="1" s="150">
      <c r="A1374" t="inlineStr">
        <is>
          <t>OCARRASCO</t>
        </is>
      </c>
      <c r="B1374" t="n">
        <v>3833</v>
      </c>
      <c r="C1374" t="inlineStr">
        <is>
          <t>OMAR CARRASCO LOPEZ</t>
        </is>
      </c>
      <c r="D1374" t="n">
        <v>5073</v>
      </c>
      <c r="E1374" t="inlineStr">
        <is>
          <t>DESARROLLADOR BACKEND SR</t>
        </is>
      </c>
      <c r="F1374" t="inlineStr">
        <is>
          <t>TELETRABAJO</t>
        </is>
      </c>
      <c r="G1374" t="n">
        <v>2934</v>
      </c>
      <c r="H1374" t="inlineStr">
        <is>
          <t>JOSUE ELI PEREZ MORALES</t>
        </is>
      </c>
      <c r="I1374" t="n">
        <v>8186</v>
      </c>
      <c r="J1374" t="inlineStr">
        <is>
          <t>LIDER DE DESARROLLO</t>
        </is>
      </c>
      <c r="K1374" t="n">
        <v>1</v>
      </c>
      <c r="L1374" t="inlineStr">
        <is>
          <t>PRESIDENCIA EJECUTIVA DEL CONSEJO</t>
        </is>
      </c>
      <c r="M1374" t="n">
        <v>40</v>
      </c>
      <c r="N1374" t="inlineStr">
        <is>
          <t>DIRECCION GENERAL BANCO BASE</t>
        </is>
      </c>
      <c r="O1374" t="n">
        <v>310</v>
      </c>
      <c r="P1374" t="inlineStr">
        <is>
          <t>DIRECCION DE TECNOLOGIA</t>
        </is>
      </c>
      <c r="Q1374" t="n">
        <v>3150</v>
      </c>
      <c r="R1374" t="inlineStr">
        <is>
          <t>DESARROLLO DE APLICATIVOS</t>
        </is>
      </c>
      <c r="S1374" t="n">
        <v>31540</v>
      </c>
      <c r="T1374" t="inlineStr">
        <is>
          <t>DESARROLLO DE APLICATIVOS SERVICIOS CORE</t>
        </is>
      </c>
      <c r="U1374" t="n">
        <v>315400</v>
      </c>
      <c r="V1374" t="inlineStr">
        <is>
          <t>APLICATIVOS 3</t>
        </is>
      </c>
      <c r="W1374" t="n">
        <v>134111</v>
      </c>
      <c r="X1374" t="inlineStr">
        <is>
          <t>LOMAS</t>
        </is>
      </c>
      <c r="Y1374" t="n">
        <v>4</v>
      </c>
      <c r="Z1374" t="inlineStr">
        <is>
          <t>CORPORATIVO</t>
        </is>
      </c>
      <c r="AA1374" t="n">
        <v>1</v>
      </c>
      <c r="AB1374" t="inlineStr">
        <is>
          <t>NEGOCIO EN MARCHA</t>
        </is>
      </c>
      <c r="AC1374" t="n">
        <v>1</v>
      </c>
      <c r="AD1374" t="inlineStr">
        <is>
          <t>BANCO</t>
        </is>
      </c>
      <c r="AE1374" t="n">
        <v>1</v>
      </c>
      <c r="AF1374" t="inlineStr">
        <is>
          <t>BACK</t>
        </is>
      </c>
      <c r="AG1374" t="n">
        <v>134111</v>
      </c>
      <c r="AH1374" t="inlineStr">
        <is>
          <t>LOMAS</t>
        </is>
      </c>
      <c r="AI1374" t="inlineStr">
        <is>
          <t>OCARRASCO@BANCOBASE.COM</t>
        </is>
      </c>
      <c r="AJ1374" s="151" t="n">
        <v>46128</v>
      </c>
    </row>
    <row r="1375" hidden="1" s="150">
      <c r="A1375" t="inlineStr">
        <is>
          <t>FMIGUEL</t>
        </is>
      </c>
      <c r="B1375" t="n">
        <v>2918</v>
      </c>
      <c r="C1375" t="inlineStr">
        <is>
          <t>FABIAN MIGUEL OLIVARES</t>
        </is>
      </c>
      <c r="D1375" t="n">
        <v>8171</v>
      </c>
      <c r="E1375" t="inlineStr">
        <is>
          <t>LIDER DE DESARROLLO</t>
        </is>
      </c>
      <c r="F1375" t="inlineStr">
        <is>
          <t>TELETRABAJO</t>
        </is>
      </c>
      <c r="G1375" t="n">
        <v>1642</v>
      </c>
      <c r="H1375" t="inlineStr">
        <is>
          <t>CARLOS ALBERTO GAYTAN CEDILLO</t>
        </is>
      </c>
      <c r="I1375" t="n">
        <v>8376</v>
      </c>
      <c r="J1375" t="inlineStr">
        <is>
          <t>SUBDIRECTOR DE DESARROLLO SERVICIOS CORE</t>
        </is>
      </c>
      <c r="K1375" t="n">
        <v>1</v>
      </c>
      <c r="L1375" t="inlineStr">
        <is>
          <t>PRESIDENCIA EJECUTIVA DEL CONSEJO</t>
        </is>
      </c>
      <c r="M1375" t="n">
        <v>40</v>
      </c>
      <c r="N1375" t="inlineStr">
        <is>
          <t>DIRECCION GENERAL BANCO BASE</t>
        </is>
      </c>
      <c r="O1375" t="n">
        <v>310</v>
      </c>
      <c r="P1375" t="inlineStr">
        <is>
          <t>DIRECCION DE TECNOLOGIA</t>
        </is>
      </c>
      <c r="Q1375" t="n">
        <v>3150</v>
      </c>
      <c r="R1375" t="inlineStr">
        <is>
          <t>DESARROLLO DE APLICATIVOS</t>
        </is>
      </c>
      <c r="S1375" t="n">
        <v>31540</v>
      </c>
      <c r="T1375" t="inlineStr">
        <is>
          <t>DESARROLLO DE APLICATIVOS SERVICIOS CORE</t>
        </is>
      </c>
      <c r="U1375" t="n">
        <v>315400</v>
      </c>
      <c r="V1375" t="inlineStr">
        <is>
          <t>APLICATIVOS 3</t>
        </is>
      </c>
      <c r="W1375" t="n">
        <v>134111</v>
      </c>
      <c r="X1375" t="inlineStr">
        <is>
          <t>LOMAS</t>
        </is>
      </c>
      <c r="Y1375" t="n">
        <v>4</v>
      </c>
      <c r="Z1375" t="inlineStr">
        <is>
          <t>CORPORATIVO</t>
        </is>
      </c>
      <c r="AA1375" t="n">
        <v>1</v>
      </c>
      <c r="AB1375" t="inlineStr">
        <is>
          <t>NEGOCIO EN MARCHA</t>
        </is>
      </c>
      <c r="AC1375" t="n">
        <v>1</v>
      </c>
      <c r="AD1375" t="inlineStr">
        <is>
          <t>BANCO</t>
        </is>
      </c>
      <c r="AE1375" t="n">
        <v>1</v>
      </c>
      <c r="AF1375" t="inlineStr">
        <is>
          <t>BACK</t>
        </is>
      </c>
      <c r="AG1375" t="n">
        <v>134111</v>
      </c>
      <c r="AH1375" t="inlineStr">
        <is>
          <t>LOMAS</t>
        </is>
      </c>
      <c r="AI1375" t="inlineStr">
        <is>
          <t>FMIGUEL@BANCOBASE.COM</t>
        </is>
      </c>
      <c r="AJ1375" s="151" t="n">
        <v>45110</v>
      </c>
    </row>
    <row r="1376" hidden="1" s="150">
      <c r="A1376" t="inlineStr">
        <is>
          <t>FCORTEZ</t>
        </is>
      </c>
      <c r="B1376" t="n">
        <v>3283</v>
      </c>
      <c r="C1376" t="inlineStr">
        <is>
          <t>MARIO FERNANDO CORTEZ DE LA ROSA</t>
        </is>
      </c>
      <c r="D1376" t="n">
        <v>8479</v>
      </c>
      <c r="E1376" t="inlineStr">
        <is>
          <t>DESARROLLADOR BACKEND SR</t>
        </is>
      </c>
      <c r="F1376" t="inlineStr">
        <is>
          <t>MONTERREY</t>
        </is>
      </c>
      <c r="G1376" t="n">
        <v>2918</v>
      </c>
      <c r="H1376" t="inlineStr">
        <is>
          <t>FABIAN MIGUEL OLIVARES</t>
        </is>
      </c>
      <c r="I1376" t="n">
        <v>8171</v>
      </c>
      <c r="J1376" t="inlineStr">
        <is>
          <t>LIDER DE DESARROLLO</t>
        </is>
      </c>
      <c r="K1376" t="n">
        <v>1</v>
      </c>
      <c r="L1376" t="inlineStr">
        <is>
          <t>PRESIDENCIA EJECUTIVA DEL CONSEJO</t>
        </is>
      </c>
      <c r="M1376" t="n">
        <v>40</v>
      </c>
      <c r="N1376" t="inlineStr">
        <is>
          <t>DIRECCION GENERAL BANCO BASE</t>
        </is>
      </c>
      <c r="O1376" t="n">
        <v>310</v>
      </c>
      <c r="P1376" t="inlineStr">
        <is>
          <t>DIRECCION DE TECNOLOGIA</t>
        </is>
      </c>
      <c r="Q1376" t="n">
        <v>3150</v>
      </c>
      <c r="R1376" t="inlineStr">
        <is>
          <t>DESARROLLO DE APLICATIVOS</t>
        </is>
      </c>
      <c r="S1376" t="n">
        <v>31540</v>
      </c>
      <c r="T1376" t="inlineStr">
        <is>
          <t>DESARROLLO DE APLICATIVOS SERVICIOS CORE</t>
        </is>
      </c>
      <c r="U1376" t="n">
        <v>315400</v>
      </c>
      <c r="V1376" t="inlineStr">
        <is>
          <t>APLICATIVOS 3</t>
        </is>
      </c>
      <c r="W1376" t="n">
        <v>100101</v>
      </c>
      <c r="X1376" t="inlineStr">
        <is>
          <t>CORPORATIVO</t>
        </is>
      </c>
      <c r="Y1376" t="n">
        <v>4</v>
      </c>
      <c r="Z1376" t="inlineStr">
        <is>
          <t>CORPORATIVO</t>
        </is>
      </c>
      <c r="AA1376" t="n">
        <v>8</v>
      </c>
      <c r="AB1376" t="inlineStr">
        <is>
          <t>BAU</t>
        </is>
      </c>
      <c r="AC1376" t="n">
        <v>1</v>
      </c>
      <c r="AD1376" t="inlineStr">
        <is>
          <t>BANCO</t>
        </is>
      </c>
      <c r="AE1376" t="n">
        <v>1</v>
      </c>
      <c r="AF1376" t="inlineStr">
        <is>
          <t>BACK</t>
        </is>
      </c>
      <c r="AG1376" t="n">
        <v>100101</v>
      </c>
      <c r="AH1376" t="inlineStr">
        <is>
          <t>CORPORATIVO</t>
        </is>
      </c>
      <c r="AI1376" t="inlineStr">
        <is>
          <t>FCORTEZ@BANCOBASE.COM</t>
        </is>
      </c>
      <c r="AJ1376" s="151" t="n">
        <v>45628</v>
      </c>
    </row>
    <row r="1377" hidden="1" s="150">
      <c r="A1377" t="inlineStr">
        <is>
          <t>JNAVA</t>
        </is>
      </c>
      <c r="B1377" t="n">
        <v>3357</v>
      </c>
      <c r="C1377" t="inlineStr">
        <is>
          <t>JOSE ADRIAN NAVA AVENDAÑO</t>
        </is>
      </c>
      <c r="D1377" t="n">
        <v>8496</v>
      </c>
      <c r="E1377" t="inlineStr">
        <is>
          <t>DESARROLLADOR BACKEND SR</t>
        </is>
      </c>
      <c r="F1377" t="inlineStr">
        <is>
          <t>TELETRABAJO</t>
        </is>
      </c>
      <c r="G1377" t="n">
        <v>2918</v>
      </c>
      <c r="H1377" t="inlineStr">
        <is>
          <t>FABIAN MIGUEL OLIVARES</t>
        </is>
      </c>
      <c r="I1377" t="n">
        <v>8171</v>
      </c>
      <c r="J1377" t="inlineStr">
        <is>
          <t>LIDER DE DESARROLLO</t>
        </is>
      </c>
      <c r="K1377" t="n">
        <v>1</v>
      </c>
      <c r="L1377" t="inlineStr">
        <is>
          <t>PRESIDENCIA EJECUTIVA DEL CONSEJO</t>
        </is>
      </c>
      <c r="M1377" t="n">
        <v>40</v>
      </c>
      <c r="N1377" t="inlineStr">
        <is>
          <t>DIRECCION GENERAL BANCO BASE</t>
        </is>
      </c>
      <c r="O1377" t="n">
        <v>310</v>
      </c>
      <c r="P1377" t="inlineStr">
        <is>
          <t>DIRECCION DE TECNOLOGIA</t>
        </is>
      </c>
      <c r="Q1377" t="n">
        <v>3150</v>
      </c>
      <c r="R1377" t="inlineStr">
        <is>
          <t>DESARROLLO DE APLICATIVOS</t>
        </is>
      </c>
      <c r="S1377" t="n">
        <v>31540</v>
      </c>
      <c r="T1377" t="inlineStr">
        <is>
          <t>DESARROLLO DE APLICATIVOS SERVICIOS CORE</t>
        </is>
      </c>
      <c r="U1377" t="n">
        <v>315400</v>
      </c>
      <c r="V1377" t="inlineStr">
        <is>
          <t>APLICATIVOS 3</t>
        </is>
      </c>
      <c r="W1377" t="n">
        <v>134111</v>
      </c>
      <c r="X1377" t="inlineStr">
        <is>
          <t>LOMAS</t>
        </is>
      </c>
      <c r="Y1377" t="n">
        <v>4</v>
      </c>
      <c r="Z1377" t="inlineStr">
        <is>
          <t>CORPORATIVO</t>
        </is>
      </c>
      <c r="AA1377" t="n">
        <v>8</v>
      </c>
      <c r="AB1377" t="inlineStr">
        <is>
          <t>BAU</t>
        </is>
      </c>
      <c r="AC1377" t="n">
        <v>1</v>
      </c>
      <c r="AD1377" t="inlineStr">
        <is>
          <t>BANCO</t>
        </is>
      </c>
      <c r="AE1377" t="n">
        <v>1</v>
      </c>
      <c r="AF1377" t="inlineStr">
        <is>
          <t>BACK</t>
        </is>
      </c>
      <c r="AG1377" t="n">
        <v>134111</v>
      </c>
      <c r="AH1377" t="inlineStr">
        <is>
          <t>LOMAS</t>
        </is>
      </c>
      <c r="AI1377" t="inlineStr">
        <is>
          <t>JNAVA@BANCOBASE.COM</t>
        </is>
      </c>
      <c r="AJ1377" s="151" t="n">
        <v>45719</v>
      </c>
    </row>
    <row r="1378" hidden="1" s="150">
      <c r="A1378" t="inlineStr">
        <is>
          <t>CMARTINEZM</t>
        </is>
      </c>
      <c r="B1378" t="n">
        <v>2355</v>
      </c>
      <c r="C1378" t="inlineStr">
        <is>
          <t>CITLALI MARTINEZ MARTINEZ</t>
        </is>
      </c>
      <c r="D1378" t="n">
        <v>9443</v>
      </c>
      <c r="E1378" t="inlineStr">
        <is>
          <t>LIDER DE DESARROLLO DE APLICACIONES DE MEDIOS DE PAGO</t>
        </is>
      </c>
      <c r="F1378" t="inlineStr">
        <is>
          <t>TELETRABAJO</t>
        </is>
      </c>
      <c r="G1378" t="n">
        <v>1642</v>
      </c>
      <c r="H1378" t="inlineStr">
        <is>
          <t>CARLOS ALBERTO GAYTAN CEDILLO</t>
        </is>
      </c>
      <c r="I1378" t="n">
        <v>8376</v>
      </c>
      <c r="J1378" t="inlineStr">
        <is>
          <t>SUBDIRECTOR DE DESARROLLO SERVICIOS CORE</t>
        </is>
      </c>
      <c r="K1378" t="n">
        <v>1</v>
      </c>
      <c r="L1378" t="inlineStr">
        <is>
          <t>PRESIDENCIA EJECUTIVA DEL CONSEJO</t>
        </is>
      </c>
      <c r="M1378" t="n">
        <v>40</v>
      </c>
      <c r="N1378" t="inlineStr">
        <is>
          <t>DIRECCION GENERAL BANCO BASE</t>
        </is>
      </c>
      <c r="O1378" t="n">
        <v>310</v>
      </c>
      <c r="P1378" t="inlineStr">
        <is>
          <t>DIRECCION DE TECNOLOGIA</t>
        </is>
      </c>
      <c r="Q1378" t="n">
        <v>3150</v>
      </c>
      <c r="R1378" t="inlineStr">
        <is>
          <t>DESARROLLO DE APLICATIVOS</t>
        </is>
      </c>
      <c r="S1378" t="n">
        <v>31540</v>
      </c>
      <c r="T1378" t="inlineStr">
        <is>
          <t>DESARROLLO DE APLICATIVOS SERVICIOS CORE</t>
        </is>
      </c>
      <c r="U1378" t="n">
        <v>315400</v>
      </c>
      <c r="V1378" t="inlineStr">
        <is>
          <t>APLICATIVOS 3</t>
        </is>
      </c>
      <c r="W1378" t="n">
        <v>100101</v>
      </c>
      <c r="X1378" t="inlineStr">
        <is>
          <t>CORPORATIVO</t>
        </is>
      </c>
      <c r="Y1378" t="n">
        <v>4</v>
      </c>
      <c r="Z1378" t="inlineStr">
        <is>
          <t>CORPORATIVO</t>
        </is>
      </c>
      <c r="AA1378" t="n">
        <v>1</v>
      </c>
      <c r="AB1378" t="inlineStr">
        <is>
          <t>NEGOCIO EN MARCHA</t>
        </is>
      </c>
      <c r="AC1378" t="n">
        <v>1</v>
      </c>
      <c r="AD1378" t="inlineStr">
        <is>
          <t>BANCO</t>
        </is>
      </c>
      <c r="AE1378" t="n">
        <v>1</v>
      </c>
      <c r="AF1378" t="inlineStr">
        <is>
          <t>BACK</t>
        </is>
      </c>
      <c r="AG1378" t="n">
        <v>100101</v>
      </c>
      <c r="AH1378" t="inlineStr">
        <is>
          <t>CORPORATIVO</t>
        </is>
      </c>
      <c r="AI1378" t="inlineStr">
        <is>
          <t>CMARTINEZM@BANCOBASE.COM</t>
        </is>
      </c>
      <c r="AJ1378" s="151" t="n">
        <v>43801</v>
      </c>
    </row>
    <row r="1379" hidden="1" s="150">
      <c r="A1379" t="inlineStr">
        <is>
          <t>DMORENOC</t>
        </is>
      </c>
      <c r="B1379" t="n">
        <v>3486</v>
      </c>
      <c r="C1379" t="inlineStr">
        <is>
          <t>DIANA MORENO CHAVEZ</t>
        </is>
      </c>
      <c r="D1379" t="n">
        <v>8307</v>
      </c>
      <c r="E1379" t="inlineStr">
        <is>
          <t>DESARROLLADOR BACKEND JR</t>
        </is>
      </c>
      <c r="F1379" t="inlineStr">
        <is>
          <t>TELETRABAJO</t>
        </is>
      </c>
      <c r="G1379" t="n">
        <v>2355</v>
      </c>
      <c r="H1379" t="inlineStr">
        <is>
          <t>CITLALI MARTINEZ MARTINEZ</t>
        </is>
      </c>
      <c r="I1379" t="n">
        <v>9443</v>
      </c>
      <c r="J1379" t="inlineStr">
        <is>
          <t>LIDER DE DESARROLLO DE APLICACIONES DE MEDIOS DE PAGO</t>
        </is>
      </c>
      <c r="K1379" t="n">
        <v>1</v>
      </c>
      <c r="L1379" t="inlineStr">
        <is>
          <t>PRESIDENCIA EJECUTIVA DEL CONSEJO</t>
        </is>
      </c>
      <c r="M1379" t="n">
        <v>40</v>
      </c>
      <c r="N1379" t="inlineStr">
        <is>
          <t>DIRECCION GENERAL BANCO BASE</t>
        </is>
      </c>
      <c r="O1379" t="n">
        <v>310</v>
      </c>
      <c r="P1379" t="inlineStr">
        <is>
          <t>DIRECCION DE TECNOLOGIA</t>
        </is>
      </c>
      <c r="Q1379" t="n">
        <v>3150</v>
      </c>
      <c r="R1379" t="inlineStr">
        <is>
          <t>DESARROLLO DE APLICATIVOS</t>
        </is>
      </c>
      <c r="S1379" t="n">
        <v>31540</v>
      </c>
      <c r="T1379" t="inlineStr">
        <is>
          <t>DESARROLLO DE APLICATIVOS SERVICIOS CORE</t>
        </is>
      </c>
      <c r="U1379" t="n">
        <v>315400</v>
      </c>
      <c r="V1379" t="inlineStr">
        <is>
          <t>APLICATIVOS 3</t>
        </is>
      </c>
      <c r="W1379" t="n">
        <v>126128</v>
      </c>
      <c r="X1379" t="inlineStr">
        <is>
          <t>LEON</t>
        </is>
      </c>
      <c r="Y1379" t="n">
        <v>4</v>
      </c>
      <c r="Z1379" t="inlineStr">
        <is>
          <t>CORPORATIVO</t>
        </is>
      </c>
      <c r="AA1379" t="n">
        <v>1</v>
      </c>
      <c r="AB1379" t="inlineStr">
        <is>
          <t>NEGOCIO EN MARCHA</t>
        </is>
      </c>
      <c r="AC1379" t="n">
        <v>1</v>
      </c>
      <c r="AD1379" t="inlineStr">
        <is>
          <t>BANCO</t>
        </is>
      </c>
      <c r="AE1379" t="n">
        <v>1</v>
      </c>
      <c r="AF1379" t="inlineStr">
        <is>
          <t>BACK</t>
        </is>
      </c>
      <c r="AG1379" t="n">
        <v>126128</v>
      </c>
      <c r="AH1379" t="inlineStr">
        <is>
          <t>LEON</t>
        </is>
      </c>
      <c r="AI1379" t="inlineStr">
        <is>
          <t>DMORENOC@BANCOBASE.COM</t>
        </is>
      </c>
      <c r="AJ1379" s="151" t="n">
        <v>45854</v>
      </c>
    </row>
    <row r="1380" hidden="1" s="150">
      <c r="A1380" t="inlineStr">
        <is>
          <t>SDIAZG</t>
        </is>
      </c>
      <c r="B1380" t="n">
        <v>3487</v>
      </c>
      <c r="C1380" t="inlineStr">
        <is>
          <t>SERGIO ALEJANDRO DIAZ GONZALEZ</t>
        </is>
      </c>
      <c r="D1380" t="n">
        <v>8306</v>
      </c>
      <c r="E1380" t="inlineStr">
        <is>
          <t>DESARROLLADOR BACKEND JR</t>
        </is>
      </c>
      <c r="F1380" t="inlineStr">
        <is>
          <t>TELETRABAJO</t>
        </is>
      </c>
      <c r="G1380" t="n">
        <v>2355</v>
      </c>
      <c r="H1380" t="inlineStr">
        <is>
          <t>CITLALI MARTINEZ MARTINEZ</t>
        </is>
      </c>
      <c r="I1380" t="n">
        <v>9443</v>
      </c>
      <c r="J1380" t="inlineStr">
        <is>
          <t>LIDER DE DESARROLLO DE APLICACIONES DE MEDIOS DE PAGO</t>
        </is>
      </c>
      <c r="K1380" t="n">
        <v>1</v>
      </c>
      <c r="L1380" t="inlineStr">
        <is>
          <t>PRESIDENCIA EJECUTIVA DEL CONSEJO</t>
        </is>
      </c>
      <c r="M1380" t="n">
        <v>40</v>
      </c>
      <c r="N1380" t="inlineStr">
        <is>
          <t>DIRECCION GENERAL BANCO BASE</t>
        </is>
      </c>
      <c r="O1380" t="n">
        <v>310</v>
      </c>
      <c r="P1380" t="inlineStr">
        <is>
          <t>DIRECCION DE TECNOLOGIA</t>
        </is>
      </c>
      <c r="Q1380" t="n">
        <v>3150</v>
      </c>
      <c r="R1380" t="inlineStr">
        <is>
          <t>DESARROLLO DE APLICATIVOS</t>
        </is>
      </c>
      <c r="S1380" t="n">
        <v>31540</v>
      </c>
      <c r="T1380" t="inlineStr">
        <is>
          <t>DESARROLLO DE APLICATIVOS SERVICIOS CORE</t>
        </is>
      </c>
      <c r="U1380" t="n">
        <v>315400</v>
      </c>
      <c r="V1380" t="inlineStr">
        <is>
          <t>APLICATIVOS 3</t>
        </is>
      </c>
      <c r="W1380" t="n">
        <v>134111</v>
      </c>
      <c r="X1380" t="inlineStr">
        <is>
          <t>LOMAS</t>
        </is>
      </c>
      <c r="Y1380" t="n">
        <v>4</v>
      </c>
      <c r="Z1380" t="inlineStr">
        <is>
          <t>CORPORATIVO</t>
        </is>
      </c>
      <c r="AA1380" t="n">
        <v>1</v>
      </c>
      <c r="AB1380" t="inlineStr">
        <is>
          <t>NEGOCIO EN MARCHA</t>
        </is>
      </c>
      <c r="AC1380" t="n">
        <v>1</v>
      </c>
      <c r="AD1380" t="inlineStr">
        <is>
          <t>BANCO</t>
        </is>
      </c>
      <c r="AE1380" t="n">
        <v>1</v>
      </c>
      <c r="AF1380" t="inlineStr">
        <is>
          <t>BACK</t>
        </is>
      </c>
      <c r="AG1380" t="n">
        <v>134111</v>
      </c>
      <c r="AH1380" t="inlineStr">
        <is>
          <t>LOMAS</t>
        </is>
      </c>
      <c r="AI1380" t="inlineStr">
        <is>
          <t>SDIAZG@BANCOBASE.COM</t>
        </is>
      </c>
      <c r="AJ1380" s="151" t="n">
        <v>45854</v>
      </c>
    </row>
    <row r="1381" hidden="1" s="150">
      <c r="A1381" t="inlineStr">
        <is>
          <t>KHERNANDEC</t>
        </is>
      </c>
      <c r="B1381" t="n">
        <v>3683</v>
      </c>
      <c r="C1381" t="inlineStr">
        <is>
          <t>KEVIN HERNANDEZ CABRERA</t>
        </is>
      </c>
      <c r="D1381" t="n">
        <v>8702</v>
      </c>
      <c r="E1381" t="inlineStr">
        <is>
          <t>DESARROLLADOR BACKEND JR</t>
        </is>
      </c>
      <c r="F1381" t="inlineStr">
        <is>
          <t>TELETRABAJO</t>
        </is>
      </c>
      <c r="G1381" t="n">
        <v>2355</v>
      </c>
      <c r="H1381" t="inlineStr">
        <is>
          <t>CITLALI MARTINEZ MARTINEZ</t>
        </is>
      </c>
      <c r="I1381" t="n">
        <v>9443</v>
      </c>
      <c r="J1381" t="inlineStr">
        <is>
          <t>LIDER DE DESARROLLO DE APLICACIONES DE MEDIOS DE PAGO</t>
        </is>
      </c>
      <c r="K1381" t="n">
        <v>1</v>
      </c>
      <c r="L1381" t="inlineStr">
        <is>
          <t>PRESIDENCIA EJECUTIVA DEL CONSEJO</t>
        </is>
      </c>
      <c r="M1381" t="n">
        <v>40</v>
      </c>
      <c r="N1381" t="inlineStr">
        <is>
          <t>DIRECCION GENERAL BANCO BASE</t>
        </is>
      </c>
      <c r="O1381" t="n">
        <v>310</v>
      </c>
      <c r="P1381" t="inlineStr">
        <is>
          <t>DIRECCION DE TECNOLOGIA</t>
        </is>
      </c>
      <c r="Q1381" t="n">
        <v>3150</v>
      </c>
      <c r="R1381" t="inlineStr">
        <is>
          <t>DESARROLLO DE APLICATIVOS</t>
        </is>
      </c>
      <c r="S1381" t="n">
        <v>31540</v>
      </c>
      <c r="T1381" t="inlineStr">
        <is>
          <t>DESARROLLO DE APLICATIVOS SERVICIOS CORE</t>
        </is>
      </c>
      <c r="U1381" t="n">
        <v>315400</v>
      </c>
      <c r="V1381" t="inlineStr">
        <is>
          <t>APLICATIVOS 3</t>
        </is>
      </c>
      <c r="W1381" t="n">
        <v>134111</v>
      </c>
      <c r="X1381" t="inlineStr">
        <is>
          <t>LOMAS</t>
        </is>
      </c>
      <c r="Y1381" t="n">
        <v>4</v>
      </c>
      <c r="Z1381" t="inlineStr">
        <is>
          <t>CORPORATIVO</t>
        </is>
      </c>
      <c r="AA1381" t="n">
        <v>1</v>
      </c>
      <c r="AB1381" t="inlineStr">
        <is>
          <t>NEGOCIO EN MARCHA</t>
        </is>
      </c>
      <c r="AC1381" t="n">
        <v>1</v>
      </c>
      <c r="AD1381" t="inlineStr">
        <is>
          <t>BANCO</t>
        </is>
      </c>
      <c r="AE1381" t="n">
        <v>1</v>
      </c>
      <c r="AF1381" t="inlineStr">
        <is>
          <t>BACK</t>
        </is>
      </c>
      <c r="AG1381" t="n">
        <v>134111</v>
      </c>
      <c r="AH1381" t="inlineStr">
        <is>
          <t>LOMAS</t>
        </is>
      </c>
      <c r="AI1381" t="inlineStr">
        <is>
          <t>KHERNANDEC@BANCOBASE.COM</t>
        </is>
      </c>
      <c r="AJ1381" s="151" t="n">
        <v>45979</v>
      </c>
    </row>
    <row r="1382" hidden="1" s="150">
      <c r="A1382" t="inlineStr">
        <is>
          <t>SROSALES</t>
        </is>
      </c>
      <c r="B1382" t="n">
        <v>2809</v>
      </c>
      <c r="C1382" t="inlineStr">
        <is>
          <t>SHARON RUBI ROSALES SANCHEZ</t>
        </is>
      </c>
      <c r="D1382" t="n">
        <v>8055</v>
      </c>
      <c r="E1382" t="inlineStr">
        <is>
          <t>DESARROLLADOR BACKEND JR</t>
        </is>
      </c>
      <c r="F1382" t="inlineStr">
        <is>
          <t>TELETRABAJO</t>
        </is>
      </c>
      <c r="G1382" t="n">
        <v>1642</v>
      </c>
      <c r="H1382" t="inlineStr">
        <is>
          <t>CARLOS ALBERTO GAYTAN CEDILLO</t>
        </is>
      </c>
      <c r="I1382" t="n">
        <v>8376</v>
      </c>
      <c r="J1382" t="inlineStr">
        <is>
          <t>SUBDIRECTOR DE DESARROLLO SERVICIOS CORE</t>
        </is>
      </c>
      <c r="K1382" t="n">
        <v>1</v>
      </c>
      <c r="L1382" t="inlineStr">
        <is>
          <t>PRESIDENCIA EJECUTIVA DEL CONSEJO</t>
        </is>
      </c>
      <c r="M1382" t="n">
        <v>40</v>
      </c>
      <c r="N1382" t="inlineStr">
        <is>
          <t>DIRECCION GENERAL BANCO BASE</t>
        </is>
      </c>
      <c r="O1382" t="n">
        <v>310</v>
      </c>
      <c r="P1382" t="inlineStr">
        <is>
          <t>DIRECCION DE TECNOLOGIA</t>
        </is>
      </c>
      <c r="Q1382" t="n">
        <v>3150</v>
      </c>
      <c r="R1382" t="inlineStr">
        <is>
          <t>DESARROLLO DE APLICATIVOS</t>
        </is>
      </c>
      <c r="S1382" t="n">
        <v>31540</v>
      </c>
      <c r="T1382" t="inlineStr">
        <is>
          <t>DESARROLLO DE APLICATIVOS SERVICIOS CORE</t>
        </is>
      </c>
      <c r="U1382" t="n">
        <v>315400</v>
      </c>
      <c r="V1382" t="inlineStr">
        <is>
          <t>APLICATIVOS 3</t>
        </is>
      </c>
      <c r="W1382" t="n">
        <v>134111</v>
      </c>
      <c r="X1382" t="inlineStr">
        <is>
          <t>LOMAS</t>
        </is>
      </c>
      <c r="Y1382" t="n">
        <v>4</v>
      </c>
      <c r="Z1382" t="inlineStr">
        <is>
          <t>CORPORATIVO</t>
        </is>
      </c>
      <c r="AA1382" t="n">
        <v>1</v>
      </c>
      <c r="AB1382" t="inlineStr">
        <is>
          <t>NEGOCIO EN MARCHA</t>
        </is>
      </c>
      <c r="AC1382" t="n">
        <v>1</v>
      </c>
      <c r="AD1382" t="inlineStr">
        <is>
          <t>BANCO</t>
        </is>
      </c>
      <c r="AE1382" t="n">
        <v>1</v>
      </c>
      <c r="AF1382" t="inlineStr">
        <is>
          <t>BACK</t>
        </is>
      </c>
      <c r="AG1382" t="n">
        <v>134111</v>
      </c>
      <c r="AH1382" t="inlineStr">
        <is>
          <t>LOMAS</t>
        </is>
      </c>
      <c r="AI1382" t="inlineStr">
        <is>
          <t>SROSALES@BANCOBASE.COM</t>
        </is>
      </c>
      <c r="AJ1382" s="151" t="n">
        <v>44942</v>
      </c>
    </row>
    <row r="1383" hidden="1" s="150">
      <c r="A1383" t="inlineStr">
        <is>
          <t>CVILLARREA</t>
        </is>
      </c>
      <c r="B1383" t="n">
        <v>3423</v>
      </c>
      <c r="C1383" t="inlineStr">
        <is>
          <t>CECILIA DE LA PAZ VILLARREAL CAVAZOS</t>
        </is>
      </c>
      <c r="D1383" t="n">
        <v>8102</v>
      </c>
      <c r="E1383" t="inlineStr">
        <is>
          <t>SUBDIRECTOR DE DESARROLLO SERVICIOS CROSS TI</t>
        </is>
      </c>
      <c r="F1383" t="inlineStr">
        <is>
          <t>MEXICO</t>
        </is>
      </c>
      <c r="G1383" t="n">
        <v>2626</v>
      </c>
      <c r="H1383" t="inlineStr">
        <is>
          <t>NESTOR DARVY ARCHULETA BARRERA</t>
        </is>
      </c>
      <c r="I1383" t="n">
        <v>10109</v>
      </c>
      <c r="J1383" t="inlineStr">
        <is>
          <t>DIRECTOR DE DESARROLLO</t>
        </is>
      </c>
      <c r="K1383" t="n">
        <v>1</v>
      </c>
      <c r="L1383" t="inlineStr">
        <is>
          <t>PRESIDENCIA EJECUTIVA DEL CONSEJO</t>
        </is>
      </c>
      <c r="M1383" t="n">
        <v>40</v>
      </c>
      <c r="N1383" t="inlineStr">
        <is>
          <t>DIRECCION GENERAL BANCO BASE</t>
        </is>
      </c>
      <c r="O1383" t="n">
        <v>310</v>
      </c>
      <c r="P1383" t="inlineStr">
        <is>
          <t>DIRECCION DE TECNOLOGIA</t>
        </is>
      </c>
      <c r="Q1383" t="n">
        <v>3150</v>
      </c>
      <c r="R1383" t="inlineStr">
        <is>
          <t>DESARROLLO DE APLICATIVOS</t>
        </is>
      </c>
      <c r="S1383" t="n">
        <v>31530</v>
      </c>
      <c r="T1383" t="inlineStr">
        <is>
          <t>DESARROLLO DE APLICATIVOS SERVICIOS MB</t>
        </is>
      </c>
      <c r="U1383" t="n">
        <v>315300</v>
      </c>
      <c r="V1383" t="inlineStr">
        <is>
          <t>APLICATIVOS 2</t>
        </is>
      </c>
      <c r="W1383" t="n">
        <v>134111</v>
      </c>
      <c r="X1383" t="inlineStr">
        <is>
          <t>LOMAS</t>
        </is>
      </c>
      <c r="Y1383" t="n">
        <v>4</v>
      </c>
      <c r="Z1383" t="inlineStr">
        <is>
          <t>CORPORATIVO</t>
        </is>
      </c>
      <c r="AA1383" t="n">
        <v>1</v>
      </c>
      <c r="AB1383" t="inlineStr">
        <is>
          <t>NEGOCIO EN MARCHA</t>
        </is>
      </c>
      <c r="AC1383" t="n">
        <v>1</v>
      </c>
      <c r="AD1383" t="inlineStr">
        <is>
          <t>BANCO</t>
        </is>
      </c>
      <c r="AE1383" t="n">
        <v>1</v>
      </c>
      <c r="AF1383" t="inlineStr">
        <is>
          <t>BACK</t>
        </is>
      </c>
      <c r="AG1383" t="n">
        <v>134111</v>
      </c>
      <c r="AH1383" t="inlineStr">
        <is>
          <t>LOMAS</t>
        </is>
      </c>
      <c r="AI1383" t="inlineStr">
        <is>
          <t>CVILLARREA@BANCOBASE.COM</t>
        </is>
      </c>
      <c r="AJ1383" s="151" t="n">
        <v>45782</v>
      </c>
    </row>
    <row r="1384" hidden="1" s="150">
      <c r="A1384" t="inlineStr">
        <is>
          <t>ICISNEROS</t>
        </is>
      </c>
      <c r="B1384" t="n">
        <v>3999</v>
      </c>
      <c r="C1384" t="inlineStr">
        <is>
          <t>ISAAC CISNEROS CARRO</t>
        </is>
      </c>
      <c r="D1384" t="n">
        <v>8518</v>
      </c>
      <c r="E1384" t="inlineStr">
        <is>
          <t>DESARROLLADOR FULLSTACK SR</t>
        </is>
      </c>
      <c r="F1384" t="inlineStr">
        <is>
          <t>TELETRABAJO</t>
        </is>
      </c>
      <c r="G1384" t="n">
        <v>3423</v>
      </c>
      <c r="H1384" t="inlineStr">
        <is>
          <t>CECILIA DE LA PAZ VILLARREAL CAVAZOS</t>
        </is>
      </c>
      <c r="I1384" t="n">
        <v>8102</v>
      </c>
      <c r="J1384" t="inlineStr">
        <is>
          <t>SUBDIRECTOR DE DESARROLLO SERVICIOS CROSS TI</t>
        </is>
      </c>
      <c r="K1384" t="n">
        <v>1</v>
      </c>
      <c r="L1384" t="inlineStr">
        <is>
          <t>PRESIDENCIA EJECUTIVA DEL CONSEJO</t>
        </is>
      </c>
      <c r="M1384" t="n">
        <v>40</v>
      </c>
      <c r="N1384" t="inlineStr">
        <is>
          <t>DIRECCION GENERAL BANCO BASE</t>
        </is>
      </c>
      <c r="O1384" t="n">
        <v>310</v>
      </c>
      <c r="P1384" t="inlineStr">
        <is>
          <t>DIRECCION DE TECNOLOGIA</t>
        </is>
      </c>
      <c r="Q1384" t="n">
        <v>3150</v>
      </c>
      <c r="R1384" t="inlineStr">
        <is>
          <t>DESARROLLO DE APLICATIVOS</t>
        </is>
      </c>
      <c r="S1384" t="n">
        <v>31530</v>
      </c>
      <c r="T1384" t="inlineStr">
        <is>
          <t>DESARROLLO DE APLICATIVOS SERVICIOS MB</t>
        </is>
      </c>
      <c r="U1384" t="n">
        <v>315300</v>
      </c>
      <c r="V1384" t="inlineStr">
        <is>
          <t>APLICATIVOS 2</t>
        </is>
      </c>
      <c r="W1384" t="n">
        <v>134111</v>
      </c>
      <c r="X1384" t="inlineStr">
        <is>
          <t>LOMAS</t>
        </is>
      </c>
      <c r="Y1384" t="n">
        <v>4</v>
      </c>
      <c r="Z1384" t="inlineStr">
        <is>
          <t>CORPORATIVO</t>
        </is>
      </c>
      <c r="AA1384" t="n">
        <v>8</v>
      </c>
      <c r="AB1384" t="inlineStr">
        <is>
          <t>BAU</t>
        </is>
      </c>
      <c r="AC1384" t="n">
        <v>1</v>
      </c>
      <c r="AD1384" t="inlineStr">
        <is>
          <t>BANCO</t>
        </is>
      </c>
      <c r="AE1384" t="n">
        <v>1</v>
      </c>
      <c r="AF1384" t="inlineStr">
        <is>
          <t>BACK</t>
        </is>
      </c>
      <c r="AG1384" t="n">
        <v>134111</v>
      </c>
      <c r="AH1384" t="inlineStr">
        <is>
          <t>LOMAS</t>
        </is>
      </c>
      <c r="AI1384" t="inlineStr">
        <is>
          <t>ICISNEROS@BANCOBASE.COM</t>
        </is>
      </c>
      <c r="AJ1384" s="151" t="n">
        <v>46251</v>
      </c>
    </row>
    <row r="1385" hidden="1" s="150">
      <c r="A1385" t="inlineStr">
        <is>
          <t>FCRUZ</t>
        </is>
      </c>
      <c r="B1385" t="n">
        <v>3512</v>
      </c>
      <c r="C1385" t="inlineStr">
        <is>
          <t>FERNANDO CRUZ FRANCO</t>
        </is>
      </c>
      <c r="D1385" t="n">
        <v>10215</v>
      </c>
      <c r="E1385" t="inlineStr">
        <is>
          <t>DESARROLLADOR BACKEND SR</t>
        </is>
      </c>
      <c r="F1385" t="inlineStr">
        <is>
          <t>TELETRABAJO</t>
        </is>
      </c>
      <c r="G1385" t="n">
        <v>3423</v>
      </c>
      <c r="H1385" t="inlineStr">
        <is>
          <t>CECILIA DE LA PAZ VILLARREAL CAVAZOS</t>
        </is>
      </c>
      <c r="I1385" t="n">
        <v>8102</v>
      </c>
      <c r="J1385" t="inlineStr">
        <is>
          <t>SUBDIRECTOR DE DESARROLLO SERVICIOS CROSS TI</t>
        </is>
      </c>
      <c r="K1385" t="n">
        <v>1</v>
      </c>
      <c r="L1385" t="inlineStr">
        <is>
          <t>PRESIDENCIA EJECUTIVA DEL CONSEJO</t>
        </is>
      </c>
      <c r="M1385" t="n">
        <v>40</v>
      </c>
      <c r="N1385" t="inlineStr">
        <is>
          <t>DIRECCION GENERAL BANCO BASE</t>
        </is>
      </c>
      <c r="O1385" t="n">
        <v>310</v>
      </c>
      <c r="P1385" t="inlineStr">
        <is>
          <t>DIRECCION DE TECNOLOGIA</t>
        </is>
      </c>
      <c r="Q1385" t="n">
        <v>3150</v>
      </c>
      <c r="R1385" t="inlineStr">
        <is>
          <t>DESARROLLO DE APLICATIVOS</t>
        </is>
      </c>
      <c r="S1385" t="n">
        <v>31530</v>
      </c>
      <c r="T1385" t="inlineStr">
        <is>
          <t>DESARROLLO DE APLICATIVOS SERVICIOS MB</t>
        </is>
      </c>
      <c r="U1385" t="n">
        <v>315300</v>
      </c>
      <c r="V1385" t="inlineStr">
        <is>
          <t>APLICATIVOS 2</t>
        </is>
      </c>
      <c r="W1385" t="n">
        <v>134111</v>
      </c>
      <c r="X1385" t="inlineStr">
        <is>
          <t>LOMAS</t>
        </is>
      </c>
      <c r="Y1385" t="n">
        <v>4</v>
      </c>
      <c r="Z1385" t="inlineStr">
        <is>
          <t>CORPORATIVO</t>
        </is>
      </c>
      <c r="AA1385" t="n">
        <v>1</v>
      </c>
      <c r="AB1385" t="inlineStr">
        <is>
          <t>NEGOCIO EN MARCHA</t>
        </is>
      </c>
      <c r="AC1385" t="n">
        <v>1</v>
      </c>
      <c r="AD1385" t="inlineStr">
        <is>
          <t>BANCO</t>
        </is>
      </c>
      <c r="AE1385" t="n">
        <v>1</v>
      </c>
      <c r="AF1385" t="inlineStr">
        <is>
          <t>BACK</t>
        </is>
      </c>
      <c r="AG1385" t="n">
        <v>134111</v>
      </c>
      <c r="AH1385" t="inlineStr">
        <is>
          <t>LOMAS</t>
        </is>
      </c>
      <c r="AI1385" t="inlineStr">
        <is>
          <t>FCRUZ@BANCOBASE.COM</t>
        </is>
      </c>
      <c r="AJ1385" s="151" t="n">
        <v>45873</v>
      </c>
    </row>
    <row r="1386" hidden="1" s="150">
      <c r="A1386" t="inlineStr">
        <is>
          <t>HMONTOYA</t>
        </is>
      </c>
      <c r="B1386" t="n">
        <v>3513</v>
      </c>
      <c r="C1386" t="inlineStr">
        <is>
          <t>HERIBERTO MONTOYA MACARIO</t>
        </is>
      </c>
      <c r="D1386" t="n">
        <v>9342</v>
      </c>
      <c r="E1386" t="inlineStr">
        <is>
          <t>DESARROLLADOR BACKEND SR</t>
        </is>
      </c>
      <c r="F1386" t="inlineStr">
        <is>
          <t>TELETRABAJO</t>
        </is>
      </c>
      <c r="G1386" t="n">
        <v>3423</v>
      </c>
      <c r="H1386" t="inlineStr">
        <is>
          <t>CECILIA DE LA PAZ VILLARREAL CAVAZOS</t>
        </is>
      </c>
      <c r="I1386" t="n">
        <v>8102</v>
      </c>
      <c r="J1386" t="inlineStr">
        <is>
          <t>SUBDIRECTOR DE DESARROLLO SERVICIOS CROSS TI</t>
        </is>
      </c>
      <c r="K1386" t="n">
        <v>1</v>
      </c>
      <c r="L1386" t="inlineStr">
        <is>
          <t>PRESIDENCIA EJECUTIVA DEL CONSEJO</t>
        </is>
      </c>
      <c r="M1386" t="n">
        <v>40</v>
      </c>
      <c r="N1386" t="inlineStr">
        <is>
          <t>DIRECCION GENERAL BANCO BASE</t>
        </is>
      </c>
      <c r="O1386" t="n">
        <v>310</v>
      </c>
      <c r="P1386" t="inlineStr">
        <is>
          <t>DIRECCION DE TECNOLOGIA</t>
        </is>
      </c>
      <c r="Q1386" t="n">
        <v>3150</v>
      </c>
      <c r="R1386" t="inlineStr">
        <is>
          <t>DESARROLLO DE APLICATIVOS</t>
        </is>
      </c>
      <c r="S1386" t="n">
        <v>31530</v>
      </c>
      <c r="T1386" t="inlineStr">
        <is>
          <t>DESARROLLO DE APLICATIVOS SERVICIOS MB</t>
        </is>
      </c>
      <c r="U1386" t="n">
        <v>315300</v>
      </c>
      <c r="V1386" t="inlineStr">
        <is>
          <t>APLICATIVOS 2</t>
        </is>
      </c>
      <c r="W1386" t="n">
        <v>126115</v>
      </c>
      <c r="X1386" t="inlineStr">
        <is>
          <t>TORREON</t>
        </is>
      </c>
      <c r="Y1386" t="n">
        <v>4</v>
      </c>
      <c r="Z1386" t="inlineStr">
        <is>
          <t>CORPORATIVO</t>
        </is>
      </c>
      <c r="AA1386" t="n">
        <v>1</v>
      </c>
      <c r="AB1386" t="inlineStr">
        <is>
          <t>NEGOCIO EN MARCHA</t>
        </is>
      </c>
      <c r="AC1386" t="n">
        <v>1</v>
      </c>
      <c r="AD1386" t="inlineStr">
        <is>
          <t>BANCO</t>
        </is>
      </c>
      <c r="AE1386" t="n">
        <v>1</v>
      </c>
      <c r="AF1386" t="inlineStr">
        <is>
          <t>BACK</t>
        </is>
      </c>
      <c r="AG1386" t="n">
        <v>126115</v>
      </c>
      <c r="AH1386" t="inlineStr">
        <is>
          <t>TORREON</t>
        </is>
      </c>
      <c r="AI1386" t="inlineStr">
        <is>
          <t>HMONTOYA@BANCOBASE.COM</t>
        </is>
      </c>
      <c r="AJ1386" s="151" t="n">
        <v>45873</v>
      </c>
    </row>
    <row r="1387" hidden="1" s="150">
      <c r="A1387" t="inlineStr">
        <is>
          <t>DPADILLAA</t>
        </is>
      </c>
      <c r="B1387" t="n">
        <v>3835</v>
      </c>
      <c r="C1387" t="inlineStr">
        <is>
          <t>DAVID BRYAN PADILLA ALEMAN</t>
        </is>
      </c>
      <c r="D1387" t="n">
        <v>8494</v>
      </c>
      <c r="E1387" t="inlineStr">
        <is>
          <t>DESARROLLADOR FULLSTACK</t>
        </is>
      </c>
      <c r="F1387" t="inlineStr">
        <is>
          <t>TELETRABAJO</t>
        </is>
      </c>
      <c r="G1387" t="n">
        <v>3423</v>
      </c>
      <c r="H1387" t="inlineStr">
        <is>
          <t>CECILIA DE LA PAZ VILLARREAL CAVAZOS</t>
        </is>
      </c>
      <c r="I1387" t="n">
        <v>8102</v>
      </c>
      <c r="J1387" t="inlineStr">
        <is>
          <t>SUBDIRECTOR DE DESARROLLO SERVICIOS CROSS TI</t>
        </is>
      </c>
      <c r="K1387" t="n">
        <v>1</v>
      </c>
      <c r="L1387" t="inlineStr">
        <is>
          <t>PRESIDENCIA EJECUTIVA DEL CONSEJO</t>
        </is>
      </c>
      <c r="M1387" t="n">
        <v>40</v>
      </c>
      <c r="N1387" t="inlineStr">
        <is>
          <t>DIRECCION GENERAL BANCO BASE</t>
        </is>
      </c>
      <c r="O1387" t="n">
        <v>310</v>
      </c>
      <c r="P1387" t="inlineStr">
        <is>
          <t>DIRECCION DE TECNOLOGIA</t>
        </is>
      </c>
      <c r="Q1387" t="n">
        <v>3150</v>
      </c>
      <c r="R1387" t="inlineStr">
        <is>
          <t>DESARROLLO DE APLICATIVOS</t>
        </is>
      </c>
      <c r="S1387" t="n">
        <v>31530</v>
      </c>
      <c r="T1387" t="inlineStr">
        <is>
          <t>DESARROLLO DE APLICATIVOS SERVICIOS MB</t>
        </is>
      </c>
      <c r="U1387" t="n">
        <v>315300</v>
      </c>
      <c r="V1387" t="inlineStr">
        <is>
          <t>APLICATIVOS 2</t>
        </is>
      </c>
      <c r="W1387" t="n">
        <v>134111</v>
      </c>
      <c r="X1387" t="inlineStr">
        <is>
          <t>LOMAS</t>
        </is>
      </c>
      <c r="Y1387" t="n">
        <v>4</v>
      </c>
      <c r="Z1387" t="inlineStr">
        <is>
          <t>CORPORATIVO</t>
        </is>
      </c>
      <c r="AA1387" t="n">
        <v>1</v>
      </c>
      <c r="AB1387" t="inlineStr">
        <is>
          <t>NEGOCIO EN MARCHA</t>
        </is>
      </c>
      <c r="AC1387" t="n">
        <v>1</v>
      </c>
      <c r="AD1387" t="inlineStr">
        <is>
          <t>BANCO</t>
        </is>
      </c>
      <c r="AE1387" t="n">
        <v>1</v>
      </c>
      <c r="AF1387" t="inlineStr">
        <is>
          <t>BACK</t>
        </is>
      </c>
      <c r="AG1387" t="n">
        <v>134111</v>
      </c>
      <c r="AH1387" t="inlineStr">
        <is>
          <t>LOMAS</t>
        </is>
      </c>
      <c r="AI1387" t="inlineStr">
        <is>
          <t>DPADILLAA@BANCOBASE.COM</t>
        </is>
      </c>
      <c r="AJ1387" s="151" t="n">
        <v>46128</v>
      </c>
    </row>
    <row r="1388" hidden="1" s="150">
      <c r="A1388" t="inlineStr">
        <is>
          <t>VALVAREZ</t>
        </is>
      </c>
      <c r="B1388" t="n">
        <v>3829</v>
      </c>
      <c r="C1388" t="inlineStr">
        <is>
          <t>VICENTE ALVAREZ CASTILLO</t>
        </is>
      </c>
      <c r="D1388" t="n">
        <v>8493</v>
      </c>
      <c r="E1388" t="inlineStr">
        <is>
          <t>DESARROLLADOR FULLSTACK</t>
        </is>
      </c>
      <c r="F1388" t="inlineStr">
        <is>
          <t>TELETRABAJO</t>
        </is>
      </c>
      <c r="G1388" t="n">
        <v>3423</v>
      </c>
      <c r="H1388" t="inlineStr">
        <is>
          <t>CECILIA DE LA PAZ VILLARREAL CAVAZOS</t>
        </is>
      </c>
      <c r="I1388" t="n">
        <v>8102</v>
      </c>
      <c r="J1388" t="inlineStr">
        <is>
          <t>SUBDIRECTOR DE DESARROLLO SERVICIOS CROSS TI</t>
        </is>
      </c>
      <c r="K1388" t="n">
        <v>1</v>
      </c>
      <c r="L1388" t="inlineStr">
        <is>
          <t>PRESIDENCIA EJECUTIVA DEL CONSEJO</t>
        </is>
      </c>
      <c r="M1388" t="n">
        <v>40</v>
      </c>
      <c r="N1388" t="inlineStr">
        <is>
          <t>DIRECCION GENERAL BANCO BASE</t>
        </is>
      </c>
      <c r="O1388" t="n">
        <v>310</v>
      </c>
      <c r="P1388" t="inlineStr">
        <is>
          <t>DIRECCION DE TECNOLOGIA</t>
        </is>
      </c>
      <c r="Q1388" t="n">
        <v>3150</v>
      </c>
      <c r="R1388" t="inlineStr">
        <is>
          <t>DESARROLLO DE APLICATIVOS</t>
        </is>
      </c>
      <c r="S1388" t="n">
        <v>31530</v>
      </c>
      <c r="T1388" t="inlineStr">
        <is>
          <t>DESARROLLO DE APLICATIVOS SERVICIOS MB</t>
        </is>
      </c>
      <c r="U1388" t="n">
        <v>315300</v>
      </c>
      <c r="V1388" t="inlineStr">
        <is>
          <t>APLICATIVOS 2</t>
        </is>
      </c>
      <c r="W1388" t="n">
        <v>100101</v>
      </c>
      <c r="X1388" t="inlineStr">
        <is>
          <t>CORPORATIVO</t>
        </is>
      </c>
      <c r="Y1388" t="n">
        <v>4</v>
      </c>
      <c r="Z1388" t="inlineStr">
        <is>
          <t>CORPORATIVO</t>
        </is>
      </c>
      <c r="AA1388" t="n">
        <v>1</v>
      </c>
      <c r="AB1388" t="inlineStr">
        <is>
          <t>NEGOCIO EN MARCHA</t>
        </is>
      </c>
      <c r="AC1388" t="n">
        <v>1</v>
      </c>
      <c r="AD1388" t="inlineStr">
        <is>
          <t>BANCO</t>
        </is>
      </c>
      <c r="AE1388" t="n">
        <v>1</v>
      </c>
      <c r="AF1388" t="inlineStr">
        <is>
          <t>BACK</t>
        </is>
      </c>
      <c r="AG1388" t="n">
        <v>126102</v>
      </c>
      <c r="AH1388" t="inlineStr">
        <is>
          <t>MONTERREY</t>
        </is>
      </c>
      <c r="AI1388" t="inlineStr">
        <is>
          <t>VALVAREZ@BANCOBASE.COM</t>
        </is>
      </c>
      <c r="AJ1388" s="151" t="n">
        <v>46128</v>
      </c>
    </row>
    <row r="1389" hidden="1" s="150">
      <c r="A1389" t="inlineStr">
        <is>
          <t>HGARCIAS</t>
        </is>
      </c>
      <c r="B1389" t="n">
        <v>4001</v>
      </c>
      <c r="C1389" t="inlineStr">
        <is>
          <t>HECTOR DANIEL GARCIA SANCHEZ</t>
        </is>
      </c>
      <c r="D1389" t="n">
        <v>8899</v>
      </c>
      <c r="E1389" t="inlineStr">
        <is>
          <t>DESARROLLADOR FULLSTACK SR</t>
        </is>
      </c>
      <c r="F1389" t="inlineStr">
        <is>
          <t>TELETRABAJO</t>
        </is>
      </c>
      <c r="G1389" t="n">
        <v>3423</v>
      </c>
      <c r="H1389" t="inlineStr">
        <is>
          <t>CECILIA DE LA PAZ VILLARREAL CAVAZOS</t>
        </is>
      </c>
      <c r="I1389" t="n">
        <v>8102</v>
      </c>
      <c r="J1389" t="inlineStr">
        <is>
          <t>SUBDIRECTOR DE DESARROLLO SERVICIOS CROSS TI</t>
        </is>
      </c>
      <c r="K1389" t="n">
        <v>1</v>
      </c>
      <c r="L1389" t="inlineStr">
        <is>
          <t>PRESIDENCIA EJECUTIVA DEL CONSEJO</t>
        </is>
      </c>
      <c r="M1389" t="n">
        <v>40</v>
      </c>
      <c r="N1389" t="inlineStr">
        <is>
          <t>DIRECCION GENERAL BANCO BASE</t>
        </is>
      </c>
      <c r="O1389" t="n">
        <v>310</v>
      </c>
      <c r="P1389" t="inlineStr">
        <is>
          <t>DIRECCION DE TECNOLOGIA</t>
        </is>
      </c>
      <c r="Q1389" t="n">
        <v>3150</v>
      </c>
      <c r="R1389" t="inlineStr">
        <is>
          <t>DESARROLLO DE APLICATIVOS</t>
        </is>
      </c>
      <c r="S1389" t="n">
        <v>31500</v>
      </c>
      <c r="T1389" t="inlineStr">
        <is>
          <t>DESARROLLO DE APLICATIVOS</t>
        </is>
      </c>
      <c r="U1389" t="n">
        <v>315000</v>
      </c>
      <c r="V1389" t="inlineStr">
        <is>
          <t>DESARROLLO DE APLICATIVOS</t>
        </is>
      </c>
      <c r="W1389" t="n">
        <v>134111</v>
      </c>
      <c r="X1389" t="inlineStr">
        <is>
          <t>LOMAS</t>
        </is>
      </c>
      <c r="Y1389" t="n">
        <v>4</v>
      </c>
      <c r="Z1389" t="inlineStr">
        <is>
          <t>CORPORATIVO</t>
        </is>
      </c>
      <c r="AA1389" t="n">
        <v>8</v>
      </c>
      <c r="AB1389" t="inlineStr">
        <is>
          <t>BAU</t>
        </is>
      </c>
      <c r="AC1389" t="n">
        <v>1</v>
      </c>
      <c r="AD1389" t="inlineStr">
        <is>
          <t>BANCO</t>
        </is>
      </c>
      <c r="AE1389" t="n">
        <v>1</v>
      </c>
      <c r="AF1389" t="inlineStr">
        <is>
          <t>BACK</t>
        </is>
      </c>
      <c r="AG1389" t="n">
        <v>134111</v>
      </c>
      <c r="AH1389" t="inlineStr">
        <is>
          <t>LOMAS</t>
        </is>
      </c>
      <c r="AI1389" t="inlineStr">
        <is>
          <t>HGARCIAS@BANCOBASE.COM</t>
        </is>
      </c>
      <c r="AJ1389" s="151" t="n">
        <v>46251</v>
      </c>
    </row>
    <row r="1390" hidden="1" s="150">
      <c r="A1390" t="inlineStr">
        <is>
          <t>SANGULO</t>
        </is>
      </c>
      <c r="B1390" t="n">
        <v>4002</v>
      </c>
      <c r="C1390" t="inlineStr">
        <is>
          <t>SERGIO ANGULO LIOGON</t>
        </is>
      </c>
      <c r="D1390" t="n">
        <v>8900</v>
      </c>
      <c r="E1390" t="inlineStr">
        <is>
          <t>DESARROLLADOR FULLSTACK</t>
        </is>
      </c>
      <c r="F1390" t="inlineStr">
        <is>
          <t>TELETRABAJO</t>
        </is>
      </c>
      <c r="G1390" t="n">
        <v>3423</v>
      </c>
      <c r="H1390" t="inlineStr">
        <is>
          <t>CECILIA DE LA PAZ VILLARREAL CAVAZOS</t>
        </is>
      </c>
      <c r="I1390" t="n">
        <v>8102</v>
      </c>
      <c r="J1390" t="inlineStr">
        <is>
          <t>SUBDIRECTOR DE DESARROLLO SERVICIOS CROSS TI</t>
        </is>
      </c>
      <c r="K1390" t="n">
        <v>1</v>
      </c>
      <c r="L1390" t="inlineStr">
        <is>
          <t>PRESIDENCIA EJECUTIVA DEL CONSEJO</t>
        </is>
      </c>
      <c r="M1390" t="n">
        <v>40</v>
      </c>
      <c r="N1390" t="inlineStr">
        <is>
          <t>DIRECCION GENERAL BANCO BASE</t>
        </is>
      </c>
      <c r="O1390" t="n">
        <v>310</v>
      </c>
      <c r="P1390" t="inlineStr">
        <is>
          <t>DIRECCION DE TECNOLOGIA</t>
        </is>
      </c>
      <c r="Q1390" t="n">
        <v>3150</v>
      </c>
      <c r="R1390" t="inlineStr">
        <is>
          <t>DESARROLLO DE APLICATIVOS</t>
        </is>
      </c>
      <c r="S1390" t="n">
        <v>31500</v>
      </c>
      <c r="T1390" t="inlineStr">
        <is>
          <t>DESARROLLO DE APLICATIVOS</t>
        </is>
      </c>
      <c r="U1390" t="n">
        <v>315000</v>
      </c>
      <c r="V1390" t="inlineStr">
        <is>
          <t>DESARROLLO DE APLICATIVOS</t>
        </is>
      </c>
      <c r="W1390" t="n">
        <v>126134</v>
      </c>
      <c r="X1390" t="inlineStr">
        <is>
          <t>HERMOSILLO</t>
        </is>
      </c>
      <c r="Y1390" t="n">
        <v>4</v>
      </c>
      <c r="Z1390" t="inlineStr">
        <is>
          <t>CORPORATIVO</t>
        </is>
      </c>
      <c r="AA1390" t="n">
        <v>8</v>
      </c>
      <c r="AB1390" t="inlineStr">
        <is>
          <t>BAU</t>
        </is>
      </c>
      <c r="AC1390" t="n">
        <v>1</v>
      </c>
      <c r="AD1390" t="inlineStr">
        <is>
          <t>BANCO</t>
        </is>
      </c>
      <c r="AE1390" t="n">
        <v>1</v>
      </c>
      <c r="AF1390" t="inlineStr">
        <is>
          <t>BACK</t>
        </is>
      </c>
      <c r="AG1390" t="n">
        <v>126134</v>
      </c>
      <c r="AH1390" t="inlineStr">
        <is>
          <t>HERMOSILLO</t>
        </is>
      </c>
      <c r="AI1390" t="inlineStr">
        <is>
          <t>SANGULO@BANCOBASE.COM</t>
        </is>
      </c>
      <c r="AJ1390" s="151" t="n">
        <v>46251</v>
      </c>
    </row>
    <row r="1391" hidden="1" s="150">
      <c r="A1391" t="inlineStr">
        <is>
          <t>IJIMENEZ</t>
        </is>
      </c>
      <c r="B1391" t="n">
        <v>948</v>
      </c>
      <c r="C1391" t="inlineStr">
        <is>
          <t>IRIS ELEOLA JIMENEZ OLGUIN</t>
        </is>
      </c>
      <c r="D1391" t="n">
        <v>8100</v>
      </c>
      <c r="E1391" t="inlineStr">
        <is>
          <t>SUBDIRECTOR DE DESARROLLO FX Y DERIVADOS</t>
        </is>
      </c>
      <c r="F1391" t="inlineStr">
        <is>
          <t>TELETRABAJO</t>
        </is>
      </c>
      <c r="G1391" t="n">
        <v>2626</v>
      </c>
      <c r="H1391" t="inlineStr">
        <is>
          <t>NESTOR DARVY ARCHULETA BARRERA</t>
        </is>
      </c>
      <c r="I1391" t="n">
        <v>10109</v>
      </c>
      <c r="J1391" t="inlineStr">
        <is>
          <t>DIRECTOR DE DESARROLLO</t>
        </is>
      </c>
      <c r="K1391" t="n">
        <v>1</v>
      </c>
      <c r="L1391" t="inlineStr">
        <is>
          <t>PRESIDENCIA EJECUTIVA DEL CONSEJO</t>
        </is>
      </c>
      <c r="M1391" t="n">
        <v>40</v>
      </c>
      <c r="N1391" t="inlineStr">
        <is>
          <t>DIRECCION GENERAL BANCO BASE</t>
        </is>
      </c>
      <c r="O1391" t="n">
        <v>310</v>
      </c>
      <c r="P1391" t="inlineStr">
        <is>
          <t>DIRECCION DE TECNOLOGIA</t>
        </is>
      </c>
      <c r="Q1391" t="n">
        <v>3150</v>
      </c>
      <c r="R1391" t="inlineStr">
        <is>
          <t>DESARROLLO DE APLICATIVOS</t>
        </is>
      </c>
      <c r="S1391" t="n">
        <v>31550</v>
      </c>
      <c r="T1391" t="inlineStr">
        <is>
          <t>DESARROLLO DE APLICATIVOS FX</t>
        </is>
      </c>
      <c r="U1391" t="n">
        <v>315500</v>
      </c>
      <c r="V1391" t="inlineStr">
        <is>
          <t>APLICATIVOS 4</t>
        </is>
      </c>
      <c r="W1391" t="n">
        <v>100101</v>
      </c>
      <c r="X1391" t="inlineStr">
        <is>
          <t>CORPORATIVO</t>
        </is>
      </c>
      <c r="Y1391" t="n">
        <v>4</v>
      </c>
      <c r="Z1391" t="inlineStr">
        <is>
          <t>CORPORATIVO</t>
        </is>
      </c>
      <c r="AA1391" t="n">
        <v>1</v>
      </c>
      <c r="AB1391" t="inlineStr">
        <is>
          <t>NEGOCIO EN MARCHA</t>
        </is>
      </c>
      <c r="AC1391" t="n">
        <v>1</v>
      </c>
      <c r="AD1391" t="inlineStr">
        <is>
          <t>BANCO</t>
        </is>
      </c>
      <c r="AE1391" t="n">
        <v>1</v>
      </c>
      <c r="AF1391" t="inlineStr">
        <is>
          <t>BACK</t>
        </is>
      </c>
      <c r="AG1391" t="n">
        <v>100101</v>
      </c>
      <c r="AH1391" t="inlineStr">
        <is>
          <t>CORPORATIVO</t>
        </is>
      </c>
      <c r="AI1391" t="inlineStr">
        <is>
          <t>IJIMENEZ@BANCOBASE.COM</t>
        </is>
      </c>
      <c r="AJ1391" s="151" t="n">
        <v>41176</v>
      </c>
    </row>
    <row r="1392" hidden="1" s="150">
      <c r="A1392" t="inlineStr">
        <is>
          <t>CRAMIREZS</t>
        </is>
      </c>
      <c r="B1392" t="n">
        <v>2168</v>
      </c>
      <c r="C1392" t="inlineStr">
        <is>
          <t>CRISTINA VERENICE RAMIREZ SANTOY</t>
        </is>
      </c>
      <c r="D1392" t="n">
        <v>8511</v>
      </c>
      <c r="E1392" t="inlineStr">
        <is>
          <t>LIDER FUNCIONAL</t>
        </is>
      </c>
      <c r="F1392" t="inlineStr">
        <is>
          <t>TELETRABAJO</t>
        </is>
      </c>
      <c r="G1392" t="n">
        <v>948</v>
      </c>
      <c r="H1392" t="inlineStr">
        <is>
          <t>IRIS ELEOLA JIMENEZ OLGUIN</t>
        </is>
      </c>
      <c r="I1392" t="n">
        <v>8100</v>
      </c>
      <c r="J1392" t="inlineStr">
        <is>
          <t>SUBDIRECTOR DE DESARROLLO FX Y DERIVADOS</t>
        </is>
      </c>
      <c r="K1392" t="n">
        <v>1</v>
      </c>
      <c r="L1392" t="inlineStr">
        <is>
          <t>PRESIDENCIA EJECUTIVA DEL CONSEJO</t>
        </is>
      </c>
      <c r="M1392" t="n">
        <v>40</v>
      </c>
      <c r="N1392" t="inlineStr">
        <is>
          <t>DIRECCION GENERAL BANCO BASE</t>
        </is>
      </c>
      <c r="O1392" t="n">
        <v>310</v>
      </c>
      <c r="P1392" t="inlineStr">
        <is>
          <t>DIRECCION DE TECNOLOGIA</t>
        </is>
      </c>
      <c r="Q1392" t="n">
        <v>3150</v>
      </c>
      <c r="R1392" t="inlineStr">
        <is>
          <t>DESARROLLO DE APLICATIVOS</t>
        </is>
      </c>
      <c r="S1392" t="n">
        <v>31550</v>
      </c>
      <c r="T1392" t="inlineStr">
        <is>
          <t>DESARROLLO DE APLICATIVOS FX</t>
        </is>
      </c>
      <c r="U1392" t="n">
        <v>315500</v>
      </c>
      <c r="V1392" t="inlineStr">
        <is>
          <t>APLICATIVOS 4</t>
        </is>
      </c>
      <c r="W1392" t="n">
        <v>100101</v>
      </c>
      <c r="X1392" t="inlineStr">
        <is>
          <t>CORPORATIVO</t>
        </is>
      </c>
      <c r="Y1392" t="n">
        <v>4</v>
      </c>
      <c r="Z1392" t="inlineStr">
        <is>
          <t>CORPORATIVO</t>
        </is>
      </c>
      <c r="AA1392" t="n">
        <v>8</v>
      </c>
      <c r="AB1392" t="inlineStr">
        <is>
          <t>BAU</t>
        </is>
      </c>
      <c r="AC1392" t="n">
        <v>1</v>
      </c>
      <c r="AD1392" t="inlineStr">
        <is>
          <t>BANCO</t>
        </is>
      </c>
      <c r="AE1392" t="n">
        <v>1</v>
      </c>
      <c r="AF1392" t="inlineStr">
        <is>
          <t>BACK</t>
        </is>
      </c>
      <c r="AG1392" t="n">
        <v>100101</v>
      </c>
      <c r="AH1392" t="inlineStr">
        <is>
          <t>CORPORATIVO</t>
        </is>
      </c>
      <c r="AI1392" t="inlineStr">
        <is>
          <t>CRAMIREZS@BANCOBASE.COM</t>
        </is>
      </c>
      <c r="AJ1392" s="151" t="n">
        <v>43497</v>
      </c>
    </row>
    <row r="1393" hidden="1" s="150">
      <c r="A1393" t="inlineStr">
        <is>
          <t>MGONZALEGA</t>
        </is>
      </c>
      <c r="B1393" t="n">
        <v>3297</v>
      </c>
      <c r="C1393" t="inlineStr">
        <is>
          <t>MIRIAM GONZALEZ GARCIA</t>
        </is>
      </c>
      <c r="D1393" t="n">
        <v>8501</v>
      </c>
      <c r="E1393" t="inlineStr">
        <is>
          <t>ANALISTA FUNCIONAL</t>
        </is>
      </c>
      <c r="F1393" t="inlineStr">
        <is>
          <t>TELETRABAJO</t>
        </is>
      </c>
      <c r="G1393" t="n">
        <v>2168</v>
      </c>
      <c r="H1393" t="inlineStr">
        <is>
          <t>CRISTINA VERENICE RAMIREZ SANTOY</t>
        </is>
      </c>
      <c r="I1393" t="n">
        <v>8511</v>
      </c>
      <c r="J1393" t="inlineStr">
        <is>
          <t>LIDER FUNCIONAL</t>
        </is>
      </c>
      <c r="K1393" t="n">
        <v>1</v>
      </c>
      <c r="L1393" t="inlineStr">
        <is>
          <t>PRESIDENCIA EJECUTIVA DEL CONSEJO</t>
        </is>
      </c>
      <c r="M1393" t="n">
        <v>40</v>
      </c>
      <c r="N1393" t="inlineStr">
        <is>
          <t>DIRECCION GENERAL BANCO BASE</t>
        </is>
      </c>
      <c r="O1393" t="n">
        <v>310</v>
      </c>
      <c r="P1393" t="inlineStr">
        <is>
          <t>DIRECCION DE TECNOLOGIA</t>
        </is>
      </c>
      <c r="Q1393" t="n">
        <v>3150</v>
      </c>
      <c r="R1393" t="inlineStr">
        <is>
          <t>DESARROLLO DE APLICATIVOS</t>
        </is>
      </c>
      <c r="S1393" t="n">
        <v>31550</v>
      </c>
      <c r="T1393" t="inlineStr">
        <is>
          <t>DESARROLLO DE APLICATIVOS FX</t>
        </is>
      </c>
      <c r="U1393" t="n">
        <v>315500</v>
      </c>
      <c r="V1393" t="inlineStr">
        <is>
          <t>APLICATIVOS 4</t>
        </is>
      </c>
      <c r="W1393" t="n">
        <v>134111</v>
      </c>
      <c r="X1393" t="inlineStr">
        <is>
          <t>LOMAS</t>
        </is>
      </c>
      <c r="Y1393" t="n">
        <v>4</v>
      </c>
      <c r="Z1393" t="inlineStr">
        <is>
          <t>CORPORATIVO</t>
        </is>
      </c>
      <c r="AA1393" t="n">
        <v>8</v>
      </c>
      <c r="AB1393" t="inlineStr">
        <is>
          <t>BAU</t>
        </is>
      </c>
      <c r="AC1393" t="n">
        <v>1</v>
      </c>
      <c r="AD1393" t="inlineStr">
        <is>
          <t>BANCO</t>
        </is>
      </c>
      <c r="AE1393" t="n">
        <v>1</v>
      </c>
      <c r="AF1393" t="inlineStr">
        <is>
          <t>BACK</t>
        </is>
      </c>
      <c r="AG1393" t="n">
        <v>134111</v>
      </c>
      <c r="AH1393" t="inlineStr">
        <is>
          <t>LOMAS</t>
        </is>
      </c>
      <c r="AI1393" t="inlineStr">
        <is>
          <t>MGONZALEGA@BANCOBASE.COM</t>
        </is>
      </c>
      <c r="AJ1393" s="151" t="n">
        <v>45642</v>
      </c>
    </row>
    <row r="1394" hidden="1" s="150">
      <c r="A1394" t="inlineStr">
        <is>
          <t>YCASTELLAR</t>
        </is>
      </c>
      <c r="B1394" t="n">
        <v>2169</v>
      </c>
      <c r="C1394" t="inlineStr">
        <is>
          <t>YESENIA YAZMIN CASTELLANOS RUBIO</t>
        </is>
      </c>
      <c r="D1394" t="n">
        <v>8146</v>
      </c>
      <c r="E1394" t="inlineStr">
        <is>
          <t>ESPECIALISTA FUNCIONAL</t>
        </is>
      </c>
      <c r="F1394" t="inlineStr">
        <is>
          <t>TELETRABAJO</t>
        </is>
      </c>
      <c r="G1394" t="n">
        <v>948</v>
      </c>
      <c r="H1394" t="inlineStr">
        <is>
          <t>IRIS ELEOLA JIMENEZ OLGUIN</t>
        </is>
      </c>
      <c r="I1394" t="n">
        <v>8100</v>
      </c>
      <c r="J1394" t="inlineStr">
        <is>
          <t>SUBDIRECTOR DE DESARROLLO FX Y DERIVADOS</t>
        </is>
      </c>
      <c r="K1394" t="n">
        <v>1</v>
      </c>
      <c r="L1394" t="inlineStr">
        <is>
          <t>PRESIDENCIA EJECUTIVA DEL CONSEJO</t>
        </is>
      </c>
      <c r="M1394" t="n">
        <v>40</v>
      </c>
      <c r="N1394" t="inlineStr">
        <is>
          <t>DIRECCION GENERAL BANCO BASE</t>
        </is>
      </c>
      <c r="O1394" t="n">
        <v>310</v>
      </c>
      <c r="P1394" t="inlineStr">
        <is>
          <t>DIRECCION DE TECNOLOGIA</t>
        </is>
      </c>
      <c r="Q1394" t="n">
        <v>3150</v>
      </c>
      <c r="R1394" t="inlineStr">
        <is>
          <t>DESARROLLO DE APLICATIVOS</t>
        </is>
      </c>
      <c r="S1394" t="n">
        <v>31550</v>
      </c>
      <c r="T1394" t="inlineStr">
        <is>
          <t>DESARROLLO DE APLICATIVOS FX</t>
        </is>
      </c>
      <c r="U1394" t="n">
        <v>315500</v>
      </c>
      <c r="V1394" t="inlineStr">
        <is>
          <t>APLICATIVOS 4</t>
        </is>
      </c>
      <c r="W1394" t="n">
        <v>100101</v>
      </c>
      <c r="X1394" t="inlineStr">
        <is>
          <t>CORPORATIVO</t>
        </is>
      </c>
      <c r="Y1394" t="n">
        <v>4</v>
      </c>
      <c r="Z1394" t="inlineStr">
        <is>
          <t>CORPORATIVO</t>
        </is>
      </c>
      <c r="AA1394" t="n">
        <v>8</v>
      </c>
      <c r="AB1394" t="inlineStr">
        <is>
          <t>BAU</t>
        </is>
      </c>
      <c r="AC1394" t="n">
        <v>1</v>
      </c>
      <c r="AD1394" t="inlineStr">
        <is>
          <t>BANCO</t>
        </is>
      </c>
      <c r="AE1394" t="n">
        <v>1</v>
      </c>
      <c r="AF1394" t="inlineStr">
        <is>
          <t>BACK</t>
        </is>
      </c>
      <c r="AG1394" t="n">
        <v>100101</v>
      </c>
      <c r="AH1394" t="inlineStr">
        <is>
          <t>CORPORATIVO</t>
        </is>
      </c>
      <c r="AI1394" t="inlineStr">
        <is>
          <t>YCASTELLAR@BANCOBASE.COM</t>
        </is>
      </c>
      <c r="AJ1394" s="151" t="n">
        <v>43497</v>
      </c>
    </row>
    <row r="1395" hidden="1" s="150">
      <c r="A1395" t="inlineStr">
        <is>
          <t>AVEGA</t>
        </is>
      </c>
      <c r="B1395" t="n">
        <v>2773</v>
      </c>
      <c r="C1395" t="inlineStr">
        <is>
          <t>ARTURO VEGA TORRES</t>
        </is>
      </c>
      <c r="D1395" t="n">
        <v>8026</v>
      </c>
      <c r="E1395" t="inlineStr">
        <is>
          <t>LIDER DE DESARROLLO</t>
        </is>
      </c>
      <c r="F1395" t="inlineStr">
        <is>
          <t>TELETRABAJO</t>
        </is>
      </c>
      <c r="G1395" t="n">
        <v>948</v>
      </c>
      <c r="H1395" t="inlineStr">
        <is>
          <t>IRIS ELEOLA JIMENEZ OLGUIN</t>
        </is>
      </c>
      <c r="I1395" t="n">
        <v>8100</v>
      </c>
      <c r="J1395" t="inlineStr">
        <is>
          <t>SUBDIRECTOR DE DESARROLLO FX Y DERIVADOS</t>
        </is>
      </c>
      <c r="K1395" t="n">
        <v>1</v>
      </c>
      <c r="L1395" t="inlineStr">
        <is>
          <t>PRESIDENCIA EJECUTIVA DEL CONSEJO</t>
        </is>
      </c>
      <c r="M1395" t="n">
        <v>40</v>
      </c>
      <c r="N1395" t="inlineStr">
        <is>
          <t>DIRECCION GENERAL BANCO BASE</t>
        </is>
      </c>
      <c r="O1395" t="n">
        <v>310</v>
      </c>
      <c r="P1395" t="inlineStr">
        <is>
          <t>DIRECCION DE TECNOLOGIA</t>
        </is>
      </c>
      <c r="Q1395" t="n">
        <v>3150</v>
      </c>
      <c r="R1395" t="inlineStr">
        <is>
          <t>DESARROLLO DE APLICATIVOS</t>
        </is>
      </c>
      <c r="S1395" t="n">
        <v>31550</v>
      </c>
      <c r="T1395" t="inlineStr">
        <is>
          <t>DESARROLLO DE APLICATIVOS FX</t>
        </is>
      </c>
      <c r="U1395" t="n">
        <v>315500</v>
      </c>
      <c r="V1395" t="inlineStr">
        <is>
          <t>APLICATIVOS 4</t>
        </is>
      </c>
      <c r="W1395" t="n">
        <v>134111</v>
      </c>
      <c r="X1395" t="inlineStr">
        <is>
          <t>LOMAS</t>
        </is>
      </c>
      <c r="Y1395" t="n">
        <v>4</v>
      </c>
      <c r="Z1395" t="inlineStr">
        <is>
          <t>CORPORATIVO</t>
        </is>
      </c>
      <c r="AA1395" t="n">
        <v>1</v>
      </c>
      <c r="AB1395" t="inlineStr">
        <is>
          <t>NEGOCIO EN MARCHA</t>
        </is>
      </c>
      <c r="AC1395" t="n">
        <v>1</v>
      </c>
      <c r="AD1395" t="inlineStr">
        <is>
          <t>BANCO</t>
        </is>
      </c>
      <c r="AE1395" t="n">
        <v>1</v>
      </c>
      <c r="AF1395" t="inlineStr">
        <is>
          <t>BACK</t>
        </is>
      </c>
      <c r="AG1395" t="n">
        <v>134111</v>
      </c>
      <c r="AH1395" t="inlineStr">
        <is>
          <t>LOMAS</t>
        </is>
      </c>
      <c r="AI1395" t="inlineStr">
        <is>
          <t>AVEGA@BANCOBASE.COM</t>
        </is>
      </c>
      <c r="AJ1395" s="151" t="n">
        <v>44881</v>
      </c>
    </row>
    <row r="1396" hidden="1" s="150">
      <c r="A1396" t="inlineStr">
        <is>
          <t>EMARTINESA</t>
        </is>
      </c>
      <c r="B1396" t="n">
        <v>3522</v>
      </c>
      <c r="C1396" t="inlineStr">
        <is>
          <t>EULICES MARTINEZ SANTAMARIA</t>
        </is>
      </c>
      <c r="D1396" t="n">
        <v>8492</v>
      </c>
      <c r="E1396" t="inlineStr">
        <is>
          <t>DESARROLLADOR BACKEND SR</t>
        </is>
      </c>
      <c r="F1396" t="inlineStr">
        <is>
          <t>TELETRABAJO</t>
        </is>
      </c>
      <c r="G1396" t="n">
        <v>2773</v>
      </c>
      <c r="H1396" t="inlineStr">
        <is>
          <t>ARTURO VEGA TORRES</t>
        </is>
      </c>
      <c r="I1396" t="n">
        <v>8026</v>
      </c>
      <c r="J1396" t="inlineStr">
        <is>
          <t>LIDER DE DESARROLLO</t>
        </is>
      </c>
      <c r="K1396" t="n">
        <v>1</v>
      </c>
      <c r="L1396" t="inlineStr">
        <is>
          <t>PRESIDENCIA EJECUTIVA DEL CONSEJO</t>
        </is>
      </c>
      <c r="M1396" t="n">
        <v>40</v>
      </c>
      <c r="N1396" t="inlineStr">
        <is>
          <t>DIRECCION GENERAL BANCO BASE</t>
        </is>
      </c>
      <c r="O1396" t="n">
        <v>310</v>
      </c>
      <c r="P1396" t="inlineStr">
        <is>
          <t>DIRECCION DE TECNOLOGIA</t>
        </is>
      </c>
      <c r="Q1396" t="n">
        <v>3150</v>
      </c>
      <c r="R1396" t="inlineStr">
        <is>
          <t>DESARROLLO DE APLICATIVOS</t>
        </is>
      </c>
      <c r="S1396" t="n">
        <v>31510</v>
      </c>
      <c r="T1396" t="inlineStr">
        <is>
          <t>DESARROLLO DE APLICATIVOS CANALES</t>
        </is>
      </c>
      <c r="U1396" t="n">
        <v>315000</v>
      </c>
      <c r="V1396" t="inlineStr">
        <is>
          <t>DESARROLLO DE APLICATIVOS</t>
        </is>
      </c>
      <c r="W1396" t="n">
        <v>100101</v>
      </c>
      <c r="X1396" t="inlineStr">
        <is>
          <t>CORPORATIVO</t>
        </is>
      </c>
      <c r="Y1396" t="n">
        <v>4</v>
      </c>
      <c r="Z1396" t="inlineStr">
        <is>
          <t>CORPORATIVO</t>
        </is>
      </c>
      <c r="AA1396" t="n">
        <v>7</v>
      </c>
      <c r="AB1396" t="inlineStr">
        <is>
          <t>PROYECTO DARWIN</t>
        </is>
      </c>
      <c r="AC1396" t="n">
        <v>1</v>
      </c>
      <c r="AD1396" t="inlineStr">
        <is>
          <t>BANCO</t>
        </is>
      </c>
      <c r="AE1396" t="n">
        <v>1</v>
      </c>
      <c r="AF1396" t="inlineStr">
        <is>
          <t>BACK</t>
        </is>
      </c>
      <c r="AG1396" t="n">
        <v>100101</v>
      </c>
      <c r="AH1396" t="inlineStr">
        <is>
          <t>CORPORATIVO</t>
        </is>
      </c>
      <c r="AI1396" t="inlineStr">
        <is>
          <t>EMARTINESA@BANCOBASE.COM</t>
        </is>
      </c>
      <c r="AJ1396" s="151" t="n">
        <v>45887</v>
      </c>
    </row>
    <row r="1397" hidden="1" s="150">
      <c r="A1397" t="inlineStr">
        <is>
          <t>RSANTILLAN</t>
        </is>
      </c>
      <c r="B1397" t="n">
        <v>3343</v>
      </c>
      <c r="C1397" t="inlineStr">
        <is>
          <t>RODOLFO MISAEL SANTILLAN ROSAS</t>
        </is>
      </c>
      <c r="D1397" t="n">
        <v>8512</v>
      </c>
      <c r="E1397" t="inlineStr">
        <is>
          <t>ANALISTA FUNCIONAL</t>
        </is>
      </c>
      <c r="F1397" t="inlineStr">
        <is>
          <t>TELETRABAJO</t>
        </is>
      </c>
      <c r="G1397" t="n">
        <v>948</v>
      </c>
      <c r="H1397" t="inlineStr">
        <is>
          <t>IRIS ELEOLA JIMENEZ OLGUIN</t>
        </is>
      </c>
      <c r="I1397" t="n">
        <v>8100</v>
      </c>
      <c r="J1397" t="inlineStr">
        <is>
          <t>SUBDIRECTOR DE DESARROLLO FX Y DERIVADOS</t>
        </is>
      </c>
      <c r="K1397" t="n">
        <v>1</v>
      </c>
      <c r="L1397" t="inlineStr">
        <is>
          <t>PRESIDENCIA EJECUTIVA DEL CONSEJO</t>
        </is>
      </c>
      <c r="M1397" t="n">
        <v>40</v>
      </c>
      <c r="N1397" t="inlineStr">
        <is>
          <t>DIRECCION GENERAL BANCO BASE</t>
        </is>
      </c>
      <c r="O1397" t="n">
        <v>310</v>
      </c>
      <c r="P1397" t="inlineStr">
        <is>
          <t>DIRECCION DE TECNOLOGIA</t>
        </is>
      </c>
      <c r="Q1397" t="n">
        <v>3150</v>
      </c>
      <c r="R1397" t="inlineStr">
        <is>
          <t>DESARROLLO DE APLICATIVOS</t>
        </is>
      </c>
      <c r="S1397" t="n">
        <v>31550</v>
      </c>
      <c r="T1397" t="inlineStr">
        <is>
          <t>DESARROLLO DE APLICATIVOS FX</t>
        </is>
      </c>
      <c r="U1397" t="n">
        <v>315500</v>
      </c>
      <c r="V1397" t="inlineStr">
        <is>
          <t>APLICATIVOS 4</t>
        </is>
      </c>
      <c r="W1397" t="n">
        <v>134111</v>
      </c>
      <c r="X1397" t="inlineStr">
        <is>
          <t>LOMAS</t>
        </is>
      </c>
      <c r="Y1397" t="n">
        <v>4</v>
      </c>
      <c r="Z1397" t="inlineStr">
        <is>
          <t>CORPORATIVO</t>
        </is>
      </c>
      <c r="AA1397" t="n">
        <v>8</v>
      </c>
      <c r="AB1397" t="inlineStr">
        <is>
          <t>BAU</t>
        </is>
      </c>
      <c r="AC1397" t="n">
        <v>1</v>
      </c>
      <c r="AD1397" t="inlineStr">
        <is>
          <t>BANCO</t>
        </is>
      </c>
      <c r="AE1397" t="n">
        <v>1</v>
      </c>
      <c r="AF1397" t="inlineStr">
        <is>
          <t>BACK</t>
        </is>
      </c>
      <c r="AG1397" t="n">
        <v>134111</v>
      </c>
      <c r="AH1397" t="inlineStr">
        <is>
          <t>LOMAS</t>
        </is>
      </c>
      <c r="AI1397" t="inlineStr">
        <is>
          <t>RSANTILLAN@BANCOBASE.COM</t>
        </is>
      </c>
      <c r="AJ1397" s="151" t="n">
        <v>45705</v>
      </c>
    </row>
    <row r="1398" hidden="1" s="150">
      <c r="A1398" t="inlineStr">
        <is>
          <t>HADAME</t>
        </is>
      </c>
      <c r="B1398" t="n">
        <v>3970</v>
      </c>
      <c r="C1398" t="inlineStr">
        <is>
          <t>HECTOR ADRIAN ADAME BALDERAS</t>
        </is>
      </c>
      <c r="D1398" t="n">
        <v>8515</v>
      </c>
      <c r="E1398" t="inlineStr">
        <is>
          <t>ANALISTA FUNCIONAL</t>
        </is>
      </c>
      <c r="F1398" t="inlineStr">
        <is>
          <t>MONTERREY</t>
        </is>
      </c>
      <c r="G1398" t="n">
        <v>948</v>
      </c>
      <c r="H1398" t="inlineStr">
        <is>
          <t>IRIS ELEOLA JIMENEZ OLGUIN</t>
        </is>
      </c>
      <c r="I1398" t="n">
        <v>8100</v>
      </c>
      <c r="J1398" t="inlineStr">
        <is>
          <t>SUBDIRECTOR DE DESARROLLO FX Y DERIVADOS</t>
        </is>
      </c>
      <c r="K1398" t="n">
        <v>1</v>
      </c>
      <c r="L1398" t="inlineStr">
        <is>
          <t>PRESIDENCIA EJECUTIVA DEL CONSEJO</t>
        </is>
      </c>
      <c r="M1398" t="n">
        <v>40</v>
      </c>
      <c r="N1398" t="inlineStr">
        <is>
          <t>DIRECCION GENERAL BANCO BASE</t>
        </is>
      </c>
      <c r="O1398" t="n">
        <v>310</v>
      </c>
      <c r="P1398" t="inlineStr">
        <is>
          <t>DIRECCION DE TECNOLOGIA</t>
        </is>
      </c>
      <c r="Q1398" t="n">
        <v>3150</v>
      </c>
      <c r="R1398" t="inlineStr">
        <is>
          <t>DESARROLLO DE APLICATIVOS</t>
        </is>
      </c>
      <c r="S1398" t="n">
        <v>31550</v>
      </c>
      <c r="T1398" t="inlineStr">
        <is>
          <t>DESARROLLO DE APLICATIVOS FX</t>
        </is>
      </c>
      <c r="U1398" t="n">
        <v>315500</v>
      </c>
      <c r="V1398" t="inlineStr">
        <is>
          <t>APLICATIVOS 4</t>
        </is>
      </c>
      <c r="W1398" t="n">
        <v>100101</v>
      </c>
      <c r="X1398" t="inlineStr">
        <is>
          <t>CORPORATIVO</t>
        </is>
      </c>
      <c r="Y1398" t="n">
        <v>4</v>
      </c>
      <c r="Z1398" t="inlineStr">
        <is>
          <t>CORPORATIVO</t>
        </is>
      </c>
      <c r="AA1398" t="n">
        <v>8</v>
      </c>
      <c r="AB1398" t="inlineStr">
        <is>
          <t>BAU</t>
        </is>
      </c>
      <c r="AC1398" t="n">
        <v>1</v>
      </c>
      <c r="AD1398" t="inlineStr">
        <is>
          <t>BANCO</t>
        </is>
      </c>
      <c r="AE1398" t="n">
        <v>1</v>
      </c>
      <c r="AF1398" t="inlineStr">
        <is>
          <t>BACK</t>
        </is>
      </c>
      <c r="AG1398" t="n">
        <v>126102</v>
      </c>
      <c r="AH1398" t="inlineStr">
        <is>
          <t>MONTERREY</t>
        </is>
      </c>
      <c r="AI1398" t="inlineStr">
        <is>
          <t>HADAME@BANCOBASE.COM</t>
        </is>
      </c>
      <c r="AJ1398" s="151" t="n">
        <v>46239</v>
      </c>
    </row>
    <row r="1399" hidden="1" s="150">
      <c r="A1399" t="inlineStr">
        <is>
          <t>AGARCIASI</t>
        </is>
      </c>
      <c r="B1399" t="n">
        <v>3185</v>
      </c>
      <c r="C1399" t="inlineStr">
        <is>
          <t>MIGUEL ANGEL GARCIA SIERRA</t>
        </is>
      </c>
      <c r="D1399" t="n">
        <v>5068</v>
      </c>
      <c r="E1399" t="inlineStr">
        <is>
          <t>TECH LEAD ONBOARDING</t>
        </is>
      </c>
      <c r="F1399" t="inlineStr">
        <is>
          <t>TELETRABAJO</t>
        </is>
      </c>
      <c r="G1399" t="n">
        <v>2092</v>
      </c>
      <c r="H1399" t="inlineStr">
        <is>
          <t>FRANCISCO ENRIQUE PECINA MONTEVERDE</t>
        </is>
      </c>
      <c r="I1399" t="n">
        <v>8101</v>
      </c>
      <c r="J1399" t="inlineStr">
        <is>
          <t>SUBDIRECTOR DE DESARROLLO CLIENTES</t>
        </is>
      </c>
      <c r="K1399" t="n">
        <v>1</v>
      </c>
      <c r="L1399" t="inlineStr">
        <is>
          <t>PRESIDENCIA EJECUTIVA DEL CONSEJO</t>
        </is>
      </c>
      <c r="M1399" t="n">
        <v>30</v>
      </c>
      <c r="N1399" t="inlineStr">
        <is>
          <t>DIRECCION GENERAL ADJUNTA PRODUCTO Y TRANSFORMACIO</t>
        </is>
      </c>
      <c r="O1399" t="n">
        <v>301</v>
      </c>
      <c r="P1399" t="inlineStr">
        <is>
          <t>DOMINIO</t>
        </is>
      </c>
      <c r="Q1399" t="n">
        <v>3100</v>
      </c>
      <c r="R1399" t="inlineStr">
        <is>
          <t>DIRECCION DE TECNOLOGIA</t>
        </is>
      </c>
      <c r="S1399" t="n">
        <v>31500</v>
      </c>
      <c r="T1399" t="inlineStr">
        <is>
          <t>DESARROLLO DE APLICATIVOS</t>
        </is>
      </c>
      <c r="U1399" t="n">
        <v>301220</v>
      </c>
      <c r="V1399" t="inlineStr">
        <is>
          <t>ONBOARDING</t>
        </is>
      </c>
      <c r="W1399" t="n">
        <v>100101</v>
      </c>
      <c r="X1399" t="inlineStr">
        <is>
          <t>CORPORATIVO</t>
        </is>
      </c>
      <c r="Y1399" t="n">
        <v>4</v>
      </c>
      <c r="Z1399" t="inlineStr">
        <is>
          <t>CORPORATIVO</t>
        </is>
      </c>
      <c r="AA1399" t="n">
        <v>11</v>
      </c>
      <c r="AB1399" t="inlineStr">
        <is>
          <t>DOMINIO HA</t>
        </is>
      </c>
      <c r="AC1399" t="n">
        <v>1</v>
      </c>
      <c r="AD1399" t="inlineStr">
        <is>
          <t>BANCO</t>
        </is>
      </c>
      <c r="AE1399" t="n">
        <v>1</v>
      </c>
      <c r="AF1399" t="inlineStr">
        <is>
          <t>BACK</t>
        </is>
      </c>
      <c r="AG1399" t="n">
        <v>100101</v>
      </c>
      <c r="AH1399" t="inlineStr">
        <is>
          <t>CORPORATIVO</t>
        </is>
      </c>
      <c r="AI1399" t="inlineStr">
        <is>
          <t>AGARCIASI@BANCOBASE.COM</t>
        </is>
      </c>
      <c r="AJ1399" s="151" t="n">
        <v>45523</v>
      </c>
    </row>
    <row r="1400" hidden="1" s="150">
      <c r="A1400" t="inlineStr">
        <is>
          <t>LVILLAFANA</t>
        </is>
      </c>
      <c r="B1400" t="n">
        <v>3492</v>
      </c>
      <c r="C1400" t="inlineStr">
        <is>
          <t>LUIS ANTONIO VILLAFAÑA GRANADOS</t>
        </is>
      </c>
      <c r="D1400" t="n">
        <v>8458</v>
      </c>
      <c r="E1400" t="inlineStr">
        <is>
          <t>DIRECTOR DE ARQUITECTURA TI</t>
        </is>
      </c>
      <c r="F1400" t="inlineStr">
        <is>
          <t>MONTERREY</t>
        </is>
      </c>
      <c r="G1400" t="n">
        <v>3043</v>
      </c>
      <c r="H1400" t="inlineStr">
        <is>
          <t>PAOLA CAROLINA CANO CRUZ</t>
        </is>
      </c>
      <c r="I1400" t="n">
        <v>10402</v>
      </c>
      <c r="J1400" t="inlineStr">
        <is>
          <t>DIRECTOR DE TECNOLOGIA</t>
        </is>
      </c>
      <c r="K1400" t="n">
        <v>1</v>
      </c>
      <c r="L1400" t="inlineStr">
        <is>
          <t>PRESIDENCIA EJECUTIVA DEL CONSEJO</t>
        </is>
      </c>
      <c r="M1400" t="n">
        <v>40</v>
      </c>
      <c r="N1400" t="inlineStr">
        <is>
          <t>DIRECCION GENERAL BANCO BASE</t>
        </is>
      </c>
      <c r="O1400" t="n">
        <v>310</v>
      </c>
      <c r="P1400" t="inlineStr">
        <is>
          <t>DIRECCION DE TECNOLOGIA</t>
        </is>
      </c>
      <c r="Q1400" t="n">
        <v>3180</v>
      </c>
      <c r="R1400" t="inlineStr">
        <is>
          <t>DIRECCION DE ARQUITECTURA TI</t>
        </is>
      </c>
      <c r="S1400" t="n">
        <v>31800</v>
      </c>
      <c r="T1400" t="inlineStr">
        <is>
          <t>DIRECCION DE ARQUITECTURA TI</t>
        </is>
      </c>
      <c r="U1400" t="n">
        <v>318000</v>
      </c>
      <c r="V1400" t="inlineStr">
        <is>
          <t>DIRECCION DE ARQUITECTURA TI</t>
        </is>
      </c>
      <c r="W1400" t="n">
        <v>100101</v>
      </c>
      <c r="X1400" t="inlineStr">
        <is>
          <t>CORPORATIVO</t>
        </is>
      </c>
      <c r="Y1400" t="n">
        <v>4</v>
      </c>
      <c r="Z1400" t="inlineStr">
        <is>
          <t>CORPORATIVO</t>
        </is>
      </c>
      <c r="AA1400" t="n">
        <v>8</v>
      </c>
      <c r="AB1400" t="inlineStr">
        <is>
          <t>BAU</t>
        </is>
      </c>
      <c r="AC1400" t="n">
        <v>1</v>
      </c>
      <c r="AD1400" t="inlineStr">
        <is>
          <t>BANCO</t>
        </is>
      </c>
      <c r="AE1400" t="n">
        <v>1</v>
      </c>
      <c r="AF1400" t="inlineStr">
        <is>
          <t>BACK</t>
        </is>
      </c>
      <c r="AG1400" t="n">
        <v>100101</v>
      </c>
      <c r="AH1400" t="inlineStr">
        <is>
          <t>CORPORATIVO</t>
        </is>
      </c>
      <c r="AI1400" t="inlineStr">
        <is>
          <t>LVILLAFANA@BANCOBASE.COM</t>
        </is>
      </c>
      <c r="AJ1400" s="151" t="n">
        <v>45866</v>
      </c>
    </row>
    <row r="1401" hidden="1" s="150">
      <c r="A1401" t="inlineStr">
        <is>
          <t>LGONZALEZV</t>
        </is>
      </c>
      <c r="B1401" t="n">
        <v>3397</v>
      </c>
      <c r="C1401" t="inlineStr">
        <is>
          <t>LUIS FERNANDO GONZALEZ VILLA</t>
        </is>
      </c>
      <c r="D1401" t="n">
        <v>10410</v>
      </c>
      <c r="E1401" t="inlineStr">
        <is>
          <t>DIRECTOR DE GESTION DE DATOS</t>
        </is>
      </c>
      <c r="F1401" t="inlineStr">
        <is>
          <t>TELETRABAJO</t>
        </is>
      </c>
      <c r="G1401" t="n">
        <v>3492</v>
      </c>
      <c r="H1401" t="inlineStr">
        <is>
          <t>LUIS ANTONIO VILLAFAÑA GRANADOS</t>
        </is>
      </c>
      <c r="I1401" t="n">
        <v>8458</v>
      </c>
      <c r="J1401" t="inlineStr">
        <is>
          <t>DIRECTOR DE ARQUITECTURA TI</t>
        </is>
      </c>
      <c r="K1401" t="n">
        <v>1</v>
      </c>
      <c r="L1401" t="inlineStr">
        <is>
          <t>PRESIDENCIA EJECUTIVA DEL CONSEJO</t>
        </is>
      </c>
      <c r="M1401" t="n">
        <v>40</v>
      </c>
      <c r="N1401" t="inlineStr">
        <is>
          <t>DIRECCION GENERAL BANCO BASE</t>
        </is>
      </c>
      <c r="O1401" t="n">
        <v>310</v>
      </c>
      <c r="P1401" t="inlineStr">
        <is>
          <t>DIRECCION DE TECNOLOGIA</t>
        </is>
      </c>
      <c r="Q1401" t="n">
        <v>3160</v>
      </c>
      <c r="R1401" t="inlineStr">
        <is>
          <t>DIRECCION DE GESTION DE DATOS</t>
        </is>
      </c>
      <c r="S1401" t="n">
        <v>31600</v>
      </c>
      <c r="T1401" t="inlineStr">
        <is>
          <t>DIRECCION DE GESTION DE DATOS</t>
        </is>
      </c>
      <c r="U1401" t="n">
        <v>316000</v>
      </c>
      <c r="V1401" t="inlineStr">
        <is>
          <t>DIRECCION DE GESTION DE DATOS</t>
        </is>
      </c>
      <c r="W1401" t="n">
        <v>134111</v>
      </c>
      <c r="X1401" t="inlineStr">
        <is>
          <t>LOMAS</t>
        </is>
      </c>
      <c r="Y1401" t="n">
        <v>4</v>
      </c>
      <c r="Z1401" t="inlineStr">
        <is>
          <t>CORPORATIVO</t>
        </is>
      </c>
      <c r="AA1401" t="n">
        <v>7</v>
      </c>
      <c r="AB1401" t="inlineStr">
        <is>
          <t>PROYECTO DARWIN</t>
        </is>
      </c>
      <c r="AC1401" t="n">
        <v>1</v>
      </c>
      <c r="AD1401" t="inlineStr">
        <is>
          <t>BANCO</t>
        </is>
      </c>
      <c r="AE1401" t="n">
        <v>1</v>
      </c>
      <c r="AF1401" t="inlineStr">
        <is>
          <t>BACK</t>
        </is>
      </c>
      <c r="AG1401" t="n">
        <v>134111</v>
      </c>
      <c r="AH1401" t="inlineStr">
        <is>
          <t>LOMAS</t>
        </is>
      </c>
      <c r="AI1401" t="inlineStr">
        <is>
          <t>LGONZALEZV@BANCOBASE.COM</t>
        </is>
      </c>
      <c r="AJ1401" s="151" t="n">
        <v>45768</v>
      </c>
    </row>
    <row r="1402" hidden="1" s="150">
      <c r="A1402" t="inlineStr">
        <is>
          <t>MBAROJAS</t>
        </is>
      </c>
      <c r="B1402" t="n">
        <v>2613</v>
      </c>
      <c r="C1402" t="inlineStr">
        <is>
          <t>MAURICIO ALEJANDRO BAROJAS ESPINOZA</t>
        </is>
      </c>
      <c r="D1402" t="n">
        <v>9012</v>
      </c>
      <c r="E1402" t="inlineStr">
        <is>
          <t>SUBDIRECTOR DE DATA PLATAFORM &amp; DELIVERY</t>
        </is>
      </c>
      <c r="F1402" t="inlineStr">
        <is>
          <t>TELETRABAJO</t>
        </is>
      </c>
      <c r="G1402" t="n">
        <v>3397</v>
      </c>
      <c r="H1402" t="inlineStr">
        <is>
          <t>LUIS FERNANDO GONZALEZ VILLA</t>
        </is>
      </c>
      <c r="I1402" t="n">
        <v>10410</v>
      </c>
      <c r="J1402" t="inlineStr">
        <is>
          <t>DIRECTOR DE GESTION DE DATOS</t>
        </is>
      </c>
      <c r="K1402" t="n">
        <v>1</v>
      </c>
      <c r="L1402" t="inlineStr">
        <is>
          <t>PRESIDENCIA EJECUTIVA DEL CONSEJO</t>
        </is>
      </c>
      <c r="M1402" t="n">
        <v>40</v>
      </c>
      <c r="N1402" t="inlineStr">
        <is>
          <t>DIRECCION GENERAL BANCO BASE</t>
        </is>
      </c>
      <c r="O1402" t="n">
        <v>310</v>
      </c>
      <c r="P1402" t="inlineStr">
        <is>
          <t>DIRECCION DE TECNOLOGIA</t>
        </is>
      </c>
      <c r="Q1402" t="n">
        <v>3160</v>
      </c>
      <c r="R1402" t="inlineStr">
        <is>
          <t>DIRECCION DE GESTION DE DATOS</t>
        </is>
      </c>
      <c r="S1402" t="n">
        <v>31620</v>
      </c>
      <c r="T1402" t="inlineStr">
        <is>
          <t>SUBDIRECCION DE PLATAFORMA DE DATOS Y ENTREGA</t>
        </is>
      </c>
      <c r="U1402" t="n">
        <v>316000</v>
      </c>
      <c r="V1402" t="inlineStr">
        <is>
          <t>DIRECCION DE GESTION DE DATOS</t>
        </is>
      </c>
      <c r="W1402" t="n">
        <v>134111</v>
      </c>
      <c r="X1402" t="inlineStr">
        <is>
          <t>LOMAS</t>
        </is>
      </c>
      <c r="Y1402" t="n">
        <v>4</v>
      </c>
      <c r="Z1402" t="inlineStr">
        <is>
          <t>CORPORATIVO</t>
        </is>
      </c>
      <c r="AA1402" t="n">
        <v>1</v>
      </c>
      <c r="AB1402" t="inlineStr">
        <is>
          <t>NEGOCIO EN MARCHA</t>
        </is>
      </c>
      <c r="AC1402" t="n">
        <v>1</v>
      </c>
      <c r="AD1402" t="inlineStr">
        <is>
          <t>BANCO</t>
        </is>
      </c>
      <c r="AE1402" t="n">
        <v>1</v>
      </c>
      <c r="AF1402" t="inlineStr">
        <is>
          <t>BACK</t>
        </is>
      </c>
      <c r="AG1402" t="n">
        <v>134111</v>
      </c>
      <c r="AH1402" t="inlineStr">
        <is>
          <t>LOMAS</t>
        </is>
      </c>
      <c r="AI1402" t="inlineStr">
        <is>
          <t>MBAROJAS@BANCOBASE.COM</t>
        </is>
      </c>
      <c r="AJ1402" s="151" t="n">
        <v>44608</v>
      </c>
    </row>
    <row r="1403" hidden="1" s="150">
      <c r="A1403" t="inlineStr">
        <is>
          <t>LGONZALELA</t>
        </is>
      </c>
      <c r="B1403" t="n">
        <v>2972</v>
      </c>
      <c r="C1403" t="inlineStr">
        <is>
          <t>LUIS FERNANDO GONZALEZ LANDEROS</t>
        </is>
      </c>
      <c r="D1403" t="n">
        <v>8535</v>
      </c>
      <c r="E1403" t="inlineStr">
        <is>
          <t>GERENTE DE INGENIERIA DE PLATAFORMA DE DATOS</t>
        </is>
      </c>
      <c r="F1403" t="inlineStr">
        <is>
          <t>TELETRABAJO</t>
        </is>
      </c>
      <c r="G1403" t="n">
        <v>2613</v>
      </c>
      <c r="H1403" t="inlineStr">
        <is>
          <t>MAURICIO ALEJANDRO BAROJAS ESPINOZA</t>
        </is>
      </c>
      <c r="I1403" t="n">
        <v>9012</v>
      </c>
      <c r="J1403" t="inlineStr">
        <is>
          <t>SUBDIRECTOR DE DATA PLATAFORM &amp; DELIVERY</t>
        </is>
      </c>
      <c r="K1403" t="n">
        <v>1</v>
      </c>
      <c r="L1403" t="inlineStr">
        <is>
          <t>PRESIDENCIA EJECUTIVA DEL CONSEJO</t>
        </is>
      </c>
      <c r="M1403" t="n">
        <v>40</v>
      </c>
      <c r="N1403" t="inlineStr">
        <is>
          <t>DIRECCION GENERAL BANCO BASE</t>
        </is>
      </c>
      <c r="O1403" t="n">
        <v>310</v>
      </c>
      <c r="P1403" t="inlineStr">
        <is>
          <t>DIRECCION DE TECNOLOGIA</t>
        </is>
      </c>
      <c r="Q1403" t="n">
        <v>3160</v>
      </c>
      <c r="R1403" t="inlineStr">
        <is>
          <t>DIRECCION DE GESTION DE DATOS</t>
        </is>
      </c>
      <c r="S1403" t="n">
        <v>31620</v>
      </c>
      <c r="T1403" t="inlineStr">
        <is>
          <t>SUBDIRECCION DE PLATAFORMA DE DATOS Y ENTREGA</t>
        </is>
      </c>
      <c r="U1403" t="n">
        <v>316000</v>
      </c>
      <c r="V1403" t="inlineStr">
        <is>
          <t>DIRECCION DE GESTION DE DATOS</t>
        </is>
      </c>
      <c r="W1403" t="n">
        <v>126128</v>
      </c>
      <c r="X1403" t="inlineStr">
        <is>
          <t>LEON</t>
        </is>
      </c>
      <c r="Y1403" t="n">
        <v>4</v>
      </c>
      <c r="Z1403" t="inlineStr">
        <is>
          <t>CORPORATIVO</t>
        </is>
      </c>
      <c r="AA1403" t="n">
        <v>7</v>
      </c>
      <c r="AB1403" t="inlineStr">
        <is>
          <t>PROYECTO DARWIN</t>
        </is>
      </c>
      <c r="AC1403" t="n">
        <v>1</v>
      </c>
      <c r="AD1403" t="inlineStr">
        <is>
          <t>BANCO</t>
        </is>
      </c>
      <c r="AE1403" t="n">
        <v>1</v>
      </c>
      <c r="AF1403" t="inlineStr">
        <is>
          <t>BACK</t>
        </is>
      </c>
      <c r="AG1403" t="n">
        <v>126128</v>
      </c>
      <c r="AH1403" t="inlineStr">
        <is>
          <t>LEON</t>
        </is>
      </c>
      <c r="AI1403" t="inlineStr">
        <is>
          <t>LGONZALELA@BANCOBASE.COM</t>
        </is>
      </c>
      <c r="AJ1403" s="151" t="n">
        <v>45201</v>
      </c>
    </row>
    <row r="1404" hidden="1" s="150">
      <c r="A1404" t="inlineStr">
        <is>
          <t>JVILLANUEV</t>
        </is>
      </c>
      <c r="B1404" t="n">
        <v>3320</v>
      </c>
      <c r="C1404" t="inlineStr">
        <is>
          <t>JUAN JOSE VILLANUEVA FELIX</t>
        </is>
      </c>
      <c r="D1404" t="n">
        <v>8542</v>
      </c>
      <c r="E1404" t="inlineStr">
        <is>
          <t>INGENIERO DE PLATAFORMA DE DATOS SSR</t>
        </is>
      </c>
      <c r="F1404" t="inlineStr">
        <is>
          <t>TELETRABAJO</t>
        </is>
      </c>
      <c r="G1404" t="n">
        <v>2972</v>
      </c>
      <c r="H1404" t="inlineStr">
        <is>
          <t>LUIS FERNANDO GONZALEZ LANDEROS</t>
        </is>
      </c>
      <c r="I1404" t="n">
        <v>8535</v>
      </c>
      <c r="J1404" t="inlineStr">
        <is>
          <t>GERENTE DE INGENIERIA DE PLATAFORMA DE DATOS</t>
        </is>
      </c>
      <c r="K1404" t="n">
        <v>1</v>
      </c>
      <c r="L1404" t="inlineStr">
        <is>
          <t>PRESIDENCIA EJECUTIVA DEL CONSEJO</t>
        </is>
      </c>
      <c r="M1404" t="n">
        <v>40</v>
      </c>
      <c r="N1404" t="inlineStr">
        <is>
          <t>DIRECCION GENERAL BANCO BASE</t>
        </is>
      </c>
      <c r="O1404" t="n">
        <v>310</v>
      </c>
      <c r="P1404" t="inlineStr">
        <is>
          <t>DIRECCION DE TECNOLOGIA</t>
        </is>
      </c>
      <c r="Q1404" t="n">
        <v>3160</v>
      </c>
      <c r="R1404" t="inlineStr">
        <is>
          <t>DIRECCION DE GESTION DE DATOS</t>
        </is>
      </c>
      <c r="S1404" t="n">
        <v>31620</v>
      </c>
      <c r="T1404" t="inlineStr">
        <is>
          <t>SUBDIRECCION DE PLATAFORMA DE DATOS Y ENTREGA</t>
        </is>
      </c>
      <c r="U1404" t="n">
        <v>316000</v>
      </c>
      <c r="V1404" t="inlineStr">
        <is>
          <t>DIRECCION DE GESTION DE DATOS</t>
        </is>
      </c>
      <c r="W1404" t="n">
        <v>100101</v>
      </c>
      <c r="X1404" t="inlineStr">
        <is>
          <t>CORPORATIVO</t>
        </is>
      </c>
      <c r="Y1404" t="n">
        <v>4</v>
      </c>
      <c r="Z1404" t="inlineStr">
        <is>
          <t>CORPORATIVO</t>
        </is>
      </c>
      <c r="AA1404" t="n">
        <v>7</v>
      </c>
      <c r="AB1404" t="inlineStr">
        <is>
          <t>PROYECTO DARWIN</t>
        </is>
      </c>
      <c r="AC1404" t="n">
        <v>1</v>
      </c>
      <c r="AD1404" t="inlineStr">
        <is>
          <t>BANCO</t>
        </is>
      </c>
      <c r="AE1404" t="n">
        <v>1</v>
      </c>
      <c r="AF1404" t="inlineStr">
        <is>
          <t>BACK</t>
        </is>
      </c>
      <c r="AG1404" t="n">
        <v>126102</v>
      </c>
      <c r="AH1404" t="inlineStr">
        <is>
          <t>MONTERREY</t>
        </is>
      </c>
      <c r="AI1404" t="inlineStr">
        <is>
          <t>JVILLANUEV@BANCOBASE.COM</t>
        </is>
      </c>
      <c r="AJ1404" s="151" t="n">
        <v>45673</v>
      </c>
    </row>
    <row r="1405" hidden="1" s="150">
      <c r="A1405" t="inlineStr">
        <is>
          <t>HGALINDO</t>
        </is>
      </c>
      <c r="B1405" t="n">
        <v>3688</v>
      </c>
      <c r="C1405" t="inlineStr">
        <is>
          <t>HECTOR GALINDO RIVERA</t>
        </is>
      </c>
      <c r="D1405" t="n">
        <v>8730</v>
      </c>
      <c r="E1405" t="inlineStr">
        <is>
          <t>INGENIERO DE PLATAFORMA DE DATOS MDL</t>
        </is>
      </c>
      <c r="F1405" t="inlineStr">
        <is>
          <t>TELETRABAJO</t>
        </is>
      </c>
      <c r="G1405" t="n">
        <v>2972</v>
      </c>
      <c r="H1405" t="inlineStr">
        <is>
          <t>LUIS FERNANDO GONZALEZ LANDEROS</t>
        </is>
      </c>
      <c r="I1405" t="n">
        <v>8535</v>
      </c>
      <c r="J1405" t="inlineStr">
        <is>
          <t>GERENTE DE INGENIERIA DE PLATAFORMA DE DATOS</t>
        </is>
      </c>
      <c r="K1405" t="n">
        <v>1</v>
      </c>
      <c r="L1405" t="inlineStr">
        <is>
          <t>PRESIDENCIA EJECUTIVA DEL CONSEJO</t>
        </is>
      </c>
      <c r="M1405" t="n">
        <v>40</v>
      </c>
      <c r="N1405" t="inlineStr">
        <is>
          <t>DIRECCION GENERAL BANCO BASE</t>
        </is>
      </c>
      <c r="O1405" t="n">
        <v>310</v>
      </c>
      <c r="P1405" t="inlineStr">
        <is>
          <t>DIRECCION DE TECNOLOGIA</t>
        </is>
      </c>
      <c r="Q1405" t="n">
        <v>3160</v>
      </c>
      <c r="R1405" t="inlineStr">
        <is>
          <t>DIRECCION DE GESTION DE DATOS</t>
        </is>
      </c>
      <c r="S1405" t="n">
        <v>31620</v>
      </c>
      <c r="T1405" t="inlineStr">
        <is>
          <t>SUBDIRECCION DE PLATAFORMA DE DATOS Y ENTREGA</t>
        </is>
      </c>
      <c r="U1405" t="n">
        <v>316000</v>
      </c>
      <c r="V1405" t="inlineStr">
        <is>
          <t>DIRECCION DE GESTION DE DATOS</t>
        </is>
      </c>
      <c r="W1405" t="n">
        <v>134111</v>
      </c>
      <c r="X1405" t="inlineStr">
        <is>
          <t>LOMAS</t>
        </is>
      </c>
      <c r="Y1405" t="n">
        <v>4</v>
      </c>
      <c r="Z1405" t="inlineStr">
        <is>
          <t>CORPORATIVO</t>
        </is>
      </c>
      <c r="AA1405" t="n">
        <v>7</v>
      </c>
      <c r="AB1405" t="inlineStr">
        <is>
          <t>PROYECTO DARWIN</t>
        </is>
      </c>
      <c r="AC1405" t="n">
        <v>1</v>
      </c>
      <c r="AD1405" t="inlineStr">
        <is>
          <t>BANCO</t>
        </is>
      </c>
      <c r="AE1405" t="n">
        <v>1</v>
      </c>
      <c r="AF1405" t="inlineStr">
        <is>
          <t>BACK</t>
        </is>
      </c>
      <c r="AG1405" t="n">
        <v>134111</v>
      </c>
      <c r="AH1405" t="inlineStr">
        <is>
          <t>LOMAS</t>
        </is>
      </c>
      <c r="AI1405" t="inlineStr">
        <is>
          <t>HGALINDO@BANCOBASE.COM</t>
        </is>
      </c>
      <c r="AJ1405" s="151" t="n">
        <v>45979</v>
      </c>
    </row>
    <row r="1406" hidden="1" s="150">
      <c r="A1406" t="inlineStr">
        <is>
          <t>LJUAREZ</t>
        </is>
      </c>
      <c r="B1406" t="n">
        <v>2759</v>
      </c>
      <c r="C1406" t="inlineStr">
        <is>
          <t>LUIS ANGEL JUAREZ RODRIGUEZ</t>
        </is>
      </c>
      <c r="D1406" t="n">
        <v>9830</v>
      </c>
      <c r="E1406" t="inlineStr">
        <is>
          <t>GERENTE DE INGENIERIA DE DATOS</t>
        </is>
      </c>
      <c r="F1406" t="inlineStr">
        <is>
          <t>TELETRABAJO</t>
        </is>
      </c>
      <c r="G1406" t="n">
        <v>2613</v>
      </c>
      <c r="H1406" t="inlineStr">
        <is>
          <t>MAURICIO ALEJANDRO BAROJAS ESPINOZA</t>
        </is>
      </c>
      <c r="I1406" t="n">
        <v>9012</v>
      </c>
      <c r="J1406" t="inlineStr">
        <is>
          <t>SUBDIRECTOR DE DATA PLATAFORM &amp; DELIVERY</t>
        </is>
      </c>
      <c r="K1406" t="n">
        <v>1</v>
      </c>
      <c r="L1406" t="inlineStr">
        <is>
          <t>PRESIDENCIA EJECUTIVA DEL CONSEJO</t>
        </is>
      </c>
      <c r="M1406" t="n">
        <v>40</v>
      </c>
      <c r="N1406" t="inlineStr">
        <is>
          <t>DIRECCION GENERAL BANCO BASE</t>
        </is>
      </c>
      <c r="O1406" t="n">
        <v>310</v>
      </c>
      <c r="P1406" t="inlineStr">
        <is>
          <t>DIRECCION DE TECNOLOGIA</t>
        </is>
      </c>
      <c r="Q1406" t="n">
        <v>3160</v>
      </c>
      <c r="R1406" t="inlineStr">
        <is>
          <t>DIRECCION DE GESTION DE DATOS</t>
        </is>
      </c>
      <c r="S1406" t="n">
        <v>31620</v>
      </c>
      <c r="T1406" t="inlineStr">
        <is>
          <t>SUBDIRECCION DE PLATAFORMA DE DATOS Y ENTREGA</t>
        </is>
      </c>
      <c r="U1406" t="n">
        <v>316000</v>
      </c>
      <c r="V1406" t="inlineStr">
        <is>
          <t>DIRECCION DE GESTION DE DATOS</t>
        </is>
      </c>
      <c r="W1406" t="n">
        <v>134111</v>
      </c>
      <c r="X1406" t="inlineStr">
        <is>
          <t>LOMAS</t>
        </is>
      </c>
      <c r="Y1406" t="n">
        <v>4</v>
      </c>
      <c r="Z1406" t="inlineStr">
        <is>
          <t>CORPORATIVO</t>
        </is>
      </c>
      <c r="AA1406" t="n">
        <v>1</v>
      </c>
      <c r="AB1406" t="inlineStr">
        <is>
          <t>NEGOCIO EN MARCHA</t>
        </is>
      </c>
      <c r="AC1406" t="n">
        <v>1</v>
      </c>
      <c r="AD1406" t="inlineStr">
        <is>
          <t>BANCO</t>
        </is>
      </c>
      <c r="AE1406" t="n">
        <v>1</v>
      </c>
      <c r="AF1406" t="inlineStr">
        <is>
          <t>BACK</t>
        </is>
      </c>
      <c r="AG1406" t="n">
        <v>134111</v>
      </c>
      <c r="AH1406" t="inlineStr">
        <is>
          <t>LOMAS</t>
        </is>
      </c>
      <c r="AI1406" t="inlineStr">
        <is>
          <t>LJUAREZ@BANCOBASE.COM</t>
        </is>
      </c>
      <c r="AJ1406" s="151" t="n">
        <v>44855</v>
      </c>
    </row>
    <row r="1407" hidden="1" s="150">
      <c r="A1407" t="inlineStr">
        <is>
          <t>AORTEGA</t>
        </is>
      </c>
      <c r="B1407" t="n">
        <v>2913</v>
      </c>
      <c r="C1407" t="inlineStr">
        <is>
          <t>AGILIA ELIA ORTEGA RODRIGUEZ</t>
        </is>
      </c>
      <c r="D1407" t="n">
        <v>8167</v>
      </c>
      <c r="E1407" t="inlineStr">
        <is>
          <t>INGENIERO DE DATOS SSR</t>
        </is>
      </c>
      <c r="F1407" t="inlineStr">
        <is>
          <t>TELETRABAJO</t>
        </is>
      </c>
      <c r="G1407" t="n">
        <v>2759</v>
      </c>
      <c r="H1407" t="inlineStr">
        <is>
          <t>LUIS ANGEL JUAREZ RODRIGUEZ</t>
        </is>
      </c>
      <c r="I1407" t="n">
        <v>9830</v>
      </c>
      <c r="J1407" t="inlineStr">
        <is>
          <t>GERENTE DE INGENIERIA DE DATOS</t>
        </is>
      </c>
      <c r="K1407" t="n">
        <v>1</v>
      </c>
      <c r="L1407" t="inlineStr">
        <is>
          <t>PRESIDENCIA EJECUTIVA DEL CONSEJO</t>
        </is>
      </c>
      <c r="M1407" t="n">
        <v>40</v>
      </c>
      <c r="N1407" t="inlineStr">
        <is>
          <t>DIRECCION GENERAL BANCO BASE</t>
        </is>
      </c>
      <c r="O1407" t="n">
        <v>310</v>
      </c>
      <c r="P1407" t="inlineStr">
        <is>
          <t>DIRECCION DE TECNOLOGIA</t>
        </is>
      </c>
      <c r="Q1407" t="n">
        <v>3160</v>
      </c>
      <c r="R1407" t="inlineStr">
        <is>
          <t>DIRECCION DE GESTION DE DATOS</t>
        </is>
      </c>
      <c r="S1407" t="n">
        <v>31620</v>
      </c>
      <c r="T1407" t="inlineStr">
        <is>
          <t>SUBDIRECCION DE PLATAFORMA DE DATOS Y ENTREGA</t>
        </is>
      </c>
      <c r="U1407" t="n">
        <v>316000</v>
      </c>
      <c r="V1407" t="inlineStr">
        <is>
          <t>DIRECCION DE GESTION DE DATOS</t>
        </is>
      </c>
      <c r="W1407" t="n">
        <v>134111</v>
      </c>
      <c r="X1407" t="inlineStr">
        <is>
          <t>LOMAS</t>
        </is>
      </c>
      <c r="Y1407" t="n">
        <v>4</v>
      </c>
      <c r="Z1407" t="inlineStr">
        <is>
          <t>CORPORATIVO</t>
        </is>
      </c>
      <c r="AA1407" t="n">
        <v>1</v>
      </c>
      <c r="AB1407" t="inlineStr">
        <is>
          <t>NEGOCIO EN MARCHA</t>
        </is>
      </c>
      <c r="AC1407" t="n">
        <v>1</v>
      </c>
      <c r="AD1407" t="inlineStr">
        <is>
          <t>BANCO</t>
        </is>
      </c>
      <c r="AE1407" t="n">
        <v>1</v>
      </c>
      <c r="AF1407" t="inlineStr">
        <is>
          <t>BACK</t>
        </is>
      </c>
      <c r="AG1407" t="n">
        <v>134111</v>
      </c>
      <c r="AH1407" t="inlineStr">
        <is>
          <t>LOMAS</t>
        </is>
      </c>
      <c r="AI1407" t="inlineStr">
        <is>
          <t>AORTEGA@BANCOBASE.COM</t>
        </is>
      </c>
      <c r="AJ1407" s="151" t="n">
        <v>45096</v>
      </c>
    </row>
    <row r="1408" hidden="1" s="150">
      <c r="A1408" t="inlineStr">
        <is>
          <t>DJUAREZR</t>
        </is>
      </c>
      <c r="B1408" t="n">
        <v>3029</v>
      </c>
      <c r="C1408" t="inlineStr">
        <is>
          <t>DIEGO JUAREZ RAMIREZ</t>
        </is>
      </c>
      <c r="D1408" t="n">
        <v>8024</v>
      </c>
      <c r="E1408" t="inlineStr">
        <is>
          <t>INGENIERO DE DATOS MDL</t>
        </is>
      </c>
      <c r="F1408" t="inlineStr">
        <is>
          <t>TELETRABAJO</t>
        </is>
      </c>
      <c r="G1408" t="n">
        <v>2759</v>
      </c>
      <c r="H1408" t="inlineStr">
        <is>
          <t>LUIS ANGEL JUAREZ RODRIGUEZ</t>
        </is>
      </c>
      <c r="I1408" t="n">
        <v>9830</v>
      </c>
      <c r="J1408" t="inlineStr">
        <is>
          <t>GERENTE DE INGENIERIA DE DATOS</t>
        </is>
      </c>
      <c r="K1408" t="n">
        <v>1</v>
      </c>
      <c r="L1408" t="inlineStr">
        <is>
          <t>PRESIDENCIA EJECUTIVA DEL CONSEJO</t>
        </is>
      </c>
      <c r="M1408" t="n">
        <v>40</v>
      </c>
      <c r="N1408" t="inlineStr">
        <is>
          <t>DIRECCION GENERAL BANCO BASE</t>
        </is>
      </c>
      <c r="O1408" t="n">
        <v>310</v>
      </c>
      <c r="P1408" t="inlineStr">
        <is>
          <t>DIRECCION DE TECNOLOGIA</t>
        </is>
      </c>
      <c r="Q1408" t="n">
        <v>3160</v>
      </c>
      <c r="R1408" t="inlineStr">
        <is>
          <t>DIRECCION DE GESTION DE DATOS</t>
        </is>
      </c>
      <c r="S1408" t="n">
        <v>31620</v>
      </c>
      <c r="T1408" t="inlineStr">
        <is>
          <t>SUBDIRECCION DE PLATAFORMA DE DATOS Y ENTREGA</t>
        </is>
      </c>
      <c r="U1408" t="n">
        <v>316000</v>
      </c>
      <c r="V1408" t="inlineStr">
        <is>
          <t>DIRECCION DE GESTION DE DATOS</t>
        </is>
      </c>
      <c r="W1408" t="n">
        <v>134111</v>
      </c>
      <c r="X1408" t="inlineStr">
        <is>
          <t>LOMAS</t>
        </is>
      </c>
      <c r="Y1408" t="n">
        <v>4</v>
      </c>
      <c r="Z1408" t="inlineStr">
        <is>
          <t>CORPORATIVO</t>
        </is>
      </c>
      <c r="AA1408" t="n">
        <v>1</v>
      </c>
      <c r="AB1408" t="inlineStr">
        <is>
          <t>NEGOCIO EN MARCHA</t>
        </is>
      </c>
      <c r="AC1408" t="n">
        <v>1</v>
      </c>
      <c r="AD1408" t="inlineStr">
        <is>
          <t>BANCO</t>
        </is>
      </c>
      <c r="AE1408" t="n">
        <v>1</v>
      </c>
      <c r="AF1408" t="inlineStr">
        <is>
          <t>BACK</t>
        </is>
      </c>
      <c r="AG1408" t="n">
        <v>134111</v>
      </c>
      <c r="AH1408" t="inlineStr">
        <is>
          <t>LOMAS</t>
        </is>
      </c>
      <c r="AI1408" t="inlineStr">
        <is>
          <t>DJUAREZR@BANCOBASE.COM</t>
        </is>
      </c>
      <c r="AJ1408" s="151" t="n">
        <v>45328</v>
      </c>
    </row>
    <row r="1409" hidden="1" s="150">
      <c r="A1409" t="inlineStr">
        <is>
          <t>FVEGA</t>
        </is>
      </c>
      <c r="B1409" t="n">
        <v>3510</v>
      </c>
      <c r="C1409" t="inlineStr">
        <is>
          <t>FRANCISCO DANIEL VEGA HERNANDEZ</t>
        </is>
      </c>
      <c r="D1409" t="n">
        <v>9091</v>
      </c>
      <c r="E1409" t="inlineStr">
        <is>
          <t>INGENIERO DE DATOS SSR</t>
        </is>
      </c>
      <c r="F1409" t="inlineStr">
        <is>
          <t>TELETRABAJO</t>
        </is>
      </c>
      <c r="G1409" t="n">
        <v>2759</v>
      </c>
      <c r="H1409" t="inlineStr">
        <is>
          <t>LUIS ANGEL JUAREZ RODRIGUEZ</t>
        </is>
      </c>
      <c r="I1409" t="n">
        <v>9830</v>
      </c>
      <c r="J1409" t="inlineStr">
        <is>
          <t>GERENTE DE INGENIERIA DE DATOS</t>
        </is>
      </c>
      <c r="K1409" t="n">
        <v>1</v>
      </c>
      <c r="L1409" t="inlineStr">
        <is>
          <t>PRESIDENCIA EJECUTIVA DEL CONSEJO</t>
        </is>
      </c>
      <c r="M1409" t="n">
        <v>40</v>
      </c>
      <c r="N1409" t="inlineStr">
        <is>
          <t>DIRECCION GENERAL BANCO BASE</t>
        </is>
      </c>
      <c r="O1409" t="n">
        <v>310</v>
      </c>
      <c r="P1409" t="inlineStr">
        <is>
          <t>DIRECCION DE TECNOLOGIA</t>
        </is>
      </c>
      <c r="Q1409" t="n">
        <v>3160</v>
      </c>
      <c r="R1409" t="inlineStr">
        <is>
          <t>DIRECCION DE GESTION DE DATOS</t>
        </is>
      </c>
      <c r="S1409" t="n">
        <v>31620</v>
      </c>
      <c r="T1409" t="inlineStr">
        <is>
          <t>SUBDIRECCION DE PLATAFORMA DE DATOS Y ENTREGA</t>
        </is>
      </c>
      <c r="U1409" t="n">
        <v>316000</v>
      </c>
      <c r="V1409" t="inlineStr">
        <is>
          <t>DIRECCION DE GESTION DE DATOS</t>
        </is>
      </c>
      <c r="W1409" t="n">
        <v>134111</v>
      </c>
      <c r="X1409" t="inlineStr">
        <is>
          <t>LOMAS</t>
        </is>
      </c>
      <c r="Y1409" t="n">
        <v>4</v>
      </c>
      <c r="Z1409" t="inlineStr">
        <is>
          <t>CORPORATIVO</t>
        </is>
      </c>
      <c r="AA1409" t="n">
        <v>1</v>
      </c>
      <c r="AB1409" t="inlineStr">
        <is>
          <t>NEGOCIO EN MARCHA</t>
        </is>
      </c>
      <c r="AC1409" t="n">
        <v>1</v>
      </c>
      <c r="AD1409" t="inlineStr">
        <is>
          <t>BANCO</t>
        </is>
      </c>
      <c r="AE1409" t="n">
        <v>1</v>
      </c>
      <c r="AF1409" t="inlineStr">
        <is>
          <t>BACK</t>
        </is>
      </c>
      <c r="AG1409" t="n">
        <v>134111</v>
      </c>
      <c r="AH1409" t="inlineStr">
        <is>
          <t>LOMAS</t>
        </is>
      </c>
      <c r="AI1409" t="inlineStr">
        <is>
          <t>FVEGA@BANCOBASE.COM</t>
        </is>
      </c>
      <c r="AJ1409" s="151" t="n">
        <v>45873</v>
      </c>
    </row>
    <row r="1410" hidden="1" s="150">
      <c r="A1410" t="inlineStr">
        <is>
          <t>MCHAVEZ</t>
        </is>
      </c>
      <c r="B1410" t="n">
        <v>3312</v>
      </c>
      <c r="C1410" t="inlineStr">
        <is>
          <t>MARIANA CHAVEZ ORTIZ</t>
        </is>
      </c>
      <c r="D1410" t="n">
        <v>8539</v>
      </c>
      <c r="E1410" t="inlineStr">
        <is>
          <t>INGENIERO DE DATOS MDL</t>
        </is>
      </c>
      <c r="F1410" t="inlineStr">
        <is>
          <t>TELETRABAJO</t>
        </is>
      </c>
      <c r="G1410" t="n">
        <v>2759</v>
      </c>
      <c r="H1410" t="inlineStr">
        <is>
          <t>LUIS ANGEL JUAREZ RODRIGUEZ</t>
        </is>
      </c>
      <c r="I1410" t="n">
        <v>9830</v>
      </c>
      <c r="J1410" t="inlineStr">
        <is>
          <t>GERENTE DE INGENIERIA DE DATOS</t>
        </is>
      </c>
      <c r="K1410" t="n">
        <v>1</v>
      </c>
      <c r="L1410" t="inlineStr">
        <is>
          <t>PRESIDENCIA EJECUTIVA DEL CONSEJO</t>
        </is>
      </c>
      <c r="M1410" t="n">
        <v>40</v>
      </c>
      <c r="N1410" t="inlineStr">
        <is>
          <t>DIRECCION GENERAL BANCO BASE</t>
        </is>
      </c>
      <c r="O1410" t="n">
        <v>310</v>
      </c>
      <c r="P1410" t="inlineStr">
        <is>
          <t>DIRECCION DE TECNOLOGIA</t>
        </is>
      </c>
      <c r="Q1410" t="n">
        <v>3160</v>
      </c>
      <c r="R1410" t="inlineStr">
        <is>
          <t>DIRECCION DE GESTION DE DATOS</t>
        </is>
      </c>
      <c r="S1410" t="n">
        <v>31620</v>
      </c>
      <c r="T1410" t="inlineStr">
        <is>
          <t>SUBDIRECCION DE PLATAFORMA DE DATOS Y ENTREGA</t>
        </is>
      </c>
      <c r="U1410" t="n">
        <v>316000</v>
      </c>
      <c r="V1410" t="inlineStr">
        <is>
          <t>DIRECCION DE GESTION DE DATOS</t>
        </is>
      </c>
      <c r="W1410" t="n">
        <v>134111</v>
      </c>
      <c r="X1410" t="inlineStr">
        <is>
          <t>LOMAS</t>
        </is>
      </c>
      <c r="Y1410" t="n">
        <v>4</v>
      </c>
      <c r="Z1410" t="inlineStr">
        <is>
          <t>CORPORATIVO</t>
        </is>
      </c>
      <c r="AA1410" t="n">
        <v>8</v>
      </c>
      <c r="AB1410" t="inlineStr">
        <is>
          <t>BAU</t>
        </is>
      </c>
      <c r="AC1410" t="n">
        <v>1</v>
      </c>
      <c r="AD1410" t="inlineStr">
        <is>
          <t>BANCO</t>
        </is>
      </c>
      <c r="AE1410" t="n">
        <v>1</v>
      </c>
      <c r="AF1410" t="inlineStr">
        <is>
          <t>BACK</t>
        </is>
      </c>
      <c r="AG1410" t="n">
        <v>134111</v>
      </c>
      <c r="AH1410" t="inlineStr">
        <is>
          <t>LOMAS</t>
        </is>
      </c>
      <c r="AI1410" t="inlineStr">
        <is>
          <t>MCHAVEZ@BANCOBASE.COM</t>
        </is>
      </c>
      <c r="AJ1410" s="151" t="n">
        <v>45663</v>
      </c>
    </row>
    <row r="1411" hidden="1" s="150">
      <c r="A1411" t="inlineStr">
        <is>
          <t>MCHAVEZR</t>
        </is>
      </c>
      <c r="B1411" t="n">
        <v>3332</v>
      </c>
      <c r="C1411" t="inlineStr">
        <is>
          <t>MIGUEL ANGEL CHAVEZ RAMIREZ</t>
        </is>
      </c>
      <c r="D1411" t="n">
        <v>8032</v>
      </c>
      <c r="E1411" t="inlineStr">
        <is>
          <t>INGENIERO DE DATOS MDL</t>
        </is>
      </c>
      <c r="F1411" t="inlineStr">
        <is>
          <t>TELETRABAJO</t>
        </is>
      </c>
      <c r="G1411" t="n">
        <v>2759</v>
      </c>
      <c r="H1411" t="inlineStr">
        <is>
          <t>LUIS ANGEL JUAREZ RODRIGUEZ</t>
        </is>
      </c>
      <c r="I1411" t="n">
        <v>9830</v>
      </c>
      <c r="J1411" t="inlineStr">
        <is>
          <t>GERENTE DE INGENIERIA DE DATOS</t>
        </is>
      </c>
      <c r="K1411" t="n">
        <v>1</v>
      </c>
      <c r="L1411" t="inlineStr">
        <is>
          <t>PRESIDENCIA EJECUTIVA DEL CONSEJO</t>
        </is>
      </c>
      <c r="M1411" t="n">
        <v>40</v>
      </c>
      <c r="N1411" t="inlineStr">
        <is>
          <t>DIRECCION GENERAL BANCO BASE</t>
        </is>
      </c>
      <c r="O1411" t="n">
        <v>310</v>
      </c>
      <c r="P1411" t="inlineStr">
        <is>
          <t>DIRECCION DE TECNOLOGIA</t>
        </is>
      </c>
      <c r="Q1411" t="n">
        <v>3160</v>
      </c>
      <c r="R1411" t="inlineStr">
        <is>
          <t>DIRECCION DE GESTION DE DATOS</t>
        </is>
      </c>
      <c r="S1411" t="n">
        <v>31620</v>
      </c>
      <c r="T1411" t="inlineStr">
        <is>
          <t>SUBDIRECCION DE PLATAFORMA DE DATOS Y ENTREGA</t>
        </is>
      </c>
      <c r="U1411" t="n">
        <v>316000</v>
      </c>
      <c r="V1411" t="inlineStr">
        <is>
          <t>DIRECCION DE GESTION DE DATOS</t>
        </is>
      </c>
      <c r="W1411" t="n">
        <v>134111</v>
      </c>
      <c r="X1411" t="inlineStr">
        <is>
          <t>LOMAS</t>
        </is>
      </c>
      <c r="Y1411" t="n">
        <v>4</v>
      </c>
      <c r="Z1411" t="inlineStr">
        <is>
          <t>CORPORATIVO</t>
        </is>
      </c>
      <c r="AA1411" t="n">
        <v>1</v>
      </c>
      <c r="AB1411" t="inlineStr">
        <is>
          <t>NEGOCIO EN MARCHA</t>
        </is>
      </c>
      <c r="AC1411" t="n">
        <v>1</v>
      </c>
      <c r="AD1411" t="inlineStr">
        <is>
          <t>BANCO</t>
        </is>
      </c>
      <c r="AE1411" t="n">
        <v>1</v>
      </c>
      <c r="AF1411" t="inlineStr">
        <is>
          <t>BACK</t>
        </is>
      </c>
      <c r="AG1411" t="n">
        <v>134111</v>
      </c>
      <c r="AH1411" t="inlineStr">
        <is>
          <t>LOMAS</t>
        </is>
      </c>
      <c r="AI1411" t="inlineStr">
        <is>
          <t>MCHAVEZR@BANCOBASE.COM</t>
        </is>
      </c>
      <c r="AJ1411" s="151" t="n">
        <v>45692</v>
      </c>
    </row>
    <row r="1412" hidden="1" s="150">
      <c r="A1412" t="inlineStr">
        <is>
          <t>CCUTZ</t>
        </is>
      </c>
      <c r="B1412" t="n">
        <v>99513</v>
      </c>
      <c r="C1412" t="inlineStr">
        <is>
          <t>CARLOS GENARO CUTZ ANGUAS</t>
        </is>
      </c>
      <c r="D1412" t="n">
        <v>7026</v>
      </c>
      <c r="E1412" t="inlineStr">
        <is>
          <t>PRACTICANTE</t>
        </is>
      </c>
      <c r="F1412" t="inlineStr">
        <is>
          <t>CANCUN</t>
        </is>
      </c>
      <c r="G1412" t="n">
        <v>2613</v>
      </c>
      <c r="H1412" t="inlineStr">
        <is>
          <t>MAURICIO ALEJANDRO BAROJAS ESPINOZA</t>
        </is>
      </c>
      <c r="I1412" t="n">
        <v>9012</v>
      </c>
      <c r="J1412" t="inlineStr">
        <is>
          <t>SUBDIRECTOR DE DATA PLATAFORM &amp; DELIVERY</t>
        </is>
      </c>
      <c r="K1412" t="n">
        <v>1</v>
      </c>
      <c r="L1412" t="inlineStr">
        <is>
          <t>PRESIDENCIA EJECUTIVA DEL CONSEJO</t>
        </is>
      </c>
      <c r="M1412" t="n">
        <v>40</v>
      </c>
      <c r="N1412" t="inlineStr">
        <is>
          <t>DIRECCION GENERAL BANCO BASE</t>
        </is>
      </c>
      <c r="O1412" t="n">
        <v>310</v>
      </c>
      <c r="P1412" t="inlineStr">
        <is>
          <t>DIRECCION DE TECNOLOGIA</t>
        </is>
      </c>
      <c r="Q1412" t="n">
        <v>3160</v>
      </c>
      <c r="R1412" t="inlineStr">
        <is>
          <t>DIRECCION DE GESTION DE DATOS</t>
        </is>
      </c>
      <c r="S1412" t="n">
        <v>31620</v>
      </c>
      <c r="T1412" t="inlineStr">
        <is>
          <t>SUBDIRECCION DE PLATAFORMA DE DATOS Y ENTREGA</t>
        </is>
      </c>
      <c r="U1412" t="n">
        <v>322000</v>
      </c>
      <c r="V1412" t="inlineStr">
        <is>
          <t>SUBDIRECCION DE GOBIERNO DE DATOS</t>
        </is>
      </c>
      <c r="W1412" t="n">
        <v>126121</v>
      </c>
      <c r="X1412" t="inlineStr">
        <is>
          <t>CANCUN</t>
        </is>
      </c>
      <c r="Y1412" t="n">
        <v>4</v>
      </c>
      <c r="Z1412" t="inlineStr">
        <is>
          <t>CORPORATIVO</t>
        </is>
      </c>
      <c r="AA1412" t="n">
        <v>1</v>
      </c>
      <c r="AB1412" t="inlineStr">
        <is>
          <t>NEGOCIO EN MARCHA</t>
        </is>
      </c>
      <c r="AC1412" t="n">
        <v>1</v>
      </c>
      <c r="AD1412" t="inlineStr">
        <is>
          <t>BANCO</t>
        </is>
      </c>
      <c r="AE1412" t="n">
        <v>1</v>
      </c>
      <c r="AF1412" t="inlineStr">
        <is>
          <t>BACK</t>
        </is>
      </c>
      <c r="AG1412" t="n">
        <v>126121</v>
      </c>
      <c r="AH1412" t="inlineStr">
        <is>
          <t>CANCUN</t>
        </is>
      </c>
      <c r="AI1412" t="inlineStr">
        <is>
          <t>CCUTZ@BANCOBASE.COM</t>
        </is>
      </c>
      <c r="AJ1412" s="151" t="n">
        <v>45931</v>
      </c>
    </row>
    <row r="1413" hidden="1" s="150">
      <c r="A1413" t="inlineStr">
        <is>
          <t>DMARTINEZB</t>
        </is>
      </c>
      <c r="B1413" t="n">
        <v>99523</v>
      </c>
      <c r="C1413" t="inlineStr">
        <is>
          <t>DAVID ALEJANDRO MARTINEZ BUENO</t>
        </is>
      </c>
      <c r="D1413" t="n">
        <v>7031</v>
      </c>
      <c r="E1413" t="inlineStr">
        <is>
          <t>PRACTICANTE</t>
        </is>
      </c>
      <c r="F1413" t="inlineStr">
        <is>
          <t>CANCUN</t>
        </is>
      </c>
      <c r="G1413" t="n">
        <v>2613</v>
      </c>
      <c r="H1413" t="inlineStr">
        <is>
          <t>MAURICIO ALEJANDRO BAROJAS ESPINOZA</t>
        </is>
      </c>
      <c r="I1413" t="n">
        <v>9012</v>
      </c>
      <c r="J1413" t="inlineStr">
        <is>
          <t>SUBDIRECTOR DE DATA PLATAFORM &amp; DELIVERY</t>
        </is>
      </c>
      <c r="K1413" t="n">
        <v>1</v>
      </c>
      <c r="L1413" t="inlineStr">
        <is>
          <t>PRESIDENCIA EJECUTIVA DEL CONSEJO</t>
        </is>
      </c>
      <c r="M1413" t="n">
        <v>40</v>
      </c>
      <c r="N1413" t="inlineStr">
        <is>
          <t>DIRECCION GENERAL BANCO BASE</t>
        </is>
      </c>
      <c r="O1413" t="n">
        <v>310</v>
      </c>
      <c r="P1413" t="inlineStr">
        <is>
          <t>DIRECCION DE TECNOLOGIA</t>
        </is>
      </c>
      <c r="Q1413" t="n">
        <v>3160</v>
      </c>
      <c r="R1413" t="inlineStr">
        <is>
          <t>DIRECCION DE GESTION DE DATOS</t>
        </is>
      </c>
      <c r="S1413" t="n">
        <v>31620</v>
      </c>
      <c r="T1413" t="inlineStr">
        <is>
          <t>SUBDIRECCION DE PLATAFORMA DE DATOS Y ENTREGA</t>
        </is>
      </c>
      <c r="U1413" t="n">
        <v>322000</v>
      </c>
      <c r="V1413" t="inlineStr">
        <is>
          <t>SUBDIRECCION DE GOBIERNO DE DATOS</t>
        </is>
      </c>
      <c r="W1413" t="n">
        <v>126121</v>
      </c>
      <c r="X1413" t="inlineStr">
        <is>
          <t>CANCUN</t>
        </is>
      </c>
      <c r="Y1413" t="n">
        <v>4</v>
      </c>
      <c r="Z1413" t="inlineStr">
        <is>
          <t>CORPORATIVO</t>
        </is>
      </c>
      <c r="AA1413" t="n">
        <v>1</v>
      </c>
      <c r="AB1413" t="inlineStr">
        <is>
          <t>NEGOCIO EN MARCHA</t>
        </is>
      </c>
      <c r="AC1413" t="n">
        <v>1</v>
      </c>
      <c r="AD1413" t="inlineStr">
        <is>
          <t>BANCO</t>
        </is>
      </c>
      <c r="AE1413" t="n">
        <v>1</v>
      </c>
      <c r="AF1413" t="inlineStr">
        <is>
          <t>BACK</t>
        </is>
      </c>
      <c r="AG1413" t="n">
        <v>126121</v>
      </c>
      <c r="AH1413" t="inlineStr">
        <is>
          <t>CANCUN</t>
        </is>
      </c>
      <c r="AI1413" t="inlineStr">
        <is>
          <t>DMARTINEZB@BANCOBASE.COM</t>
        </is>
      </c>
      <c r="AJ1413" s="151" t="n">
        <v>45931</v>
      </c>
    </row>
    <row r="1414" hidden="1" s="150">
      <c r="A1414" t="inlineStr">
        <is>
          <t>DAGUILARC</t>
        </is>
      </c>
      <c r="B1414" t="n">
        <v>3579</v>
      </c>
      <c r="C1414" t="inlineStr">
        <is>
          <t>DANIEL ALESSANDRO AGUILAR CHOMBO</t>
        </is>
      </c>
      <c r="D1414" t="n">
        <v>8784</v>
      </c>
      <c r="E1414" t="inlineStr">
        <is>
          <t>GERENTE DE INGENIERIA DE MODELADO DE DATOS</t>
        </is>
      </c>
      <c r="F1414" t="inlineStr">
        <is>
          <t>TELETRABAJO</t>
        </is>
      </c>
      <c r="G1414" t="n">
        <v>2613</v>
      </c>
      <c r="H1414" t="inlineStr">
        <is>
          <t>MAURICIO ALEJANDRO BAROJAS ESPINOZA</t>
        </is>
      </c>
      <c r="I1414" t="n">
        <v>9012</v>
      </c>
      <c r="J1414" t="inlineStr">
        <is>
          <t>SUBDIRECTOR DE DATA PLATAFORM &amp; DELIVERY</t>
        </is>
      </c>
      <c r="K1414" t="n">
        <v>1</v>
      </c>
      <c r="L1414" t="inlineStr">
        <is>
          <t>PRESIDENCIA EJECUTIVA DEL CONSEJO</t>
        </is>
      </c>
      <c r="M1414" t="n">
        <v>40</v>
      </c>
      <c r="N1414" t="inlineStr">
        <is>
          <t>DIRECCION GENERAL BANCO BASE</t>
        </is>
      </c>
      <c r="O1414" t="n">
        <v>310</v>
      </c>
      <c r="P1414" t="inlineStr">
        <is>
          <t>DIRECCION DE TECNOLOGIA</t>
        </is>
      </c>
      <c r="Q1414" t="n">
        <v>3160</v>
      </c>
      <c r="R1414" t="inlineStr">
        <is>
          <t>DIRECCION DE GESTION DE DATOS</t>
        </is>
      </c>
      <c r="S1414" t="n">
        <v>31620</v>
      </c>
      <c r="T1414" t="inlineStr">
        <is>
          <t>SUBDIRECCION DE PLATAFORMA DE DATOS Y ENTREGA</t>
        </is>
      </c>
      <c r="U1414" t="n">
        <v>316000</v>
      </c>
      <c r="V1414" t="inlineStr">
        <is>
          <t>DIRECCION DE GESTION DE DATOS</t>
        </is>
      </c>
      <c r="W1414" t="n">
        <v>134111</v>
      </c>
      <c r="X1414" t="inlineStr">
        <is>
          <t>LOMAS</t>
        </is>
      </c>
      <c r="Y1414" t="n">
        <v>4</v>
      </c>
      <c r="Z1414" t="inlineStr">
        <is>
          <t>CORPORATIVO</t>
        </is>
      </c>
      <c r="AA1414" t="n">
        <v>7</v>
      </c>
      <c r="AB1414" t="inlineStr">
        <is>
          <t>PROYECTO DARWIN</t>
        </is>
      </c>
      <c r="AC1414" t="n">
        <v>1</v>
      </c>
      <c r="AD1414" t="inlineStr">
        <is>
          <t>BANCO</t>
        </is>
      </c>
      <c r="AE1414" t="n">
        <v>1</v>
      </c>
      <c r="AF1414" t="inlineStr">
        <is>
          <t>BACK</t>
        </is>
      </c>
      <c r="AG1414" t="n">
        <v>134111</v>
      </c>
      <c r="AH1414" t="inlineStr">
        <is>
          <t>LOMAS</t>
        </is>
      </c>
      <c r="AI1414" t="inlineStr">
        <is>
          <t>DAGUILARC@BANCOBASE.COM</t>
        </is>
      </c>
      <c r="AJ1414" s="151" t="n">
        <v>45917</v>
      </c>
    </row>
    <row r="1415" hidden="1" s="150">
      <c r="A1415" t="inlineStr">
        <is>
          <t>JCOB</t>
        </is>
      </c>
      <c r="B1415" t="n">
        <v>99511</v>
      </c>
      <c r="C1415" t="inlineStr">
        <is>
          <t>JAVIER ENRIQUE DE JESUS COB GARMA</t>
        </is>
      </c>
      <c r="D1415" t="n">
        <v>7023</v>
      </c>
      <c r="E1415" t="inlineStr">
        <is>
          <t>PRACTICANTE</t>
        </is>
      </c>
      <c r="F1415" t="inlineStr">
        <is>
          <t>CANCUN</t>
        </is>
      </c>
      <c r="G1415" t="n">
        <v>2613</v>
      </c>
      <c r="H1415" t="inlineStr">
        <is>
          <t>MAURICIO ALEJANDRO BAROJAS ESPINOZA</t>
        </is>
      </c>
      <c r="I1415" t="n">
        <v>9012</v>
      </c>
      <c r="J1415" t="inlineStr">
        <is>
          <t>SUBDIRECTOR DE DATA PLATAFORM &amp; DELIVERY</t>
        </is>
      </c>
      <c r="K1415" t="n">
        <v>1</v>
      </c>
      <c r="L1415" t="inlineStr">
        <is>
          <t>PRESIDENCIA EJECUTIVA DEL CONSEJO</t>
        </is>
      </c>
      <c r="M1415" t="n">
        <v>40</v>
      </c>
      <c r="N1415" t="inlineStr">
        <is>
          <t>DIRECCION GENERAL BANCO BASE</t>
        </is>
      </c>
      <c r="O1415" t="n">
        <v>310</v>
      </c>
      <c r="P1415" t="inlineStr">
        <is>
          <t>DIRECCION DE TECNOLOGIA</t>
        </is>
      </c>
      <c r="Q1415" t="n">
        <v>3160</v>
      </c>
      <c r="R1415" t="inlineStr">
        <is>
          <t>DIRECCION DE GESTION DE DATOS</t>
        </is>
      </c>
      <c r="S1415" t="n">
        <v>31620</v>
      </c>
      <c r="T1415" t="inlineStr">
        <is>
          <t>SUBDIRECCION DE PLATAFORMA DE DATOS Y ENTREGA</t>
        </is>
      </c>
      <c r="U1415" t="n">
        <v>322000</v>
      </c>
      <c r="V1415" t="inlineStr">
        <is>
          <t>SUBDIRECCION DE GOBIERNO DE DATOS</t>
        </is>
      </c>
      <c r="W1415" t="n">
        <v>126121</v>
      </c>
      <c r="X1415" t="inlineStr">
        <is>
          <t>CANCUN</t>
        </is>
      </c>
      <c r="Y1415" t="n">
        <v>4</v>
      </c>
      <c r="Z1415" t="inlineStr">
        <is>
          <t>CORPORATIVO</t>
        </is>
      </c>
      <c r="AA1415" t="n">
        <v>1</v>
      </c>
      <c r="AB1415" t="inlineStr">
        <is>
          <t>NEGOCIO EN MARCHA</t>
        </is>
      </c>
      <c r="AC1415" t="n">
        <v>1</v>
      </c>
      <c r="AD1415" t="inlineStr">
        <is>
          <t>BANCO</t>
        </is>
      </c>
      <c r="AE1415" t="n">
        <v>1</v>
      </c>
      <c r="AF1415" t="inlineStr">
        <is>
          <t>BACK</t>
        </is>
      </c>
      <c r="AG1415" t="n">
        <v>126121</v>
      </c>
      <c r="AH1415" t="inlineStr">
        <is>
          <t>CANCUN</t>
        </is>
      </c>
      <c r="AI1415" t="inlineStr">
        <is>
          <t>JCOB@BANCOBASE.COM</t>
        </is>
      </c>
      <c r="AJ1415" s="151" t="n">
        <v>45931</v>
      </c>
    </row>
    <row r="1416" hidden="1" s="150">
      <c r="A1416" t="inlineStr">
        <is>
          <t>SMARTINEZC</t>
        </is>
      </c>
      <c r="B1416" t="n">
        <v>99519</v>
      </c>
      <c r="C1416" t="inlineStr">
        <is>
          <t>SEBASTIAN MARTINEZ CUEVAS</t>
        </is>
      </c>
      <c r="D1416" t="n">
        <v>7030</v>
      </c>
      <c r="E1416" t="inlineStr">
        <is>
          <t>PRACTICANTE</t>
        </is>
      </c>
      <c r="F1416" t="inlineStr">
        <is>
          <t>CANCUN</t>
        </is>
      </c>
      <c r="G1416" t="n">
        <v>2613</v>
      </c>
      <c r="H1416" t="inlineStr">
        <is>
          <t>MAURICIO ALEJANDRO BAROJAS ESPINOZA</t>
        </is>
      </c>
      <c r="I1416" t="n">
        <v>9012</v>
      </c>
      <c r="J1416" t="inlineStr">
        <is>
          <t>SUBDIRECTOR DE DATA PLATAFORM &amp; DELIVERY</t>
        </is>
      </c>
      <c r="K1416" t="n">
        <v>1</v>
      </c>
      <c r="L1416" t="inlineStr">
        <is>
          <t>PRESIDENCIA EJECUTIVA DEL CONSEJO</t>
        </is>
      </c>
      <c r="M1416" t="n">
        <v>40</v>
      </c>
      <c r="N1416" t="inlineStr">
        <is>
          <t>DIRECCION GENERAL BANCO BASE</t>
        </is>
      </c>
      <c r="O1416" t="n">
        <v>310</v>
      </c>
      <c r="P1416" t="inlineStr">
        <is>
          <t>DIRECCION DE TECNOLOGIA</t>
        </is>
      </c>
      <c r="Q1416" t="n">
        <v>3160</v>
      </c>
      <c r="R1416" t="inlineStr">
        <is>
          <t>DIRECCION DE GESTION DE DATOS</t>
        </is>
      </c>
      <c r="S1416" t="n">
        <v>31620</v>
      </c>
      <c r="T1416" t="inlineStr">
        <is>
          <t>SUBDIRECCION DE PLATAFORMA DE DATOS Y ENTREGA</t>
        </is>
      </c>
      <c r="U1416" t="n">
        <v>322000</v>
      </c>
      <c r="V1416" t="inlineStr">
        <is>
          <t>SUBDIRECCION DE GOBIERNO DE DATOS</t>
        </is>
      </c>
      <c r="W1416" t="n">
        <v>126121</v>
      </c>
      <c r="X1416" t="inlineStr">
        <is>
          <t>CANCUN</t>
        </is>
      </c>
      <c r="Y1416" t="n">
        <v>4</v>
      </c>
      <c r="Z1416" t="inlineStr">
        <is>
          <t>CORPORATIVO</t>
        </is>
      </c>
      <c r="AA1416" t="n">
        <v>1</v>
      </c>
      <c r="AB1416" t="inlineStr">
        <is>
          <t>NEGOCIO EN MARCHA</t>
        </is>
      </c>
      <c r="AC1416" t="n">
        <v>1</v>
      </c>
      <c r="AD1416" t="inlineStr">
        <is>
          <t>BANCO</t>
        </is>
      </c>
      <c r="AE1416" t="n">
        <v>1</v>
      </c>
      <c r="AF1416" t="inlineStr">
        <is>
          <t>BACK</t>
        </is>
      </c>
      <c r="AG1416" t="n">
        <v>126121</v>
      </c>
      <c r="AH1416" t="inlineStr">
        <is>
          <t>CANCUN</t>
        </is>
      </c>
      <c r="AI1416" t="inlineStr">
        <is>
          <t>SMARTINEZC@BANCOBASE.COM</t>
        </is>
      </c>
      <c r="AJ1416" s="151" t="n">
        <v>45931</v>
      </c>
    </row>
    <row r="1417" hidden="1" s="150">
      <c r="A1417" t="inlineStr">
        <is>
          <t>LAQUINO</t>
        </is>
      </c>
      <c r="B1417" t="n">
        <v>2572</v>
      </c>
      <c r="C1417" t="inlineStr">
        <is>
          <t>LEONARDO JAFET AQUINO CHAVEZ</t>
        </is>
      </c>
      <c r="D1417" t="n">
        <v>5102</v>
      </c>
      <c r="E1417" t="inlineStr">
        <is>
          <t>DATA LEAD</t>
        </is>
      </c>
      <c r="F1417" t="inlineStr">
        <is>
          <t>TELETRABAJO</t>
        </is>
      </c>
      <c r="G1417" t="n">
        <v>3706</v>
      </c>
      <c r="H1417" t="inlineStr">
        <is>
          <t>GABRIEL ANTONIO PENICHE EGUIA</t>
        </is>
      </c>
      <c r="I1417" t="n">
        <v>5124</v>
      </c>
      <c r="J1417" t="inlineStr">
        <is>
          <t>SUBDIRECTOR RDM EVOLUTION</t>
        </is>
      </c>
      <c r="K1417" t="n">
        <v>1</v>
      </c>
      <c r="L1417" t="inlineStr">
        <is>
          <t>PRESIDENCIA EJECUTIVA DEL CONSEJO</t>
        </is>
      </c>
      <c r="M1417" t="n">
        <v>30</v>
      </c>
      <c r="N1417" t="inlineStr">
        <is>
          <t>DIRECCION GENERAL ADJUNTA PRODUCTO Y TRANSFORMACIO</t>
        </is>
      </c>
      <c r="O1417" t="n">
        <v>301</v>
      </c>
      <c r="P1417" t="inlineStr">
        <is>
          <t>DOMINIO</t>
        </is>
      </c>
      <c r="Q1417" t="n">
        <v>3100</v>
      </c>
      <c r="R1417" t="inlineStr">
        <is>
          <t>DIRECCION DE TECNOLOGIA</t>
        </is>
      </c>
      <c r="S1417" t="n">
        <v>31600</v>
      </c>
      <c r="T1417" t="inlineStr">
        <is>
          <t>DIRECCION DE GESTION DE DATOS</t>
        </is>
      </c>
      <c r="U1417" t="n">
        <v>301200</v>
      </c>
      <c r="V1417" t="inlineStr">
        <is>
          <t>DOMINIO HA</t>
        </is>
      </c>
      <c r="W1417" t="n">
        <v>134111</v>
      </c>
      <c r="X1417" t="inlineStr">
        <is>
          <t>LOMAS</t>
        </is>
      </c>
      <c r="Y1417" t="n">
        <v>4</v>
      </c>
      <c r="Z1417" t="inlineStr">
        <is>
          <t>CORPORATIVO</t>
        </is>
      </c>
      <c r="AA1417" t="n">
        <v>11</v>
      </c>
      <c r="AB1417" t="inlineStr">
        <is>
          <t>DOMINIO HA</t>
        </is>
      </c>
      <c r="AC1417" t="n">
        <v>1</v>
      </c>
      <c r="AD1417" t="inlineStr">
        <is>
          <t>BANCO</t>
        </is>
      </c>
      <c r="AE1417" t="n">
        <v>1</v>
      </c>
      <c r="AF1417" t="inlineStr">
        <is>
          <t>BACK</t>
        </is>
      </c>
      <c r="AG1417" t="n">
        <v>134111</v>
      </c>
      <c r="AH1417" t="inlineStr">
        <is>
          <t>LOMAS</t>
        </is>
      </c>
      <c r="AI1417" t="inlineStr">
        <is>
          <t>LAQUINO@BANCOBASE.COM</t>
        </is>
      </c>
      <c r="AJ1417" s="151" t="n">
        <v>44516</v>
      </c>
    </row>
    <row r="1418" hidden="1" s="150">
      <c r="A1418" t="inlineStr">
        <is>
          <t>AHERAS</t>
        </is>
      </c>
      <c r="B1418" t="n">
        <v>3883</v>
      </c>
      <c r="C1418" t="inlineStr">
        <is>
          <t>ADRIAN HERAS ORTIZ</t>
        </is>
      </c>
      <c r="D1418" t="n">
        <v>5119</v>
      </c>
      <c r="E1418" t="inlineStr">
        <is>
          <t>DATA STEWARD</t>
        </is>
      </c>
      <c r="F1418" t="inlineStr">
        <is>
          <t>TELETRABAJO</t>
        </is>
      </c>
      <c r="G1418" t="n">
        <v>3706</v>
      </c>
      <c r="H1418" t="inlineStr">
        <is>
          <t>GABRIEL ANTONIO PENICHE EGUIA</t>
        </is>
      </c>
      <c r="I1418" t="n">
        <v>5124</v>
      </c>
      <c r="J1418" t="inlineStr">
        <is>
          <t>SUBDIRECTOR RDM EVOLUTION</t>
        </is>
      </c>
      <c r="K1418" t="n">
        <v>1</v>
      </c>
      <c r="L1418" t="inlineStr">
        <is>
          <t>PRESIDENCIA EJECUTIVA DEL CONSEJO</t>
        </is>
      </c>
      <c r="M1418" t="n">
        <v>30</v>
      </c>
      <c r="N1418" t="inlineStr">
        <is>
          <t>DIRECCION GENERAL ADJUNTA PRODUCTO Y TRANSFORMACIO</t>
        </is>
      </c>
      <c r="O1418" t="n">
        <v>301</v>
      </c>
      <c r="P1418" t="inlineStr">
        <is>
          <t>DOMINIO</t>
        </is>
      </c>
      <c r="Q1418" t="n">
        <v>3100</v>
      </c>
      <c r="R1418" t="inlineStr">
        <is>
          <t>DIRECCION DE TECNOLOGIA</t>
        </is>
      </c>
      <c r="S1418" t="n">
        <v>31600</v>
      </c>
      <c r="T1418" t="inlineStr">
        <is>
          <t>DIRECCION DE GESTION DE DATOS</t>
        </is>
      </c>
      <c r="U1418" t="n">
        <v>301300</v>
      </c>
      <c r="V1418" t="inlineStr">
        <is>
          <t>EQUIPO HABILITADOR</t>
        </is>
      </c>
      <c r="W1418" t="n">
        <v>134111</v>
      </c>
      <c r="X1418" t="inlineStr">
        <is>
          <t>LOMAS</t>
        </is>
      </c>
      <c r="Y1418" t="n">
        <v>4</v>
      </c>
      <c r="Z1418" t="inlineStr">
        <is>
          <t>CORPORATIVO</t>
        </is>
      </c>
      <c r="AA1418" t="n">
        <v>11</v>
      </c>
      <c r="AB1418" t="inlineStr">
        <is>
          <t>DOMINIO HA</t>
        </is>
      </c>
      <c r="AC1418" t="n">
        <v>1</v>
      </c>
      <c r="AD1418" t="inlineStr">
        <is>
          <t>BANCO</t>
        </is>
      </c>
      <c r="AE1418" t="n">
        <v>1</v>
      </c>
      <c r="AF1418" t="inlineStr">
        <is>
          <t>BACK</t>
        </is>
      </c>
      <c r="AG1418" t="n">
        <v>134111</v>
      </c>
      <c r="AH1418" t="inlineStr">
        <is>
          <t>LOMAS</t>
        </is>
      </c>
      <c r="AI1418" t="inlineStr">
        <is>
          <t>AHERAS@BANCOBASE.COM</t>
        </is>
      </c>
      <c r="AJ1418" s="151" t="n">
        <v>46167</v>
      </c>
    </row>
    <row r="1419" hidden="1" s="150">
      <c r="A1419" t="inlineStr">
        <is>
          <t>AGUTIERREA</t>
        </is>
      </c>
      <c r="B1419" t="n">
        <v>3916</v>
      </c>
      <c r="C1419" t="inlineStr">
        <is>
          <t>ALFREDO GUTIERREZ ALFARO</t>
        </is>
      </c>
      <c r="D1419" t="n">
        <v>8169</v>
      </c>
      <c r="E1419" t="inlineStr">
        <is>
          <t>INGENIERO MLOPS</t>
        </is>
      </c>
      <c r="F1419" t="inlineStr">
        <is>
          <t>AGUASCALIENTES</t>
        </is>
      </c>
      <c r="G1419" t="n">
        <v>3706</v>
      </c>
      <c r="H1419" t="inlineStr">
        <is>
          <t>GABRIEL ANTONIO PENICHE EGUIA</t>
        </is>
      </c>
      <c r="I1419" t="n">
        <v>5124</v>
      </c>
      <c r="J1419" t="inlineStr">
        <is>
          <t>SUBDIRECTOR RDM EVOLUTION</t>
        </is>
      </c>
      <c r="K1419" t="n">
        <v>1</v>
      </c>
      <c r="L1419" t="inlineStr">
        <is>
          <t>PRESIDENCIA EJECUTIVA DEL CONSEJO</t>
        </is>
      </c>
      <c r="M1419" t="n">
        <v>30</v>
      </c>
      <c r="N1419" t="inlineStr">
        <is>
          <t>DIRECCION GENERAL ADJUNTA PRODUCTO Y TRANSFORMACIO</t>
        </is>
      </c>
      <c r="O1419" t="n">
        <v>301</v>
      </c>
      <c r="P1419" t="inlineStr">
        <is>
          <t>DOMINIO</t>
        </is>
      </c>
      <c r="Q1419" t="n">
        <v>3100</v>
      </c>
      <c r="R1419" t="inlineStr">
        <is>
          <t>DIRECCION DE TECNOLOGIA</t>
        </is>
      </c>
      <c r="S1419" t="n">
        <v>31600</v>
      </c>
      <c r="T1419" t="inlineStr">
        <is>
          <t>DIRECCION DE GESTION DE DATOS</t>
        </is>
      </c>
      <c r="U1419" t="n">
        <v>301300</v>
      </c>
      <c r="V1419" t="inlineStr">
        <is>
          <t>EQUIPO HABILITADOR</t>
        </is>
      </c>
      <c r="W1419" t="n">
        <v>126103</v>
      </c>
      <c r="X1419" t="inlineStr">
        <is>
          <t>AGUASCALIENTES</t>
        </is>
      </c>
      <c r="Y1419" t="n">
        <v>4</v>
      </c>
      <c r="Z1419" t="inlineStr">
        <is>
          <t>CORPORATIVO</t>
        </is>
      </c>
      <c r="AA1419" t="n">
        <v>11</v>
      </c>
      <c r="AB1419" t="inlineStr">
        <is>
          <t>DOMINIO HA</t>
        </is>
      </c>
      <c r="AC1419" t="n">
        <v>1</v>
      </c>
      <c r="AD1419" t="inlineStr">
        <is>
          <t>BANCO</t>
        </is>
      </c>
      <c r="AE1419" t="n">
        <v>1</v>
      </c>
      <c r="AF1419" t="inlineStr">
        <is>
          <t>BACK</t>
        </is>
      </c>
      <c r="AG1419" t="n">
        <v>126103</v>
      </c>
      <c r="AH1419" t="inlineStr">
        <is>
          <t>AGUASCALIENTES</t>
        </is>
      </c>
      <c r="AI1419" t="inlineStr">
        <is>
          <t>AGUTIERREA@BANCOBASE.COM</t>
        </is>
      </c>
      <c r="AJ1419" s="151" t="n">
        <v>46195</v>
      </c>
    </row>
    <row r="1420" hidden="1" s="150">
      <c r="A1420" t="inlineStr">
        <is>
          <t>DPINEDAC</t>
        </is>
      </c>
      <c r="B1420" t="n">
        <v>3917</v>
      </c>
      <c r="C1420" t="inlineStr">
        <is>
          <t>DIEGO ATZIN PINEDA COTA</t>
        </is>
      </c>
      <c r="D1420" t="n">
        <v>5140</v>
      </c>
      <c r="E1420" t="inlineStr">
        <is>
          <t>DATA ENGINEER</t>
        </is>
      </c>
      <c r="F1420" t="inlineStr">
        <is>
          <t>TIJUANA</t>
        </is>
      </c>
      <c r="G1420" t="n">
        <v>3706</v>
      </c>
      <c r="H1420" t="inlineStr">
        <is>
          <t>GABRIEL ANTONIO PENICHE EGUIA</t>
        </is>
      </c>
      <c r="I1420" t="n">
        <v>5124</v>
      </c>
      <c r="J1420" t="inlineStr">
        <is>
          <t>SUBDIRECTOR RDM EVOLUTION</t>
        </is>
      </c>
      <c r="K1420" t="n">
        <v>1</v>
      </c>
      <c r="L1420" t="inlineStr">
        <is>
          <t>PRESIDENCIA EJECUTIVA DEL CONSEJO</t>
        </is>
      </c>
      <c r="M1420" t="n">
        <v>30</v>
      </c>
      <c r="N1420" t="inlineStr">
        <is>
          <t>DIRECCION GENERAL ADJUNTA PRODUCTO Y TRANSFORMACIO</t>
        </is>
      </c>
      <c r="O1420" t="n">
        <v>301</v>
      </c>
      <c r="P1420" t="inlineStr">
        <is>
          <t>DOMINIO</t>
        </is>
      </c>
      <c r="Q1420" t="n">
        <v>3100</v>
      </c>
      <c r="R1420" t="inlineStr">
        <is>
          <t>DIRECCION DE TECNOLOGIA</t>
        </is>
      </c>
      <c r="S1420" t="n">
        <v>31600</v>
      </c>
      <c r="T1420" t="inlineStr">
        <is>
          <t>DIRECCION DE GESTION DE DATOS</t>
        </is>
      </c>
      <c r="U1420" t="n">
        <v>301300</v>
      </c>
      <c r="V1420" t="inlineStr">
        <is>
          <t>EQUIPO HABILITADOR</t>
        </is>
      </c>
      <c r="W1420" t="n">
        <v>126114</v>
      </c>
      <c r="X1420" t="inlineStr">
        <is>
          <t>TIJUANA</t>
        </is>
      </c>
      <c r="Y1420" t="n">
        <v>4</v>
      </c>
      <c r="Z1420" t="inlineStr">
        <is>
          <t>CORPORATIVO</t>
        </is>
      </c>
      <c r="AA1420" t="n">
        <v>11</v>
      </c>
      <c r="AB1420" t="inlineStr">
        <is>
          <t>DOMINIO HA</t>
        </is>
      </c>
      <c r="AC1420" t="n">
        <v>1</v>
      </c>
      <c r="AD1420" t="inlineStr">
        <is>
          <t>BANCO</t>
        </is>
      </c>
      <c r="AE1420" t="n">
        <v>1</v>
      </c>
      <c r="AF1420" t="inlineStr">
        <is>
          <t>BACK</t>
        </is>
      </c>
      <c r="AG1420" t="n">
        <v>126114</v>
      </c>
      <c r="AH1420" t="inlineStr">
        <is>
          <t>TIJUANA</t>
        </is>
      </c>
      <c r="AI1420" t="inlineStr">
        <is>
          <t>DPINEDAC@BANCOBASE.COM</t>
        </is>
      </c>
      <c r="AJ1420" s="151" t="n">
        <v>46195</v>
      </c>
    </row>
    <row r="1421" hidden="1" s="150">
      <c r="A1421" t="inlineStr">
        <is>
          <t>LGOMEZZ</t>
        </is>
      </c>
      <c r="B1421" t="n">
        <v>3918</v>
      </c>
      <c r="C1421" t="inlineStr">
        <is>
          <t>LUIS ALFONSO GOMEZ ZUNIGA</t>
        </is>
      </c>
      <c r="D1421" t="n">
        <v>5141</v>
      </c>
      <c r="E1421" t="inlineStr">
        <is>
          <t>DATA ENGINEER</t>
        </is>
      </c>
      <c r="F1421" t="inlineStr">
        <is>
          <t>MEXICO</t>
        </is>
      </c>
      <c r="G1421" t="n">
        <v>3706</v>
      </c>
      <c r="H1421" t="inlineStr">
        <is>
          <t>GABRIEL ANTONIO PENICHE EGUIA</t>
        </is>
      </c>
      <c r="I1421" t="n">
        <v>5124</v>
      </c>
      <c r="J1421" t="inlineStr">
        <is>
          <t>SUBDIRECTOR RDM EVOLUTION</t>
        </is>
      </c>
      <c r="K1421" t="n">
        <v>1</v>
      </c>
      <c r="L1421" t="inlineStr">
        <is>
          <t>PRESIDENCIA EJECUTIVA DEL CONSEJO</t>
        </is>
      </c>
      <c r="M1421" t="n">
        <v>30</v>
      </c>
      <c r="N1421" t="inlineStr">
        <is>
          <t>DIRECCION GENERAL ADJUNTA PRODUCTO Y TRANSFORMACIO</t>
        </is>
      </c>
      <c r="O1421" t="n">
        <v>301</v>
      </c>
      <c r="P1421" t="inlineStr">
        <is>
          <t>DOMINIO</t>
        </is>
      </c>
      <c r="Q1421" t="n">
        <v>3100</v>
      </c>
      <c r="R1421" t="inlineStr">
        <is>
          <t>DIRECCION DE TECNOLOGIA</t>
        </is>
      </c>
      <c r="S1421" t="n">
        <v>31600</v>
      </c>
      <c r="T1421" t="inlineStr">
        <is>
          <t>DIRECCION DE GESTION DE DATOS</t>
        </is>
      </c>
      <c r="U1421" t="n">
        <v>301300</v>
      </c>
      <c r="V1421" t="inlineStr">
        <is>
          <t>EQUIPO HABILITADOR</t>
        </is>
      </c>
      <c r="W1421" t="n">
        <v>134111</v>
      </c>
      <c r="X1421" t="inlineStr">
        <is>
          <t>LOMAS</t>
        </is>
      </c>
      <c r="Y1421" t="n">
        <v>4</v>
      </c>
      <c r="Z1421" t="inlineStr">
        <is>
          <t>CORPORATIVO</t>
        </is>
      </c>
      <c r="AA1421" t="n">
        <v>11</v>
      </c>
      <c r="AB1421" t="inlineStr">
        <is>
          <t>DOMINIO HA</t>
        </is>
      </c>
      <c r="AC1421" t="n">
        <v>1</v>
      </c>
      <c r="AD1421" t="inlineStr">
        <is>
          <t>BANCO</t>
        </is>
      </c>
      <c r="AE1421" t="n">
        <v>1</v>
      </c>
      <c r="AF1421" t="inlineStr">
        <is>
          <t>BACK</t>
        </is>
      </c>
      <c r="AG1421" t="n">
        <v>134111</v>
      </c>
      <c r="AH1421" t="inlineStr">
        <is>
          <t>LOMAS</t>
        </is>
      </c>
      <c r="AI1421" t="inlineStr">
        <is>
          <t>LGOMEZZ@BANCOBASE.COM</t>
        </is>
      </c>
      <c r="AJ1421" s="151" t="n">
        <v>46195</v>
      </c>
    </row>
    <row r="1422" hidden="1" s="150">
      <c r="A1422" t="inlineStr">
        <is>
          <t>GPENICHE</t>
        </is>
      </c>
      <c r="B1422" t="n">
        <v>3706</v>
      </c>
      <c r="C1422" t="inlineStr">
        <is>
          <t>GABRIEL ANTONIO PENICHE EGUIA</t>
        </is>
      </c>
      <c r="D1422" t="n">
        <v>5124</v>
      </c>
      <c r="E1422" t="inlineStr">
        <is>
          <t>SUBDIRECTOR RDM EVOLUTION</t>
        </is>
      </c>
      <c r="F1422" t="inlineStr">
        <is>
          <t>TELETRABAJO</t>
        </is>
      </c>
      <c r="G1422" t="n">
        <v>3397</v>
      </c>
      <c r="H1422" t="inlineStr">
        <is>
          <t>LUIS FERNANDO GONZALEZ VILLA</t>
        </is>
      </c>
      <c r="I1422" t="n">
        <v>10410</v>
      </c>
      <c r="J1422" t="inlineStr">
        <is>
          <t>DIRECTOR DE GESTION DE DATOS</t>
        </is>
      </c>
      <c r="K1422" t="n">
        <v>1</v>
      </c>
      <c r="L1422" t="inlineStr">
        <is>
          <t>PRESIDENCIA EJECUTIVA DEL CONSEJO</t>
        </is>
      </c>
      <c r="M1422" t="n">
        <v>40</v>
      </c>
      <c r="N1422" t="inlineStr">
        <is>
          <t>DIRECCION GENERAL BANCO BASE</t>
        </is>
      </c>
      <c r="O1422" t="n">
        <v>310</v>
      </c>
      <c r="P1422" t="inlineStr">
        <is>
          <t>DIRECCION DE TECNOLOGIA</t>
        </is>
      </c>
      <c r="Q1422" t="n">
        <v>3160</v>
      </c>
      <c r="R1422" t="inlineStr">
        <is>
          <t>DIRECCION DE GESTION DE DATOS</t>
        </is>
      </c>
      <c r="S1422" t="n">
        <v>31610</v>
      </c>
      <c r="T1422" t="inlineStr">
        <is>
          <t>SUBDIRECCION TRANSFORMACION DE DATOS Y CONTINUIDAD</t>
        </is>
      </c>
      <c r="U1422" t="n">
        <v>316000</v>
      </c>
      <c r="V1422" t="inlineStr">
        <is>
          <t>DIRECCION DE GESTION DE DATOS</t>
        </is>
      </c>
      <c r="W1422" t="n">
        <v>100101</v>
      </c>
      <c r="X1422" t="inlineStr">
        <is>
          <t>CORPORATIVO</t>
        </is>
      </c>
      <c r="Y1422" t="n">
        <v>4</v>
      </c>
      <c r="Z1422" t="inlineStr">
        <is>
          <t>CORPORATIVO</t>
        </is>
      </c>
      <c r="AA1422" t="n">
        <v>8</v>
      </c>
      <c r="AB1422" t="inlineStr">
        <is>
          <t>BAU</t>
        </is>
      </c>
      <c r="AC1422" t="n">
        <v>1</v>
      </c>
      <c r="AD1422" t="inlineStr">
        <is>
          <t>BANCO</t>
        </is>
      </c>
      <c r="AE1422" t="n">
        <v>1</v>
      </c>
      <c r="AF1422" t="inlineStr">
        <is>
          <t>BACK</t>
        </is>
      </c>
      <c r="AG1422" t="n">
        <v>100101</v>
      </c>
      <c r="AH1422" t="inlineStr">
        <is>
          <t>CORPORATIVO</t>
        </is>
      </c>
      <c r="AI1422" t="inlineStr">
        <is>
          <t>GPENICHE@BANCOBASE.COM</t>
        </is>
      </c>
      <c r="AJ1422" s="151" t="n">
        <v>45999</v>
      </c>
    </row>
    <row r="1423" hidden="1" s="150">
      <c r="A1423" t="n">
        <v>26910</v>
      </c>
      <c r="B1423" t="inlineStr">
        <is>
          <t>EXT-99548</t>
        </is>
      </c>
      <c r="C1423" t="inlineStr">
        <is>
          <t>BANI JESUA ROSAS TABAREZ</t>
        </is>
      </c>
      <c r="D1423" t="n">
        <v>5142</v>
      </c>
      <c r="E1423" t="inlineStr">
        <is>
          <t>DATA ENGINEER</t>
        </is>
      </c>
      <c r="F1423" t="inlineStr">
        <is>
          <t>TELETRABAJO</t>
        </is>
      </c>
      <c r="G1423" t="n">
        <v>3706</v>
      </c>
      <c r="H1423" t="inlineStr">
        <is>
          <t>GABRIEL ANTONIO PENICHE EGUIA</t>
        </is>
      </c>
      <c r="I1423" t="n">
        <v>5124</v>
      </c>
      <c r="J1423" t="inlineStr">
        <is>
          <t>SUBDIRECTOR RDM EVOLUTION</t>
        </is>
      </c>
      <c r="K1423" t="n">
        <v>1</v>
      </c>
      <c r="L1423" t="inlineStr">
        <is>
          <t>PRESIDENCIA EJECUTIVA DEL CONSEJO</t>
        </is>
      </c>
      <c r="M1423" t="n">
        <v>30</v>
      </c>
      <c r="N1423" t="inlineStr">
        <is>
          <t>DIRECCION GENERAL ADJUNTA PRODUCTO Y TRANSFORMACIO</t>
        </is>
      </c>
      <c r="O1423" t="n">
        <v>301</v>
      </c>
      <c r="P1423" t="inlineStr">
        <is>
          <t>DOMINIO</t>
        </is>
      </c>
      <c r="Q1423" t="n">
        <v>3100</v>
      </c>
      <c r="R1423" t="inlineStr">
        <is>
          <t>DIRECCION DE TECNOLOGIA</t>
        </is>
      </c>
      <c r="S1423" t="n">
        <v>31600</v>
      </c>
      <c r="T1423" t="inlineStr">
        <is>
          <t>DIRECCION DE GESTION DE DATOS</t>
        </is>
      </c>
      <c r="U1423" t="n">
        <v>301220</v>
      </c>
      <c r="V1423" t="inlineStr">
        <is>
          <t>ONBOARDING</t>
        </is>
      </c>
      <c r="W1423" t="n">
        <v>134111</v>
      </c>
      <c r="X1423" t="inlineStr">
        <is>
          <t>LOMAS</t>
        </is>
      </c>
      <c r="Y1423" t="n">
        <v>4</v>
      </c>
      <c r="Z1423" t="inlineStr">
        <is>
          <t>CORPORATIVO</t>
        </is>
      </c>
      <c r="AA1423" t="n">
        <v>11</v>
      </c>
      <c r="AB1423" t="inlineStr">
        <is>
          <t>DOMINIO HA</t>
        </is>
      </c>
      <c r="AC1423" t="n">
        <v>1</v>
      </c>
      <c r="AD1423" t="inlineStr">
        <is>
          <t>BANCO</t>
        </is>
      </c>
      <c r="AE1423" t="n">
        <v>1</v>
      </c>
      <c r="AF1423" t="inlineStr">
        <is>
          <t>BACK</t>
        </is>
      </c>
      <c r="AG1423" t="n">
        <v>134111</v>
      </c>
      <c r="AH1423" t="inlineStr">
        <is>
          <t>LOMAS</t>
        </is>
      </c>
      <c r="AI1423" t="inlineStr">
        <is>
          <t>EXTBROSAS@BANCOBASE.COM</t>
        </is>
      </c>
      <c r="AJ1423" s="151" t="n">
        <v>46245</v>
      </c>
    </row>
    <row r="1424" hidden="1" s="150">
      <c r="A1424" t="n">
        <v>26922</v>
      </c>
      <c r="B1424" t="inlineStr">
        <is>
          <t>EXT-99554</t>
        </is>
      </c>
      <c r="C1424" t="inlineStr">
        <is>
          <t>EDGAR LOPEZ CRUZ</t>
        </is>
      </c>
      <c r="D1424" t="n">
        <v>6005</v>
      </c>
      <c r="E1424" t="inlineStr">
        <is>
          <t>DATA SCIENTIST</t>
        </is>
      </c>
      <c r="F1424" t="inlineStr">
        <is>
          <t>TELETRABAJO</t>
        </is>
      </c>
      <c r="G1424" t="n">
        <v>3706</v>
      </c>
      <c r="H1424" t="inlineStr">
        <is>
          <t>GABRIEL ANTONIO PENICHE EGUIA</t>
        </is>
      </c>
      <c r="I1424" t="n">
        <v>5124</v>
      </c>
      <c r="J1424" t="inlineStr">
        <is>
          <t>SUBDIRECTOR RDM EVOLUTION</t>
        </is>
      </c>
      <c r="K1424" t="n">
        <v>1</v>
      </c>
      <c r="L1424" t="inlineStr">
        <is>
          <t>PRESIDENCIA EJECUTIVA DEL CONSEJO</t>
        </is>
      </c>
      <c r="M1424" t="n">
        <v>30</v>
      </c>
      <c r="N1424" t="inlineStr">
        <is>
          <t>DIRECCION GENERAL ADJUNTA PRODUCTO Y TRANSFORMACIO</t>
        </is>
      </c>
      <c r="O1424" t="n">
        <v>301</v>
      </c>
      <c r="P1424" t="inlineStr">
        <is>
          <t>DOMINIO</t>
        </is>
      </c>
      <c r="Q1424" t="n">
        <v>3100</v>
      </c>
      <c r="R1424" t="inlineStr">
        <is>
          <t>DIRECCION DE TECNOLOGIA</t>
        </is>
      </c>
      <c r="S1424" t="n">
        <v>31600</v>
      </c>
      <c r="T1424" t="inlineStr">
        <is>
          <t>DIRECCION DE GESTION DE DATOS</t>
        </is>
      </c>
      <c r="U1424" t="n">
        <v>301220</v>
      </c>
      <c r="V1424" t="inlineStr">
        <is>
          <t>ONBOARDING</t>
        </is>
      </c>
      <c r="W1424" t="n">
        <v>134111</v>
      </c>
      <c r="X1424" t="inlineStr">
        <is>
          <t>LOMAS</t>
        </is>
      </c>
      <c r="Y1424" t="n">
        <v>4</v>
      </c>
      <c r="Z1424" t="inlineStr">
        <is>
          <t>CORPORATIVO</t>
        </is>
      </c>
      <c r="AA1424" t="n">
        <v>11</v>
      </c>
      <c r="AB1424" t="inlineStr">
        <is>
          <t>DOMINIO HA</t>
        </is>
      </c>
      <c r="AC1424" t="n">
        <v>1</v>
      </c>
      <c r="AD1424" t="inlineStr">
        <is>
          <t>BANCO</t>
        </is>
      </c>
      <c r="AE1424" t="n">
        <v>1</v>
      </c>
      <c r="AF1424" t="inlineStr">
        <is>
          <t>BACK</t>
        </is>
      </c>
      <c r="AG1424" t="n">
        <v>134111</v>
      </c>
      <c r="AH1424" t="inlineStr">
        <is>
          <t>LOMAS</t>
        </is>
      </c>
      <c r="AJ1424" s="151" t="n">
        <v>46245</v>
      </c>
    </row>
    <row r="1425" hidden="1" s="150">
      <c r="A1425" t="n">
        <v>26920</v>
      </c>
      <c r="B1425" t="inlineStr">
        <is>
          <t>EXT-99551</t>
        </is>
      </c>
      <c r="C1425" t="inlineStr">
        <is>
          <t>MOISES ALDAIR RODRIGUEZ ZURITA</t>
        </is>
      </c>
      <c r="D1425" t="n">
        <v>5083</v>
      </c>
      <c r="E1425" t="inlineStr">
        <is>
          <t>DATA SCIENTIST</t>
        </is>
      </c>
      <c r="F1425" t="inlineStr">
        <is>
          <t>TELETRABAJO</t>
        </is>
      </c>
      <c r="G1425" t="n">
        <v>3706</v>
      </c>
      <c r="H1425" t="inlineStr">
        <is>
          <t>GABRIEL ANTONIO PENICHE EGUIA</t>
        </is>
      </c>
      <c r="I1425" t="n">
        <v>5124</v>
      </c>
      <c r="J1425" t="inlineStr">
        <is>
          <t>SUBDIRECTOR RDM EVOLUTION</t>
        </is>
      </c>
      <c r="K1425" t="n">
        <v>1</v>
      </c>
      <c r="L1425" t="inlineStr">
        <is>
          <t>PRESIDENCIA EJECUTIVA DEL CONSEJO</t>
        </is>
      </c>
      <c r="M1425" t="n">
        <v>30</v>
      </c>
      <c r="N1425" t="inlineStr">
        <is>
          <t>DIRECCION GENERAL ADJUNTA PRODUCTO Y TRANSFORMACIO</t>
        </is>
      </c>
      <c r="O1425" t="n">
        <v>301</v>
      </c>
      <c r="P1425" t="inlineStr">
        <is>
          <t>DOMINIO</t>
        </is>
      </c>
      <c r="Q1425" t="n">
        <v>3100</v>
      </c>
      <c r="R1425" t="inlineStr">
        <is>
          <t>DIRECCION DE TECNOLOGIA</t>
        </is>
      </c>
      <c r="S1425" t="n">
        <v>31600</v>
      </c>
      <c r="T1425" t="inlineStr">
        <is>
          <t>DIRECCION DE GESTION DE DATOS</t>
        </is>
      </c>
      <c r="U1425" t="n">
        <v>301230</v>
      </c>
      <c r="V1425" t="inlineStr">
        <is>
          <t>ACTIVACION</t>
        </is>
      </c>
      <c r="W1425" t="n">
        <v>134111</v>
      </c>
      <c r="X1425" t="inlineStr">
        <is>
          <t>LOMAS</t>
        </is>
      </c>
      <c r="Y1425" t="n">
        <v>4</v>
      </c>
      <c r="Z1425" t="inlineStr">
        <is>
          <t>CORPORATIVO</t>
        </is>
      </c>
      <c r="AA1425" t="n">
        <v>11</v>
      </c>
      <c r="AB1425" t="inlineStr">
        <is>
          <t>DOMINIO HA</t>
        </is>
      </c>
      <c r="AC1425" t="n">
        <v>1</v>
      </c>
      <c r="AD1425" t="inlineStr">
        <is>
          <t>BANCO</t>
        </is>
      </c>
      <c r="AE1425" t="n">
        <v>1</v>
      </c>
      <c r="AF1425" t="inlineStr">
        <is>
          <t>BACK</t>
        </is>
      </c>
      <c r="AG1425" t="n">
        <v>134111</v>
      </c>
      <c r="AH1425" t="inlineStr">
        <is>
          <t>LOMAS</t>
        </is>
      </c>
      <c r="AJ1425" s="151" t="n">
        <v>46245</v>
      </c>
    </row>
    <row r="1426" hidden="1" s="150">
      <c r="A1426" t="n">
        <v>26921</v>
      </c>
      <c r="B1426" t="inlineStr">
        <is>
          <t>EXT-99553</t>
        </is>
      </c>
      <c r="C1426" t="inlineStr">
        <is>
          <t>JUAN DANIEL GRANADOS ROMO</t>
        </is>
      </c>
      <c r="D1426" t="n">
        <v>5060</v>
      </c>
      <c r="E1426" t="inlineStr">
        <is>
          <t>DATA ENGINEER</t>
        </is>
      </c>
      <c r="F1426" t="inlineStr">
        <is>
          <t>TELETRABAJO</t>
        </is>
      </c>
      <c r="G1426" t="n">
        <v>3706</v>
      </c>
      <c r="H1426" t="inlineStr">
        <is>
          <t>GABRIEL ANTONIO PENICHE EGUIA</t>
        </is>
      </c>
      <c r="I1426" t="n">
        <v>5124</v>
      </c>
      <c r="J1426" t="inlineStr">
        <is>
          <t>SUBDIRECTOR RDM EVOLUTION</t>
        </is>
      </c>
      <c r="K1426" t="n">
        <v>1</v>
      </c>
      <c r="L1426" t="inlineStr">
        <is>
          <t>PRESIDENCIA EJECUTIVA DEL CONSEJO</t>
        </is>
      </c>
      <c r="M1426" t="n">
        <v>30</v>
      </c>
      <c r="N1426" t="inlineStr">
        <is>
          <t>DIRECCION GENERAL ADJUNTA PRODUCTO Y TRANSFORMACIO</t>
        </is>
      </c>
      <c r="O1426" t="n">
        <v>301</v>
      </c>
      <c r="P1426" t="inlineStr">
        <is>
          <t>DOMINIO</t>
        </is>
      </c>
      <c r="Q1426" t="n">
        <v>3100</v>
      </c>
      <c r="R1426" t="inlineStr">
        <is>
          <t>DIRECCION DE TECNOLOGIA</t>
        </is>
      </c>
      <c r="S1426" t="n">
        <v>31600</v>
      </c>
      <c r="T1426" t="inlineStr">
        <is>
          <t>DIRECCION DE GESTION DE DATOS</t>
        </is>
      </c>
      <c r="U1426" t="n">
        <v>301230</v>
      </c>
      <c r="V1426" t="inlineStr">
        <is>
          <t>ACTIVACION</t>
        </is>
      </c>
      <c r="W1426" t="n">
        <v>134111</v>
      </c>
      <c r="X1426" t="inlineStr">
        <is>
          <t>LOMAS</t>
        </is>
      </c>
      <c r="Y1426" t="n">
        <v>4</v>
      </c>
      <c r="Z1426" t="inlineStr">
        <is>
          <t>CORPORATIVO</t>
        </is>
      </c>
      <c r="AA1426" t="n">
        <v>11</v>
      </c>
      <c r="AB1426" t="inlineStr">
        <is>
          <t>DOMINIO HA</t>
        </is>
      </c>
      <c r="AC1426" t="n">
        <v>1</v>
      </c>
      <c r="AD1426" t="inlineStr">
        <is>
          <t>BANCO</t>
        </is>
      </c>
      <c r="AE1426" t="n">
        <v>1</v>
      </c>
      <c r="AF1426" t="inlineStr">
        <is>
          <t>BACK</t>
        </is>
      </c>
      <c r="AG1426" t="n">
        <v>134111</v>
      </c>
      <c r="AH1426" t="inlineStr">
        <is>
          <t>LOMAS</t>
        </is>
      </c>
      <c r="AJ1426" s="151" t="n">
        <v>46245</v>
      </c>
    </row>
    <row r="1427" hidden="1" s="150">
      <c r="A1427" t="inlineStr">
        <is>
          <t>KPRIETO</t>
        </is>
      </c>
      <c r="B1427" t="n">
        <v>3875</v>
      </c>
      <c r="C1427" t="inlineStr">
        <is>
          <t>KERNEL ENRIQUE PRIETO MORENO</t>
        </is>
      </c>
      <c r="D1427" t="n">
        <v>5063</v>
      </c>
      <c r="E1427" t="inlineStr">
        <is>
          <t>DATA SCIENTIST</t>
        </is>
      </c>
      <c r="F1427" t="inlineStr">
        <is>
          <t>TELETRABAJO</t>
        </is>
      </c>
      <c r="G1427" t="n">
        <v>3706</v>
      </c>
      <c r="H1427" t="inlineStr">
        <is>
          <t>GABRIEL ANTONIO PENICHE EGUIA</t>
        </is>
      </c>
      <c r="I1427" t="n">
        <v>5124</v>
      </c>
      <c r="J1427" t="inlineStr">
        <is>
          <t>SUBDIRECTOR RDM EVOLUTION</t>
        </is>
      </c>
      <c r="K1427" t="n">
        <v>1</v>
      </c>
      <c r="L1427" t="inlineStr">
        <is>
          <t>PRESIDENCIA EJECUTIVA DEL CONSEJO</t>
        </is>
      </c>
      <c r="M1427" t="n">
        <v>30</v>
      </c>
      <c r="N1427" t="inlineStr">
        <is>
          <t>DIRECCION GENERAL ADJUNTA PRODUCTO Y TRANSFORMACIO</t>
        </is>
      </c>
      <c r="O1427" t="n">
        <v>301</v>
      </c>
      <c r="P1427" t="inlineStr">
        <is>
          <t>DOMINIO</t>
        </is>
      </c>
      <c r="Q1427" t="n">
        <v>3100</v>
      </c>
      <c r="R1427" t="inlineStr">
        <is>
          <t>DIRECCION DE TECNOLOGIA</t>
        </is>
      </c>
      <c r="S1427" t="n">
        <v>31600</v>
      </c>
      <c r="T1427" t="inlineStr">
        <is>
          <t>DIRECCION DE GESTION DE DATOS</t>
        </is>
      </c>
      <c r="U1427" t="n">
        <v>301230</v>
      </c>
      <c r="V1427" t="inlineStr">
        <is>
          <t>ACTIVACION</t>
        </is>
      </c>
      <c r="W1427" t="n">
        <v>134111</v>
      </c>
      <c r="X1427" t="inlineStr">
        <is>
          <t>LOMAS</t>
        </is>
      </c>
      <c r="Y1427" t="n">
        <v>4</v>
      </c>
      <c r="Z1427" t="inlineStr">
        <is>
          <t>CORPORATIVO</t>
        </is>
      </c>
      <c r="AA1427" t="n">
        <v>11</v>
      </c>
      <c r="AB1427" t="inlineStr">
        <is>
          <t>DOMINIO HA</t>
        </is>
      </c>
      <c r="AC1427" t="n">
        <v>1</v>
      </c>
      <c r="AD1427" t="inlineStr">
        <is>
          <t>BANCO</t>
        </is>
      </c>
      <c r="AE1427" t="n">
        <v>1</v>
      </c>
      <c r="AF1427" t="inlineStr">
        <is>
          <t>BACK</t>
        </is>
      </c>
      <c r="AG1427" t="n">
        <v>134111</v>
      </c>
      <c r="AH1427" t="inlineStr">
        <is>
          <t>LOMAS</t>
        </is>
      </c>
      <c r="AI1427" t="inlineStr">
        <is>
          <t>KPRIETO@BANCOBASE.COM</t>
        </is>
      </c>
      <c r="AJ1427" s="151" t="n">
        <v>46160</v>
      </c>
    </row>
    <row r="1428" hidden="1" s="150">
      <c r="A1428" t="inlineStr">
        <is>
          <t>FALONSO</t>
        </is>
      </c>
      <c r="B1428" t="n">
        <v>3937</v>
      </c>
      <c r="C1428" t="inlineStr">
        <is>
          <t>FELIX ALONSO ACOSTA</t>
        </is>
      </c>
      <c r="D1428" t="n">
        <v>5132</v>
      </c>
      <c r="E1428" t="inlineStr">
        <is>
          <t>TECH LEAD ADQUSICION</t>
        </is>
      </c>
      <c r="F1428" t="inlineStr">
        <is>
          <t>MEXICO</t>
        </is>
      </c>
      <c r="G1428" t="n">
        <v>3706</v>
      </c>
      <c r="H1428" t="inlineStr">
        <is>
          <t>GABRIEL ANTONIO PENICHE EGUIA</t>
        </is>
      </c>
      <c r="I1428" t="n">
        <v>5124</v>
      </c>
      <c r="J1428" t="inlineStr">
        <is>
          <t>SUBDIRECTOR RDM EVOLUTION</t>
        </is>
      </c>
      <c r="K1428" t="n">
        <v>1</v>
      </c>
      <c r="L1428" t="inlineStr">
        <is>
          <t>PRESIDENCIA EJECUTIVA DEL CONSEJO</t>
        </is>
      </c>
      <c r="M1428" t="n">
        <v>30</v>
      </c>
      <c r="N1428" t="inlineStr">
        <is>
          <t>DIRECCION GENERAL ADJUNTA PRODUCTO Y TRANSFORMACIO</t>
        </is>
      </c>
      <c r="O1428" t="n">
        <v>301</v>
      </c>
      <c r="P1428" t="inlineStr">
        <is>
          <t>DOMINIO</t>
        </is>
      </c>
      <c r="Q1428" t="n">
        <v>3100</v>
      </c>
      <c r="R1428" t="inlineStr">
        <is>
          <t>DIRECCION DE TECNOLOGIA</t>
        </is>
      </c>
      <c r="S1428" t="n">
        <v>31600</v>
      </c>
      <c r="T1428" t="inlineStr">
        <is>
          <t>DIRECCION DE GESTION DE DATOS</t>
        </is>
      </c>
      <c r="U1428" t="n">
        <v>301240</v>
      </c>
      <c r="V1428" t="inlineStr">
        <is>
          <t>ADQUISICION</t>
        </is>
      </c>
      <c r="W1428" t="n">
        <v>134111</v>
      </c>
      <c r="X1428" t="inlineStr">
        <is>
          <t>LOMAS</t>
        </is>
      </c>
      <c r="Y1428" t="n">
        <v>4</v>
      </c>
      <c r="Z1428" t="inlineStr">
        <is>
          <t>CORPORATIVO</t>
        </is>
      </c>
      <c r="AA1428" t="n">
        <v>11</v>
      </c>
      <c r="AB1428" t="inlineStr">
        <is>
          <t>DOMINIO HA</t>
        </is>
      </c>
      <c r="AC1428" t="n">
        <v>1</v>
      </c>
      <c r="AD1428" t="inlineStr">
        <is>
          <t>BANCO</t>
        </is>
      </c>
      <c r="AE1428" t="n">
        <v>1</v>
      </c>
      <c r="AF1428" t="inlineStr">
        <is>
          <t>BACK</t>
        </is>
      </c>
      <c r="AG1428" t="n">
        <v>134111</v>
      </c>
      <c r="AH1428" t="inlineStr">
        <is>
          <t>LOMAS</t>
        </is>
      </c>
      <c r="AI1428" t="inlineStr">
        <is>
          <t>FALONSO@BANCOBASE.COM</t>
        </is>
      </c>
      <c r="AJ1428" s="151" t="n">
        <v>46216</v>
      </c>
    </row>
    <row r="1429" hidden="1" s="150">
      <c r="A1429" t="inlineStr">
        <is>
          <t>ELOPEZS</t>
        </is>
      </c>
      <c r="B1429" t="n">
        <v>3997</v>
      </c>
      <c r="C1429" t="inlineStr">
        <is>
          <t>EDUARDO MARCELINO LOPEZ SANTAMARIA</t>
        </is>
      </c>
      <c r="D1429" t="n">
        <v>5084</v>
      </c>
      <c r="E1429" t="inlineStr">
        <is>
          <t>DATA ENGINEER</t>
        </is>
      </c>
      <c r="F1429" t="inlineStr">
        <is>
          <t>TELETRABAJO</t>
        </is>
      </c>
      <c r="G1429" t="n">
        <v>3706</v>
      </c>
      <c r="H1429" t="inlineStr">
        <is>
          <t>GABRIEL ANTONIO PENICHE EGUIA</t>
        </is>
      </c>
      <c r="I1429" t="n">
        <v>5124</v>
      </c>
      <c r="J1429" t="inlineStr">
        <is>
          <t>SUBDIRECTOR RDM EVOLUTION</t>
        </is>
      </c>
      <c r="K1429" t="n">
        <v>1</v>
      </c>
      <c r="L1429" t="inlineStr">
        <is>
          <t>PRESIDENCIA EJECUTIVA DEL CONSEJO</t>
        </is>
      </c>
      <c r="M1429" t="n">
        <v>30</v>
      </c>
      <c r="N1429" t="inlineStr">
        <is>
          <t>DIRECCION GENERAL ADJUNTA PRODUCTO Y TRANSFORMACIO</t>
        </is>
      </c>
      <c r="O1429" t="n">
        <v>301</v>
      </c>
      <c r="P1429" t="inlineStr">
        <is>
          <t>DOMINIO</t>
        </is>
      </c>
      <c r="Q1429" t="n">
        <v>3100</v>
      </c>
      <c r="R1429" t="inlineStr">
        <is>
          <t>DIRECCION DE TECNOLOGIA</t>
        </is>
      </c>
      <c r="S1429" t="n">
        <v>31600</v>
      </c>
      <c r="T1429" t="inlineStr">
        <is>
          <t>DIRECCION DE GESTION DE DATOS</t>
        </is>
      </c>
      <c r="U1429" t="n">
        <v>301240</v>
      </c>
      <c r="V1429" t="inlineStr">
        <is>
          <t>ADQUISICION</t>
        </is>
      </c>
      <c r="W1429" t="n">
        <v>100101</v>
      </c>
      <c r="X1429" t="inlineStr">
        <is>
          <t>CORPORATIVO</t>
        </is>
      </c>
      <c r="Y1429" t="n">
        <v>4</v>
      </c>
      <c r="Z1429" t="inlineStr">
        <is>
          <t>CORPORATIVO</t>
        </is>
      </c>
      <c r="AA1429" t="n">
        <v>11</v>
      </c>
      <c r="AB1429" t="inlineStr">
        <is>
          <t>DOMINIO HA</t>
        </is>
      </c>
      <c r="AC1429" t="n">
        <v>1</v>
      </c>
      <c r="AD1429" t="inlineStr">
        <is>
          <t>BANCO</t>
        </is>
      </c>
      <c r="AE1429" t="n">
        <v>1</v>
      </c>
      <c r="AF1429" t="inlineStr">
        <is>
          <t>BACK</t>
        </is>
      </c>
      <c r="AG1429" t="n">
        <v>126102</v>
      </c>
      <c r="AH1429" t="inlineStr">
        <is>
          <t>MONTERREY</t>
        </is>
      </c>
      <c r="AI1429" t="inlineStr">
        <is>
          <t>ELOPEZS@BANCOBASE.COM</t>
        </is>
      </c>
      <c r="AJ1429" s="151" t="n">
        <v>46251</v>
      </c>
    </row>
    <row r="1430" hidden="1" s="150">
      <c r="A1430" t="inlineStr">
        <is>
          <t>IALTAMIRAN</t>
        </is>
      </c>
      <c r="B1430" t="n">
        <v>4003</v>
      </c>
      <c r="C1430" t="inlineStr">
        <is>
          <t>ISRAEL ALEJANDRO ALTAMIRANO GARCIA</t>
        </is>
      </c>
      <c r="D1430" t="n">
        <v>5139</v>
      </c>
      <c r="E1430" t="inlineStr">
        <is>
          <t>DATA SCIENTIST</t>
        </is>
      </c>
      <c r="F1430" t="inlineStr">
        <is>
          <t>TELETRABAJO</t>
        </is>
      </c>
      <c r="G1430" t="n">
        <v>3706</v>
      </c>
      <c r="H1430" t="inlineStr">
        <is>
          <t>GABRIEL ANTONIO PENICHE EGUIA</t>
        </is>
      </c>
      <c r="I1430" t="n">
        <v>5124</v>
      </c>
      <c r="J1430" t="inlineStr">
        <is>
          <t>SUBDIRECTOR RDM EVOLUTION</t>
        </is>
      </c>
      <c r="K1430" t="n">
        <v>1</v>
      </c>
      <c r="L1430" t="inlineStr">
        <is>
          <t>PRESIDENCIA EJECUTIVA DEL CONSEJO</t>
        </is>
      </c>
      <c r="M1430" t="n">
        <v>30</v>
      </c>
      <c r="N1430" t="inlineStr">
        <is>
          <t>DIRECCION GENERAL ADJUNTA PRODUCTO Y TRANSFORMACIO</t>
        </is>
      </c>
      <c r="O1430" t="n">
        <v>301</v>
      </c>
      <c r="P1430" t="inlineStr">
        <is>
          <t>DOMINIO</t>
        </is>
      </c>
      <c r="Q1430" t="n">
        <v>3100</v>
      </c>
      <c r="R1430" t="inlineStr">
        <is>
          <t>DIRECCION DE TECNOLOGIA</t>
        </is>
      </c>
      <c r="S1430" t="n">
        <v>31600</v>
      </c>
      <c r="T1430" t="inlineStr">
        <is>
          <t>DIRECCION DE GESTION DE DATOS</t>
        </is>
      </c>
      <c r="U1430" t="n">
        <v>301240</v>
      </c>
      <c r="V1430" t="inlineStr">
        <is>
          <t>ADQUISICION</t>
        </is>
      </c>
      <c r="W1430" t="n">
        <v>100101</v>
      </c>
      <c r="X1430" t="inlineStr">
        <is>
          <t>CORPORATIVO</t>
        </is>
      </c>
      <c r="Y1430" t="n">
        <v>4</v>
      </c>
      <c r="Z1430" t="inlineStr">
        <is>
          <t>CORPORATIVO</t>
        </is>
      </c>
      <c r="AA1430" t="n">
        <v>11</v>
      </c>
      <c r="AB1430" t="inlineStr">
        <is>
          <t>DOMINIO HA</t>
        </is>
      </c>
      <c r="AC1430" t="n">
        <v>1</v>
      </c>
      <c r="AD1430" t="inlineStr">
        <is>
          <t>BANCO</t>
        </is>
      </c>
      <c r="AE1430" t="n">
        <v>1</v>
      </c>
      <c r="AF1430" t="inlineStr">
        <is>
          <t>BACK</t>
        </is>
      </c>
      <c r="AG1430" t="n">
        <v>126102</v>
      </c>
      <c r="AH1430" t="inlineStr">
        <is>
          <t>MONTERREY</t>
        </is>
      </c>
      <c r="AI1430" t="inlineStr">
        <is>
          <t>IALTAMIRAN@BANCOBASE.COM</t>
        </is>
      </c>
      <c r="AJ1430" s="151" t="n">
        <v>46251</v>
      </c>
    </row>
    <row r="1431" hidden="1" s="150">
      <c r="A1431" t="inlineStr">
        <is>
          <t>GQUINTAL</t>
        </is>
      </c>
      <c r="B1431" t="n">
        <v>3977</v>
      </c>
      <c r="C1431" t="inlineStr">
        <is>
          <t>GUADALUPE ASUNCION QUINTAL VARGUEZ</t>
        </is>
      </c>
      <c r="D1431" t="n">
        <v>6023</v>
      </c>
      <c r="E1431" t="inlineStr">
        <is>
          <t>DATA ENGINEER</t>
        </is>
      </c>
      <c r="F1431" t="inlineStr">
        <is>
          <t>TELETRABAJO</t>
        </is>
      </c>
      <c r="G1431" t="n">
        <v>3706</v>
      </c>
      <c r="H1431" t="inlineStr">
        <is>
          <t>GABRIEL ANTONIO PENICHE EGUIA</t>
        </is>
      </c>
      <c r="I1431" t="n">
        <v>5124</v>
      </c>
      <c r="J1431" t="inlineStr">
        <is>
          <t>SUBDIRECTOR RDM EVOLUTION</t>
        </is>
      </c>
      <c r="K1431" t="n">
        <v>1</v>
      </c>
      <c r="L1431" t="inlineStr">
        <is>
          <t>PRESIDENCIA EJECUTIVA DEL CONSEJO</t>
        </is>
      </c>
      <c r="M1431" t="n">
        <v>30</v>
      </c>
      <c r="N1431" t="inlineStr">
        <is>
          <t>DIRECCION GENERAL ADJUNTA PRODUCTO Y TRANSFORMACIO</t>
        </is>
      </c>
      <c r="O1431" t="n">
        <v>301</v>
      </c>
      <c r="P1431" t="inlineStr">
        <is>
          <t>DOMINIO</t>
        </is>
      </c>
      <c r="Q1431" t="n">
        <v>3100</v>
      </c>
      <c r="R1431" t="inlineStr">
        <is>
          <t>DIRECCION DE TECNOLOGIA</t>
        </is>
      </c>
      <c r="S1431" t="n">
        <v>31600</v>
      </c>
      <c r="T1431" t="inlineStr">
        <is>
          <t>DIRECCION DE GESTION DE DATOS</t>
        </is>
      </c>
      <c r="U1431" t="n">
        <v>301250</v>
      </c>
      <c r="V1431" t="inlineStr">
        <is>
          <t>SERVICING</t>
        </is>
      </c>
      <c r="W1431" t="n">
        <v>126121</v>
      </c>
      <c r="X1431" t="inlineStr">
        <is>
          <t>CANCUN</t>
        </is>
      </c>
      <c r="Y1431" t="n">
        <v>4</v>
      </c>
      <c r="Z1431" t="inlineStr">
        <is>
          <t>CORPORATIVO</t>
        </is>
      </c>
      <c r="AA1431" t="n">
        <v>11</v>
      </c>
      <c r="AB1431" t="inlineStr">
        <is>
          <t>DOMINIO HA</t>
        </is>
      </c>
      <c r="AC1431" t="n">
        <v>1</v>
      </c>
      <c r="AD1431" t="inlineStr">
        <is>
          <t>BANCO</t>
        </is>
      </c>
      <c r="AE1431" t="n">
        <v>1</v>
      </c>
      <c r="AF1431" t="inlineStr">
        <is>
          <t>BACK</t>
        </is>
      </c>
      <c r="AG1431" t="n">
        <v>126121</v>
      </c>
      <c r="AH1431" t="inlineStr">
        <is>
          <t>CANCUN</t>
        </is>
      </c>
      <c r="AI1431" t="inlineStr">
        <is>
          <t>GQUINTAL@BANCOBASE.COM</t>
        </is>
      </c>
      <c r="AJ1431" s="151" t="n">
        <v>46244</v>
      </c>
    </row>
    <row r="1432" hidden="1" s="150">
      <c r="A1432" t="inlineStr">
        <is>
          <t>JLOPEZR</t>
        </is>
      </c>
      <c r="B1432" t="n">
        <v>3980</v>
      </c>
      <c r="C1432" t="inlineStr">
        <is>
          <t>JAVIER JHAIRT LOPEZ ROJAS</t>
        </is>
      </c>
      <c r="D1432" t="n">
        <v>5137</v>
      </c>
      <c r="E1432" t="inlineStr">
        <is>
          <t>DATA SCIENTIST</t>
        </is>
      </c>
      <c r="F1432" t="inlineStr">
        <is>
          <t>TELETRABAJO</t>
        </is>
      </c>
      <c r="G1432" t="n">
        <v>3706</v>
      </c>
      <c r="H1432" t="inlineStr">
        <is>
          <t>GABRIEL ANTONIO PENICHE EGUIA</t>
        </is>
      </c>
      <c r="I1432" t="n">
        <v>5124</v>
      </c>
      <c r="J1432" t="inlineStr">
        <is>
          <t>SUBDIRECTOR RDM EVOLUTION</t>
        </is>
      </c>
      <c r="K1432" t="n">
        <v>1</v>
      </c>
      <c r="L1432" t="inlineStr">
        <is>
          <t>PRESIDENCIA EJECUTIVA DEL CONSEJO</t>
        </is>
      </c>
      <c r="M1432" t="n">
        <v>30</v>
      </c>
      <c r="N1432" t="inlineStr">
        <is>
          <t>DIRECCION GENERAL ADJUNTA PRODUCTO Y TRANSFORMACIO</t>
        </is>
      </c>
      <c r="O1432" t="n">
        <v>301</v>
      </c>
      <c r="P1432" t="inlineStr">
        <is>
          <t>DOMINIO</t>
        </is>
      </c>
      <c r="Q1432" t="n">
        <v>3100</v>
      </c>
      <c r="R1432" t="inlineStr">
        <is>
          <t>DIRECCION DE TECNOLOGIA</t>
        </is>
      </c>
      <c r="S1432" t="n">
        <v>31600</v>
      </c>
      <c r="T1432" t="inlineStr">
        <is>
          <t>DIRECCION DE GESTION DE DATOS</t>
        </is>
      </c>
      <c r="U1432" t="n">
        <v>301250</v>
      </c>
      <c r="V1432" t="inlineStr">
        <is>
          <t>SERVICING</t>
        </is>
      </c>
      <c r="W1432" t="n">
        <v>134111</v>
      </c>
      <c r="X1432" t="inlineStr">
        <is>
          <t>LOMAS</t>
        </is>
      </c>
      <c r="Y1432" t="n">
        <v>4</v>
      </c>
      <c r="Z1432" t="inlineStr">
        <is>
          <t>CORPORATIVO</t>
        </is>
      </c>
      <c r="AA1432" t="n">
        <v>11</v>
      </c>
      <c r="AB1432" t="inlineStr">
        <is>
          <t>DOMINIO HA</t>
        </is>
      </c>
      <c r="AC1432" t="n">
        <v>1</v>
      </c>
      <c r="AD1432" t="inlineStr">
        <is>
          <t>BANCO</t>
        </is>
      </c>
      <c r="AE1432" t="n">
        <v>1</v>
      </c>
      <c r="AF1432" t="inlineStr">
        <is>
          <t>BACK</t>
        </is>
      </c>
      <c r="AG1432" t="n">
        <v>134111</v>
      </c>
      <c r="AH1432" t="inlineStr">
        <is>
          <t>LOMAS</t>
        </is>
      </c>
      <c r="AI1432" t="inlineStr">
        <is>
          <t>JLOPEZR@BANCOBASE.COM</t>
        </is>
      </c>
      <c r="AJ1432" s="151" t="n">
        <v>46244</v>
      </c>
    </row>
    <row r="1433" hidden="1" s="150">
      <c r="A1433" t="inlineStr">
        <is>
          <t>DCASIANO</t>
        </is>
      </c>
      <c r="B1433" t="n">
        <v>3716</v>
      </c>
      <c r="C1433" t="inlineStr">
        <is>
          <t>DENISSE ILIANA CASIANO PENA</t>
        </is>
      </c>
      <c r="D1433" t="n">
        <v>5121</v>
      </c>
      <c r="E1433" t="inlineStr">
        <is>
          <t>LIDER DE BUSINESS INTELLIGENCE STRATEGY</t>
        </is>
      </c>
      <c r="F1433" t="inlineStr">
        <is>
          <t>MONTERREY</t>
        </is>
      </c>
      <c r="I1433" t="n">
        <v>8464</v>
      </c>
      <c r="J1433" t="inlineStr">
        <is>
          <t>SUBDIRECTOR DE DATA PRODUCTS &amp; IA</t>
        </is>
      </c>
      <c r="K1433" t="n">
        <v>1</v>
      </c>
      <c r="L1433" t="inlineStr">
        <is>
          <t>PRESIDENCIA EJECUTIVA DEL CONSEJO</t>
        </is>
      </c>
      <c r="M1433" t="n">
        <v>40</v>
      </c>
      <c r="N1433" t="inlineStr">
        <is>
          <t>DIRECCION GENERAL BANCO BASE</t>
        </is>
      </c>
      <c r="O1433" t="n">
        <v>310</v>
      </c>
      <c r="P1433" t="inlineStr">
        <is>
          <t>DIRECCION DE TECNOLOGIA</t>
        </is>
      </c>
      <c r="Q1433" t="n">
        <v>3160</v>
      </c>
      <c r="R1433" t="inlineStr">
        <is>
          <t>DIRECCION DE GESTION DE DATOS</t>
        </is>
      </c>
      <c r="S1433" t="n">
        <v>31630</v>
      </c>
      <c r="T1433" t="inlineStr">
        <is>
          <t>SUBDIRECCION DE DATA PRODUCTS Y IA</t>
        </is>
      </c>
      <c r="U1433" t="n">
        <v>316000</v>
      </c>
      <c r="V1433" t="inlineStr">
        <is>
          <t>DIRECCION DE GESTION DE DATOS</t>
        </is>
      </c>
      <c r="W1433" t="n">
        <v>100101</v>
      </c>
      <c r="X1433" t="inlineStr">
        <is>
          <t>CORPORATIVO</t>
        </is>
      </c>
      <c r="Y1433" t="n">
        <v>4</v>
      </c>
      <c r="Z1433" t="inlineStr">
        <is>
          <t>CORPORATIVO</t>
        </is>
      </c>
      <c r="AA1433" t="n">
        <v>8</v>
      </c>
      <c r="AB1433" t="inlineStr">
        <is>
          <t>BAU</t>
        </is>
      </c>
      <c r="AC1433" t="n">
        <v>1</v>
      </c>
      <c r="AD1433" t="inlineStr">
        <is>
          <t>BANCO</t>
        </is>
      </c>
      <c r="AE1433" t="n">
        <v>1</v>
      </c>
      <c r="AF1433" t="inlineStr">
        <is>
          <t>BACK</t>
        </is>
      </c>
      <c r="AG1433" t="n">
        <v>100101</v>
      </c>
      <c r="AH1433" t="inlineStr">
        <is>
          <t>CORPORATIVO</t>
        </is>
      </c>
      <c r="AI1433" t="inlineStr">
        <is>
          <t>DCASIANO@BANCOBASE.COM</t>
        </is>
      </c>
      <c r="AJ1433" s="151" t="n">
        <v>46027</v>
      </c>
    </row>
    <row r="1434" hidden="1" s="150">
      <c r="A1434" t="inlineStr">
        <is>
          <t>JHERNANDMO</t>
        </is>
      </c>
      <c r="B1434" t="n">
        <v>2818</v>
      </c>
      <c r="C1434" t="inlineStr">
        <is>
          <t>JULIA HERNANDEZ MONTERDE</t>
        </is>
      </c>
      <c r="D1434" t="n">
        <v>8058</v>
      </c>
      <c r="E1434" t="inlineStr">
        <is>
          <t>ESPECIALISTA DE BUSINESS INTELLIGENCE SSR</t>
        </is>
      </c>
      <c r="F1434" t="inlineStr">
        <is>
          <t>TELETRABAJO</t>
        </is>
      </c>
      <c r="G1434" t="n">
        <v>3716</v>
      </c>
      <c r="H1434" t="inlineStr">
        <is>
          <t>DENISSE ILIANA CASIANO PENA</t>
        </is>
      </c>
      <c r="I1434" t="n">
        <v>5121</v>
      </c>
      <c r="J1434" t="inlineStr">
        <is>
          <t>LIDER DE BUSINESS INTELLIGENCE STRATEGY</t>
        </is>
      </c>
      <c r="K1434" t="n">
        <v>1</v>
      </c>
      <c r="L1434" t="inlineStr">
        <is>
          <t>PRESIDENCIA EJECUTIVA DEL CONSEJO</t>
        </is>
      </c>
      <c r="M1434" t="n">
        <v>40</v>
      </c>
      <c r="N1434" t="inlineStr">
        <is>
          <t>DIRECCION GENERAL BANCO BASE</t>
        </is>
      </c>
      <c r="O1434" t="n">
        <v>310</v>
      </c>
      <c r="P1434" t="inlineStr">
        <is>
          <t>DIRECCION DE TECNOLOGIA</t>
        </is>
      </c>
      <c r="Q1434" t="n">
        <v>3160</v>
      </c>
      <c r="R1434" t="inlineStr">
        <is>
          <t>DIRECCION DE GESTION DE DATOS</t>
        </is>
      </c>
      <c r="S1434" t="n">
        <v>31630</v>
      </c>
      <c r="T1434" t="inlineStr">
        <is>
          <t>SUBDIRECCION DE DATA PRODUCTS Y IA</t>
        </is>
      </c>
      <c r="U1434" t="n">
        <v>316000</v>
      </c>
      <c r="V1434" t="inlineStr">
        <is>
          <t>DIRECCION DE GESTION DE DATOS</t>
        </is>
      </c>
      <c r="W1434" t="n">
        <v>134111</v>
      </c>
      <c r="X1434" t="inlineStr">
        <is>
          <t>LOMAS</t>
        </is>
      </c>
      <c r="Y1434" t="n">
        <v>4</v>
      </c>
      <c r="Z1434" t="inlineStr">
        <is>
          <t>CORPORATIVO</t>
        </is>
      </c>
      <c r="AA1434" t="n">
        <v>1</v>
      </c>
      <c r="AB1434" t="inlineStr">
        <is>
          <t>NEGOCIO EN MARCHA</t>
        </is>
      </c>
      <c r="AC1434" t="n">
        <v>1</v>
      </c>
      <c r="AD1434" t="inlineStr">
        <is>
          <t>BANCO</t>
        </is>
      </c>
      <c r="AE1434" t="n">
        <v>1</v>
      </c>
      <c r="AF1434" t="inlineStr">
        <is>
          <t>BACK</t>
        </is>
      </c>
      <c r="AG1434" t="n">
        <v>134111</v>
      </c>
      <c r="AH1434" t="inlineStr">
        <is>
          <t>LOMAS</t>
        </is>
      </c>
      <c r="AI1434" t="inlineStr">
        <is>
          <t>JHERNANDMO@BANCOBASE.COM</t>
        </is>
      </c>
      <c r="AJ1434" s="151" t="n">
        <v>44958</v>
      </c>
    </row>
    <row r="1435" hidden="1" s="150">
      <c r="A1435" t="inlineStr">
        <is>
          <t>IGUERRA</t>
        </is>
      </c>
      <c r="B1435" t="n">
        <v>1990</v>
      </c>
      <c r="C1435" t="inlineStr">
        <is>
          <t>IRIS IVETTE GUERRA HINOJOSA</t>
        </is>
      </c>
      <c r="D1435" t="n">
        <v>5122</v>
      </c>
      <c r="E1435" t="inlineStr">
        <is>
          <t>LIDER DE BUSINESS INTELLIGENCE DELIVERY</t>
        </is>
      </c>
      <c r="F1435" t="inlineStr">
        <is>
          <t>MONTERREY</t>
        </is>
      </c>
      <c r="I1435" t="n">
        <v>8464</v>
      </c>
      <c r="J1435" t="inlineStr">
        <is>
          <t>SUBDIRECTOR DE DATA PRODUCTS &amp; IA</t>
        </is>
      </c>
      <c r="K1435" t="n">
        <v>1</v>
      </c>
      <c r="L1435" t="inlineStr">
        <is>
          <t>PRESIDENCIA EJECUTIVA DEL CONSEJO</t>
        </is>
      </c>
      <c r="M1435" t="n">
        <v>40</v>
      </c>
      <c r="N1435" t="inlineStr">
        <is>
          <t>DIRECCION GENERAL BANCO BASE</t>
        </is>
      </c>
      <c r="O1435" t="n">
        <v>310</v>
      </c>
      <c r="P1435" t="inlineStr">
        <is>
          <t>DIRECCION DE TECNOLOGIA</t>
        </is>
      </c>
      <c r="Q1435" t="n">
        <v>3160</v>
      </c>
      <c r="R1435" t="inlineStr">
        <is>
          <t>DIRECCION DE GESTION DE DATOS</t>
        </is>
      </c>
      <c r="S1435" t="n">
        <v>31630</v>
      </c>
      <c r="T1435" t="inlineStr">
        <is>
          <t>SUBDIRECCION DE DATA PRODUCTS Y IA</t>
        </is>
      </c>
      <c r="U1435" t="n">
        <v>316000</v>
      </c>
      <c r="V1435" t="inlineStr">
        <is>
          <t>DIRECCION DE GESTION DE DATOS</t>
        </is>
      </c>
      <c r="W1435" t="n">
        <v>100101</v>
      </c>
      <c r="X1435" t="inlineStr">
        <is>
          <t>CORPORATIVO</t>
        </is>
      </c>
      <c r="Y1435" t="n">
        <v>4</v>
      </c>
      <c r="Z1435" t="inlineStr">
        <is>
          <t>CORPORATIVO</t>
        </is>
      </c>
      <c r="AA1435" t="n">
        <v>1</v>
      </c>
      <c r="AB1435" t="inlineStr">
        <is>
          <t>NEGOCIO EN MARCHA</t>
        </is>
      </c>
      <c r="AC1435" t="n">
        <v>1</v>
      </c>
      <c r="AD1435" t="inlineStr">
        <is>
          <t>BANCO</t>
        </is>
      </c>
      <c r="AE1435" t="n">
        <v>1</v>
      </c>
      <c r="AF1435" t="inlineStr">
        <is>
          <t>BACK</t>
        </is>
      </c>
      <c r="AG1435" t="n">
        <v>100101</v>
      </c>
      <c r="AH1435" t="inlineStr">
        <is>
          <t>CORPORATIVO</t>
        </is>
      </c>
      <c r="AI1435" t="inlineStr">
        <is>
          <t>IGUERRA@BANCOBASE.COM</t>
        </is>
      </c>
      <c r="AJ1435" s="151" t="n">
        <v>43206</v>
      </c>
    </row>
    <row r="1436" hidden="1" s="150">
      <c r="A1436" t="inlineStr">
        <is>
          <t>CARODRIGUE</t>
        </is>
      </c>
      <c r="B1436" t="n">
        <v>2210</v>
      </c>
      <c r="C1436" t="inlineStr">
        <is>
          <t>CARLOS ALBERTO RODRIGUEZ GONZALEZ</t>
        </is>
      </c>
      <c r="D1436" t="n">
        <v>10326</v>
      </c>
      <c r="E1436" t="inlineStr">
        <is>
          <t>ESPECIALISTA DE BUSINESS INTELLIGENCE SSR</t>
        </is>
      </c>
      <c r="F1436" t="inlineStr">
        <is>
          <t>MONTERREY</t>
        </is>
      </c>
      <c r="G1436" t="n">
        <v>1990</v>
      </c>
      <c r="H1436" t="inlineStr">
        <is>
          <t>IRIS IVETTE GUERRA HINOJOSA</t>
        </is>
      </c>
      <c r="I1436" t="n">
        <v>5122</v>
      </c>
      <c r="J1436" t="inlineStr">
        <is>
          <t>LIDER DE BUSINESS INTELLIGENCE DELIVERY</t>
        </is>
      </c>
      <c r="K1436" t="n">
        <v>1</v>
      </c>
      <c r="L1436" t="inlineStr">
        <is>
          <t>PRESIDENCIA EJECUTIVA DEL CONSEJO</t>
        </is>
      </c>
      <c r="M1436" t="n">
        <v>40</v>
      </c>
      <c r="N1436" t="inlineStr">
        <is>
          <t>DIRECCION GENERAL BANCO BASE</t>
        </is>
      </c>
      <c r="O1436" t="n">
        <v>310</v>
      </c>
      <c r="P1436" t="inlineStr">
        <is>
          <t>DIRECCION DE TECNOLOGIA</t>
        </is>
      </c>
      <c r="Q1436" t="n">
        <v>3160</v>
      </c>
      <c r="R1436" t="inlineStr">
        <is>
          <t>DIRECCION DE GESTION DE DATOS</t>
        </is>
      </c>
      <c r="S1436" t="n">
        <v>31630</v>
      </c>
      <c r="T1436" t="inlineStr">
        <is>
          <t>SUBDIRECCION DE DATA PRODUCTS Y IA</t>
        </is>
      </c>
      <c r="U1436" t="n">
        <v>316000</v>
      </c>
      <c r="V1436" t="inlineStr">
        <is>
          <t>DIRECCION DE GESTION DE DATOS</t>
        </is>
      </c>
      <c r="W1436" t="n">
        <v>100101</v>
      </c>
      <c r="X1436" t="inlineStr">
        <is>
          <t>CORPORATIVO</t>
        </is>
      </c>
      <c r="Y1436" t="n">
        <v>4</v>
      </c>
      <c r="Z1436" t="inlineStr">
        <is>
          <t>CORPORATIVO</t>
        </is>
      </c>
      <c r="AA1436" t="n">
        <v>1</v>
      </c>
      <c r="AB1436" t="inlineStr">
        <is>
          <t>NEGOCIO EN MARCHA</t>
        </is>
      </c>
      <c r="AC1436" t="n">
        <v>1</v>
      </c>
      <c r="AD1436" t="inlineStr">
        <is>
          <t>BANCO</t>
        </is>
      </c>
      <c r="AE1436" t="n">
        <v>1</v>
      </c>
      <c r="AF1436" t="inlineStr">
        <is>
          <t>BACK</t>
        </is>
      </c>
      <c r="AG1436" t="n">
        <v>100101</v>
      </c>
      <c r="AH1436" t="inlineStr">
        <is>
          <t>CORPORATIVO</t>
        </is>
      </c>
      <c r="AI1436" t="inlineStr">
        <is>
          <t>CARODRIGUE@BANCOBASE.COM</t>
        </is>
      </c>
      <c r="AJ1436" s="151" t="n">
        <v>43556</v>
      </c>
    </row>
    <row r="1437" hidden="1" s="150">
      <c r="A1437" t="inlineStr">
        <is>
          <t>MALVARADOC</t>
        </is>
      </c>
      <c r="B1437" t="n">
        <v>3929</v>
      </c>
      <c r="C1437" t="inlineStr">
        <is>
          <t>MARIBEL HAYDEE ALVARADO CASTAÑEDA</t>
        </is>
      </c>
      <c r="D1437" t="n">
        <v>8541</v>
      </c>
      <c r="E1437" t="inlineStr">
        <is>
          <t>ESPECIALISTA DE BUSINESS INTELLIGENCE</t>
        </is>
      </c>
      <c r="F1437" t="inlineStr">
        <is>
          <t>QUERETARO</t>
        </is>
      </c>
      <c r="G1437" t="n">
        <v>1990</v>
      </c>
      <c r="H1437" t="inlineStr">
        <is>
          <t>IRIS IVETTE GUERRA HINOJOSA</t>
        </is>
      </c>
      <c r="I1437" t="n">
        <v>5122</v>
      </c>
      <c r="J1437" t="inlineStr">
        <is>
          <t>LIDER DE BUSINESS INTELLIGENCE DELIVERY</t>
        </is>
      </c>
      <c r="K1437" t="n">
        <v>1</v>
      </c>
      <c r="L1437" t="inlineStr">
        <is>
          <t>PRESIDENCIA EJECUTIVA DEL CONSEJO</t>
        </is>
      </c>
      <c r="M1437" t="n">
        <v>40</v>
      </c>
      <c r="N1437" t="inlineStr">
        <is>
          <t>DIRECCION GENERAL BANCO BASE</t>
        </is>
      </c>
      <c r="O1437" t="n">
        <v>310</v>
      </c>
      <c r="P1437" t="inlineStr">
        <is>
          <t>DIRECCION DE TECNOLOGIA</t>
        </is>
      </c>
      <c r="Q1437" t="n">
        <v>3160</v>
      </c>
      <c r="R1437" t="inlineStr">
        <is>
          <t>DIRECCION DE GESTION DE DATOS</t>
        </is>
      </c>
      <c r="S1437" t="n">
        <v>31630</v>
      </c>
      <c r="T1437" t="inlineStr">
        <is>
          <t>SUBDIRECCION DE DATA PRODUCTS Y IA</t>
        </is>
      </c>
      <c r="U1437" t="n">
        <v>316000</v>
      </c>
      <c r="V1437" t="inlineStr">
        <is>
          <t>DIRECCION DE GESTION DE DATOS</t>
        </is>
      </c>
      <c r="W1437" t="n">
        <v>126112</v>
      </c>
      <c r="X1437" t="inlineStr">
        <is>
          <t>QUERETARO</t>
        </is>
      </c>
      <c r="Y1437" t="n">
        <v>4</v>
      </c>
      <c r="Z1437" t="inlineStr">
        <is>
          <t>CORPORATIVO</t>
        </is>
      </c>
      <c r="AA1437" t="n">
        <v>8</v>
      </c>
      <c r="AB1437" t="inlineStr">
        <is>
          <t>BAU</t>
        </is>
      </c>
      <c r="AC1437" t="n">
        <v>1</v>
      </c>
      <c r="AD1437" t="inlineStr">
        <is>
          <t>BANCO</t>
        </is>
      </c>
      <c r="AE1437" t="n">
        <v>1</v>
      </c>
      <c r="AF1437" t="inlineStr">
        <is>
          <t>BACK</t>
        </is>
      </c>
      <c r="AG1437" t="n">
        <v>126112</v>
      </c>
      <c r="AH1437" t="inlineStr">
        <is>
          <t>QUERETARO</t>
        </is>
      </c>
      <c r="AI1437" t="inlineStr">
        <is>
          <t>MALVARADOC@BANCOBASE.COM</t>
        </is>
      </c>
      <c r="AJ1437" s="151" t="n">
        <v>46209</v>
      </c>
    </row>
    <row r="1438" hidden="1" s="150">
      <c r="A1438" t="inlineStr">
        <is>
          <t>JVALLE</t>
        </is>
      </c>
      <c r="B1438" t="n">
        <v>2719</v>
      </c>
      <c r="C1438" t="inlineStr">
        <is>
          <t>JOSE ALBERTO VALLE RUIZ</t>
        </is>
      </c>
      <c r="D1438" t="n">
        <v>8133</v>
      </c>
      <c r="E1438" t="inlineStr">
        <is>
          <t>GERENTE CIENTIFICO DE DATOS STRATEGY</t>
        </is>
      </c>
      <c r="F1438" t="inlineStr">
        <is>
          <t>TELETRABAJO</t>
        </is>
      </c>
      <c r="I1438" t="n">
        <v>8464</v>
      </c>
      <c r="J1438" t="inlineStr">
        <is>
          <t>SUBDIRECTOR DE DATA PRODUCTS &amp; IA</t>
        </is>
      </c>
      <c r="K1438" t="n">
        <v>1</v>
      </c>
      <c r="L1438" t="inlineStr">
        <is>
          <t>PRESIDENCIA EJECUTIVA DEL CONSEJO</t>
        </is>
      </c>
      <c r="M1438" t="n">
        <v>40</v>
      </c>
      <c r="N1438" t="inlineStr">
        <is>
          <t>DIRECCION GENERAL BANCO BASE</t>
        </is>
      </c>
      <c r="O1438" t="n">
        <v>310</v>
      </c>
      <c r="P1438" t="inlineStr">
        <is>
          <t>DIRECCION DE TECNOLOGIA</t>
        </is>
      </c>
      <c r="Q1438" t="n">
        <v>3160</v>
      </c>
      <c r="R1438" t="inlineStr">
        <is>
          <t>DIRECCION DE GESTION DE DATOS</t>
        </is>
      </c>
      <c r="S1438" t="n">
        <v>31630</v>
      </c>
      <c r="T1438" t="inlineStr">
        <is>
          <t>SUBDIRECCION DE DATA PRODUCTS Y IA</t>
        </is>
      </c>
      <c r="U1438" t="n">
        <v>316000</v>
      </c>
      <c r="V1438" t="inlineStr">
        <is>
          <t>DIRECCION DE GESTION DE DATOS</t>
        </is>
      </c>
      <c r="W1438" t="n">
        <v>134111</v>
      </c>
      <c r="X1438" t="inlineStr">
        <is>
          <t>LOMAS</t>
        </is>
      </c>
      <c r="Y1438" t="n">
        <v>4</v>
      </c>
      <c r="Z1438" t="inlineStr">
        <is>
          <t>CORPORATIVO</t>
        </is>
      </c>
      <c r="AA1438" t="n">
        <v>1</v>
      </c>
      <c r="AB1438" t="inlineStr">
        <is>
          <t>NEGOCIO EN MARCHA</t>
        </is>
      </c>
      <c r="AC1438" t="n">
        <v>1</v>
      </c>
      <c r="AD1438" t="inlineStr">
        <is>
          <t>BANCO</t>
        </is>
      </c>
      <c r="AE1438" t="n">
        <v>1</v>
      </c>
      <c r="AF1438" t="inlineStr">
        <is>
          <t>BACK</t>
        </is>
      </c>
      <c r="AG1438" t="n">
        <v>134111</v>
      </c>
      <c r="AH1438" t="inlineStr">
        <is>
          <t>LOMAS</t>
        </is>
      </c>
      <c r="AI1438" t="inlineStr">
        <is>
          <t>JVALLE@BANCOBASE.COM</t>
        </is>
      </c>
      <c r="AJ1438" s="151" t="n">
        <v>44791</v>
      </c>
    </row>
    <row r="1439" hidden="1" s="150">
      <c r="A1439" t="inlineStr">
        <is>
          <t>CMORAN</t>
        </is>
      </c>
      <c r="B1439" t="n">
        <v>3321</v>
      </c>
      <c r="C1439" t="inlineStr">
        <is>
          <t>CHRISTIAN DANIEL MORAN TITLA</t>
        </is>
      </c>
      <c r="D1439" t="n">
        <v>8537</v>
      </c>
      <c r="E1439" t="inlineStr">
        <is>
          <t>CIENTIFICO DE DATOS SSR</t>
        </is>
      </c>
      <c r="F1439" t="inlineStr">
        <is>
          <t>TELETRABAJO</t>
        </is>
      </c>
      <c r="G1439" t="n">
        <v>2719</v>
      </c>
      <c r="H1439" t="inlineStr">
        <is>
          <t>JOSE ALBERTO VALLE RUIZ</t>
        </is>
      </c>
      <c r="I1439" t="n">
        <v>8133</v>
      </c>
      <c r="J1439" t="inlineStr">
        <is>
          <t>GERENTE CIENTIFICO DE DATOS STRATEGY</t>
        </is>
      </c>
      <c r="K1439" t="n">
        <v>1</v>
      </c>
      <c r="L1439" t="inlineStr">
        <is>
          <t>PRESIDENCIA EJECUTIVA DEL CONSEJO</t>
        </is>
      </c>
      <c r="M1439" t="n">
        <v>40</v>
      </c>
      <c r="N1439" t="inlineStr">
        <is>
          <t>DIRECCION GENERAL BANCO BASE</t>
        </is>
      </c>
      <c r="O1439" t="n">
        <v>310</v>
      </c>
      <c r="P1439" t="inlineStr">
        <is>
          <t>DIRECCION DE TECNOLOGIA</t>
        </is>
      </c>
      <c r="Q1439" t="n">
        <v>3160</v>
      </c>
      <c r="R1439" t="inlineStr">
        <is>
          <t>DIRECCION DE GESTION DE DATOS</t>
        </is>
      </c>
      <c r="S1439" t="n">
        <v>31630</v>
      </c>
      <c r="T1439" t="inlineStr">
        <is>
          <t>SUBDIRECCION DE DATA PRODUCTS Y IA</t>
        </is>
      </c>
      <c r="U1439" t="n">
        <v>316000</v>
      </c>
      <c r="V1439" t="inlineStr">
        <is>
          <t>DIRECCION DE GESTION DE DATOS</t>
        </is>
      </c>
      <c r="W1439" t="n">
        <v>134111</v>
      </c>
      <c r="X1439" t="inlineStr">
        <is>
          <t>LOMAS</t>
        </is>
      </c>
      <c r="Y1439" t="n">
        <v>4</v>
      </c>
      <c r="Z1439" t="inlineStr">
        <is>
          <t>CORPORATIVO</t>
        </is>
      </c>
      <c r="AA1439" t="n">
        <v>8</v>
      </c>
      <c r="AB1439" t="inlineStr">
        <is>
          <t>BAU</t>
        </is>
      </c>
      <c r="AC1439" t="n">
        <v>1</v>
      </c>
      <c r="AD1439" t="inlineStr">
        <is>
          <t>BANCO</t>
        </is>
      </c>
      <c r="AE1439" t="n">
        <v>1</v>
      </c>
      <c r="AF1439" t="inlineStr">
        <is>
          <t>BACK</t>
        </is>
      </c>
      <c r="AG1439" t="n">
        <v>134111</v>
      </c>
      <c r="AH1439" t="inlineStr">
        <is>
          <t>LOMAS</t>
        </is>
      </c>
      <c r="AI1439" t="inlineStr">
        <is>
          <t>CMORAN@BANCOBASE.COM</t>
        </is>
      </c>
      <c r="AJ1439" s="151" t="n">
        <v>45673</v>
      </c>
    </row>
    <row r="1440" hidden="1" s="150">
      <c r="A1440" t="inlineStr">
        <is>
          <t>CGONZALEZG</t>
        </is>
      </c>
      <c r="B1440" t="n">
        <v>2989</v>
      </c>
      <c r="C1440" t="inlineStr">
        <is>
          <t>CAMILO GONZALEZ GONZALEZ</t>
        </is>
      </c>
      <c r="D1440" t="n">
        <v>8120</v>
      </c>
      <c r="E1440" t="inlineStr">
        <is>
          <t>CIENTIFICO DE DATOS MDL</t>
        </is>
      </c>
      <c r="F1440" t="inlineStr">
        <is>
          <t>TELETRABAJO</t>
        </is>
      </c>
      <c r="G1440" t="n">
        <v>2719</v>
      </c>
      <c r="H1440" t="inlineStr">
        <is>
          <t>JOSE ALBERTO VALLE RUIZ</t>
        </is>
      </c>
      <c r="I1440" t="n">
        <v>8133</v>
      </c>
      <c r="J1440" t="inlineStr">
        <is>
          <t>GERENTE CIENTIFICO DE DATOS STRATEGY</t>
        </is>
      </c>
      <c r="K1440" t="n">
        <v>1</v>
      </c>
      <c r="L1440" t="inlineStr">
        <is>
          <t>PRESIDENCIA EJECUTIVA DEL CONSEJO</t>
        </is>
      </c>
      <c r="M1440" t="n">
        <v>40</v>
      </c>
      <c r="N1440" t="inlineStr">
        <is>
          <t>DIRECCION GENERAL BANCO BASE</t>
        </is>
      </c>
      <c r="O1440" t="n">
        <v>310</v>
      </c>
      <c r="P1440" t="inlineStr">
        <is>
          <t>DIRECCION DE TECNOLOGIA</t>
        </is>
      </c>
      <c r="Q1440" t="n">
        <v>3160</v>
      </c>
      <c r="R1440" t="inlineStr">
        <is>
          <t>DIRECCION DE GESTION DE DATOS</t>
        </is>
      </c>
      <c r="S1440" t="n">
        <v>31630</v>
      </c>
      <c r="T1440" t="inlineStr">
        <is>
          <t>SUBDIRECCION DE DATA PRODUCTS Y IA</t>
        </is>
      </c>
      <c r="U1440" t="n">
        <v>316000</v>
      </c>
      <c r="V1440" t="inlineStr">
        <is>
          <t>DIRECCION DE GESTION DE DATOS</t>
        </is>
      </c>
      <c r="W1440" t="n">
        <v>134111</v>
      </c>
      <c r="X1440" t="inlineStr">
        <is>
          <t>LOMAS</t>
        </is>
      </c>
      <c r="Y1440" t="n">
        <v>4</v>
      </c>
      <c r="Z1440" t="inlineStr">
        <is>
          <t>CORPORATIVO</t>
        </is>
      </c>
      <c r="AA1440" t="n">
        <v>1</v>
      </c>
      <c r="AB1440" t="inlineStr">
        <is>
          <t>NEGOCIO EN MARCHA</t>
        </is>
      </c>
      <c r="AC1440" t="n">
        <v>1</v>
      </c>
      <c r="AD1440" t="inlineStr">
        <is>
          <t>BANCO</t>
        </is>
      </c>
      <c r="AE1440" t="n">
        <v>1</v>
      </c>
      <c r="AF1440" t="inlineStr">
        <is>
          <t>BACK</t>
        </is>
      </c>
      <c r="AG1440" t="n">
        <v>134111</v>
      </c>
      <c r="AH1440" t="inlineStr">
        <is>
          <t>LOMAS</t>
        </is>
      </c>
      <c r="AI1440" t="inlineStr">
        <is>
          <t>CGONZALEZG@BANCOBASE.COM</t>
        </is>
      </c>
      <c r="AJ1440" s="151" t="n">
        <v>45246</v>
      </c>
    </row>
    <row r="1441" hidden="1" s="150">
      <c r="A1441" t="inlineStr">
        <is>
          <t>MCARREON</t>
        </is>
      </c>
      <c r="B1441" t="n">
        <v>2978</v>
      </c>
      <c r="C1441" t="inlineStr">
        <is>
          <t>MICHELLE CARREON MIRANDA</t>
        </is>
      </c>
      <c r="D1441" t="n">
        <v>8226</v>
      </c>
      <c r="E1441" t="inlineStr">
        <is>
          <t>CIENTIFICO DE DATOS SSR</t>
        </is>
      </c>
      <c r="F1441" t="inlineStr">
        <is>
          <t>TELETRABAJO</t>
        </is>
      </c>
      <c r="G1441" t="n">
        <v>2719</v>
      </c>
      <c r="H1441" t="inlineStr">
        <is>
          <t>JOSE ALBERTO VALLE RUIZ</t>
        </is>
      </c>
      <c r="I1441" t="n">
        <v>8133</v>
      </c>
      <c r="J1441" t="inlineStr">
        <is>
          <t>GERENTE CIENTIFICO DE DATOS STRATEGY</t>
        </is>
      </c>
      <c r="K1441" t="n">
        <v>1</v>
      </c>
      <c r="L1441" t="inlineStr">
        <is>
          <t>PRESIDENCIA EJECUTIVA DEL CONSEJO</t>
        </is>
      </c>
      <c r="M1441" t="n">
        <v>40</v>
      </c>
      <c r="N1441" t="inlineStr">
        <is>
          <t>DIRECCION GENERAL BANCO BASE</t>
        </is>
      </c>
      <c r="O1441" t="n">
        <v>310</v>
      </c>
      <c r="P1441" t="inlineStr">
        <is>
          <t>DIRECCION DE TECNOLOGIA</t>
        </is>
      </c>
      <c r="Q1441" t="n">
        <v>3160</v>
      </c>
      <c r="R1441" t="inlineStr">
        <is>
          <t>DIRECCION DE GESTION DE DATOS</t>
        </is>
      </c>
      <c r="S1441" t="n">
        <v>31630</v>
      </c>
      <c r="T1441" t="inlineStr">
        <is>
          <t>SUBDIRECCION DE DATA PRODUCTS Y IA</t>
        </is>
      </c>
      <c r="U1441" t="n">
        <v>316000</v>
      </c>
      <c r="V1441" t="inlineStr">
        <is>
          <t>DIRECCION DE GESTION DE DATOS</t>
        </is>
      </c>
      <c r="W1441" t="n">
        <v>100101</v>
      </c>
      <c r="X1441" t="inlineStr">
        <is>
          <t>CORPORATIVO</t>
        </is>
      </c>
      <c r="Y1441" t="n">
        <v>4</v>
      </c>
      <c r="Z1441" t="inlineStr">
        <is>
          <t>CORPORATIVO</t>
        </is>
      </c>
      <c r="AA1441" t="n">
        <v>1</v>
      </c>
      <c r="AB1441" t="inlineStr">
        <is>
          <t>NEGOCIO EN MARCHA</t>
        </is>
      </c>
      <c r="AC1441" t="n">
        <v>1</v>
      </c>
      <c r="AD1441" t="inlineStr">
        <is>
          <t>BANCO</t>
        </is>
      </c>
      <c r="AE1441" t="n">
        <v>1</v>
      </c>
      <c r="AF1441" t="inlineStr">
        <is>
          <t>BACK</t>
        </is>
      </c>
      <c r="AG1441" t="n">
        <v>100101</v>
      </c>
      <c r="AH1441" t="inlineStr">
        <is>
          <t>CORPORATIVO</t>
        </is>
      </c>
      <c r="AI1441" t="inlineStr">
        <is>
          <t>MCARREON@BANCOBASE.COM</t>
        </is>
      </c>
      <c r="AJ1441" s="151" t="n">
        <v>45231</v>
      </c>
    </row>
    <row r="1442" hidden="1" s="150">
      <c r="A1442" t="inlineStr">
        <is>
          <t>RMORALESA</t>
        </is>
      </c>
      <c r="B1442" t="n">
        <v>3488</v>
      </c>
      <c r="C1442" t="inlineStr">
        <is>
          <t>RAINER ALBERTO MORALES ARAGON</t>
        </is>
      </c>
      <c r="D1442" t="n">
        <v>8361</v>
      </c>
      <c r="E1442" t="inlineStr">
        <is>
          <t>CIENTIFICO DE DATOS SSR</t>
        </is>
      </c>
      <c r="F1442" t="inlineStr">
        <is>
          <t>TELETRABAJO</t>
        </is>
      </c>
      <c r="G1442" t="n">
        <v>2719</v>
      </c>
      <c r="H1442" t="inlineStr">
        <is>
          <t>JOSE ALBERTO VALLE RUIZ</t>
        </is>
      </c>
      <c r="I1442" t="n">
        <v>8133</v>
      </c>
      <c r="J1442" t="inlineStr">
        <is>
          <t>GERENTE CIENTIFICO DE DATOS STRATEGY</t>
        </is>
      </c>
      <c r="K1442" t="n">
        <v>1</v>
      </c>
      <c r="L1442" t="inlineStr">
        <is>
          <t>PRESIDENCIA EJECUTIVA DEL CONSEJO</t>
        </is>
      </c>
      <c r="M1442" t="n">
        <v>40</v>
      </c>
      <c r="N1442" t="inlineStr">
        <is>
          <t>DIRECCION GENERAL BANCO BASE</t>
        </is>
      </c>
      <c r="O1442" t="n">
        <v>310</v>
      </c>
      <c r="P1442" t="inlineStr">
        <is>
          <t>DIRECCION DE TECNOLOGIA</t>
        </is>
      </c>
      <c r="Q1442" t="n">
        <v>3160</v>
      </c>
      <c r="R1442" t="inlineStr">
        <is>
          <t>DIRECCION DE GESTION DE DATOS</t>
        </is>
      </c>
      <c r="S1442" t="n">
        <v>31630</v>
      </c>
      <c r="T1442" t="inlineStr">
        <is>
          <t>SUBDIRECCION DE DATA PRODUCTS Y IA</t>
        </is>
      </c>
      <c r="U1442" t="n">
        <v>316000</v>
      </c>
      <c r="V1442" t="inlineStr">
        <is>
          <t>DIRECCION DE GESTION DE DATOS</t>
        </is>
      </c>
      <c r="W1442" t="n">
        <v>134111</v>
      </c>
      <c r="X1442" t="inlineStr">
        <is>
          <t>LOMAS</t>
        </is>
      </c>
      <c r="Y1442" t="n">
        <v>4</v>
      </c>
      <c r="Z1442" t="inlineStr">
        <is>
          <t>CORPORATIVO</t>
        </is>
      </c>
      <c r="AA1442" t="n">
        <v>1</v>
      </c>
      <c r="AB1442" t="inlineStr">
        <is>
          <t>NEGOCIO EN MARCHA</t>
        </is>
      </c>
      <c r="AC1442" t="n">
        <v>1</v>
      </c>
      <c r="AD1442" t="inlineStr">
        <is>
          <t>BANCO</t>
        </is>
      </c>
      <c r="AE1442" t="n">
        <v>1</v>
      </c>
      <c r="AF1442" t="inlineStr">
        <is>
          <t>BACK</t>
        </is>
      </c>
      <c r="AG1442" t="n">
        <v>134111</v>
      </c>
      <c r="AH1442" t="inlineStr">
        <is>
          <t>LOMAS</t>
        </is>
      </c>
      <c r="AI1442" t="inlineStr">
        <is>
          <t>RMORALESA@BANCOBASE.COM</t>
        </is>
      </c>
      <c r="AJ1442" s="151" t="n">
        <v>45854</v>
      </c>
    </row>
    <row r="1443" hidden="1" s="150">
      <c r="A1443" t="inlineStr">
        <is>
          <t>KPALMA</t>
        </is>
      </c>
      <c r="B1443" t="n">
        <v>3532</v>
      </c>
      <c r="C1443" t="inlineStr">
        <is>
          <t>KARLA ANDREA PALMA VILLANUEVA</t>
        </is>
      </c>
      <c r="D1443" t="n">
        <v>8074</v>
      </c>
      <c r="E1443" t="inlineStr">
        <is>
          <t>CIENTIFICO DE DATOS JR</t>
        </is>
      </c>
      <c r="F1443" t="inlineStr">
        <is>
          <t>TELETRABAJO</t>
        </is>
      </c>
      <c r="G1443" t="n">
        <v>2719</v>
      </c>
      <c r="H1443" t="inlineStr">
        <is>
          <t>JOSE ALBERTO VALLE RUIZ</t>
        </is>
      </c>
      <c r="I1443" t="n">
        <v>8133</v>
      </c>
      <c r="J1443" t="inlineStr">
        <is>
          <t>GERENTE CIENTIFICO DE DATOS STRATEGY</t>
        </is>
      </c>
      <c r="K1443" t="n">
        <v>1</v>
      </c>
      <c r="L1443" t="inlineStr">
        <is>
          <t>PRESIDENCIA EJECUTIVA DEL CONSEJO</t>
        </is>
      </c>
      <c r="M1443" t="n">
        <v>40</v>
      </c>
      <c r="N1443" t="inlineStr">
        <is>
          <t>DIRECCION GENERAL BANCO BASE</t>
        </is>
      </c>
      <c r="O1443" t="n">
        <v>310</v>
      </c>
      <c r="P1443" t="inlineStr">
        <is>
          <t>DIRECCION DE TECNOLOGIA</t>
        </is>
      </c>
      <c r="Q1443" t="n">
        <v>3160</v>
      </c>
      <c r="R1443" t="inlineStr">
        <is>
          <t>DIRECCION DE GESTION DE DATOS</t>
        </is>
      </c>
      <c r="S1443" t="n">
        <v>31630</v>
      </c>
      <c r="T1443" t="inlineStr">
        <is>
          <t>SUBDIRECCION DE DATA PRODUCTS Y IA</t>
        </is>
      </c>
      <c r="U1443" t="n">
        <v>316000</v>
      </c>
      <c r="V1443" t="inlineStr">
        <is>
          <t>DIRECCION DE GESTION DE DATOS</t>
        </is>
      </c>
      <c r="W1443" t="n">
        <v>100101</v>
      </c>
      <c r="X1443" t="inlineStr">
        <is>
          <t>CORPORATIVO</t>
        </is>
      </c>
      <c r="Y1443" t="n">
        <v>4</v>
      </c>
      <c r="Z1443" t="inlineStr">
        <is>
          <t>CORPORATIVO</t>
        </is>
      </c>
      <c r="AA1443" t="n">
        <v>1</v>
      </c>
      <c r="AB1443" t="inlineStr">
        <is>
          <t>NEGOCIO EN MARCHA</t>
        </is>
      </c>
      <c r="AC1443" t="n">
        <v>1</v>
      </c>
      <c r="AD1443" t="inlineStr">
        <is>
          <t>BANCO</t>
        </is>
      </c>
      <c r="AE1443" t="n">
        <v>1</v>
      </c>
      <c r="AF1443" t="inlineStr">
        <is>
          <t>BACK</t>
        </is>
      </c>
      <c r="AG1443" t="n">
        <v>100101</v>
      </c>
      <c r="AH1443" t="inlineStr">
        <is>
          <t>CORPORATIVO</t>
        </is>
      </c>
      <c r="AI1443" t="inlineStr">
        <is>
          <t>KPALMA@BANCOBASE.COM</t>
        </is>
      </c>
      <c r="AJ1443" s="151" t="n">
        <v>45887</v>
      </c>
    </row>
    <row r="1444" hidden="1" s="150">
      <c r="A1444" t="inlineStr">
        <is>
          <t>LPEREZL</t>
        </is>
      </c>
      <c r="B1444" t="n">
        <v>3915</v>
      </c>
      <c r="C1444" t="inlineStr">
        <is>
          <t>LAZARO JESUS PEREZ LUGO</t>
        </is>
      </c>
      <c r="D1444" t="n">
        <v>8905</v>
      </c>
      <c r="E1444" t="inlineStr">
        <is>
          <t>GERENTE DE INGENIERIA DE SERVICIOS IA</t>
        </is>
      </c>
      <c r="F1444" t="inlineStr">
        <is>
          <t>LEON</t>
        </is>
      </c>
      <c r="I1444" t="n">
        <v>8464</v>
      </c>
      <c r="J1444" t="inlineStr">
        <is>
          <t>SUBDIRECTOR DE DATA PRODUCTS &amp; IA</t>
        </is>
      </c>
      <c r="K1444" t="n">
        <v>1</v>
      </c>
      <c r="L1444" t="inlineStr">
        <is>
          <t>PRESIDENCIA EJECUTIVA DEL CONSEJO</t>
        </is>
      </c>
      <c r="M1444" t="n">
        <v>40</v>
      </c>
      <c r="N1444" t="inlineStr">
        <is>
          <t>DIRECCION GENERAL BANCO BASE</t>
        </is>
      </c>
      <c r="O1444" t="n">
        <v>310</v>
      </c>
      <c r="P1444" t="inlineStr">
        <is>
          <t>DIRECCION DE TECNOLOGIA</t>
        </is>
      </c>
      <c r="Q1444" t="n">
        <v>3160</v>
      </c>
      <c r="R1444" t="inlineStr">
        <is>
          <t>DIRECCION DE GESTION DE DATOS</t>
        </is>
      </c>
      <c r="S1444" t="n">
        <v>31630</v>
      </c>
      <c r="T1444" t="inlineStr">
        <is>
          <t>SUBDIRECCION DE DATA PRODUCTS Y IA</t>
        </is>
      </c>
      <c r="U1444" t="n">
        <v>316000</v>
      </c>
      <c r="V1444" t="inlineStr">
        <is>
          <t>DIRECCION DE GESTION DE DATOS</t>
        </is>
      </c>
      <c r="W1444" t="n">
        <v>126128</v>
      </c>
      <c r="X1444" t="inlineStr">
        <is>
          <t>LEON</t>
        </is>
      </c>
      <c r="Y1444" t="n">
        <v>4</v>
      </c>
      <c r="Z1444" t="inlineStr">
        <is>
          <t>CORPORATIVO</t>
        </is>
      </c>
      <c r="AA1444" t="n">
        <v>8</v>
      </c>
      <c r="AB1444" t="inlineStr">
        <is>
          <t>BAU</t>
        </is>
      </c>
      <c r="AC1444" t="n">
        <v>1</v>
      </c>
      <c r="AD1444" t="inlineStr">
        <is>
          <t>BANCO</t>
        </is>
      </c>
      <c r="AE1444" t="n">
        <v>1</v>
      </c>
      <c r="AF1444" t="inlineStr">
        <is>
          <t>BACK</t>
        </is>
      </c>
      <c r="AG1444" t="n">
        <v>126128</v>
      </c>
      <c r="AH1444" t="inlineStr">
        <is>
          <t>LEON</t>
        </is>
      </c>
      <c r="AI1444" t="inlineStr">
        <is>
          <t>LPEREZL@BANCOBASE.COM</t>
        </is>
      </c>
      <c r="AJ1444" s="151" t="n">
        <v>46195</v>
      </c>
    </row>
    <row r="1445" hidden="1" s="150">
      <c r="A1445" t="inlineStr">
        <is>
          <t>MMEJIAH</t>
        </is>
      </c>
      <c r="B1445" t="n">
        <v>3971</v>
      </c>
      <c r="C1445" t="inlineStr">
        <is>
          <t>MIGUEL MEJIA HERNANDEZ</t>
        </is>
      </c>
      <c r="D1445" t="n">
        <v>8014</v>
      </c>
      <c r="E1445" t="inlineStr">
        <is>
          <t>INGENIERO DE SERVICIOS IA</t>
        </is>
      </c>
      <c r="F1445" t="inlineStr">
        <is>
          <t>TELETRABAJO</t>
        </is>
      </c>
      <c r="G1445" t="n">
        <v>3915</v>
      </c>
      <c r="H1445" t="inlineStr">
        <is>
          <t>LAZARO JESUS PEREZ LUGO</t>
        </is>
      </c>
      <c r="I1445" t="n">
        <v>8905</v>
      </c>
      <c r="J1445" t="inlineStr">
        <is>
          <t>GERENTE DE INGENIERIA DE SERVICIOS IA</t>
        </is>
      </c>
      <c r="K1445" t="n">
        <v>1</v>
      </c>
      <c r="L1445" t="inlineStr">
        <is>
          <t>PRESIDENCIA EJECUTIVA DEL CONSEJO</t>
        </is>
      </c>
      <c r="M1445" t="n">
        <v>40</v>
      </c>
      <c r="N1445" t="inlineStr">
        <is>
          <t>DIRECCION GENERAL BANCO BASE</t>
        </is>
      </c>
      <c r="O1445" t="n">
        <v>310</v>
      </c>
      <c r="P1445" t="inlineStr">
        <is>
          <t>DIRECCION DE TECNOLOGIA</t>
        </is>
      </c>
      <c r="Q1445" t="n">
        <v>3160</v>
      </c>
      <c r="R1445" t="inlineStr">
        <is>
          <t>DIRECCION DE GESTION DE DATOS</t>
        </is>
      </c>
      <c r="S1445" t="n">
        <v>31630</v>
      </c>
      <c r="T1445" t="inlineStr">
        <is>
          <t>SUBDIRECCION DE DATA PRODUCTS Y IA</t>
        </is>
      </c>
      <c r="U1445" t="n">
        <v>316000</v>
      </c>
      <c r="V1445" t="inlineStr">
        <is>
          <t>DIRECCION DE GESTION DE DATOS</t>
        </is>
      </c>
      <c r="W1445" t="n">
        <v>134111</v>
      </c>
      <c r="X1445" t="inlineStr">
        <is>
          <t>LOMAS</t>
        </is>
      </c>
      <c r="Y1445" t="n">
        <v>4</v>
      </c>
      <c r="Z1445" t="inlineStr">
        <is>
          <t>CORPORATIVO</t>
        </is>
      </c>
      <c r="AA1445" t="n">
        <v>1</v>
      </c>
      <c r="AB1445" t="inlineStr">
        <is>
          <t>NEGOCIO EN MARCHA</t>
        </is>
      </c>
      <c r="AC1445" t="n">
        <v>1</v>
      </c>
      <c r="AD1445" t="inlineStr">
        <is>
          <t>BANCO</t>
        </is>
      </c>
      <c r="AE1445" t="n">
        <v>1</v>
      </c>
      <c r="AF1445" t="inlineStr">
        <is>
          <t>BACK</t>
        </is>
      </c>
      <c r="AG1445" t="n">
        <v>134111</v>
      </c>
      <c r="AH1445" t="inlineStr">
        <is>
          <t>LOMAS</t>
        </is>
      </c>
      <c r="AI1445" t="inlineStr">
        <is>
          <t>MMEJIAH@BANCOBASE.COM</t>
        </is>
      </c>
      <c r="AJ1445" s="151" t="n">
        <v>46239</v>
      </c>
    </row>
    <row r="1446" hidden="1" s="150">
      <c r="A1446" t="inlineStr">
        <is>
          <t>JVAZQUEZ</t>
        </is>
      </c>
      <c r="B1446" t="n">
        <v>2714</v>
      </c>
      <c r="C1446" t="inlineStr">
        <is>
          <t>JUDITH ESQUIVEL VAZQUEZ</t>
        </is>
      </c>
      <c r="D1446" t="n">
        <v>5125</v>
      </c>
      <c r="E1446" t="inlineStr">
        <is>
          <t>SUBDIRECTOR RDM CONTINUITY</t>
        </is>
      </c>
      <c r="F1446" t="inlineStr">
        <is>
          <t>TELETRABAJO</t>
        </is>
      </c>
      <c r="G1446" t="n">
        <v>3397</v>
      </c>
      <c r="H1446" t="inlineStr">
        <is>
          <t>LUIS FERNANDO GONZALEZ VILLA</t>
        </is>
      </c>
      <c r="I1446" t="n">
        <v>10410</v>
      </c>
      <c r="J1446" t="inlineStr">
        <is>
          <t>DIRECTOR DE GESTION DE DATOS</t>
        </is>
      </c>
      <c r="K1446" t="n">
        <v>1</v>
      </c>
      <c r="L1446" t="inlineStr">
        <is>
          <t>PRESIDENCIA EJECUTIVA DEL CONSEJO</t>
        </is>
      </c>
      <c r="M1446" t="n">
        <v>40</v>
      </c>
      <c r="N1446" t="inlineStr">
        <is>
          <t>DIRECCION GENERAL BANCO BASE</t>
        </is>
      </c>
      <c r="O1446" t="n">
        <v>310</v>
      </c>
      <c r="P1446" t="inlineStr">
        <is>
          <t>DIRECCION DE TECNOLOGIA</t>
        </is>
      </c>
      <c r="Q1446" t="n">
        <v>3160</v>
      </c>
      <c r="R1446" t="inlineStr">
        <is>
          <t>DIRECCION DE GESTION DE DATOS</t>
        </is>
      </c>
      <c r="S1446" t="n">
        <v>31610</v>
      </c>
      <c r="T1446" t="inlineStr">
        <is>
          <t>SUBDIRECCION TRANSFORMACION DE DATOS Y CONTINUIDAD</t>
        </is>
      </c>
      <c r="U1446" t="n">
        <v>322000</v>
      </c>
      <c r="V1446" t="inlineStr">
        <is>
          <t>SUBDIRECCION DE GOBIERNO DE DATOS</t>
        </is>
      </c>
      <c r="W1446" t="n">
        <v>100101</v>
      </c>
      <c r="X1446" t="inlineStr">
        <is>
          <t>CORPORATIVO</t>
        </is>
      </c>
      <c r="Y1446" t="n">
        <v>4</v>
      </c>
      <c r="Z1446" t="inlineStr">
        <is>
          <t>CORPORATIVO</t>
        </is>
      </c>
      <c r="AA1446" t="n">
        <v>7</v>
      </c>
      <c r="AB1446" t="inlineStr">
        <is>
          <t>PROYECTO DARWIN</t>
        </is>
      </c>
      <c r="AC1446" t="n">
        <v>1</v>
      </c>
      <c r="AD1446" t="inlineStr">
        <is>
          <t>BANCO</t>
        </is>
      </c>
      <c r="AE1446" t="n">
        <v>1</v>
      </c>
      <c r="AF1446" t="inlineStr">
        <is>
          <t>BACK</t>
        </is>
      </c>
      <c r="AG1446" t="n">
        <v>100101</v>
      </c>
      <c r="AH1446" t="inlineStr">
        <is>
          <t>CORPORATIVO</t>
        </is>
      </c>
      <c r="AI1446" t="inlineStr">
        <is>
          <t>JVAZQUEZ@BANCOBASE.COM</t>
        </is>
      </c>
      <c r="AJ1446" s="151" t="n">
        <v>44789</v>
      </c>
    </row>
    <row r="1447" hidden="1" s="150">
      <c r="A1447" t="inlineStr">
        <is>
          <t>LSILVA</t>
        </is>
      </c>
      <c r="B1447" t="n">
        <v>3904</v>
      </c>
      <c r="C1447" t="inlineStr">
        <is>
          <t>LAURA JIMENA SILVA MORENO</t>
        </is>
      </c>
      <c r="D1447" t="n">
        <v>8463</v>
      </c>
      <c r="E1447" t="inlineStr">
        <is>
          <t>SUBDIRECTOR DE DATA GOVERNANCE &amp; TRUST</t>
        </is>
      </c>
      <c r="F1447" t="inlineStr">
        <is>
          <t>MEXICO</t>
        </is>
      </c>
      <c r="G1447" t="n">
        <v>3397</v>
      </c>
      <c r="H1447" t="inlineStr">
        <is>
          <t>LUIS FERNANDO GONZALEZ VILLA</t>
        </is>
      </c>
      <c r="I1447" t="n">
        <v>10410</v>
      </c>
      <c r="J1447" t="inlineStr">
        <is>
          <t>DIRECTOR DE GESTION DE DATOS</t>
        </is>
      </c>
      <c r="K1447" t="n">
        <v>1</v>
      </c>
      <c r="L1447" t="inlineStr">
        <is>
          <t>PRESIDENCIA EJECUTIVA DEL CONSEJO</t>
        </is>
      </c>
      <c r="M1447" t="n">
        <v>40</v>
      </c>
      <c r="N1447" t="inlineStr">
        <is>
          <t>DIRECCION GENERAL BANCO BASE</t>
        </is>
      </c>
      <c r="O1447" t="n">
        <v>310</v>
      </c>
      <c r="P1447" t="inlineStr">
        <is>
          <t>DIRECCION DE TECNOLOGIA</t>
        </is>
      </c>
      <c r="Q1447" t="n">
        <v>3160</v>
      </c>
      <c r="R1447" t="inlineStr">
        <is>
          <t>DIRECCION DE GESTION DE DATOS</t>
        </is>
      </c>
      <c r="S1447" t="n">
        <v>31640</v>
      </c>
      <c r="T1447" t="inlineStr">
        <is>
          <t>SUBDIRECCION DE GOBIERNO DE DATOS Y CONFIABILIDAD</t>
        </is>
      </c>
      <c r="U1447" t="n">
        <v>322000</v>
      </c>
      <c r="V1447" t="inlineStr">
        <is>
          <t>SUBDIRECCION DE GOBIERNO DE DATOS</t>
        </is>
      </c>
      <c r="W1447" t="n">
        <v>134111</v>
      </c>
      <c r="X1447" t="inlineStr">
        <is>
          <t>LOMAS</t>
        </is>
      </c>
      <c r="Y1447" t="n">
        <v>4</v>
      </c>
      <c r="Z1447" t="inlineStr">
        <is>
          <t>CORPORATIVO</t>
        </is>
      </c>
      <c r="AA1447" t="n">
        <v>7</v>
      </c>
      <c r="AB1447" t="inlineStr">
        <is>
          <t>PROYECTO DARWIN</t>
        </is>
      </c>
      <c r="AC1447" t="n">
        <v>1</v>
      </c>
      <c r="AD1447" t="inlineStr">
        <is>
          <t>BANCO</t>
        </is>
      </c>
      <c r="AE1447" t="n">
        <v>1</v>
      </c>
      <c r="AF1447" t="inlineStr">
        <is>
          <t>BACK</t>
        </is>
      </c>
      <c r="AG1447" t="n">
        <v>134111</v>
      </c>
      <c r="AH1447" t="inlineStr">
        <is>
          <t>LOMAS</t>
        </is>
      </c>
      <c r="AI1447" t="inlineStr">
        <is>
          <t>LSILVA@BANCOBASE.COM</t>
        </is>
      </c>
      <c r="AJ1447" s="151" t="n">
        <v>46189</v>
      </c>
    </row>
    <row r="1448" hidden="1" s="150">
      <c r="A1448" t="inlineStr">
        <is>
          <t>DRODRIGUEG</t>
        </is>
      </c>
      <c r="B1448" t="n">
        <v>3072</v>
      </c>
      <c r="C1448" t="inlineStr">
        <is>
          <t>DOMINGO IVAN RODRIGUEZ GONZALEZ</t>
        </is>
      </c>
      <c r="D1448" t="n">
        <v>8025</v>
      </c>
      <c r="E1448" t="inlineStr">
        <is>
          <t>ESPECIALISTA DE CALIDAD DE GOBIERNO DE DATOS SR</t>
        </is>
      </c>
      <c r="F1448" t="inlineStr">
        <is>
          <t>TELETRABAJO</t>
        </is>
      </c>
      <c r="I1448" t="n">
        <v>8886</v>
      </c>
      <c r="J1448" t="inlineStr">
        <is>
          <t>GERENTE DE CALIDAD DE GOBIERNO DE DATOS</t>
        </is>
      </c>
      <c r="K1448" t="n">
        <v>1</v>
      </c>
      <c r="L1448" t="inlineStr">
        <is>
          <t>PRESIDENCIA EJECUTIVA DEL CONSEJO</t>
        </is>
      </c>
      <c r="M1448" t="n">
        <v>40</v>
      </c>
      <c r="N1448" t="inlineStr">
        <is>
          <t>DIRECCION GENERAL BANCO BASE</t>
        </is>
      </c>
      <c r="O1448" t="n">
        <v>310</v>
      </c>
      <c r="P1448" t="inlineStr">
        <is>
          <t>DIRECCION DE TECNOLOGIA</t>
        </is>
      </c>
      <c r="Q1448" t="n">
        <v>3160</v>
      </c>
      <c r="R1448" t="inlineStr">
        <is>
          <t>DIRECCION DE GESTION DE DATOS</t>
        </is>
      </c>
      <c r="S1448" t="n">
        <v>31640</v>
      </c>
      <c r="T1448" t="inlineStr">
        <is>
          <t>SUBDIRECCION DE GOBIERNO DE DATOS Y CONFIABILIDAD</t>
        </is>
      </c>
      <c r="U1448" t="n">
        <v>322000</v>
      </c>
      <c r="V1448" t="inlineStr">
        <is>
          <t>SUBDIRECCION DE GOBIERNO DE DATOS</t>
        </is>
      </c>
      <c r="W1448" t="n">
        <v>126128</v>
      </c>
      <c r="X1448" t="inlineStr">
        <is>
          <t>LEON</t>
        </is>
      </c>
      <c r="Y1448" t="n">
        <v>4</v>
      </c>
      <c r="Z1448" t="inlineStr">
        <is>
          <t>CORPORATIVO</t>
        </is>
      </c>
      <c r="AA1448" t="n">
        <v>1</v>
      </c>
      <c r="AB1448" t="inlineStr">
        <is>
          <t>NEGOCIO EN MARCHA</t>
        </is>
      </c>
      <c r="AC1448" t="n">
        <v>1</v>
      </c>
      <c r="AD1448" t="inlineStr">
        <is>
          <t>BANCO</t>
        </is>
      </c>
      <c r="AE1448" t="n">
        <v>1</v>
      </c>
      <c r="AF1448" t="inlineStr">
        <is>
          <t>BACK</t>
        </is>
      </c>
      <c r="AG1448" t="n">
        <v>126128</v>
      </c>
      <c r="AH1448" t="inlineStr">
        <is>
          <t>LEON</t>
        </is>
      </c>
      <c r="AI1448" t="inlineStr">
        <is>
          <t>DRODRIGUEG@BANCOBASE.COM</t>
        </is>
      </c>
      <c r="AJ1448" s="151" t="n">
        <v>45383</v>
      </c>
    </row>
    <row r="1449" hidden="1" s="150">
      <c r="A1449" t="inlineStr">
        <is>
          <t>GBARRON</t>
        </is>
      </c>
      <c r="B1449" t="n">
        <v>2628</v>
      </c>
      <c r="C1449" t="inlineStr">
        <is>
          <t>GABRIELA DEL CARMEN BARRON OROZCO</t>
        </is>
      </c>
      <c r="D1449" t="n">
        <v>10061</v>
      </c>
      <c r="E1449" t="inlineStr">
        <is>
          <t>ESPECIALISTA DE CALIDAD DE GOBIERNO DE DATOS SSR</t>
        </is>
      </c>
      <c r="F1449" t="inlineStr">
        <is>
          <t>TELETRABAJO</t>
        </is>
      </c>
      <c r="I1449" t="n">
        <v>8886</v>
      </c>
      <c r="J1449" t="inlineStr">
        <is>
          <t>GERENTE DE CALIDAD DE GOBIERNO DE DATOS</t>
        </is>
      </c>
      <c r="K1449" t="n">
        <v>1</v>
      </c>
      <c r="L1449" t="inlineStr">
        <is>
          <t>PRESIDENCIA EJECUTIVA DEL CONSEJO</t>
        </is>
      </c>
      <c r="M1449" t="n">
        <v>40</v>
      </c>
      <c r="N1449" t="inlineStr">
        <is>
          <t>DIRECCION GENERAL BANCO BASE</t>
        </is>
      </c>
      <c r="O1449" t="n">
        <v>310</v>
      </c>
      <c r="P1449" t="inlineStr">
        <is>
          <t>DIRECCION DE TECNOLOGIA</t>
        </is>
      </c>
      <c r="Q1449" t="n">
        <v>3160</v>
      </c>
      <c r="R1449" t="inlineStr">
        <is>
          <t>DIRECCION DE GESTION DE DATOS</t>
        </is>
      </c>
      <c r="S1449" t="n">
        <v>31640</v>
      </c>
      <c r="T1449" t="inlineStr">
        <is>
          <t>SUBDIRECCION DE GOBIERNO DE DATOS Y CONFIABILIDAD</t>
        </is>
      </c>
      <c r="U1449" t="n">
        <v>322000</v>
      </c>
      <c r="V1449" t="inlineStr">
        <is>
          <t>SUBDIRECCION DE GOBIERNO DE DATOS</t>
        </is>
      </c>
      <c r="W1449" t="n">
        <v>134111</v>
      </c>
      <c r="X1449" t="inlineStr">
        <is>
          <t>LOMAS</t>
        </is>
      </c>
      <c r="Y1449" t="n">
        <v>4</v>
      </c>
      <c r="Z1449" t="inlineStr">
        <is>
          <t>CORPORATIVO</t>
        </is>
      </c>
      <c r="AA1449" t="n">
        <v>1</v>
      </c>
      <c r="AB1449" t="inlineStr">
        <is>
          <t>NEGOCIO EN MARCHA</t>
        </is>
      </c>
      <c r="AC1449" t="n">
        <v>1</v>
      </c>
      <c r="AD1449" t="inlineStr">
        <is>
          <t>BANCO</t>
        </is>
      </c>
      <c r="AE1449" t="n">
        <v>1</v>
      </c>
      <c r="AF1449" t="inlineStr">
        <is>
          <t>BACK</t>
        </is>
      </c>
      <c r="AG1449" t="n">
        <v>134111</v>
      </c>
      <c r="AH1449" t="inlineStr">
        <is>
          <t>LOMAS</t>
        </is>
      </c>
      <c r="AI1449" t="inlineStr">
        <is>
          <t>GBARRON@BANCOBASE.COM</t>
        </is>
      </c>
      <c r="AJ1449" s="151" t="n">
        <v>44636</v>
      </c>
    </row>
    <row r="1450" hidden="1" s="150">
      <c r="A1450" t="inlineStr">
        <is>
          <t>KCASTELAN</t>
        </is>
      </c>
      <c r="B1450" t="n">
        <v>3870</v>
      </c>
      <c r="C1450" t="inlineStr">
        <is>
          <t>KAREL CASTELAN GOMEZ</t>
        </is>
      </c>
      <c r="D1450" t="n">
        <v>8544</v>
      </c>
      <c r="E1450" t="inlineStr">
        <is>
          <t>ESPECIALISTA DE CALIDAD DE GOBIERNO DE DATOS SSR</t>
        </is>
      </c>
      <c r="F1450" t="inlineStr">
        <is>
          <t>TELETRABAJO</t>
        </is>
      </c>
      <c r="I1450" t="n">
        <v>8886</v>
      </c>
      <c r="J1450" t="inlineStr">
        <is>
          <t>GERENTE DE CALIDAD DE GOBIERNO DE DATOS</t>
        </is>
      </c>
      <c r="K1450" t="n">
        <v>1</v>
      </c>
      <c r="L1450" t="inlineStr">
        <is>
          <t>PRESIDENCIA EJECUTIVA DEL CONSEJO</t>
        </is>
      </c>
      <c r="M1450" t="n">
        <v>40</v>
      </c>
      <c r="N1450" t="inlineStr">
        <is>
          <t>DIRECCION GENERAL BANCO BASE</t>
        </is>
      </c>
      <c r="O1450" t="n">
        <v>310</v>
      </c>
      <c r="P1450" t="inlineStr">
        <is>
          <t>DIRECCION DE TECNOLOGIA</t>
        </is>
      </c>
      <c r="Q1450" t="n">
        <v>3160</v>
      </c>
      <c r="R1450" t="inlineStr">
        <is>
          <t>DIRECCION DE GESTION DE DATOS</t>
        </is>
      </c>
      <c r="S1450" t="n">
        <v>31640</v>
      </c>
      <c r="T1450" t="inlineStr">
        <is>
          <t>SUBDIRECCION DE GOBIERNO DE DATOS Y CONFIABILIDAD</t>
        </is>
      </c>
      <c r="U1450" t="n">
        <v>322000</v>
      </c>
      <c r="V1450" t="inlineStr">
        <is>
          <t>SUBDIRECCION DE GOBIERNO DE DATOS</t>
        </is>
      </c>
      <c r="W1450" t="n">
        <v>126107</v>
      </c>
      <c r="X1450" t="inlineStr">
        <is>
          <t>GUADALAJARA</t>
        </is>
      </c>
      <c r="Y1450" t="n">
        <v>4</v>
      </c>
      <c r="Z1450" t="inlineStr">
        <is>
          <t>CORPORATIVO</t>
        </is>
      </c>
      <c r="AA1450" t="n">
        <v>7</v>
      </c>
      <c r="AB1450" t="inlineStr">
        <is>
          <t>PROYECTO DARWIN</t>
        </is>
      </c>
      <c r="AC1450" t="n">
        <v>1</v>
      </c>
      <c r="AD1450" t="inlineStr">
        <is>
          <t>BANCO</t>
        </is>
      </c>
      <c r="AE1450" t="n">
        <v>1</v>
      </c>
      <c r="AF1450" t="inlineStr">
        <is>
          <t>BACK</t>
        </is>
      </c>
      <c r="AG1450" t="n">
        <v>126107</v>
      </c>
      <c r="AH1450" t="inlineStr">
        <is>
          <t>GUADALAJARA</t>
        </is>
      </c>
      <c r="AI1450" t="inlineStr">
        <is>
          <t>KCASTELAN@BANCOBASE.COM</t>
        </is>
      </c>
      <c r="AJ1450" s="151" t="n">
        <v>46160</v>
      </c>
    </row>
    <row r="1451" hidden="1" s="150">
      <c r="A1451" t="inlineStr">
        <is>
          <t>LFLEMATE</t>
        </is>
      </c>
      <c r="B1451" t="n">
        <v>3742</v>
      </c>
      <c r="C1451" t="inlineStr">
        <is>
          <t>LETICIA FLEMATE HERNANDEZ</t>
        </is>
      </c>
      <c r="D1451" t="n">
        <v>8883</v>
      </c>
      <c r="E1451" t="inlineStr">
        <is>
          <t>ESPECIALISTA DE GOBIERNO DE DATOS MDL</t>
        </is>
      </c>
      <c r="F1451" t="inlineStr">
        <is>
          <t>TELETRABAJO</t>
        </is>
      </c>
      <c r="I1451" t="n">
        <v>8904</v>
      </c>
      <c r="J1451" t="inlineStr">
        <is>
          <t>EXPERTO DE ESTRATEGIA Y COMPLIANCE EN DATA GOV</t>
        </is>
      </c>
      <c r="K1451" t="n">
        <v>1</v>
      </c>
      <c r="L1451" t="inlineStr">
        <is>
          <t>PRESIDENCIA EJECUTIVA DEL CONSEJO</t>
        </is>
      </c>
      <c r="M1451" t="n">
        <v>40</v>
      </c>
      <c r="N1451" t="inlineStr">
        <is>
          <t>DIRECCION GENERAL BANCO BASE</t>
        </is>
      </c>
      <c r="O1451" t="n">
        <v>310</v>
      </c>
      <c r="P1451" t="inlineStr">
        <is>
          <t>DIRECCION DE TECNOLOGIA</t>
        </is>
      </c>
      <c r="Q1451" t="n">
        <v>3160</v>
      </c>
      <c r="R1451" t="inlineStr">
        <is>
          <t>DIRECCION DE GESTION DE DATOS</t>
        </is>
      </c>
      <c r="S1451" t="n">
        <v>31640</v>
      </c>
      <c r="T1451" t="inlineStr">
        <is>
          <t>SUBDIRECCION DE GOBIERNO DE DATOS Y CONFIABILIDAD</t>
        </is>
      </c>
      <c r="U1451" t="n">
        <v>322000</v>
      </c>
      <c r="V1451" t="inlineStr">
        <is>
          <t>SUBDIRECCION DE GOBIERNO DE DATOS</t>
        </is>
      </c>
      <c r="W1451" t="n">
        <v>134111</v>
      </c>
      <c r="X1451" t="inlineStr">
        <is>
          <t>LOMAS</t>
        </is>
      </c>
      <c r="Y1451" t="n">
        <v>4</v>
      </c>
      <c r="Z1451" t="inlineStr">
        <is>
          <t>CORPORATIVO</t>
        </is>
      </c>
      <c r="AA1451" t="n">
        <v>7</v>
      </c>
      <c r="AB1451" t="inlineStr">
        <is>
          <t>PROYECTO DARWIN</t>
        </is>
      </c>
      <c r="AC1451" t="n">
        <v>1</v>
      </c>
      <c r="AD1451" t="inlineStr">
        <is>
          <t>BANCO</t>
        </is>
      </c>
      <c r="AE1451" t="n">
        <v>1</v>
      </c>
      <c r="AF1451" t="inlineStr">
        <is>
          <t>BACK</t>
        </is>
      </c>
      <c r="AG1451" t="n">
        <v>134111</v>
      </c>
      <c r="AH1451" t="inlineStr">
        <is>
          <t>LOMAS</t>
        </is>
      </c>
      <c r="AI1451" t="inlineStr">
        <is>
          <t>LFLEMATE@BANCOBASE.COM</t>
        </is>
      </c>
      <c r="AJ1451" s="151" t="n">
        <v>46041</v>
      </c>
    </row>
    <row r="1452" hidden="1" s="150">
      <c r="A1452" t="inlineStr">
        <is>
          <t>JLOREDO</t>
        </is>
      </c>
      <c r="B1452" t="n">
        <v>1013</v>
      </c>
      <c r="C1452" t="inlineStr">
        <is>
          <t>JAQUELINA LOREDO HIPOLITO</t>
        </is>
      </c>
      <c r="D1452" t="n">
        <v>5123</v>
      </c>
      <c r="E1452" t="inlineStr">
        <is>
          <t>LIDER DE CONFIABILIDAD DE DATOS</t>
        </is>
      </c>
      <c r="F1452" t="inlineStr">
        <is>
          <t>MONTERREY</t>
        </is>
      </c>
      <c r="G1452" t="n">
        <v>3904</v>
      </c>
      <c r="H1452" t="inlineStr">
        <is>
          <t>LAURA JIMENA SILVA MORENO</t>
        </is>
      </c>
      <c r="I1452" t="n">
        <v>8463</v>
      </c>
      <c r="J1452" t="inlineStr">
        <is>
          <t>SUBDIRECTOR DE DATA GOVERNANCE &amp; TRUST</t>
        </is>
      </c>
      <c r="K1452" t="n">
        <v>1</v>
      </c>
      <c r="L1452" t="inlineStr">
        <is>
          <t>PRESIDENCIA EJECUTIVA DEL CONSEJO</t>
        </is>
      </c>
      <c r="M1452" t="n">
        <v>40</v>
      </c>
      <c r="N1452" t="inlineStr">
        <is>
          <t>DIRECCION GENERAL BANCO BASE</t>
        </is>
      </c>
      <c r="O1452" t="n">
        <v>310</v>
      </c>
      <c r="P1452" t="inlineStr">
        <is>
          <t>DIRECCION DE TECNOLOGIA</t>
        </is>
      </c>
      <c r="Q1452" t="n">
        <v>3160</v>
      </c>
      <c r="R1452" t="inlineStr">
        <is>
          <t>DIRECCION DE GESTION DE DATOS</t>
        </is>
      </c>
      <c r="S1452" t="n">
        <v>31640</v>
      </c>
      <c r="T1452" t="inlineStr">
        <is>
          <t>SUBDIRECCION DE GOBIERNO DE DATOS Y CONFIABILIDAD</t>
        </is>
      </c>
      <c r="U1452" t="n">
        <v>316000</v>
      </c>
      <c r="V1452" t="inlineStr">
        <is>
          <t>DIRECCION DE GESTION DE DATOS</t>
        </is>
      </c>
      <c r="W1452" t="n">
        <v>100101</v>
      </c>
      <c r="X1452" t="inlineStr">
        <is>
          <t>CORPORATIVO</t>
        </is>
      </c>
      <c r="Y1452" t="n">
        <v>4</v>
      </c>
      <c r="Z1452" t="inlineStr">
        <is>
          <t>CORPORATIVO</t>
        </is>
      </c>
      <c r="AA1452" t="n">
        <v>1</v>
      </c>
      <c r="AB1452" t="inlineStr">
        <is>
          <t>NEGOCIO EN MARCHA</t>
        </is>
      </c>
      <c r="AC1452" t="n">
        <v>1</v>
      </c>
      <c r="AD1452" t="inlineStr">
        <is>
          <t>BANCO</t>
        </is>
      </c>
      <c r="AE1452" t="n">
        <v>1</v>
      </c>
      <c r="AF1452" t="inlineStr">
        <is>
          <t>BACK</t>
        </is>
      </c>
      <c r="AG1452" t="n">
        <v>100101</v>
      </c>
      <c r="AH1452" t="inlineStr">
        <is>
          <t>CORPORATIVO</t>
        </is>
      </c>
      <c r="AI1452" t="inlineStr">
        <is>
          <t>JLOREDO@BANCOBASE.COM</t>
        </is>
      </c>
      <c r="AJ1452" s="151" t="n">
        <v>41365</v>
      </c>
    </row>
    <row r="1453" hidden="1" s="150">
      <c r="A1453" t="inlineStr">
        <is>
          <t>CMENDOZA</t>
        </is>
      </c>
      <c r="B1453" t="n">
        <v>3651</v>
      </c>
      <c r="C1453" t="inlineStr">
        <is>
          <t>CLARIBELL MENDOZA PEREZ</t>
        </is>
      </c>
      <c r="D1453" t="n">
        <v>8538</v>
      </c>
      <c r="E1453" t="inlineStr">
        <is>
          <t>ESPECIALISTA DE CONFIABILIDAD DE DATOS SSR</t>
        </is>
      </c>
      <c r="F1453" t="inlineStr">
        <is>
          <t>TELETRABAJO</t>
        </is>
      </c>
      <c r="G1453" t="n">
        <v>1013</v>
      </c>
      <c r="H1453" t="inlineStr">
        <is>
          <t>JAQUELINA LOREDO HIPOLITO</t>
        </is>
      </c>
      <c r="I1453" t="n">
        <v>5123</v>
      </c>
      <c r="J1453" t="inlineStr">
        <is>
          <t>LIDER DE CONFIABILIDAD DE DATOS</t>
        </is>
      </c>
      <c r="K1453" t="n">
        <v>1</v>
      </c>
      <c r="L1453" t="inlineStr">
        <is>
          <t>PRESIDENCIA EJECUTIVA DEL CONSEJO</t>
        </is>
      </c>
      <c r="M1453" t="n">
        <v>40</v>
      </c>
      <c r="N1453" t="inlineStr">
        <is>
          <t>DIRECCION GENERAL BANCO BASE</t>
        </is>
      </c>
      <c r="O1453" t="n">
        <v>310</v>
      </c>
      <c r="P1453" t="inlineStr">
        <is>
          <t>DIRECCION DE TECNOLOGIA</t>
        </is>
      </c>
      <c r="Q1453" t="n">
        <v>3160</v>
      </c>
      <c r="R1453" t="inlineStr">
        <is>
          <t>DIRECCION DE GESTION DE DATOS</t>
        </is>
      </c>
      <c r="S1453" t="n">
        <v>31640</v>
      </c>
      <c r="T1453" t="inlineStr">
        <is>
          <t>SUBDIRECCION DE GOBIERNO DE DATOS Y CONFIABILIDAD</t>
        </is>
      </c>
      <c r="U1453" t="n">
        <v>316000</v>
      </c>
      <c r="V1453" t="inlineStr">
        <is>
          <t>DIRECCION DE GESTION DE DATOS</t>
        </is>
      </c>
      <c r="W1453" t="n">
        <v>134111</v>
      </c>
      <c r="X1453" t="inlineStr">
        <is>
          <t>LOMAS</t>
        </is>
      </c>
      <c r="Y1453" t="n">
        <v>4</v>
      </c>
      <c r="Z1453" t="inlineStr">
        <is>
          <t>CORPORATIVO</t>
        </is>
      </c>
      <c r="AA1453" t="n">
        <v>8</v>
      </c>
      <c r="AB1453" t="inlineStr">
        <is>
          <t>BAU</t>
        </is>
      </c>
      <c r="AC1453" t="n">
        <v>1</v>
      </c>
      <c r="AD1453" t="inlineStr">
        <is>
          <t>BANCO</t>
        </is>
      </c>
      <c r="AE1453" t="n">
        <v>1</v>
      </c>
      <c r="AF1453" t="inlineStr">
        <is>
          <t>BACK</t>
        </is>
      </c>
      <c r="AG1453" t="n">
        <v>134111</v>
      </c>
      <c r="AH1453" t="inlineStr">
        <is>
          <t>LOMAS</t>
        </is>
      </c>
      <c r="AI1453" t="inlineStr">
        <is>
          <t>CMENDOZA@BANCOBASE.COM</t>
        </is>
      </c>
      <c r="AJ1453" s="151" t="n">
        <v>45964</v>
      </c>
    </row>
    <row r="1454" hidden="1" s="150">
      <c r="A1454" t="inlineStr">
        <is>
          <t>EANTONIO</t>
        </is>
      </c>
      <c r="B1454" t="n">
        <v>3879</v>
      </c>
      <c r="C1454" t="inlineStr">
        <is>
          <t>EDUARDO ANTONIO GARCIA</t>
        </is>
      </c>
      <c r="D1454" t="n">
        <v>5118</v>
      </c>
      <c r="E1454" t="inlineStr">
        <is>
          <t>ESPECIALISTA DE CONFIABILIDAD DE DATOS SR</t>
        </is>
      </c>
      <c r="F1454" t="inlineStr">
        <is>
          <t>TELETRABAJO</t>
        </is>
      </c>
      <c r="G1454" t="n">
        <v>1013</v>
      </c>
      <c r="H1454" t="inlineStr">
        <is>
          <t>JAQUELINA LOREDO HIPOLITO</t>
        </is>
      </c>
      <c r="I1454" t="n">
        <v>5123</v>
      </c>
      <c r="J1454" t="inlineStr">
        <is>
          <t>LIDER DE CONFIABILIDAD DE DATOS</t>
        </is>
      </c>
      <c r="K1454" t="n">
        <v>1</v>
      </c>
      <c r="L1454" t="inlineStr">
        <is>
          <t>PRESIDENCIA EJECUTIVA DEL CONSEJO</t>
        </is>
      </c>
      <c r="M1454" t="n">
        <v>40</v>
      </c>
      <c r="N1454" t="inlineStr">
        <is>
          <t>DIRECCION GENERAL BANCO BASE</t>
        </is>
      </c>
      <c r="O1454" t="n">
        <v>310</v>
      </c>
      <c r="P1454" t="inlineStr">
        <is>
          <t>DIRECCION DE TECNOLOGIA</t>
        </is>
      </c>
      <c r="Q1454" t="n">
        <v>3160</v>
      </c>
      <c r="R1454" t="inlineStr">
        <is>
          <t>DIRECCION DE GESTION DE DATOS</t>
        </is>
      </c>
      <c r="S1454" t="n">
        <v>31640</v>
      </c>
      <c r="T1454" t="inlineStr">
        <is>
          <t>SUBDIRECCION DE GOBIERNO DE DATOS Y CONFIABILIDAD</t>
        </is>
      </c>
      <c r="U1454" t="n">
        <v>316000</v>
      </c>
      <c r="V1454" t="inlineStr">
        <is>
          <t>DIRECCION DE GESTION DE DATOS</t>
        </is>
      </c>
      <c r="W1454" t="n">
        <v>134111</v>
      </c>
      <c r="X1454" t="inlineStr">
        <is>
          <t>LOMAS</t>
        </is>
      </c>
      <c r="Y1454" t="n">
        <v>4</v>
      </c>
      <c r="Z1454" t="inlineStr">
        <is>
          <t>CORPORATIVO</t>
        </is>
      </c>
      <c r="AA1454" t="n">
        <v>1</v>
      </c>
      <c r="AB1454" t="inlineStr">
        <is>
          <t>NEGOCIO EN MARCHA</t>
        </is>
      </c>
      <c r="AC1454" t="n">
        <v>1</v>
      </c>
      <c r="AD1454" t="inlineStr">
        <is>
          <t>BANCO</t>
        </is>
      </c>
      <c r="AE1454" t="n">
        <v>1</v>
      </c>
      <c r="AF1454" t="inlineStr">
        <is>
          <t>BACK</t>
        </is>
      </c>
      <c r="AG1454" t="n">
        <v>134111</v>
      </c>
      <c r="AH1454" t="inlineStr">
        <is>
          <t>LOMAS</t>
        </is>
      </c>
      <c r="AI1454" t="inlineStr">
        <is>
          <t>EANTONIO@BANCOBASE.COM</t>
        </is>
      </c>
      <c r="AJ1454" s="151" t="n">
        <v>46160</v>
      </c>
    </row>
    <row r="1455" hidden="1" s="150">
      <c r="A1455" t="inlineStr">
        <is>
          <t>LGAONA</t>
        </is>
      </c>
      <c r="B1455" t="n">
        <v>3827</v>
      </c>
      <c r="C1455" t="inlineStr">
        <is>
          <t>LETICIA GWENDOLLYNE GAONA PALACIOS</t>
        </is>
      </c>
      <c r="D1455" t="n">
        <v>8033</v>
      </c>
      <c r="E1455" t="inlineStr">
        <is>
          <t>ESPECIALISTA DE CONFIABILIDAD DE DATOS MDL</t>
        </is>
      </c>
      <c r="F1455" t="inlineStr">
        <is>
          <t>TELETRABAJO</t>
        </is>
      </c>
      <c r="G1455" t="n">
        <v>1013</v>
      </c>
      <c r="H1455" t="inlineStr">
        <is>
          <t>JAQUELINA LOREDO HIPOLITO</t>
        </is>
      </c>
      <c r="I1455" t="n">
        <v>5123</v>
      </c>
      <c r="J1455" t="inlineStr">
        <is>
          <t>LIDER DE CONFIABILIDAD DE DATOS</t>
        </is>
      </c>
      <c r="K1455" t="n">
        <v>1</v>
      </c>
      <c r="L1455" t="inlineStr">
        <is>
          <t>PRESIDENCIA EJECUTIVA DEL CONSEJO</t>
        </is>
      </c>
      <c r="M1455" t="n">
        <v>40</v>
      </c>
      <c r="N1455" t="inlineStr">
        <is>
          <t>DIRECCION GENERAL BANCO BASE</t>
        </is>
      </c>
      <c r="O1455" t="n">
        <v>310</v>
      </c>
      <c r="P1455" t="inlineStr">
        <is>
          <t>DIRECCION DE TECNOLOGIA</t>
        </is>
      </c>
      <c r="Q1455" t="n">
        <v>3160</v>
      </c>
      <c r="R1455" t="inlineStr">
        <is>
          <t>DIRECCION DE GESTION DE DATOS</t>
        </is>
      </c>
      <c r="S1455" t="n">
        <v>31640</v>
      </c>
      <c r="T1455" t="inlineStr">
        <is>
          <t>SUBDIRECCION DE GOBIERNO DE DATOS Y CONFIABILIDAD</t>
        </is>
      </c>
      <c r="U1455" t="n">
        <v>316000</v>
      </c>
      <c r="V1455" t="inlineStr">
        <is>
          <t>DIRECCION DE GESTION DE DATOS</t>
        </is>
      </c>
      <c r="W1455" t="n">
        <v>100101</v>
      </c>
      <c r="X1455" t="inlineStr">
        <is>
          <t>CORPORATIVO</t>
        </is>
      </c>
      <c r="Y1455" t="n">
        <v>4</v>
      </c>
      <c r="Z1455" t="inlineStr">
        <is>
          <t>CORPORATIVO</t>
        </is>
      </c>
      <c r="AA1455" t="n">
        <v>1</v>
      </c>
      <c r="AB1455" t="inlineStr">
        <is>
          <t>NEGOCIO EN MARCHA</t>
        </is>
      </c>
      <c r="AC1455" t="n">
        <v>1</v>
      </c>
      <c r="AD1455" t="inlineStr">
        <is>
          <t>BANCO</t>
        </is>
      </c>
      <c r="AE1455" t="n">
        <v>1</v>
      </c>
      <c r="AF1455" t="inlineStr">
        <is>
          <t>BACK</t>
        </is>
      </c>
      <c r="AG1455" t="n">
        <v>100101</v>
      </c>
      <c r="AH1455" t="inlineStr">
        <is>
          <t>CORPORATIVO</t>
        </is>
      </c>
      <c r="AI1455" t="inlineStr">
        <is>
          <t>LGAONA@BANCOBASE.COM</t>
        </is>
      </c>
      <c r="AJ1455" s="151" t="n">
        <v>46128</v>
      </c>
    </row>
    <row r="1456" hidden="1" s="150">
      <c r="A1456" t="inlineStr">
        <is>
          <t>JGOROCICA</t>
        </is>
      </c>
      <c r="B1456" t="n">
        <v>99516</v>
      </c>
      <c r="C1456" t="inlineStr">
        <is>
          <t>JOSE LIAM GOROCICA CORAL</t>
        </is>
      </c>
      <c r="D1456" t="n">
        <v>7029</v>
      </c>
      <c r="E1456" t="inlineStr">
        <is>
          <t>PRACTICANTE</t>
        </is>
      </c>
      <c r="F1456" t="inlineStr">
        <is>
          <t>CANCUN</t>
        </is>
      </c>
      <c r="G1456" t="n">
        <v>1013</v>
      </c>
      <c r="H1456" t="inlineStr">
        <is>
          <t>JAQUELINA LOREDO HIPOLITO</t>
        </is>
      </c>
      <c r="I1456" t="n">
        <v>5123</v>
      </c>
      <c r="J1456" t="inlineStr">
        <is>
          <t>LIDER DE CONFIABILIDAD DE DATOS</t>
        </is>
      </c>
      <c r="K1456" t="n">
        <v>1</v>
      </c>
      <c r="L1456" t="inlineStr">
        <is>
          <t>PRESIDENCIA EJECUTIVA DEL CONSEJO</t>
        </is>
      </c>
      <c r="M1456" t="n">
        <v>40</v>
      </c>
      <c r="N1456" t="inlineStr">
        <is>
          <t>DIRECCION GENERAL BANCO BASE</t>
        </is>
      </c>
      <c r="O1456" t="n">
        <v>310</v>
      </c>
      <c r="P1456" t="inlineStr">
        <is>
          <t>DIRECCION DE TECNOLOGIA</t>
        </is>
      </c>
      <c r="Q1456" t="n">
        <v>3160</v>
      </c>
      <c r="R1456" t="inlineStr">
        <is>
          <t>DIRECCION DE GESTION DE DATOS</t>
        </is>
      </c>
      <c r="S1456" t="n">
        <v>31640</v>
      </c>
      <c r="T1456" t="inlineStr">
        <is>
          <t>SUBDIRECCION DE GOBIERNO DE DATOS Y CONFIABILIDAD</t>
        </is>
      </c>
      <c r="U1456" t="n">
        <v>322000</v>
      </c>
      <c r="V1456" t="inlineStr">
        <is>
          <t>SUBDIRECCION DE GOBIERNO DE DATOS</t>
        </is>
      </c>
      <c r="W1456" t="n">
        <v>126121</v>
      </c>
      <c r="X1456" t="inlineStr">
        <is>
          <t>CANCUN</t>
        </is>
      </c>
      <c r="Y1456" t="n">
        <v>4</v>
      </c>
      <c r="Z1456" t="inlineStr">
        <is>
          <t>CORPORATIVO</t>
        </is>
      </c>
      <c r="AA1456" t="n">
        <v>1</v>
      </c>
      <c r="AB1456" t="inlineStr">
        <is>
          <t>NEGOCIO EN MARCHA</t>
        </is>
      </c>
      <c r="AC1456" t="n">
        <v>1</v>
      </c>
      <c r="AD1456" t="inlineStr">
        <is>
          <t>BANCO</t>
        </is>
      </c>
      <c r="AE1456" t="n">
        <v>1</v>
      </c>
      <c r="AF1456" t="inlineStr">
        <is>
          <t>BACK</t>
        </is>
      </c>
      <c r="AG1456" t="n">
        <v>126121</v>
      </c>
      <c r="AH1456" t="inlineStr">
        <is>
          <t>CANCUN</t>
        </is>
      </c>
      <c r="AI1456" t="inlineStr">
        <is>
          <t>JGOROCICA@BANCOBASE.COM</t>
        </is>
      </c>
      <c r="AJ1456" s="151" t="n">
        <v>45931</v>
      </c>
    </row>
    <row r="1457" hidden="1" s="150">
      <c r="A1457" t="inlineStr">
        <is>
          <t>IBALLESCA</t>
        </is>
      </c>
      <c r="B1457" t="n">
        <v>3318</v>
      </c>
      <c r="C1457" t="inlineStr">
        <is>
          <t>IVONNE DANIELA BALLESCA HERNANDEZ</t>
        </is>
      </c>
      <c r="D1457" t="n">
        <v>8882</v>
      </c>
      <c r="E1457" t="inlineStr">
        <is>
          <t>LIDER DE DATA STEWARDSHIP</t>
        </is>
      </c>
      <c r="F1457" t="inlineStr">
        <is>
          <t>MONTERREY</t>
        </is>
      </c>
      <c r="G1457" t="n">
        <v>3904</v>
      </c>
      <c r="H1457" t="inlineStr">
        <is>
          <t>LAURA JIMENA SILVA MORENO</t>
        </is>
      </c>
      <c r="I1457" t="n">
        <v>8463</v>
      </c>
      <c r="J1457" t="inlineStr">
        <is>
          <t>SUBDIRECTOR DE DATA GOVERNANCE &amp; TRUST</t>
        </is>
      </c>
      <c r="K1457" t="n">
        <v>1</v>
      </c>
      <c r="L1457" t="inlineStr">
        <is>
          <t>PRESIDENCIA EJECUTIVA DEL CONSEJO</t>
        </is>
      </c>
      <c r="M1457" t="n">
        <v>40</v>
      </c>
      <c r="N1457" t="inlineStr">
        <is>
          <t>DIRECCION GENERAL BANCO BASE</t>
        </is>
      </c>
      <c r="O1457" t="n">
        <v>310</v>
      </c>
      <c r="P1457" t="inlineStr">
        <is>
          <t>DIRECCION DE TECNOLOGIA</t>
        </is>
      </c>
      <c r="Q1457" t="n">
        <v>3160</v>
      </c>
      <c r="R1457" t="inlineStr">
        <is>
          <t>DIRECCION DE GESTION DE DATOS</t>
        </is>
      </c>
      <c r="S1457" t="n">
        <v>31640</v>
      </c>
      <c r="T1457" t="inlineStr">
        <is>
          <t>SUBDIRECCION DE GOBIERNO DE DATOS Y CONFIABILIDAD</t>
        </is>
      </c>
      <c r="U1457" t="n">
        <v>322000</v>
      </c>
      <c r="V1457" t="inlineStr">
        <is>
          <t>SUBDIRECCION DE GOBIERNO DE DATOS</t>
        </is>
      </c>
      <c r="W1457" t="n">
        <v>134111</v>
      </c>
      <c r="X1457" t="inlineStr">
        <is>
          <t>LOMAS</t>
        </is>
      </c>
      <c r="Y1457" t="n">
        <v>4</v>
      </c>
      <c r="Z1457" t="inlineStr">
        <is>
          <t>CORPORATIVO</t>
        </is>
      </c>
      <c r="AA1457" t="n">
        <v>8</v>
      </c>
      <c r="AB1457" t="inlineStr">
        <is>
          <t>BAU</t>
        </is>
      </c>
      <c r="AC1457" t="n">
        <v>1</v>
      </c>
      <c r="AD1457" t="inlineStr">
        <is>
          <t>BANCO</t>
        </is>
      </c>
      <c r="AE1457" t="n">
        <v>1</v>
      </c>
      <c r="AF1457" t="inlineStr">
        <is>
          <t>BACK</t>
        </is>
      </c>
      <c r="AG1457" t="n">
        <v>126102</v>
      </c>
      <c r="AH1457" t="inlineStr">
        <is>
          <t>MONTERREY</t>
        </is>
      </c>
      <c r="AI1457" t="inlineStr">
        <is>
          <t>IBALLESCA@BANCOBASE.COM</t>
        </is>
      </c>
      <c r="AJ1457" s="151" t="n">
        <v>45673</v>
      </c>
    </row>
    <row r="1458" hidden="1" s="150">
      <c r="A1458" t="inlineStr">
        <is>
          <t>DRAMIREZOR</t>
        </is>
      </c>
      <c r="B1458" t="n">
        <v>3911</v>
      </c>
      <c r="C1458" t="inlineStr">
        <is>
          <t>DEVANHY LILIANA RAMIREZ ORTEGA</t>
        </is>
      </c>
      <c r="D1458" t="n">
        <v>8545</v>
      </c>
      <c r="E1458" t="inlineStr">
        <is>
          <t>ESPECIALISTA DE GOBIERNO DE DATOS SSR</t>
        </is>
      </c>
      <c r="F1458" t="inlineStr">
        <is>
          <t>MONTERREY</t>
        </is>
      </c>
      <c r="G1458" t="n">
        <v>3318</v>
      </c>
      <c r="H1458" t="inlineStr">
        <is>
          <t>IVONNE DANIELA BALLESCA HERNANDEZ</t>
        </is>
      </c>
      <c r="I1458" t="n">
        <v>8882</v>
      </c>
      <c r="J1458" t="inlineStr">
        <is>
          <t>LIDER DE DATA STEWARDSHIP</t>
        </is>
      </c>
      <c r="K1458" t="n">
        <v>1</v>
      </c>
      <c r="L1458" t="inlineStr">
        <is>
          <t>PRESIDENCIA EJECUTIVA DEL CONSEJO</t>
        </is>
      </c>
      <c r="M1458" t="n">
        <v>40</v>
      </c>
      <c r="N1458" t="inlineStr">
        <is>
          <t>DIRECCION GENERAL BANCO BASE</t>
        </is>
      </c>
      <c r="O1458" t="n">
        <v>310</v>
      </c>
      <c r="P1458" t="inlineStr">
        <is>
          <t>DIRECCION DE TECNOLOGIA</t>
        </is>
      </c>
      <c r="Q1458" t="n">
        <v>3160</v>
      </c>
      <c r="R1458" t="inlineStr">
        <is>
          <t>DIRECCION DE GESTION DE DATOS</t>
        </is>
      </c>
      <c r="S1458" t="n">
        <v>31640</v>
      </c>
      <c r="T1458" t="inlineStr">
        <is>
          <t>SUBDIRECCION DE GOBIERNO DE DATOS Y CONFIABILIDAD</t>
        </is>
      </c>
      <c r="U1458" t="n">
        <v>322000</v>
      </c>
      <c r="V1458" t="inlineStr">
        <is>
          <t>SUBDIRECCION DE GOBIERNO DE DATOS</t>
        </is>
      </c>
      <c r="W1458" t="n">
        <v>100101</v>
      </c>
      <c r="X1458" t="inlineStr">
        <is>
          <t>CORPORATIVO</t>
        </is>
      </c>
      <c r="Y1458" t="n">
        <v>4</v>
      </c>
      <c r="Z1458" t="inlineStr">
        <is>
          <t>CORPORATIVO</t>
        </is>
      </c>
      <c r="AA1458" t="n">
        <v>7</v>
      </c>
      <c r="AB1458" t="inlineStr">
        <is>
          <t>PROYECTO DARWIN</t>
        </is>
      </c>
      <c r="AC1458" t="n">
        <v>1</v>
      </c>
      <c r="AD1458" t="inlineStr">
        <is>
          <t>BANCO</t>
        </is>
      </c>
      <c r="AE1458" t="n">
        <v>1</v>
      </c>
      <c r="AF1458" t="inlineStr">
        <is>
          <t>BACK</t>
        </is>
      </c>
      <c r="AG1458" t="n">
        <v>100101</v>
      </c>
      <c r="AH1458" t="inlineStr">
        <is>
          <t>CORPORATIVO</t>
        </is>
      </c>
      <c r="AI1458" t="inlineStr">
        <is>
          <t>DRAMIREZOR@BANCOBASE.COM</t>
        </is>
      </c>
      <c r="AJ1458" s="151" t="n">
        <v>46189</v>
      </c>
    </row>
    <row r="1459" hidden="1" s="150">
      <c r="A1459" t="inlineStr">
        <is>
          <t>MRIVERAC</t>
        </is>
      </c>
      <c r="B1459" t="n">
        <v>3766</v>
      </c>
      <c r="C1459" t="inlineStr">
        <is>
          <t>MARIA DE LOS ANGELES RIVERA CERVERA</t>
        </is>
      </c>
      <c r="D1459" t="n">
        <v>8884</v>
      </c>
      <c r="E1459" t="inlineStr">
        <is>
          <t>ESPECIALISTA DE GOBIERNO DE DATOS SR</t>
        </is>
      </c>
      <c r="F1459" t="inlineStr">
        <is>
          <t>TELETRABAJO</t>
        </is>
      </c>
      <c r="G1459" t="n">
        <v>3318</v>
      </c>
      <c r="H1459" t="inlineStr">
        <is>
          <t>IVONNE DANIELA BALLESCA HERNANDEZ</t>
        </is>
      </c>
      <c r="I1459" t="n">
        <v>8882</v>
      </c>
      <c r="J1459" t="inlineStr">
        <is>
          <t>LIDER DE DATA STEWARDSHIP</t>
        </is>
      </c>
      <c r="K1459" t="n">
        <v>1</v>
      </c>
      <c r="L1459" t="inlineStr">
        <is>
          <t>PRESIDENCIA EJECUTIVA DEL CONSEJO</t>
        </is>
      </c>
      <c r="M1459" t="n">
        <v>40</v>
      </c>
      <c r="N1459" t="inlineStr">
        <is>
          <t>DIRECCION GENERAL BANCO BASE</t>
        </is>
      </c>
      <c r="O1459" t="n">
        <v>310</v>
      </c>
      <c r="P1459" t="inlineStr">
        <is>
          <t>DIRECCION DE TECNOLOGIA</t>
        </is>
      </c>
      <c r="Q1459" t="n">
        <v>3160</v>
      </c>
      <c r="R1459" t="inlineStr">
        <is>
          <t>DIRECCION DE GESTION DE DATOS</t>
        </is>
      </c>
      <c r="S1459" t="n">
        <v>31640</v>
      </c>
      <c r="T1459" t="inlineStr">
        <is>
          <t>SUBDIRECCION DE GOBIERNO DE DATOS Y CONFIABILIDAD</t>
        </is>
      </c>
      <c r="U1459" t="n">
        <v>322000</v>
      </c>
      <c r="V1459" t="inlineStr">
        <is>
          <t>SUBDIRECCION DE GOBIERNO DE DATOS</t>
        </is>
      </c>
      <c r="W1459" t="n">
        <v>134111</v>
      </c>
      <c r="X1459" t="inlineStr">
        <is>
          <t>LOMAS</t>
        </is>
      </c>
      <c r="Y1459" t="n">
        <v>4</v>
      </c>
      <c r="Z1459" t="inlineStr">
        <is>
          <t>CORPORATIVO</t>
        </is>
      </c>
      <c r="AA1459" t="n">
        <v>7</v>
      </c>
      <c r="AB1459" t="inlineStr">
        <is>
          <t>PROYECTO DARWIN</t>
        </is>
      </c>
      <c r="AC1459" t="n">
        <v>1</v>
      </c>
      <c r="AD1459" t="inlineStr">
        <is>
          <t>BANCO</t>
        </is>
      </c>
      <c r="AE1459" t="n">
        <v>1</v>
      </c>
      <c r="AF1459" t="inlineStr">
        <is>
          <t>BACK</t>
        </is>
      </c>
      <c r="AG1459" t="n">
        <v>134111</v>
      </c>
      <c r="AH1459" t="inlineStr">
        <is>
          <t>LOMAS</t>
        </is>
      </c>
      <c r="AI1459" t="inlineStr">
        <is>
          <t>MRIVERAC@BANCOBASE.COM</t>
        </is>
      </c>
      <c r="AJ1459" s="151" t="n">
        <v>46069</v>
      </c>
    </row>
    <row r="1460" hidden="1" s="150">
      <c r="A1460" t="inlineStr">
        <is>
          <t>MVELASCOO</t>
        </is>
      </c>
      <c r="B1460" t="n">
        <v>3905</v>
      </c>
      <c r="C1460" t="inlineStr">
        <is>
          <t>MARIANA ARACELI VELASCO ORTEGA</t>
        </is>
      </c>
      <c r="D1460" t="n">
        <v>5128</v>
      </c>
      <c r="E1460" t="inlineStr">
        <is>
          <t>ESPECIALISTA DE GOBIERNO DE DATOS SSR</t>
        </is>
      </c>
      <c r="F1460" t="inlineStr">
        <is>
          <t>AGUASCALIENTES</t>
        </is>
      </c>
      <c r="G1460" t="n">
        <v>3318</v>
      </c>
      <c r="H1460" t="inlineStr">
        <is>
          <t>IVONNE DANIELA BALLESCA HERNANDEZ</t>
        </is>
      </c>
      <c r="I1460" t="n">
        <v>8882</v>
      </c>
      <c r="J1460" t="inlineStr">
        <is>
          <t>LIDER DE DATA STEWARDSHIP</t>
        </is>
      </c>
      <c r="K1460" t="n">
        <v>1</v>
      </c>
      <c r="L1460" t="inlineStr">
        <is>
          <t>PRESIDENCIA EJECUTIVA DEL CONSEJO</t>
        </is>
      </c>
      <c r="M1460" t="n">
        <v>40</v>
      </c>
      <c r="N1460" t="inlineStr">
        <is>
          <t>DIRECCION GENERAL BANCO BASE</t>
        </is>
      </c>
      <c r="O1460" t="n">
        <v>310</v>
      </c>
      <c r="P1460" t="inlineStr">
        <is>
          <t>DIRECCION DE TECNOLOGIA</t>
        </is>
      </c>
      <c r="Q1460" t="n">
        <v>3160</v>
      </c>
      <c r="R1460" t="inlineStr">
        <is>
          <t>DIRECCION DE GESTION DE DATOS</t>
        </is>
      </c>
      <c r="S1460" t="n">
        <v>31640</v>
      </c>
      <c r="T1460" t="inlineStr">
        <is>
          <t>SUBDIRECCION DE GOBIERNO DE DATOS Y CONFIABILIDAD</t>
        </is>
      </c>
      <c r="U1460" t="n">
        <v>322000</v>
      </c>
      <c r="V1460" t="inlineStr">
        <is>
          <t>SUBDIRECCION DE GOBIERNO DE DATOS</t>
        </is>
      </c>
      <c r="W1460" t="n">
        <v>126103</v>
      </c>
      <c r="X1460" t="inlineStr">
        <is>
          <t>AGUASCALIENTES</t>
        </is>
      </c>
      <c r="Y1460" t="n">
        <v>4</v>
      </c>
      <c r="Z1460" t="inlineStr">
        <is>
          <t>CORPORATIVO</t>
        </is>
      </c>
      <c r="AA1460" t="n">
        <v>7</v>
      </c>
      <c r="AB1460" t="inlineStr">
        <is>
          <t>PROYECTO DARWIN</t>
        </is>
      </c>
      <c r="AC1460" t="n">
        <v>1</v>
      </c>
      <c r="AD1460" t="inlineStr">
        <is>
          <t>BANCO</t>
        </is>
      </c>
      <c r="AE1460" t="n">
        <v>1</v>
      </c>
      <c r="AF1460" t="inlineStr">
        <is>
          <t>BACK</t>
        </is>
      </c>
      <c r="AG1460" t="n">
        <v>126103</v>
      </c>
      <c r="AH1460" t="inlineStr">
        <is>
          <t>AGUASCALIENTES</t>
        </is>
      </c>
      <c r="AI1460" t="inlineStr">
        <is>
          <t>MVELASCOO@BANCOBASE.COM</t>
        </is>
      </c>
      <c r="AJ1460" s="151" t="n">
        <v>46189</v>
      </c>
    </row>
    <row r="1461" hidden="1" s="150">
      <c r="A1461" t="inlineStr">
        <is>
          <t>NSANTILLAN</t>
        </is>
      </c>
      <c r="B1461" t="n">
        <v>2944</v>
      </c>
      <c r="C1461" t="inlineStr">
        <is>
          <t>NIGEL ORLANDO SANTILLAN MORALES</t>
        </is>
      </c>
      <c r="D1461" t="n">
        <v>8070</v>
      </c>
      <c r="E1461" t="inlineStr">
        <is>
          <t>ESPECIALISTA DE GOBIERNO DE DATOS SSR</t>
        </is>
      </c>
      <c r="F1461" t="inlineStr">
        <is>
          <t>TELETRABAJO</t>
        </is>
      </c>
      <c r="G1461" t="n">
        <v>3318</v>
      </c>
      <c r="H1461" t="inlineStr">
        <is>
          <t>IVONNE DANIELA BALLESCA HERNANDEZ</t>
        </is>
      </c>
      <c r="I1461" t="n">
        <v>8882</v>
      </c>
      <c r="J1461" t="inlineStr">
        <is>
          <t>LIDER DE DATA STEWARDSHIP</t>
        </is>
      </c>
      <c r="K1461" t="n">
        <v>1</v>
      </c>
      <c r="L1461" t="inlineStr">
        <is>
          <t>PRESIDENCIA EJECUTIVA DEL CONSEJO</t>
        </is>
      </c>
      <c r="M1461" t="n">
        <v>40</v>
      </c>
      <c r="N1461" t="inlineStr">
        <is>
          <t>DIRECCION GENERAL BANCO BASE</t>
        </is>
      </c>
      <c r="O1461" t="n">
        <v>310</v>
      </c>
      <c r="P1461" t="inlineStr">
        <is>
          <t>DIRECCION DE TECNOLOGIA</t>
        </is>
      </c>
      <c r="Q1461" t="n">
        <v>3160</v>
      </c>
      <c r="R1461" t="inlineStr">
        <is>
          <t>DIRECCION DE GESTION DE DATOS</t>
        </is>
      </c>
      <c r="S1461" t="n">
        <v>31640</v>
      </c>
      <c r="T1461" t="inlineStr">
        <is>
          <t>SUBDIRECCION DE GOBIERNO DE DATOS Y CONFIABILIDAD</t>
        </is>
      </c>
      <c r="U1461" t="n">
        <v>322000</v>
      </c>
      <c r="V1461" t="inlineStr">
        <is>
          <t>SUBDIRECCION DE GOBIERNO DE DATOS</t>
        </is>
      </c>
      <c r="W1461" t="n">
        <v>126121</v>
      </c>
      <c r="X1461" t="inlineStr">
        <is>
          <t>CANCUN</t>
        </is>
      </c>
      <c r="Y1461" t="n">
        <v>4</v>
      </c>
      <c r="Z1461" t="inlineStr">
        <is>
          <t>CORPORATIVO</t>
        </is>
      </c>
      <c r="AA1461" t="n">
        <v>1</v>
      </c>
      <c r="AB1461" t="inlineStr">
        <is>
          <t>NEGOCIO EN MARCHA</t>
        </is>
      </c>
      <c r="AC1461" t="n">
        <v>1</v>
      </c>
      <c r="AD1461" t="inlineStr">
        <is>
          <t>BANCO</t>
        </is>
      </c>
      <c r="AE1461" t="n">
        <v>1</v>
      </c>
      <c r="AF1461" t="inlineStr">
        <is>
          <t>BACK</t>
        </is>
      </c>
      <c r="AG1461" t="n">
        <v>126121</v>
      </c>
      <c r="AH1461" t="inlineStr">
        <is>
          <t>CANCUN</t>
        </is>
      </c>
      <c r="AI1461" t="inlineStr">
        <is>
          <t>NSANTILLAN@BANCOBASE.COM</t>
        </is>
      </c>
      <c r="AJ1461" s="151" t="n">
        <v>45170</v>
      </c>
    </row>
    <row r="1462" hidden="1" s="150">
      <c r="A1462" t="inlineStr">
        <is>
          <t>OMARQUEZ</t>
        </is>
      </c>
      <c r="B1462" t="n">
        <v>3319</v>
      </c>
      <c r="C1462" t="inlineStr">
        <is>
          <t>OSCAR MARQUEZ ESQUIVEL</t>
        </is>
      </c>
      <c r="D1462" t="n">
        <v>8546</v>
      </c>
      <c r="E1462" t="inlineStr">
        <is>
          <t>ESPECIALISTA DE GOBIERNO DE DATOS SR</t>
        </is>
      </c>
      <c r="F1462" t="inlineStr">
        <is>
          <t>TELETRABAJO</t>
        </is>
      </c>
      <c r="G1462" t="n">
        <v>3318</v>
      </c>
      <c r="H1462" t="inlineStr">
        <is>
          <t>IVONNE DANIELA BALLESCA HERNANDEZ</t>
        </is>
      </c>
      <c r="I1462" t="n">
        <v>8882</v>
      </c>
      <c r="J1462" t="inlineStr">
        <is>
          <t>LIDER DE DATA STEWARDSHIP</t>
        </is>
      </c>
      <c r="K1462" t="n">
        <v>1</v>
      </c>
      <c r="L1462" t="inlineStr">
        <is>
          <t>PRESIDENCIA EJECUTIVA DEL CONSEJO</t>
        </is>
      </c>
      <c r="M1462" t="n">
        <v>40</v>
      </c>
      <c r="N1462" t="inlineStr">
        <is>
          <t>DIRECCION GENERAL BANCO BASE</t>
        </is>
      </c>
      <c r="O1462" t="n">
        <v>310</v>
      </c>
      <c r="P1462" t="inlineStr">
        <is>
          <t>DIRECCION DE TECNOLOGIA</t>
        </is>
      </c>
      <c r="Q1462" t="n">
        <v>3160</v>
      </c>
      <c r="R1462" t="inlineStr">
        <is>
          <t>DIRECCION DE GESTION DE DATOS</t>
        </is>
      </c>
      <c r="S1462" t="n">
        <v>31640</v>
      </c>
      <c r="T1462" t="inlineStr">
        <is>
          <t>SUBDIRECCION DE GOBIERNO DE DATOS Y CONFIABILIDAD</t>
        </is>
      </c>
      <c r="U1462" t="n">
        <v>322000</v>
      </c>
      <c r="V1462" t="inlineStr">
        <is>
          <t>SUBDIRECCION DE GOBIERNO DE DATOS</t>
        </is>
      </c>
      <c r="W1462" t="n">
        <v>134111</v>
      </c>
      <c r="X1462" t="inlineStr">
        <is>
          <t>LOMAS</t>
        </is>
      </c>
      <c r="Y1462" t="n">
        <v>4</v>
      </c>
      <c r="Z1462" t="inlineStr">
        <is>
          <t>CORPORATIVO</t>
        </is>
      </c>
      <c r="AA1462" t="n">
        <v>7</v>
      </c>
      <c r="AB1462" t="inlineStr">
        <is>
          <t>PROYECTO DARWIN</t>
        </is>
      </c>
      <c r="AC1462" t="n">
        <v>1</v>
      </c>
      <c r="AD1462" t="inlineStr">
        <is>
          <t>BANCO</t>
        </is>
      </c>
      <c r="AE1462" t="n">
        <v>1</v>
      </c>
      <c r="AF1462" t="inlineStr">
        <is>
          <t>BACK</t>
        </is>
      </c>
      <c r="AG1462" t="n">
        <v>134111</v>
      </c>
      <c r="AH1462" t="inlineStr">
        <is>
          <t>LOMAS</t>
        </is>
      </c>
      <c r="AI1462" t="inlineStr">
        <is>
          <t>OMARQUEZ@BANCOBASE.COM</t>
        </is>
      </c>
      <c r="AJ1462" s="151" t="n">
        <v>45673</v>
      </c>
    </row>
    <row r="1463" hidden="1" s="150">
      <c r="A1463" t="inlineStr">
        <is>
          <t>CDEALBA</t>
        </is>
      </c>
      <c r="B1463" t="n">
        <v>3322</v>
      </c>
      <c r="C1463" t="inlineStr">
        <is>
          <t>CESAR DE ALBA FLORES</t>
        </is>
      </c>
      <c r="D1463" t="n">
        <v>8536</v>
      </c>
      <c r="E1463" t="inlineStr">
        <is>
          <t>CIENTIFICO DE DATOS SR</t>
        </is>
      </c>
      <c r="F1463" t="inlineStr">
        <is>
          <t>TELETRABAJO</t>
        </is>
      </c>
      <c r="G1463" t="n">
        <v>2658</v>
      </c>
      <c r="H1463" t="inlineStr">
        <is>
          <t>CELIA SALAZAR CUAUTLI</t>
        </is>
      </c>
      <c r="I1463" t="n">
        <v>8118</v>
      </c>
      <c r="J1463" t="inlineStr">
        <is>
          <t>GERENTE CIENTIFICO DE DATOS DELIVERY</t>
        </is>
      </c>
      <c r="K1463" t="n">
        <v>1</v>
      </c>
      <c r="L1463" t="inlineStr">
        <is>
          <t>PRESIDENCIA EJECUTIVA DEL CONSEJO</t>
        </is>
      </c>
      <c r="M1463" t="n">
        <v>40</v>
      </c>
      <c r="N1463" t="inlineStr">
        <is>
          <t>DIRECCION GENERAL BANCO BASE</t>
        </is>
      </c>
      <c r="O1463" t="n">
        <v>310</v>
      </c>
      <c r="P1463" t="inlineStr">
        <is>
          <t>DIRECCION DE TECNOLOGIA</t>
        </is>
      </c>
      <c r="Q1463" t="n">
        <v>3160</v>
      </c>
      <c r="R1463" t="inlineStr">
        <is>
          <t>DIRECCION DE GESTION DE DATOS</t>
        </is>
      </c>
      <c r="S1463" t="n">
        <v>31630</v>
      </c>
      <c r="T1463" t="inlineStr">
        <is>
          <t>SUBDIRECCION DE DATA PRODUCTS Y IA</t>
        </is>
      </c>
      <c r="U1463" t="n">
        <v>316000</v>
      </c>
      <c r="V1463" t="inlineStr">
        <is>
          <t>DIRECCION DE GESTION DE DATOS</t>
        </is>
      </c>
      <c r="W1463" t="n">
        <v>134111</v>
      </c>
      <c r="X1463" t="inlineStr">
        <is>
          <t>LOMAS</t>
        </is>
      </c>
      <c r="Y1463" t="n">
        <v>4</v>
      </c>
      <c r="Z1463" t="inlineStr">
        <is>
          <t>CORPORATIVO</t>
        </is>
      </c>
      <c r="AA1463" t="n">
        <v>8</v>
      </c>
      <c r="AB1463" t="inlineStr">
        <is>
          <t>BAU</t>
        </is>
      </c>
      <c r="AC1463" t="n">
        <v>1</v>
      </c>
      <c r="AD1463" t="inlineStr">
        <is>
          <t>BANCO</t>
        </is>
      </c>
      <c r="AE1463" t="n">
        <v>1</v>
      </c>
      <c r="AF1463" t="inlineStr">
        <is>
          <t>BACK</t>
        </is>
      </c>
      <c r="AG1463" t="n">
        <v>134111</v>
      </c>
      <c r="AH1463" t="inlineStr">
        <is>
          <t>LOMAS</t>
        </is>
      </c>
      <c r="AI1463" t="inlineStr">
        <is>
          <t>CDEALBA@BANCOBASE.COM</t>
        </is>
      </c>
      <c r="AJ1463" s="151" t="n">
        <v>45673</v>
      </c>
    </row>
    <row r="1464" hidden="1" s="150">
      <c r="A1464" t="inlineStr">
        <is>
          <t>CSALAZARC</t>
        </is>
      </c>
      <c r="B1464" t="n">
        <v>2658</v>
      </c>
      <c r="C1464" t="inlineStr">
        <is>
          <t>CELIA SALAZAR CUAUTLI</t>
        </is>
      </c>
      <c r="D1464" t="n">
        <v>8118</v>
      </c>
      <c r="E1464" t="inlineStr">
        <is>
          <t>GERENTE CIENTIFICO DE DATOS DELIVERY</t>
        </is>
      </c>
      <c r="F1464" t="inlineStr">
        <is>
          <t>TELETRABAJO</t>
        </is>
      </c>
      <c r="I1464" t="n">
        <v>8464</v>
      </c>
      <c r="J1464" t="inlineStr">
        <is>
          <t>SUBDIRECTOR DE DATA PRODUCTS &amp; IA</t>
        </is>
      </c>
      <c r="K1464" t="n">
        <v>1</v>
      </c>
      <c r="L1464" t="inlineStr">
        <is>
          <t>PRESIDENCIA EJECUTIVA DEL CONSEJO</t>
        </is>
      </c>
      <c r="M1464" t="n">
        <v>40</v>
      </c>
      <c r="N1464" t="inlineStr">
        <is>
          <t>DIRECCION GENERAL BANCO BASE</t>
        </is>
      </c>
      <c r="O1464" t="n">
        <v>310</v>
      </c>
      <c r="P1464" t="inlineStr">
        <is>
          <t>DIRECCION DE TECNOLOGIA</t>
        </is>
      </c>
      <c r="Q1464" t="n">
        <v>3160</v>
      </c>
      <c r="R1464" t="inlineStr">
        <is>
          <t>DIRECCION DE GESTION DE DATOS</t>
        </is>
      </c>
      <c r="S1464" t="n">
        <v>31630</v>
      </c>
      <c r="T1464" t="inlineStr">
        <is>
          <t>SUBDIRECCION DE DATA PRODUCTS Y IA</t>
        </is>
      </c>
      <c r="U1464" t="n">
        <v>316000</v>
      </c>
      <c r="V1464" t="inlineStr">
        <is>
          <t>DIRECCION DE GESTION DE DATOS</t>
        </is>
      </c>
      <c r="W1464" t="n">
        <v>134111</v>
      </c>
      <c r="X1464" t="inlineStr">
        <is>
          <t>LOMAS</t>
        </is>
      </c>
      <c r="Y1464" t="n">
        <v>4</v>
      </c>
      <c r="Z1464" t="inlineStr">
        <is>
          <t>CORPORATIVO</t>
        </is>
      </c>
      <c r="AA1464" t="n">
        <v>1</v>
      </c>
      <c r="AB1464" t="inlineStr">
        <is>
          <t>NEGOCIO EN MARCHA</t>
        </is>
      </c>
      <c r="AC1464" t="n">
        <v>1</v>
      </c>
      <c r="AD1464" t="inlineStr">
        <is>
          <t>BANCO</t>
        </is>
      </c>
      <c r="AE1464" t="n">
        <v>1</v>
      </c>
      <c r="AF1464" t="inlineStr">
        <is>
          <t>BACK</t>
        </is>
      </c>
      <c r="AG1464" t="n">
        <v>134111</v>
      </c>
      <c r="AH1464" t="inlineStr">
        <is>
          <t>LOMAS</t>
        </is>
      </c>
      <c r="AI1464" t="inlineStr">
        <is>
          <t>CSALAZARC@BANCOBASE.COM</t>
        </is>
      </c>
      <c r="AJ1464" s="151" t="n">
        <v>44713</v>
      </c>
    </row>
    <row r="1465" hidden="1" s="150">
      <c r="A1465" t="inlineStr">
        <is>
          <t>LSERRANOR</t>
        </is>
      </c>
      <c r="B1465" t="n">
        <v>3616</v>
      </c>
      <c r="C1465" t="inlineStr">
        <is>
          <t>LUIS ALONSO SERRANO RAMIREZ</t>
        </is>
      </c>
      <c r="D1465" t="n">
        <v>8461</v>
      </c>
      <c r="E1465" t="inlineStr">
        <is>
          <t>ARQUITECTO DE SOLUCIONES</t>
        </is>
      </c>
      <c r="F1465" t="inlineStr">
        <is>
          <t>QUERETARO</t>
        </is>
      </c>
      <c r="G1465" t="n">
        <v>3492</v>
      </c>
      <c r="H1465" t="inlineStr">
        <is>
          <t>LUIS ANTONIO VILLAFAÑA GRANADOS</t>
        </is>
      </c>
      <c r="I1465" t="n">
        <v>8458</v>
      </c>
      <c r="J1465" t="inlineStr">
        <is>
          <t>DIRECTOR DE ARQUITECTURA TI</t>
        </is>
      </c>
      <c r="K1465" t="n">
        <v>1</v>
      </c>
      <c r="L1465" t="inlineStr">
        <is>
          <t>PRESIDENCIA EJECUTIVA DEL CONSEJO</t>
        </is>
      </c>
      <c r="M1465" t="n">
        <v>40</v>
      </c>
      <c r="N1465" t="inlineStr">
        <is>
          <t>DIRECCION GENERAL BANCO BASE</t>
        </is>
      </c>
      <c r="O1465" t="n">
        <v>310</v>
      </c>
      <c r="P1465" t="inlineStr">
        <is>
          <t>DIRECCION DE TECNOLOGIA</t>
        </is>
      </c>
      <c r="Q1465" t="n">
        <v>3180</v>
      </c>
      <c r="R1465" t="inlineStr">
        <is>
          <t>DIRECCION DE ARQUITECTURA TI</t>
        </is>
      </c>
      <c r="S1465" t="n">
        <v>31800</v>
      </c>
      <c r="T1465" t="inlineStr">
        <is>
          <t>DIRECCION DE ARQUITECTURA TI</t>
        </is>
      </c>
      <c r="U1465" t="n">
        <v>318000</v>
      </c>
      <c r="V1465" t="inlineStr">
        <is>
          <t>DIRECCION DE ARQUITECTURA TI</t>
        </is>
      </c>
      <c r="W1465" t="n">
        <v>126112</v>
      </c>
      <c r="X1465" t="inlineStr">
        <is>
          <t>QUERETARO</t>
        </is>
      </c>
      <c r="Y1465" t="n">
        <v>4</v>
      </c>
      <c r="Z1465" t="inlineStr">
        <is>
          <t>CORPORATIVO</t>
        </is>
      </c>
      <c r="AA1465" t="n">
        <v>7</v>
      </c>
      <c r="AB1465" t="inlineStr">
        <is>
          <t>PROYECTO DARWIN</t>
        </is>
      </c>
      <c r="AC1465" t="n">
        <v>1</v>
      </c>
      <c r="AD1465" t="inlineStr">
        <is>
          <t>BANCO</t>
        </is>
      </c>
      <c r="AE1465" t="n">
        <v>1</v>
      </c>
      <c r="AF1465" t="inlineStr">
        <is>
          <t>BACK</t>
        </is>
      </c>
      <c r="AG1465" t="n">
        <v>126112</v>
      </c>
      <c r="AH1465" t="inlineStr">
        <is>
          <t>QUERETARO</t>
        </is>
      </c>
      <c r="AI1465" t="inlineStr">
        <is>
          <t>LSERRANOR@BANCOBASE.COM</t>
        </is>
      </c>
      <c r="AJ1465" s="151" t="n">
        <v>45946</v>
      </c>
    </row>
    <row r="1466" hidden="1" s="150">
      <c r="A1466" t="inlineStr">
        <is>
          <t>ABARRERAJ</t>
        </is>
      </c>
      <c r="B1466" t="n">
        <v>3025</v>
      </c>
      <c r="C1466" t="inlineStr">
        <is>
          <t>ANDRES BARRERA JAIME</t>
        </is>
      </c>
      <c r="D1466" t="n">
        <v>8322</v>
      </c>
      <c r="E1466" t="inlineStr">
        <is>
          <t>ARQUITECTO DE SOLUCIONES</t>
        </is>
      </c>
      <c r="F1466" t="inlineStr">
        <is>
          <t>MONTERREY</t>
        </is>
      </c>
      <c r="G1466" t="n">
        <v>3492</v>
      </c>
      <c r="H1466" t="inlineStr">
        <is>
          <t>LUIS ANTONIO VILLAFAÑA GRANADOS</t>
        </is>
      </c>
      <c r="I1466" t="n">
        <v>8458</v>
      </c>
      <c r="J1466" t="inlineStr">
        <is>
          <t>DIRECTOR DE ARQUITECTURA TI</t>
        </is>
      </c>
      <c r="K1466" t="n">
        <v>1</v>
      </c>
      <c r="L1466" t="inlineStr">
        <is>
          <t>PRESIDENCIA EJECUTIVA DEL CONSEJO</t>
        </is>
      </c>
      <c r="M1466" t="n">
        <v>40</v>
      </c>
      <c r="N1466" t="inlineStr">
        <is>
          <t>DIRECCION GENERAL BANCO BASE</t>
        </is>
      </c>
      <c r="O1466" t="n">
        <v>310</v>
      </c>
      <c r="P1466" t="inlineStr">
        <is>
          <t>DIRECCION DE TECNOLOGIA</t>
        </is>
      </c>
      <c r="Q1466" t="n">
        <v>3180</v>
      </c>
      <c r="R1466" t="inlineStr">
        <is>
          <t>DIRECCION DE ARQUITECTURA TI</t>
        </is>
      </c>
      <c r="S1466" t="n">
        <v>31800</v>
      </c>
      <c r="T1466" t="inlineStr">
        <is>
          <t>DIRECCION DE ARQUITECTURA TI</t>
        </is>
      </c>
      <c r="U1466" t="n">
        <v>318000</v>
      </c>
      <c r="V1466" t="inlineStr">
        <is>
          <t>DIRECCION DE ARQUITECTURA TI</t>
        </is>
      </c>
      <c r="W1466" t="n">
        <v>100101</v>
      </c>
      <c r="X1466" t="inlineStr">
        <is>
          <t>CORPORATIVO</t>
        </is>
      </c>
      <c r="Y1466" t="n">
        <v>4</v>
      </c>
      <c r="Z1466" t="inlineStr">
        <is>
          <t>CORPORATIVO</t>
        </is>
      </c>
      <c r="AA1466" t="n">
        <v>1</v>
      </c>
      <c r="AB1466" t="inlineStr">
        <is>
          <t>NEGOCIO EN MARCHA</t>
        </is>
      </c>
      <c r="AC1466" t="n">
        <v>1</v>
      </c>
      <c r="AD1466" t="inlineStr">
        <is>
          <t>BANCO</t>
        </is>
      </c>
      <c r="AE1466" t="n">
        <v>1</v>
      </c>
      <c r="AF1466" t="inlineStr">
        <is>
          <t>BACK</t>
        </is>
      </c>
      <c r="AG1466" t="n">
        <v>100101</v>
      </c>
      <c r="AH1466" t="inlineStr">
        <is>
          <t>CORPORATIVO</t>
        </is>
      </c>
      <c r="AI1466" t="inlineStr">
        <is>
          <t>ABARRERAJ@BANCOBASE.COM</t>
        </is>
      </c>
      <c r="AJ1466" s="151" t="n">
        <v>45323</v>
      </c>
    </row>
    <row r="1467" hidden="1" s="150">
      <c r="A1467" t="inlineStr">
        <is>
          <t>JGONZALEZG</t>
        </is>
      </c>
      <c r="B1467" t="n">
        <v>3140</v>
      </c>
      <c r="C1467" t="inlineStr">
        <is>
          <t>JOSUE ABRAHAM GONZALEZ GUTIERREZ</t>
        </is>
      </c>
      <c r="D1467" t="n">
        <v>8368</v>
      </c>
      <c r="E1467" t="inlineStr">
        <is>
          <t>ARQUITECTO DE INFRAESTRUCTURA</t>
        </is>
      </c>
      <c r="F1467" t="inlineStr">
        <is>
          <t>MONTERREY</t>
        </is>
      </c>
      <c r="G1467" t="n">
        <v>3492</v>
      </c>
      <c r="H1467" t="inlineStr">
        <is>
          <t>LUIS ANTONIO VILLAFAÑA GRANADOS</t>
        </is>
      </c>
      <c r="I1467" t="n">
        <v>8458</v>
      </c>
      <c r="J1467" t="inlineStr">
        <is>
          <t>DIRECTOR DE ARQUITECTURA TI</t>
        </is>
      </c>
      <c r="K1467" t="n">
        <v>1</v>
      </c>
      <c r="L1467" t="inlineStr">
        <is>
          <t>PRESIDENCIA EJECUTIVA DEL CONSEJO</t>
        </is>
      </c>
      <c r="M1467" t="n">
        <v>40</v>
      </c>
      <c r="N1467" t="inlineStr">
        <is>
          <t>DIRECCION GENERAL BANCO BASE</t>
        </is>
      </c>
      <c r="O1467" t="n">
        <v>310</v>
      </c>
      <c r="P1467" t="inlineStr">
        <is>
          <t>DIRECCION DE TECNOLOGIA</t>
        </is>
      </c>
      <c r="Q1467" t="n">
        <v>3180</v>
      </c>
      <c r="R1467" t="inlineStr">
        <is>
          <t>DIRECCION DE ARQUITECTURA TI</t>
        </is>
      </c>
      <c r="S1467" t="n">
        <v>31800</v>
      </c>
      <c r="T1467" t="inlineStr">
        <is>
          <t>DIRECCION DE ARQUITECTURA TI</t>
        </is>
      </c>
      <c r="U1467" t="n">
        <v>318000</v>
      </c>
      <c r="V1467" t="inlineStr">
        <is>
          <t>DIRECCION DE ARQUITECTURA TI</t>
        </is>
      </c>
      <c r="W1467" t="n">
        <v>100101</v>
      </c>
      <c r="X1467" t="inlineStr">
        <is>
          <t>CORPORATIVO</t>
        </is>
      </c>
      <c r="Y1467" t="n">
        <v>4</v>
      </c>
      <c r="Z1467" t="inlineStr">
        <is>
          <t>CORPORATIVO</t>
        </is>
      </c>
      <c r="AA1467" t="n">
        <v>8</v>
      </c>
      <c r="AB1467" t="inlineStr">
        <is>
          <t>BAU</t>
        </is>
      </c>
      <c r="AC1467" t="n">
        <v>1</v>
      </c>
      <c r="AD1467" t="inlineStr">
        <is>
          <t>BANCO</t>
        </is>
      </c>
      <c r="AE1467" t="n">
        <v>1</v>
      </c>
      <c r="AF1467" t="inlineStr">
        <is>
          <t>BACK</t>
        </is>
      </c>
      <c r="AG1467" t="n">
        <v>100101</v>
      </c>
      <c r="AH1467" t="inlineStr">
        <is>
          <t>CORPORATIVO</t>
        </is>
      </c>
      <c r="AI1467" t="inlineStr">
        <is>
          <t>JGONZALEZG@BANCOBASE.COM</t>
        </is>
      </c>
      <c r="AJ1467" s="151" t="n">
        <v>45460</v>
      </c>
    </row>
    <row r="1468" hidden="1" s="150">
      <c r="A1468" t="inlineStr">
        <is>
          <t>RREYNA</t>
        </is>
      </c>
      <c r="B1468" t="n">
        <v>3000</v>
      </c>
      <c r="C1468" t="inlineStr">
        <is>
          <t>ANGEL RODOLFO REYNA ACEVEDO</t>
        </is>
      </c>
      <c r="D1468" t="n">
        <v>8251</v>
      </c>
      <c r="E1468" t="inlineStr">
        <is>
          <t>ARQUITECTO SOFTWARE</t>
        </is>
      </c>
      <c r="F1468" t="inlineStr">
        <is>
          <t>MONTERREY</t>
        </is>
      </c>
      <c r="G1468" t="n">
        <v>3492</v>
      </c>
      <c r="H1468" t="inlineStr">
        <is>
          <t>LUIS ANTONIO VILLAFAÑA GRANADOS</t>
        </is>
      </c>
      <c r="I1468" t="n">
        <v>8458</v>
      </c>
      <c r="J1468" t="inlineStr">
        <is>
          <t>DIRECTOR DE ARQUITECTURA TI</t>
        </is>
      </c>
      <c r="K1468" t="n">
        <v>1</v>
      </c>
      <c r="L1468" t="inlineStr">
        <is>
          <t>PRESIDENCIA EJECUTIVA DEL CONSEJO</t>
        </is>
      </c>
      <c r="M1468" t="n">
        <v>40</v>
      </c>
      <c r="N1468" t="inlineStr">
        <is>
          <t>DIRECCION GENERAL BANCO BASE</t>
        </is>
      </c>
      <c r="O1468" t="n">
        <v>310</v>
      </c>
      <c r="P1468" t="inlineStr">
        <is>
          <t>DIRECCION DE TECNOLOGIA</t>
        </is>
      </c>
      <c r="Q1468" t="n">
        <v>3180</v>
      </c>
      <c r="R1468" t="inlineStr">
        <is>
          <t>DIRECCION DE ARQUITECTURA TI</t>
        </is>
      </c>
      <c r="S1468" t="n">
        <v>31800</v>
      </c>
      <c r="T1468" t="inlineStr">
        <is>
          <t>DIRECCION DE ARQUITECTURA TI</t>
        </is>
      </c>
      <c r="U1468" t="n">
        <v>318000</v>
      </c>
      <c r="V1468" t="inlineStr">
        <is>
          <t>DIRECCION DE ARQUITECTURA TI</t>
        </is>
      </c>
      <c r="W1468" t="n">
        <v>100101</v>
      </c>
      <c r="X1468" t="inlineStr">
        <is>
          <t>CORPORATIVO</t>
        </is>
      </c>
      <c r="Y1468" t="n">
        <v>4</v>
      </c>
      <c r="Z1468" t="inlineStr">
        <is>
          <t>CORPORATIVO</t>
        </is>
      </c>
      <c r="AA1468" t="n">
        <v>1</v>
      </c>
      <c r="AB1468" t="inlineStr">
        <is>
          <t>NEGOCIO EN MARCHA</t>
        </is>
      </c>
      <c r="AC1468" t="n">
        <v>1</v>
      </c>
      <c r="AD1468" t="inlineStr">
        <is>
          <t>BANCO</t>
        </is>
      </c>
      <c r="AE1468" t="n">
        <v>1</v>
      </c>
      <c r="AF1468" t="inlineStr">
        <is>
          <t>BACK</t>
        </is>
      </c>
      <c r="AG1468" t="n">
        <v>100101</v>
      </c>
      <c r="AH1468" t="inlineStr">
        <is>
          <t>CORPORATIVO</t>
        </is>
      </c>
      <c r="AI1468" t="inlineStr">
        <is>
          <t>RREYNA@BANCOBASE.COM</t>
        </is>
      </c>
      <c r="AJ1468" s="151" t="n">
        <v>45264</v>
      </c>
    </row>
    <row r="1469" hidden="1" s="150">
      <c r="A1469" t="inlineStr">
        <is>
          <t>LBLANCOM</t>
        </is>
      </c>
      <c r="B1469" t="n">
        <v>3425</v>
      </c>
      <c r="C1469" t="inlineStr">
        <is>
          <t>LUIS ENRIQUE BLANCO MOO</t>
        </is>
      </c>
      <c r="D1469" t="n">
        <v>8689</v>
      </c>
      <c r="E1469" t="inlineStr">
        <is>
          <t>ARQUITECTO CLOUD JR</t>
        </is>
      </c>
      <c r="F1469" t="inlineStr">
        <is>
          <t>CANCUN</t>
        </is>
      </c>
      <c r="G1469" t="n">
        <v>3492</v>
      </c>
      <c r="H1469" t="inlineStr">
        <is>
          <t>LUIS ANTONIO VILLAFAÑA GRANADOS</t>
        </is>
      </c>
      <c r="I1469" t="n">
        <v>8458</v>
      </c>
      <c r="J1469" t="inlineStr">
        <is>
          <t>DIRECTOR DE ARQUITECTURA TI</t>
        </is>
      </c>
      <c r="K1469" t="n">
        <v>1</v>
      </c>
      <c r="L1469" t="inlineStr">
        <is>
          <t>PRESIDENCIA EJECUTIVA DEL CONSEJO</t>
        </is>
      </c>
      <c r="M1469" t="n">
        <v>40</v>
      </c>
      <c r="N1469" t="inlineStr">
        <is>
          <t>DIRECCION GENERAL BANCO BASE</t>
        </is>
      </c>
      <c r="O1469" t="n">
        <v>310</v>
      </c>
      <c r="P1469" t="inlineStr">
        <is>
          <t>DIRECCION DE TECNOLOGIA</t>
        </is>
      </c>
      <c r="Q1469" t="n">
        <v>3180</v>
      </c>
      <c r="R1469" t="inlineStr">
        <is>
          <t>DIRECCION DE ARQUITECTURA TI</t>
        </is>
      </c>
      <c r="S1469" t="n">
        <v>31800</v>
      </c>
      <c r="T1469" t="inlineStr">
        <is>
          <t>DIRECCION DE ARQUITECTURA TI</t>
        </is>
      </c>
      <c r="U1469" t="n">
        <v>318000</v>
      </c>
      <c r="V1469" t="inlineStr">
        <is>
          <t>DIRECCION DE ARQUITECTURA TI</t>
        </is>
      </c>
      <c r="W1469" t="n">
        <v>126121</v>
      </c>
      <c r="X1469" t="inlineStr">
        <is>
          <t>CANCUN</t>
        </is>
      </c>
      <c r="Y1469" t="n">
        <v>4</v>
      </c>
      <c r="Z1469" t="inlineStr">
        <is>
          <t>CORPORATIVO</t>
        </is>
      </c>
      <c r="AA1469" t="n">
        <v>7</v>
      </c>
      <c r="AB1469" t="inlineStr">
        <is>
          <t>PROYECTO DARWIN</t>
        </is>
      </c>
      <c r="AC1469" t="n">
        <v>1</v>
      </c>
      <c r="AD1469" t="inlineStr">
        <is>
          <t>BANCO</t>
        </is>
      </c>
      <c r="AE1469" t="n">
        <v>1</v>
      </c>
      <c r="AF1469" t="inlineStr">
        <is>
          <t>BACK</t>
        </is>
      </c>
      <c r="AG1469" t="n">
        <v>126121</v>
      </c>
      <c r="AH1469" t="inlineStr">
        <is>
          <t>CANCUN</t>
        </is>
      </c>
      <c r="AI1469" t="inlineStr">
        <is>
          <t>LBLANCOM@BANCOBASE.COM</t>
        </is>
      </c>
      <c r="AJ1469" s="151" t="n">
        <v>45796</v>
      </c>
    </row>
    <row r="1470" hidden="1" s="150">
      <c r="A1470" t="inlineStr">
        <is>
          <t>JMARTINERO</t>
        </is>
      </c>
      <c r="B1470" t="n">
        <v>3769</v>
      </c>
      <c r="C1470" t="inlineStr">
        <is>
          <t>JOSE ANTONIO MARTINEZ RODRIGUEZ</t>
        </is>
      </c>
      <c r="D1470" t="n">
        <v>8462</v>
      </c>
      <c r="E1470" t="inlineStr">
        <is>
          <t>ARQUITECTO EMPRESARIAL</t>
        </is>
      </c>
      <c r="F1470" t="inlineStr">
        <is>
          <t>MONTERREY</t>
        </is>
      </c>
      <c r="G1470" t="n">
        <v>3492</v>
      </c>
      <c r="H1470" t="inlineStr">
        <is>
          <t>LUIS ANTONIO VILLAFAÑA GRANADOS</t>
        </is>
      </c>
      <c r="I1470" t="n">
        <v>8458</v>
      </c>
      <c r="J1470" t="inlineStr">
        <is>
          <t>DIRECTOR DE ARQUITECTURA TI</t>
        </is>
      </c>
      <c r="K1470" t="n">
        <v>1</v>
      </c>
      <c r="L1470" t="inlineStr">
        <is>
          <t>PRESIDENCIA EJECUTIVA DEL CONSEJO</t>
        </is>
      </c>
      <c r="M1470" t="n">
        <v>40</v>
      </c>
      <c r="N1470" t="inlineStr">
        <is>
          <t>DIRECCION GENERAL BANCO BASE</t>
        </is>
      </c>
      <c r="O1470" t="n">
        <v>310</v>
      </c>
      <c r="P1470" t="inlineStr">
        <is>
          <t>DIRECCION DE TECNOLOGIA</t>
        </is>
      </c>
      <c r="Q1470" t="n">
        <v>3180</v>
      </c>
      <c r="R1470" t="inlineStr">
        <is>
          <t>DIRECCION DE ARQUITECTURA TI</t>
        </is>
      </c>
      <c r="S1470" t="n">
        <v>31800</v>
      </c>
      <c r="T1470" t="inlineStr">
        <is>
          <t>DIRECCION DE ARQUITECTURA TI</t>
        </is>
      </c>
      <c r="U1470" t="n">
        <v>318000</v>
      </c>
      <c r="V1470" t="inlineStr">
        <is>
          <t>DIRECCION DE ARQUITECTURA TI</t>
        </is>
      </c>
      <c r="W1470" t="n">
        <v>100101</v>
      </c>
      <c r="X1470" t="inlineStr">
        <is>
          <t>CORPORATIVO</t>
        </is>
      </c>
      <c r="Y1470" t="n">
        <v>4</v>
      </c>
      <c r="Z1470" t="inlineStr">
        <is>
          <t>CORPORATIVO</t>
        </is>
      </c>
      <c r="AA1470" t="n">
        <v>7</v>
      </c>
      <c r="AB1470" t="inlineStr">
        <is>
          <t>PROYECTO DARWIN</t>
        </is>
      </c>
      <c r="AC1470" t="n">
        <v>1</v>
      </c>
      <c r="AD1470" t="inlineStr">
        <is>
          <t>BANCO</t>
        </is>
      </c>
      <c r="AE1470" t="n">
        <v>1</v>
      </c>
      <c r="AF1470" t="inlineStr">
        <is>
          <t>BACK</t>
        </is>
      </c>
      <c r="AG1470" t="n">
        <v>100101</v>
      </c>
      <c r="AH1470" t="inlineStr">
        <is>
          <t>CORPORATIVO</t>
        </is>
      </c>
      <c r="AI1470" t="inlineStr">
        <is>
          <t>JMARTINERO@BANCOBASE.COM</t>
        </is>
      </c>
      <c r="AJ1470" s="151" t="n">
        <v>46069</v>
      </c>
    </row>
    <row r="1471" hidden="1" s="150">
      <c r="A1471" t="inlineStr">
        <is>
          <t>ORODRIGUEF</t>
        </is>
      </c>
      <c r="B1471" t="n">
        <v>3826</v>
      </c>
      <c r="C1471" t="inlineStr">
        <is>
          <t>OSVALDO RODRIGUEZ FERNANDEZ</t>
        </is>
      </c>
      <c r="D1471" t="n">
        <v>8250</v>
      </c>
      <c r="E1471" t="inlineStr">
        <is>
          <t>ARQUITECTO DE SOLUCIONES</t>
        </is>
      </c>
      <c r="F1471" t="inlineStr">
        <is>
          <t>MEXICO</t>
        </is>
      </c>
      <c r="G1471" t="n">
        <v>3492</v>
      </c>
      <c r="H1471" t="inlineStr">
        <is>
          <t>LUIS ANTONIO VILLAFAÑA GRANADOS</t>
        </is>
      </c>
      <c r="I1471" t="n">
        <v>8458</v>
      </c>
      <c r="J1471" t="inlineStr">
        <is>
          <t>DIRECTOR DE ARQUITECTURA TI</t>
        </is>
      </c>
      <c r="K1471" t="n">
        <v>1</v>
      </c>
      <c r="L1471" t="inlineStr">
        <is>
          <t>PRESIDENCIA EJECUTIVA DEL CONSEJO</t>
        </is>
      </c>
      <c r="M1471" t="n">
        <v>40</v>
      </c>
      <c r="N1471" t="inlineStr">
        <is>
          <t>DIRECCION GENERAL BANCO BASE</t>
        </is>
      </c>
      <c r="O1471" t="n">
        <v>310</v>
      </c>
      <c r="P1471" t="inlineStr">
        <is>
          <t>DIRECCION DE TECNOLOGIA</t>
        </is>
      </c>
      <c r="Q1471" t="n">
        <v>3180</v>
      </c>
      <c r="R1471" t="inlineStr">
        <is>
          <t>DIRECCION DE ARQUITECTURA TI</t>
        </is>
      </c>
      <c r="S1471" t="n">
        <v>31800</v>
      </c>
      <c r="T1471" t="inlineStr">
        <is>
          <t>DIRECCION DE ARQUITECTURA TI</t>
        </is>
      </c>
      <c r="U1471" t="n">
        <v>318000</v>
      </c>
      <c r="V1471" t="inlineStr">
        <is>
          <t>DIRECCION DE ARQUITECTURA TI</t>
        </is>
      </c>
      <c r="W1471" t="n">
        <v>134111</v>
      </c>
      <c r="X1471" t="inlineStr">
        <is>
          <t>LOMAS</t>
        </is>
      </c>
      <c r="Y1471" t="n">
        <v>4</v>
      </c>
      <c r="Z1471" t="inlineStr">
        <is>
          <t>CORPORATIVO</t>
        </is>
      </c>
      <c r="AA1471" t="n">
        <v>1</v>
      </c>
      <c r="AB1471" t="inlineStr">
        <is>
          <t>NEGOCIO EN MARCHA</t>
        </is>
      </c>
      <c r="AC1471" t="n">
        <v>1</v>
      </c>
      <c r="AD1471" t="inlineStr">
        <is>
          <t>BANCO</t>
        </is>
      </c>
      <c r="AE1471" t="n">
        <v>1</v>
      </c>
      <c r="AF1471" t="inlineStr">
        <is>
          <t>BACK</t>
        </is>
      </c>
      <c r="AG1471" t="n">
        <v>134111</v>
      </c>
      <c r="AH1471" t="inlineStr">
        <is>
          <t>LOMAS</t>
        </is>
      </c>
      <c r="AI1471" t="inlineStr">
        <is>
          <t>ORODRIGUEF@BANCOBASE.COM</t>
        </is>
      </c>
      <c r="AJ1471" s="151" t="n">
        <v>46128</v>
      </c>
    </row>
    <row r="1472" hidden="1" s="150">
      <c r="A1472" t="inlineStr">
        <is>
          <t>AELIEZER</t>
        </is>
      </c>
      <c r="B1472" t="n">
        <v>3154</v>
      </c>
      <c r="C1472" t="inlineStr">
        <is>
          <t>ANTONIO ELIEZER UH HAU</t>
        </is>
      </c>
      <c r="D1472" t="n">
        <v>8374</v>
      </c>
      <c r="E1472" t="inlineStr">
        <is>
          <t>ARQUITECTO CLOUD</t>
        </is>
      </c>
      <c r="F1472" t="inlineStr">
        <is>
          <t>CANCUN</t>
        </is>
      </c>
      <c r="G1472" t="n">
        <v>3492</v>
      </c>
      <c r="H1472" t="inlineStr">
        <is>
          <t>LUIS ANTONIO VILLAFAÑA GRANADOS</t>
        </is>
      </c>
      <c r="I1472" t="n">
        <v>8458</v>
      </c>
      <c r="J1472" t="inlineStr">
        <is>
          <t>DIRECTOR DE ARQUITECTURA TI</t>
        </is>
      </c>
      <c r="K1472" t="n">
        <v>1</v>
      </c>
      <c r="L1472" t="inlineStr">
        <is>
          <t>PRESIDENCIA EJECUTIVA DEL CONSEJO</t>
        </is>
      </c>
      <c r="M1472" t="n">
        <v>40</v>
      </c>
      <c r="N1472" t="inlineStr">
        <is>
          <t>DIRECCION GENERAL BANCO BASE</t>
        </is>
      </c>
      <c r="O1472" t="n">
        <v>310</v>
      </c>
      <c r="P1472" t="inlineStr">
        <is>
          <t>DIRECCION DE TECNOLOGIA</t>
        </is>
      </c>
      <c r="Q1472" t="n">
        <v>3180</v>
      </c>
      <c r="R1472" t="inlineStr">
        <is>
          <t>DIRECCION DE ARQUITECTURA TI</t>
        </is>
      </c>
      <c r="S1472" t="n">
        <v>31800</v>
      </c>
      <c r="T1472" t="inlineStr">
        <is>
          <t>DIRECCION DE ARQUITECTURA TI</t>
        </is>
      </c>
      <c r="U1472" t="n">
        <v>318000</v>
      </c>
      <c r="V1472" t="inlineStr">
        <is>
          <t>DIRECCION DE ARQUITECTURA TI</t>
        </is>
      </c>
      <c r="W1472" t="n">
        <v>126121</v>
      </c>
      <c r="X1472" t="inlineStr">
        <is>
          <t>CANCUN</t>
        </is>
      </c>
      <c r="Y1472" t="n">
        <v>4</v>
      </c>
      <c r="Z1472" t="inlineStr">
        <is>
          <t>CORPORATIVO</t>
        </is>
      </c>
      <c r="AA1472" t="n">
        <v>8</v>
      </c>
      <c r="AB1472" t="inlineStr">
        <is>
          <t>BAU</t>
        </is>
      </c>
      <c r="AC1472" t="n">
        <v>1</v>
      </c>
      <c r="AD1472" t="inlineStr">
        <is>
          <t>BANCO</t>
        </is>
      </c>
      <c r="AE1472" t="n">
        <v>1</v>
      </c>
      <c r="AF1472" t="inlineStr">
        <is>
          <t>BACK</t>
        </is>
      </c>
      <c r="AG1472" t="n">
        <v>126121</v>
      </c>
      <c r="AH1472" t="inlineStr">
        <is>
          <t>CANCUN</t>
        </is>
      </c>
      <c r="AI1472" t="inlineStr">
        <is>
          <t>AELIEZER@BANCOBASE.COM</t>
        </is>
      </c>
      <c r="AJ1472" s="151" t="n">
        <v>45474</v>
      </c>
    </row>
    <row r="1473" hidden="1" s="150">
      <c r="A1473" t="inlineStr">
        <is>
          <t>GYANEZ</t>
        </is>
      </c>
      <c r="B1473" t="n">
        <v>3859</v>
      </c>
      <c r="C1473" t="inlineStr">
        <is>
          <t>GUSTAVO YAÑEZ TREJO</t>
        </is>
      </c>
      <c r="D1473" t="n">
        <v>5093</v>
      </c>
      <c r="E1473" t="inlineStr">
        <is>
          <t>INGENIERO DE NUBE</t>
        </is>
      </c>
      <c r="F1473" t="inlineStr">
        <is>
          <t>TELETRABAJO</t>
        </is>
      </c>
      <c r="G1473" t="n">
        <v>3154</v>
      </c>
      <c r="H1473" t="inlineStr">
        <is>
          <t>ANTONIO ELIEZER UH HAU</t>
        </is>
      </c>
      <c r="I1473" t="n">
        <v>8374</v>
      </c>
      <c r="J1473" t="inlineStr">
        <is>
          <t>ARQUITECTO CLOUD</t>
        </is>
      </c>
      <c r="K1473" t="n">
        <v>1</v>
      </c>
      <c r="L1473" t="inlineStr">
        <is>
          <t>PRESIDENCIA EJECUTIVA DEL CONSEJO</t>
        </is>
      </c>
      <c r="M1473" t="n">
        <v>30</v>
      </c>
      <c r="N1473" t="inlineStr">
        <is>
          <t>DIRECCION GENERAL ADJUNTA PRODUCTO Y TRANSFORMACIO</t>
        </is>
      </c>
      <c r="O1473" t="n">
        <v>301</v>
      </c>
      <c r="P1473" t="inlineStr">
        <is>
          <t>DOMINIO</t>
        </is>
      </c>
      <c r="Q1473" t="n">
        <v>3100</v>
      </c>
      <c r="R1473" t="inlineStr">
        <is>
          <t>DIRECCION DE TECNOLOGIA</t>
        </is>
      </c>
      <c r="S1473" t="n">
        <v>31800</v>
      </c>
      <c r="T1473" t="inlineStr">
        <is>
          <t>DIRECCION DE ARQUITECTURA TI</t>
        </is>
      </c>
      <c r="U1473" t="n">
        <v>301300</v>
      </c>
      <c r="V1473" t="inlineStr">
        <is>
          <t>EQUIPO HABILITADOR</t>
        </is>
      </c>
      <c r="W1473" t="n">
        <v>134111</v>
      </c>
      <c r="X1473" t="inlineStr">
        <is>
          <t>LOMAS</t>
        </is>
      </c>
      <c r="Y1473" t="n">
        <v>4</v>
      </c>
      <c r="Z1473" t="inlineStr">
        <is>
          <t>CORPORATIVO</t>
        </is>
      </c>
      <c r="AA1473" t="n">
        <v>11</v>
      </c>
      <c r="AB1473" t="inlineStr">
        <is>
          <t>DOMINIO HA</t>
        </is>
      </c>
      <c r="AC1473" t="n">
        <v>1</v>
      </c>
      <c r="AD1473" t="inlineStr">
        <is>
          <t>BANCO</t>
        </is>
      </c>
      <c r="AE1473" t="n">
        <v>1</v>
      </c>
      <c r="AF1473" t="inlineStr">
        <is>
          <t>BACK</t>
        </is>
      </c>
      <c r="AG1473" t="n">
        <v>134111</v>
      </c>
      <c r="AH1473" t="inlineStr">
        <is>
          <t>LOMAS</t>
        </is>
      </c>
      <c r="AI1473" t="inlineStr">
        <is>
          <t>GYANEZ@BANCOBASE.COM</t>
        </is>
      </c>
      <c r="AJ1473" s="151" t="n">
        <v>46149</v>
      </c>
    </row>
    <row r="1474" hidden="1" s="150">
      <c r="A1474" t="inlineStr">
        <is>
          <t>DAGUILAR</t>
        </is>
      </c>
      <c r="B1474" t="n">
        <v>2638</v>
      </c>
      <c r="C1474" t="inlineStr">
        <is>
          <t>DANIEL EDUARDO AGUILAR ZUÑIGA</t>
        </is>
      </c>
      <c r="D1474" t="n">
        <v>5103</v>
      </c>
      <c r="E1474" t="inlineStr">
        <is>
          <t>ARQUITECTO DE SOLUCIONES</t>
        </is>
      </c>
      <c r="F1474" t="inlineStr">
        <is>
          <t>MONTERREY</t>
        </is>
      </c>
      <c r="G1474" t="n">
        <v>3492</v>
      </c>
      <c r="H1474" t="inlineStr">
        <is>
          <t>LUIS ANTONIO VILLAFAÑA GRANADOS</t>
        </is>
      </c>
      <c r="I1474" t="n">
        <v>8458</v>
      </c>
      <c r="J1474" t="inlineStr">
        <is>
          <t>DIRECTOR DE ARQUITECTURA TI</t>
        </is>
      </c>
      <c r="K1474" t="n">
        <v>1</v>
      </c>
      <c r="L1474" t="inlineStr">
        <is>
          <t>PRESIDENCIA EJECUTIVA DEL CONSEJO</t>
        </is>
      </c>
      <c r="M1474" t="n">
        <v>30</v>
      </c>
      <c r="N1474" t="inlineStr">
        <is>
          <t>DIRECCION GENERAL ADJUNTA PRODUCTO Y TRANSFORMACIO</t>
        </is>
      </c>
      <c r="O1474" t="n">
        <v>301</v>
      </c>
      <c r="P1474" t="inlineStr">
        <is>
          <t>DOMINIO</t>
        </is>
      </c>
      <c r="Q1474" t="n">
        <v>3100</v>
      </c>
      <c r="R1474" t="inlineStr">
        <is>
          <t>DIRECCION DE TECNOLOGIA</t>
        </is>
      </c>
      <c r="S1474" t="n">
        <v>31800</v>
      </c>
      <c r="T1474" t="inlineStr">
        <is>
          <t>DIRECCION DE ARQUITECTURA TI</t>
        </is>
      </c>
      <c r="U1474" t="n">
        <v>301200</v>
      </c>
      <c r="V1474" t="inlineStr">
        <is>
          <t>DOMINIO HA</t>
        </is>
      </c>
      <c r="W1474" t="n">
        <v>100101</v>
      </c>
      <c r="X1474" t="inlineStr">
        <is>
          <t>CORPORATIVO</t>
        </is>
      </c>
      <c r="Y1474" t="n">
        <v>4</v>
      </c>
      <c r="Z1474" t="inlineStr">
        <is>
          <t>CORPORATIVO</t>
        </is>
      </c>
      <c r="AA1474" t="n">
        <v>11</v>
      </c>
      <c r="AB1474" t="inlineStr">
        <is>
          <t>DOMINIO HA</t>
        </is>
      </c>
      <c r="AC1474" t="n">
        <v>1</v>
      </c>
      <c r="AD1474" t="inlineStr">
        <is>
          <t>BANCO</t>
        </is>
      </c>
      <c r="AE1474" t="n">
        <v>1</v>
      </c>
      <c r="AF1474" t="inlineStr">
        <is>
          <t>BACK</t>
        </is>
      </c>
      <c r="AG1474" t="n">
        <v>100101</v>
      </c>
      <c r="AH1474" t="inlineStr">
        <is>
          <t>CORPORATIVO</t>
        </is>
      </c>
      <c r="AI1474" t="inlineStr">
        <is>
          <t>DAGUILAR@BANCOBASE.COM</t>
        </is>
      </c>
      <c r="AJ1474" s="151" t="n">
        <v>44669</v>
      </c>
    </row>
    <row r="1475" hidden="1" s="150">
      <c r="A1475" t="inlineStr">
        <is>
          <t>JLOZANOG</t>
        </is>
      </c>
      <c r="B1475" t="n">
        <v>891</v>
      </c>
      <c r="C1475" t="inlineStr">
        <is>
          <t>JEAN PAUL LOZANO GAMIZ</t>
        </is>
      </c>
      <c r="D1475" t="n">
        <v>10076</v>
      </c>
      <c r="E1475" t="inlineStr">
        <is>
          <t>DIRECTOR DE PROCESOS</t>
        </is>
      </c>
      <c r="F1475" t="inlineStr">
        <is>
          <t>MONTERREY</t>
        </is>
      </c>
      <c r="G1475" t="n">
        <v>3043</v>
      </c>
      <c r="H1475" t="inlineStr">
        <is>
          <t>PAOLA CAROLINA CANO CRUZ</t>
        </is>
      </c>
      <c r="I1475" t="n">
        <v>10402</v>
      </c>
      <c r="J1475" t="inlineStr">
        <is>
          <t>DIRECTOR DE TECNOLOGIA</t>
        </is>
      </c>
      <c r="K1475" t="n">
        <v>1</v>
      </c>
      <c r="L1475" t="inlineStr">
        <is>
          <t>PRESIDENCIA EJECUTIVA DEL CONSEJO</t>
        </is>
      </c>
      <c r="M1475" t="n">
        <v>40</v>
      </c>
      <c r="N1475" t="inlineStr">
        <is>
          <t>DIRECCION GENERAL BANCO BASE</t>
        </is>
      </c>
      <c r="O1475" t="n">
        <v>310</v>
      </c>
      <c r="P1475" t="inlineStr">
        <is>
          <t>DIRECCION DE TECNOLOGIA</t>
        </is>
      </c>
      <c r="Q1475" t="n">
        <v>3171</v>
      </c>
      <c r="R1475" t="inlineStr">
        <is>
          <t>DIRECCION DE PROCESOS</t>
        </is>
      </c>
      <c r="S1475" t="n">
        <v>31710</v>
      </c>
      <c r="T1475" t="inlineStr">
        <is>
          <t>DIRECCION DE PROCESOS</t>
        </is>
      </c>
      <c r="U1475" t="n">
        <v>317100</v>
      </c>
      <c r="V1475" t="inlineStr">
        <is>
          <t>BPM</t>
        </is>
      </c>
      <c r="W1475" t="n">
        <v>100101</v>
      </c>
      <c r="X1475" t="inlineStr">
        <is>
          <t>CORPORATIVO</t>
        </is>
      </c>
      <c r="Y1475" t="n">
        <v>4</v>
      </c>
      <c r="Z1475" t="inlineStr">
        <is>
          <t>CORPORATIVO</t>
        </is>
      </c>
      <c r="AA1475" t="n">
        <v>10</v>
      </c>
      <c r="AB1475" t="inlineStr">
        <is>
          <t>BPM</t>
        </is>
      </c>
      <c r="AC1475" t="n">
        <v>1</v>
      </c>
      <c r="AD1475" t="inlineStr">
        <is>
          <t>BANCO</t>
        </is>
      </c>
      <c r="AE1475" t="n">
        <v>1</v>
      </c>
      <c r="AF1475" t="inlineStr">
        <is>
          <t>BACK</t>
        </is>
      </c>
      <c r="AG1475" t="n">
        <v>100101</v>
      </c>
      <c r="AH1475" t="inlineStr">
        <is>
          <t>CORPORATIVO</t>
        </is>
      </c>
      <c r="AI1475" t="inlineStr">
        <is>
          <t>JLOZANOG@BANCOBASE.COM</t>
        </is>
      </c>
      <c r="AJ1475" s="151" t="n">
        <v>41045</v>
      </c>
    </row>
    <row r="1476" hidden="1" s="150">
      <c r="A1476" t="inlineStr">
        <is>
          <t>JGARCIAB</t>
        </is>
      </c>
      <c r="B1476" t="n">
        <v>1996</v>
      </c>
      <c r="C1476" t="inlineStr">
        <is>
          <t>JOSE LUIS GARCIA BAUTISTA</t>
        </is>
      </c>
      <c r="D1476" t="n">
        <v>10229</v>
      </c>
      <c r="E1476" t="inlineStr">
        <is>
          <t>SUBDIRECTOR DE PROCESOS OPERATIVOS</t>
        </is>
      </c>
      <c r="F1476" t="inlineStr">
        <is>
          <t>TELETRABAJO</t>
        </is>
      </c>
      <c r="G1476" t="n">
        <v>891</v>
      </c>
      <c r="H1476" t="inlineStr">
        <is>
          <t>JEAN PAUL LOZANO GAMIZ</t>
        </is>
      </c>
      <c r="I1476" t="n">
        <v>10076</v>
      </c>
      <c r="J1476" t="inlineStr">
        <is>
          <t>DIRECTOR DE PROCESOS</t>
        </is>
      </c>
      <c r="K1476" t="n">
        <v>1</v>
      </c>
      <c r="L1476" t="inlineStr">
        <is>
          <t>PRESIDENCIA EJECUTIVA DEL CONSEJO</t>
        </is>
      </c>
      <c r="M1476" t="n">
        <v>40</v>
      </c>
      <c r="N1476" t="inlineStr">
        <is>
          <t>DIRECCION GENERAL BANCO BASE</t>
        </is>
      </c>
      <c r="O1476" t="n">
        <v>310</v>
      </c>
      <c r="P1476" t="inlineStr">
        <is>
          <t>DIRECCION DE TECNOLOGIA</t>
        </is>
      </c>
      <c r="Q1476" t="n">
        <v>3171</v>
      </c>
      <c r="R1476" t="inlineStr">
        <is>
          <t>DIRECCION DE PROCESOS</t>
        </is>
      </c>
      <c r="S1476" t="n">
        <v>31712</v>
      </c>
      <c r="T1476" t="inlineStr">
        <is>
          <t>SUBDIRECCION DE PROCESOS OPERATIVOS</t>
        </is>
      </c>
      <c r="U1476" t="n">
        <v>317100</v>
      </c>
      <c r="V1476" t="inlineStr">
        <is>
          <t>BPM</t>
        </is>
      </c>
      <c r="W1476" t="n">
        <v>100101</v>
      </c>
      <c r="X1476" t="inlineStr">
        <is>
          <t>CORPORATIVO</t>
        </is>
      </c>
      <c r="Y1476" t="n">
        <v>4</v>
      </c>
      <c r="Z1476" t="inlineStr">
        <is>
          <t>CORPORATIVO</t>
        </is>
      </c>
      <c r="AA1476" t="n">
        <v>10</v>
      </c>
      <c r="AB1476" t="inlineStr">
        <is>
          <t>BPM</t>
        </is>
      </c>
      <c r="AC1476" t="n">
        <v>1</v>
      </c>
      <c r="AD1476" t="inlineStr">
        <is>
          <t>BANCO</t>
        </is>
      </c>
      <c r="AE1476" t="n">
        <v>1</v>
      </c>
      <c r="AF1476" t="inlineStr">
        <is>
          <t>BACK</t>
        </is>
      </c>
      <c r="AG1476" t="n">
        <v>100101</v>
      </c>
      <c r="AH1476" t="inlineStr">
        <is>
          <t>CORPORATIVO</t>
        </is>
      </c>
      <c r="AI1476" t="inlineStr">
        <is>
          <t>JGARCIAB@BANCOBASE.COM</t>
        </is>
      </c>
      <c r="AJ1476" s="151" t="n">
        <v>43222</v>
      </c>
    </row>
    <row r="1477" hidden="1" s="150">
      <c r="A1477" t="inlineStr">
        <is>
          <t>FANGEL</t>
        </is>
      </c>
      <c r="B1477" t="n">
        <v>2404</v>
      </c>
      <c r="C1477" t="inlineStr">
        <is>
          <t>FRANCISCO JAVIER ANGEL LEAL</t>
        </is>
      </c>
      <c r="D1477" t="n">
        <v>10301</v>
      </c>
      <c r="E1477" t="inlineStr">
        <is>
          <t>GERENTE DE INGENIERIA DE PROCESOS</t>
        </is>
      </c>
      <c r="F1477" t="inlineStr">
        <is>
          <t>TELETRABAJO</t>
        </is>
      </c>
      <c r="G1477" t="n">
        <v>1996</v>
      </c>
      <c r="H1477" t="inlineStr">
        <is>
          <t>JOSE LUIS GARCIA BAUTISTA</t>
        </is>
      </c>
      <c r="I1477" t="n">
        <v>10229</v>
      </c>
      <c r="J1477" t="inlineStr">
        <is>
          <t>SUBDIRECTOR DE PROCESOS OPERATIVOS</t>
        </is>
      </c>
      <c r="K1477" t="n">
        <v>1</v>
      </c>
      <c r="L1477" t="inlineStr">
        <is>
          <t>PRESIDENCIA EJECUTIVA DEL CONSEJO</t>
        </is>
      </c>
      <c r="M1477" t="n">
        <v>40</v>
      </c>
      <c r="N1477" t="inlineStr">
        <is>
          <t>DIRECCION GENERAL BANCO BASE</t>
        </is>
      </c>
      <c r="O1477" t="n">
        <v>310</v>
      </c>
      <c r="P1477" t="inlineStr">
        <is>
          <t>DIRECCION DE TECNOLOGIA</t>
        </is>
      </c>
      <c r="Q1477" t="n">
        <v>3171</v>
      </c>
      <c r="R1477" t="inlineStr">
        <is>
          <t>DIRECCION DE PROCESOS</t>
        </is>
      </c>
      <c r="S1477" t="n">
        <v>31712</v>
      </c>
      <c r="T1477" t="inlineStr">
        <is>
          <t>SUBDIRECCION DE PROCESOS OPERATIVOS</t>
        </is>
      </c>
      <c r="U1477" t="n">
        <v>317100</v>
      </c>
      <c r="V1477" t="inlineStr">
        <is>
          <t>BPM</t>
        </is>
      </c>
      <c r="W1477" t="n">
        <v>100101</v>
      </c>
      <c r="X1477" t="inlineStr">
        <is>
          <t>CORPORATIVO</t>
        </is>
      </c>
      <c r="Y1477" t="n">
        <v>4</v>
      </c>
      <c r="Z1477" t="inlineStr">
        <is>
          <t>CORPORATIVO</t>
        </is>
      </c>
      <c r="AA1477" t="n">
        <v>10</v>
      </c>
      <c r="AB1477" t="inlineStr">
        <is>
          <t>BPM</t>
        </is>
      </c>
      <c r="AC1477" t="n">
        <v>1</v>
      </c>
      <c r="AD1477" t="inlineStr">
        <is>
          <t>BANCO</t>
        </is>
      </c>
      <c r="AE1477" t="n">
        <v>1</v>
      </c>
      <c r="AF1477" t="inlineStr">
        <is>
          <t>BACK</t>
        </is>
      </c>
      <c r="AG1477" t="n">
        <v>100101</v>
      </c>
      <c r="AH1477" t="inlineStr">
        <is>
          <t>CORPORATIVO</t>
        </is>
      </c>
      <c r="AI1477" t="inlineStr">
        <is>
          <t>FANGEL@BANCOBASE.COM</t>
        </is>
      </c>
      <c r="AJ1477" s="151" t="n">
        <v>43922</v>
      </c>
    </row>
    <row r="1478" hidden="1" s="150">
      <c r="A1478" t="inlineStr">
        <is>
          <t>ALOPEZSO</t>
        </is>
      </c>
      <c r="B1478" t="n">
        <v>2985</v>
      </c>
      <c r="C1478" t="inlineStr">
        <is>
          <t>CARLOS ALBERTO LOPEZ SOLIS</t>
        </is>
      </c>
      <c r="D1478" t="n">
        <v>8227</v>
      </c>
      <c r="E1478" t="inlineStr">
        <is>
          <t>INGENIERO DE PROCESOS</t>
        </is>
      </c>
      <c r="F1478" t="inlineStr">
        <is>
          <t>TELETRABAJO</t>
        </is>
      </c>
      <c r="G1478" t="n">
        <v>2404</v>
      </c>
      <c r="H1478" t="inlineStr">
        <is>
          <t>FRANCISCO JAVIER ANGEL LEAL</t>
        </is>
      </c>
      <c r="I1478" t="n">
        <v>10301</v>
      </c>
      <c r="J1478" t="inlineStr">
        <is>
          <t>GERENTE DE INGENIERIA DE PROCESOS</t>
        </is>
      </c>
      <c r="K1478" t="n">
        <v>1</v>
      </c>
      <c r="L1478" t="inlineStr">
        <is>
          <t>PRESIDENCIA EJECUTIVA DEL CONSEJO</t>
        </is>
      </c>
      <c r="M1478" t="n">
        <v>40</v>
      </c>
      <c r="N1478" t="inlineStr">
        <is>
          <t>DIRECCION GENERAL BANCO BASE</t>
        </is>
      </c>
      <c r="O1478" t="n">
        <v>310</v>
      </c>
      <c r="P1478" t="inlineStr">
        <is>
          <t>DIRECCION DE TECNOLOGIA</t>
        </is>
      </c>
      <c r="Q1478" t="n">
        <v>3171</v>
      </c>
      <c r="R1478" t="inlineStr">
        <is>
          <t>DIRECCION DE PROCESOS</t>
        </is>
      </c>
      <c r="S1478" t="n">
        <v>31712</v>
      </c>
      <c r="T1478" t="inlineStr">
        <is>
          <t>SUBDIRECCION DE PROCESOS OPERATIVOS</t>
        </is>
      </c>
      <c r="U1478" t="n">
        <v>317100</v>
      </c>
      <c r="V1478" t="inlineStr">
        <is>
          <t>BPM</t>
        </is>
      </c>
      <c r="W1478" t="n">
        <v>100101</v>
      </c>
      <c r="X1478" t="inlineStr">
        <is>
          <t>CORPORATIVO</t>
        </is>
      </c>
      <c r="Y1478" t="n">
        <v>4</v>
      </c>
      <c r="Z1478" t="inlineStr">
        <is>
          <t>CORPORATIVO</t>
        </is>
      </c>
      <c r="AA1478" t="n">
        <v>10</v>
      </c>
      <c r="AB1478" t="inlineStr">
        <is>
          <t>BPM</t>
        </is>
      </c>
      <c r="AC1478" t="n">
        <v>1</v>
      </c>
      <c r="AD1478" t="inlineStr">
        <is>
          <t>BANCO</t>
        </is>
      </c>
      <c r="AE1478" t="n">
        <v>1</v>
      </c>
      <c r="AF1478" t="inlineStr">
        <is>
          <t>BACK</t>
        </is>
      </c>
      <c r="AG1478" t="n">
        <v>100101</v>
      </c>
      <c r="AH1478" t="inlineStr">
        <is>
          <t>CORPORATIVO</t>
        </is>
      </c>
      <c r="AI1478" t="inlineStr">
        <is>
          <t>ALOPEZSO@BANCOBASE.COM</t>
        </is>
      </c>
      <c r="AJ1478" s="151" t="n">
        <v>45246</v>
      </c>
    </row>
    <row r="1479" hidden="1" s="150">
      <c r="A1479" t="inlineStr">
        <is>
          <t>ANUNEZL</t>
        </is>
      </c>
      <c r="B1479" t="n">
        <v>3594</v>
      </c>
      <c r="C1479" t="inlineStr">
        <is>
          <t>AURORA EVANGELINA NUÑEZ LOPEZ</t>
        </is>
      </c>
      <c r="D1479" t="n">
        <v>8832</v>
      </c>
      <c r="E1479" t="inlineStr">
        <is>
          <t>INGENIERO DE PROCESOS</t>
        </is>
      </c>
      <c r="F1479" t="inlineStr">
        <is>
          <t>TELETRABAJO</t>
        </is>
      </c>
      <c r="G1479" t="n">
        <v>2404</v>
      </c>
      <c r="H1479" t="inlineStr">
        <is>
          <t>FRANCISCO JAVIER ANGEL LEAL</t>
        </is>
      </c>
      <c r="I1479" t="n">
        <v>10301</v>
      </c>
      <c r="J1479" t="inlineStr">
        <is>
          <t>GERENTE DE INGENIERIA DE PROCESOS</t>
        </is>
      </c>
      <c r="K1479" t="n">
        <v>1</v>
      </c>
      <c r="L1479" t="inlineStr">
        <is>
          <t>PRESIDENCIA EJECUTIVA DEL CONSEJO</t>
        </is>
      </c>
      <c r="M1479" t="n">
        <v>40</v>
      </c>
      <c r="N1479" t="inlineStr">
        <is>
          <t>DIRECCION GENERAL BANCO BASE</t>
        </is>
      </c>
      <c r="O1479" t="n">
        <v>310</v>
      </c>
      <c r="P1479" t="inlineStr">
        <is>
          <t>DIRECCION DE TECNOLOGIA</t>
        </is>
      </c>
      <c r="Q1479" t="n">
        <v>3171</v>
      </c>
      <c r="R1479" t="inlineStr">
        <is>
          <t>DIRECCION DE PROCESOS</t>
        </is>
      </c>
      <c r="S1479" t="n">
        <v>31712</v>
      </c>
      <c r="T1479" t="inlineStr">
        <is>
          <t>SUBDIRECCION DE PROCESOS OPERATIVOS</t>
        </is>
      </c>
      <c r="U1479" t="n">
        <v>317100</v>
      </c>
      <c r="V1479" t="inlineStr">
        <is>
          <t>BPM</t>
        </is>
      </c>
      <c r="W1479" t="n">
        <v>126113</v>
      </c>
      <c r="X1479" t="inlineStr">
        <is>
          <t>REYNOSA</t>
        </is>
      </c>
      <c r="Y1479" t="n">
        <v>4</v>
      </c>
      <c r="Z1479" t="inlineStr">
        <is>
          <t>CORPORATIVO</t>
        </is>
      </c>
      <c r="AA1479" t="n">
        <v>10</v>
      </c>
      <c r="AB1479" t="inlineStr">
        <is>
          <t>BPM</t>
        </is>
      </c>
      <c r="AC1479" t="n">
        <v>1</v>
      </c>
      <c r="AD1479" t="inlineStr">
        <is>
          <t>BANCO</t>
        </is>
      </c>
      <c r="AE1479" t="n">
        <v>1</v>
      </c>
      <c r="AF1479" t="inlineStr">
        <is>
          <t>BACK</t>
        </is>
      </c>
      <c r="AG1479" t="n">
        <v>126113</v>
      </c>
      <c r="AH1479" t="inlineStr">
        <is>
          <t>REYNOSA</t>
        </is>
      </c>
      <c r="AI1479" t="inlineStr">
        <is>
          <t>ANUNEZL@BANCOBASE.COM</t>
        </is>
      </c>
      <c r="AJ1479" s="151" t="n">
        <v>45931</v>
      </c>
    </row>
    <row r="1480" hidden="1" s="150">
      <c r="A1480" t="inlineStr">
        <is>
          <t>SRANGEL</t>
        </is>
      </c>
      <c r="B1480" t="n">
        <v>3286</v>
      </c>
      <c r="C1480" t="inlineStr">
        <is>
          <t>SERGIO ADRIAN RANGEL AGUILAR</t>
        </is>
      </c>
      <c r="D1480" t="n">
        <v>9037</v>
      </c>
      <c r="E1480" t="inlineStr">
        <is>
          <t>INGENIERO DE PROCESOS JR</t>
        </is>
      </c>
      <c r="F1480" t="inlineStr">
        <is>
          <t>TELETRABAJO</t>
        </is>
      </c>
      <c r="G1480" t="n">
        <v>2404</v>
      </c>
      <c r="H1480" t="inlineStr">
        <is>
          <t>FRANCISCO JAVIER ANGEL LEAL</t>
        </is>
      </c>
      <c r="I1480" t="n">
        <v>10301</v>
      </c>
      <c r="J1480" t="inlineStr">
        <is>
          <t>GERENTE DE INGENIERIA DE PROCESOS</t>
        </is>
      </c>
      <c r="K1480" t="n">
        <v>1</v>
      </c>
      <c r="L1480" t="inlineStr">
        <is>
          <t>PRESIDENCIA EJECUTIVA DEL CONSEJO</t>
        </is>
      </c>
      <c r="M1480" t="n">
        <v>40</v>
      </c>
      <c r="N1480" t="inlineStr">
        <is>
          <t>DIRECCION GENERAL BANCO BASE</t>
        </is>
      </c>
      <c r="O1480" t="n">
        <v>310</v>
      </c>
      <c r="P1480" t="inlineStr">
        <is>
          <t>DIRECCION DE TECNOLOGIA</t>
        </is>
      </c>
      <c r="Q1480" t="n">
        <v>3171</v>
      </c>
      <c r="R1480" t="inlineStr">
        <is>
          <t>DIRECCION DE PROCESOS</t>
        </is>
      </c>
      <c r="S1480" t="n">
        <v>31712</v>
      </c>
      <c r="T1480" t="inlineStr">
        <is>
          <t>SUBDIRECCION DE PROCESOS OPERATIVOS</t>
        </is>
      </c>
      <c r="U1480" t="n">
        <v>317100</v>
      </c>
      <c r="V1480" t="inlineStr">
        <is>
          <t>BPM</t>
        </is>
      </c>
      <c r="W1480" t="n">
        <v>100101</v>
      </c>
      <c r="X1480" t="inlineStr">
        <is>
          <t>CORPORATIVO</t>
        </is>
      </c>
      <c r="Y1480" t="n">
        <v>4</v>
      </c>
      <c r="Z1480" t="inlineStr">
        <is>
          <t>CORPORATIVO</t>
        </is>
      </c>
      <c r="AA1480" t="n">
        <v>10</v>
      </c>
      <c r="AB1480" t="inlineStr">
        <is>
          <t>BPM</t>
        </is>
      </c>
      <c r="AC1480" t="n">
        <v>1</v>
      </c>
      <c r="AD1480" t="inlineStr">
        <is>
          <t>BANCO</t>
        </is>
      </c>
      <c r="AE1480" t="n">
        <v>1</v>
      </c>
      <c r="AF1480" t="inlineStr">
        <is>
          <t>BACK</t>
        </is>
      </c>
      <c r="AG1480" t="n">
        <v>100101</v>
      </c>
      <c r="AH1480" t="inlineStr">
        <is>
          <t>CORPORATIVO</t>
        </is>
      </c>
      <c r="AI1480" t="inlineStr">
        <is>
          <t>SRANGEL@BANCOBASE.COM</t>
        </is>
      </c>
      <c r="AJ1480" s="151" t="n">
        <v>45628</v>
      </c>
    </row>
    <row r="1481" hidden="1" s="150">
      <c r="A1481" t="inlineStr">
        <is>
          <t>MROCHAB</t>
        </is>
      </c>
      <c r="B1481" t="n">
        <v>1130</v>
      </c>
      <c r="C1481" t="inlineStr">
        <is>
          <t>MARIO ALBERTO ROCHA BERNAL</t>
        </is>
      </c>
      <c r="D1481" t="n">
        <v>8926</v>
      </c>
      <c r="E1481" t="inlineStr">
        <is>
          <t>COORDINADOR DE INGENIERIA DE PROCESOS</t>
        </is>
      </c>
      <c r="F1481" t="inlineStr">
        <is>
          <t>TELETRABAJO</t>
        </is>
      </c>
      <c r="G1481" t="n">
        <v>1996</v>
      </c>
      <c r="H1481" t="inlineStr">
        <is>
          <t>JOSE LUIS GARCIA BAUTISTA</t>
        </is>
      </c>
      <c r="I1481" t="n">
        <v>10229</v>
      </c>
      <c r="J1481" t="inlineStr">
        <is>
          <t>SUBDIRECTOR DE PROCESOS OPERATIVOS</t>
        </is>
      </c>
      <c r="K1481" t="n">
        <v>1</v>
      </c>
      <c r="L1481" t="inlineStr">
        <is>
          <t>PRESIDENCIA EJECUTIVA DEL CONSEJO</t>
        </is>
      </c>
      <c r="M1481" t="n">
        <v>40</v>
      </c>
      <c r="N1481" t="inlineStr">
        <is>
          <t>DIRECCION GENERAL BANCO BASE</t>
        </is>
      </c>
      <c r="O1481" t="n">
        <v>310</v>
      </c>
      <c r="P1481" t="inlineStr">
        <is>
          <t>DIRECCION DE TECNOLOGIA</t>
        </is>
      </c>
      <c r="Q1481" t="n">
        <v>3171</v>
      </c>
      <c r="R1481" t="inlineStr">
        <is>
          <t>DIRECCION DE PROCESOS</t>
        </is>
      </c>
      <c r="S1481" t="n">
        <v>31712</v>
      </c>
      <c r="T1481" t="inlineStr">
        <is>
          <t>SUBDIRECCION DE PROCESOS OPERATIVOS</t>
        </is>
      </c>
      <c r="U1481" t="n">
        <v>317100</v>
      </c>
      <c r="V1481" t="inlineStr">
        <is>
          <t>BPM</t>
        </is>
      </c>
      <c r="W1481" t="n">
        <v>100101</v>
      </c>
      <c r="X1481" t="inlineStr">
        <is>
          <t>CORPORATIVO</t>
        </is>
      </c>
      <c r="Y1481" t="n">
        <v>4</v>
      </c>
      <c r="Z1481" t="inlineStr">
        <is>
          <t>CORPORATIVO</t>
        </is>
      </c>
      <c r="AA1481" t="n">
        <v>10</v>
      </c>
      <c r="AB1481" t="inlineStr">
        <is>
          <t>BPM</t>
        </is>
      </c>
      <c r="AC1481" t="n">
        <v>1</v>
      </c>
      <c r="AD1481" t="inlineStr">
        <is>
          <t>BANCO</t>
        </is>
      </c>
      <c r="AE1481" t="n">
        <v>1</v>
      </c>
      <c r="AF1481" t="inlineStr">
        <is>
          <t>BACK</t>
        </is>
      </c>
      <c r="AG1481" t="n">
        <v>100101</v>
      </c>
      <c r="AH1481" t="inlineStr">
        <is>
          <t>CORPORATIVO</t>
        </is>
      </c>
      <c r="AI1481" t="inlineStr">
        <is>
          <t>MROCHAB@BANCOBASE.COM</t>
        </is>
      </c>
      <c r="AJ1481" s="151" t="n">
        <v>41714</v>
      </c>
    </row>
    <row r="1482" hidden="1" s="150">
      <c r="A1482" t="inlineStr">
        <is>
          <t>TIZQUIERDO</t>
        </is>
      </c>
      <c r="B1482" t="n">
        <v>3596</v>
      </c>
      <c r="C1482" t="inlineStr">
        <is>
          <t>TOMAS IZQUIERDO MARTINEZ</t>
        </is>
      </c>
      <c r="D1482" t="n">
        <v>8833</v>
      </c>
      <c r="E1482" t="inlineStr">
        <is>
          <t>INGENIERO DE PROCESOS</t>
        </is>
      </c>
      <c r="F1482" t="inlineStr">
        <is>
          <t>TELETRABAJO</t>
        </is>
      </c>
      <c r="G1482" t="n">
        <v>1130</v>
      </c>
      <c r="H1482" t="inlineStr">
        <is>
          <t>MARIO ALBERTO ROCHA BERNAL</t>
        </is>
      </c>
      <c r="I1482" t="n">
        <v>8926</v>
      </c>
      <c r="J1482" t="inlineStr">
        <is>
          <t>COORDINADOR DE INGENIERIA DE PROCESOS</t>
        </is>
      </c>
      <c r="K1482" t="n">
        <v>1</v>
      </c>
      <c r="L1482" t="inlineStr">
        <is>
          <t>PRESIDENCIA EJECUTIVA DEL CONSEJO</t>
        </is>
      </c>
      <c r="M1482" t="n">
        <v>40</v>
      </c>
      <c r="N1482" t="inlineStr">
        <is>
          <t>DIRECCION GENERAL BANCO BASE</t>
        </is>
      </c>
      <c r="O1482" t="n">
        <v>310</v>
      </c>
      <c r="P1482" t="inlineStr">
        <is>
          <t>DIRECCION DE TECNOLOGIA</t>
        </is>
      </c>
      <c r="Q1482" t="n">
        <v>3171</v>
      </c>
      <c r="R1482" t="inlineStr">
        <is>
          <t>DIRECCION DE PROCESOS</t>
        </is>
      </c>
      <c r="S1482" t="n">
        <v>31712</v>
      </c>
      <c r="T1482" t="inlineStr">
        <is>
          <t>SUBDIRECCION DE PROCESOS OPERATIVOS</t>
        </is>
      </c>
      <c r="U1482" t="n">
        <v>317100</v>
      </c>
      <c r="V1482" t="inlineStr">
        <is>
          <t>BPM</t>
        </is>
      </c>
      <c r="W1482" t="n">
        <v>134111</v>
      </c>
      <c r="X1482" t="inlineStr">
        <is>
          <t>LOMAS</t>
        </is>
      </c>
      <c r="Y1482" t="n">
        <v>4</v>
      </c>
      <c r="Z1482" t="inlineStr">
        <is>
          <t>CORPORATIVO</t>
        </is>
      </c>
      <c r="AA1482" t="n">
        <v>10</v>
      </c>
      <c r="AB1482" t="inlineStr">
        <is>
          <t>BPM</t>
        </is>
      </c>
      <c r="AC1482" t="n">
        <v>1</v>
      </c>
      <c r="AD1482" t="inlineStr">
        <is>
          <t>BANCO</t>
        </is>
      </c>
      <c r="AE1482" t="n">
        <v>1</v>
      </c>
      <c r="AF1482" t="inlineStr">
        <is>
          <t>BACK</t>
        </is>
      </c>
      <c r="AG1482" t="n">
        <v>134111</v>
      </c>
      <c r="AH1482" t="inlineStr">
        <is>
          <t>LOMAS</t>
        </is>
      </c>
      <c r="AI1482" t="inlineStr">
        <is>
          <t>TIZQUIERDO@BANCOBASE.COM</t>
        </is>
      </c>
      <c r="AJ1482" s="151" t="n">
        <v>45931</v>
      </c>
    </row>
    <row r="1483" hidden="1" s="150">
      <c r="A1483" t="inlineStr">
        <is>
          <t>ATAMEZ</t>
        </is>
      </c>
      <c r="B1483" t="n">
        <v>3287</v>
      </c>
      <c r="C1483" t="inlineStr">
        <is>
          <t>ALAN EDUARDO TAMEZ CABELLO</t>
        </is>
      </c>
      <c r="D1483" t="n">
        <v>8472</v>
      </c>
      <c r="E1483" t="inlineStr">
        <is>
          <t>INGENIERO DE PROCESOS JR</t>
        </is>
      </c>
      <c r="F1483" t="inlineStr">
        <is>
          <t>TELETRABAJO</t>
        </is>
      </c>
      <c r="G1483" t="n">
        <v>1130</v>
      </c>
      <c r="H1483" t="inlineStr">
        <is>
          <t>MARIO ALBERTO ROCHA BERNAL</t>
        </is>
      </c>
      <c r="I1483" t="n">
        <v>8926</v>
      </c>
      <c r="J1483" t="inlineStr">
        <is>
          <t>COORDINADOR DE INGENIERIA DE PROCESOS</t>
        </is>
      </c>
      <c r="K1483" t="n">
        <v>1</v>
      </c>
      <c r="L1483" t="inlineStr">
        <is>
          <t>PRESIDENCIA EJECUTIVA DEL CONSEJO</t>
        </is>
      </c>
      <c r="M1483" t="n">
        <v>40</v>
      </c>
      <c r="N1483" t="inlineStr">
        <is>
          <t>DIRECCION GENERAL BANCO BASE</t>
        </is>
      </c>
      <c r="O1483" t="n">
        <v>310</v>
      </c>
      <c r="P1483" t="inlineStr">
        <is>
          <t>DIRECCION DE TECNOLOGIA</t>
        </is>
      </c>
      <c r="Q1483" t="n">
        <v>3171</v>
      </c>
      <c r="R1483" t="inlineStr">
        <is>
          <t>DIRECCION DE PROCESOS</t>
        </is>
      </c>
      <c r="S1483" t="n">
        <v>31712</v>
      </c>
      <c r="T1483" t="inlineStr">
        <is>
          <t>SUBDIRECCION DE PROCESOS OPERATIVOS</t>
        </is>
      </c>
      <c r="U1483" t="n">
        <v>317100</v>
      </c>
      <c r="V1483" t="inlineStr">
        <is>
          <t>BPM</t>
        </is>
      </c>
      <c r="W1483" t="n">
        <v>100101</v>
      </c>
      <c r="X1483" t="inlineStr">
        <is>
          <t>CORPORATIVO</t>
        </is>
      </c>
      <c r="Y1483" t="n">
        <v>4</v>
      </c>
      <c r="Z1483" t="inlineStr">
        <is>
          <t>CORPORATIVO</t>
        </is>
      </c>
      <c r="AA1483" t="n">
        <v>10</v>
      </c>
      <c r="AB1483" t="inlineStr">
        <is>
          <t>BPM</t>
        </is>
      </c>
      <c r="AC1483" t="n">
        <v>1</v>
      </c>
      <c r="AD1483" t="inlineStr">
        <is>
          <t>BANCO</t>
        </is>
      </c>
      <c r="AE1483" t="n">
        <v>1</v>
      </c>
      <c r="AF1483" t="inlineStr">
        <is>
          <t>BACK</t>
        </is>
      </c>
      <c r="AG1483" t="n">
        <v>100101</v>
      </c>
      <c r="AH1483" t="inlineStr">
        <is>
          <t>CORPORATIVO</t>
        </is>
      </c>
      <c r="AI1483" t="inlineStr">
        <is>
          <t>ATAMEZ@BANCOBASE.COM</t>
        </is>
      </c>
      <c r="AJ1483" s="151" t="n">
        <v>45628</v>
      </c>
    </row>
    <row r="1484" hidden="1" s="150">
      <c r="A1484" t="inlineStr">
        <is>
          <t>YMUNDO</t>
        </is>
      </c>
      <c r="B1484" t="n">
        <v>3066</v>
      </c>
      <c r="C1484" t="inlineStr">
        <is>
          <t>YAZMIN YUVIZEL MUNDO MEDINA</t>
        </is>
      </c>
      <c r="D1484" t="n">
        <v>9630</v>
      </c>
      <c r="E1484" t="inlineStr">
        <is>
          <t>COORDINADOR DE ANALISIS DE REQUERIMIENTOS</t>
        </is>
      </c>
      <c r="F1484" t="inlineStr">
        <is>
          <t>TELETRABAJO</t>
        </is>
      </c>
      <c r="G1484" t="n">
        <v>1996</v>
      </c>
      <c r="H1484" t="inlineStr">
        <is>
          <t>JOSE LUIS GARCIA BAUTISTA</t>
        </is>
      </c>
      <c r="I1484" t="n">
        <v>10229</v>
      </c>
      <c r="J1484" t="inlineStr">
        <is>
          <t>SUBDIRECTOR DE PROCESOS OPERATIVOS</t>
        </is>
      </c>
      <c r="K1484" t="n">
        <v>1</v>
      </c>
      <c r="L1484" t="inlineStr">
        <is>
          <t>PRESIDENCIA EJECUTIVA DEL CONSEJO</t>
        </is>
      </c>
      <c r="M1484" t="n">
        <v>40</v>
      </c>
      <c r="N1484" t="inlineStr">
        <is>
          <t>DIRECCION GENERAL BANCO BASE</t>
        </is>
      </c>
      <c r="O1484" t="n">
        <v>310</v>
      </c>
      <c r="P1484" t="inlineStr">
        <is>
          <t>DIRECCION DE TECNOLOGIA</t>
        </is>
      </c>
      <c r="Q1484" t="n">
        <v>3171</v>
      </c>
      <c r="R1484" t="inlineStr">
        <is>
          <t>DIRECCION DE PROCESOS</t>
        </is>
      </c>
      <c r="S1484" t="n">
        <v>31711</v>
      </c>
      <c r="T1484" t="inlineStr">
        <is>
          <t>CALIDAD Y ANALISIS DE REQUERIMIENTOS</t>
        </is>
      </c>
      <c r="U1484" t="n">
        <v>317100</v>
      </c>
      <c r="V1484" t="inlineStr">
        <is>
          <t>BPM</t>
        </is>
      </c>
      <c r="W1484" t="n">
        <v>100101</v>
      </c>
      <c r="X1484" t="inlineStr">
        <is>
          <t>CORPORATIVO</t>
        </is>
      </c>
      <c r="Y1484" t="n">
        <v>4</v>
      </c>
      <c r="Z1484" t="inlineStr">
        <is>
          <t>CORPORATIVO</t>
        </is>
      </c>
      <c r="AA1484" t="n">
        <v>10</v>
      </c>
      <c r="AB1484" t="inlineStr">
        <is>
          <t>BPM</t>
        </is>
      </c>
      <c r="AC1484" t="n">
        <v>1</v>
      </c>
      <c r="AD1484" t="inlineStr">
        <is>
          <t>BANCO</t>
        </is>
      </c>
      <c r="AE1484" t="n">
        <v>1</v>
      </c>
      <c r="AF1484" t="inlineStr">
        <is>
          <t>BACK</t>
        </is>
      </c>
      <c r="AG1484" t="n">
        <v>100101</v>
      </c>
      <c r="AH1484" t="inlineStr">
        <is>
          <t>CORPORATIVO</t>
        </is>
      </c>
      <c r="AI1484" t="inlineStr">
        <is>
          <t>YMUNDO@BANCOBASE.COM</t>
        </is>
      </c>
      <c r="AJ1484" s="151" t="n">
        <v>45383</v>
      </c>
    </row>
    <row r="1485" hidden="1" s="150">
      <c r="A1485" t="inlineStr">
        <is>
          <t>PRODRIGUEC</t>
        </is>
      </c>
      <c r="B1485" t="n">
        <v>3445</v>
      </c>
      <c r="C1485" t="inlineStr">
        <is>
          <t>PEDRO RODRIGUEZ CASAS</t>
        </is>
      </c>
      <c r="D1485" t="n">
        <v>8691</v>
      </c>
      <c r="E1485" t="inlineStr">
        <is>
          <t>ANALISIS DE REQUERIMIENTOS</t>
        </is>
      </c>
      <c r="F1485" t="inlineStr">
        <is>
          <t>TELETRABAJO</t>
        </is>
      </c>
      <c r="G1485" t="n">
        <v>3066</v>
      </c>
      <c r="H1485" t="inlineStr">
        <is>
          <t>YAZMIN YUVIZEL MUNDO MEDINA</t>
        </is>
      </c>
      <c r="I1485" t="n">
        <v>9630</v>
      </c>
      <c r="J1485" t="inlineStr">
        <is>
          <t>COORDINADOR DE ANALISIS DE REQUERIMIENTOS</t>
        </is>
      </c>
      <c r="K1485" t="n">
        <v>1</v>
      </c>
      <c r="L1485" t="inlineStr">
        <is>
          <t>PRESIDENCIA EJECUTIVA DEL CONSEJO</t>
        </is>
      </c>
      <c r="M1485" t="n">
        <v>40</v>
      </c>
      <c r="N1485" t="inlineStr">
        <is>
          <t>DIRECCION GENERAL BANCO BASE</t>
        </is>
      </c>
      <c r="O1485" t="n">
        <v>310</v>
      </c>
      <c r="P1485" t="inlineStr">
        <is>
          <t>DIRECCION DE TECNOLOGIA</t>
        </is>
      </c>
      <c r="Q1485" t="n">
        <v>3171</v>
      </c>
      <c r="R1485" t="inlineStr">
        <is>
          <t>DIRECCION DE PROCESOS</t>
        </is>
      </c>
      <c r="S1485" t="n">
        <v>31711</v>
      </c>
      <c r="T1485" t="inlineStr">
        <is>
          <t>CALIDAD Y ANALISIS DE REQUERIMIENTOS</t>
        </is>
      </c>
      <c r="U1485" t="n">
        <v>317100</v>
      </c>
      <c r="V1485" t="inlineStr">
        <is>
          <t>BPM</t>
        </is>
      </c>
      <c r="W1485" t="n">
        <v>100101</v>
      </c>
      <c r="X1485" t="inlineStr">
        <is>
          <t>CORPORATIVO</t>
        </is>
      </c>
      <c r="Y1485" t="n">
        <v>4</v>
      </c>
      <c r="Z1485" t="inlineStr">
        <is>
          <t>CORPORATIVO</t>
        </is>
      </c>
      <c r="AA1485" t="n">
        <v>10</v>
      </c>
      <c r="AB1485" t="inlineStr">
        <is>
          <t>BPM</t>
        </is>
      </c>
      <c r="AC1485" t="n">
        <v>1</v>
      </c>
      <c r="AD1485" t="inlineStr">
        <is>
          <t>BANCO</t>
        </is>
      </c>
      <c r="AE1485" t="n">
        <v>1</v>
      </c>
      <c r="AF1485" t="inlineStr">
        <is>
          <t>BACK</t>
        </is>
      </c>
      <c r="AG1485" t="n">
        <v>100101</v>
      </c>
      <c r="AH1485" t="inlineStr">
        <is>
          <t>CORPORATIVO</t>
        </is>
      </c>
      <c r="AI1485" t="inlineStr">
        <is>
          <t>PRODRIGUEC@BANCOBASE.COM</t>
        </is>
      </c>
      <c r="AJ1485" s="151" t="n">
        <v>45810</v>
      </c>
    </row>
    <row r="1486" hidden="1" s="150">
      <c r="A1486" t="inlineStr">
        <is>
          <t>SVAZQUEZH</t>
        </is>
      </c>
      <c r="B1486" t="n">
        <v>3421</v>
      </c>
      <c r="C1486" t="inlineStr">
        <is>
          <t>SAUL SHAOLIN VAZQUEZ HERNANDEZ</t>
        </is>
      </c>
      <c r="D1486" t="n">
        <v>8688</v>
      </c>
      <c r="E1486" t="inlineStr">
        <is>
          <t>ANALISIS DE REQUERIMIENTOS</t>
        </is>
      </c>
      <c r="F1486" t="inlineStr">
        <is>
          <t>TELETRABAJO</t>
        </is>
      </c>
      <c r="G1486" t="n">
        <v>3066</v>
      </c>
      <c r="H1486" t="inlineStr">
        <is>
          <t>YAZMIN YUVIZEL MUNDO MEDINA</t>
        </is>
      </c>
      <c r="I1486" t="n">
        <v>9630</v>
      </c>
      <c r="J1486" t="inlineStr">
        <is>
          <t>COORDINADOR DE ANALISIS DE REQUERIMIENTOS</t>
        </is>
      </c>
      <c r="K1486" t="n">
        <v>1</v>
      </c>
      <c r="L1486" t="inlineStr">
        <is>
          <t>PRESIDENCIA EJECUTIVA DEL CONSEJO</t>
        </is>
      </c>
      <c r="M1486" t="n">
        <v>40</v>
      </c>
      <c r="N1486" t="inlineStr">
        <is>
          <t>DIRECCION GENERAL BANCO BASE</t>
        </is>
      </c>
      <c r="O1486" t="n">
        <v>310</v>
      </c>
      <c r="P1486" t="inlineStr">
        <is>
          <t>DIRECCION DE TECNOLOGIA</t>
        </is>
      </c>
      <c r="Q1486" t="n">
        <v>3171</v>
      </c>
      <c r="R1486" t="inlineStr">
        <is>
          <t>DIRECCION DE PROCESOS</t>
        </is>
      </c>
      <c r="S1486" t="n">
        <v>31711</v>
      </c>
      <c r="T1486" t="inlineStr">
        <is>
          <t>CALIDAD Y ANALISIS DE REQUERIMIENTOS</t>
        </is>
      </c>
      <c r="U1486" t="n">
        <v>317100</v>
      </c>
      <c r="V1486" t="inlineStr">
        <is>
          <t>BPM</t>
        </is>
      </c>
      <c r="W1486" t="n">
        <v>100101</v>
      </c>
      <c r="X1486" t="inlineStr">
        <is>
          <t>CORPORATIVO</t>
        </is>
      </c>
      <c r="Y1486" t="n">
        <v>4</v>
      </c>
      <c r="Z1486" t="inlineStr">
        <is>
          <t>CORPORATIVO</t>
        </is>
      </c>
      <c r="AA1486" t="n">
        <v>10</v>
      </c>
      <c r="AB1486" t="inlineStr">
        <is>
          <t>BPM</t>
        </is>
      </c>
      <c r="AC1486" t="n">
        <v>1</v>
      </c>
      <c r="AD1486" t="inlineStr">
        <is>
          <t>BANCO</t>
        </is>
      </c>
      <c r="AE1486" t="n">
        <v>1</v>
      </c>
      <c r="AF1486" t="inlineStr">
        <is>
          <t>BACK</t>
        </is>
      </c>
      <c r="AG1486" t="n">
        <v>100101</v>
      </c>
      <c r="AH1486" t="inlineStr">
        <is>
          <t>CORPORATIVO</t>
        </is>
      </c>
      <c r="AI1486" t="inlineStr">
        <is>
          <t>SVAZQUEZH@BANCOBASE.COM</t>
        </is>
      </c>
      <c r="AJ1486" s="151" t="n">
        <v>45778</v>
      </c>
    </row>
    <row r="1487" hidden="1" s="150">
      <c r="A1487" t="inlineStr">
        <is>
          <t>MDELAFUENT</t>
        </is>
      </c>
      <c r="B1487" t="n">
        <v>3928</v>
      </c>
      <c r="C1487" t="inlineStr">
        <is>
          <t>MANUEL LEON DE LA FUENTE ARRIAGA</t>
        </is>
      </c>
      <c r="D1487" t="n">
        <v>10401</v>
      </c>
      <c r="E1487" t="inlineStr">
        <is>
          <t>ANALISIS DE REQUERIMIENTOS</t>
        </is>
      </c>
      <c r="F1487" t="inlineStr">
        <is>
          <t>TELETRABAJO</t>
        </is>
      </c>
      <c r="G1487" t="n">
        <v>3066</v>
      </c>
      <c r="H1487" t="inlineStr">
        <is>
          <t>YAZMIN YUVIZEL MUNDO MEDINA</t>
        </is>
      </c>
      <c r="I1487" t="n">
        <v>9630</v>
      </c>
      <c r="J1487" t="inlineStr">
        <is>
          <t>COORDINADOR DE ANALISIS DE REQUERIMIENTOS</t>
        </is>
      </c>
      <c r="K1487" t="n">
        <v>1</v>
      </c>
      <c r="L1487" t="inlineStr">
        <is>
          <t>PRESIDENCIA EJECUTIVA DEL CONSEJO</t>
        </is>
      </c>
      <c r="M1487" t="n">
        <v>40</v>
      </c>
      <c r="N1487" t="inlineStr">
        <is>
          <t>DIRECCION GENERAL BANCO BASE</t>
        </is>
      </c>
      <c r="O1487" t="n">
        <v>310</v>
      </c>
      <c r="P1487" t="inlineStr">
        <is>
          <t>DIRECCION DE TECNOLOGIA</t>
        </is>
      </c>
      <c r="Q1487" t="n">
        <v>3171</v>
      </c>
      <c r="R1487" t="inlineStr">
        <is>
          <t>DIRECCION DE PROCESOS</t>
        </is>
      </c>
      <c r="S1487" t="n">
        <v>31711</v>
      </c>
      <c r="T1487" t="inlineStr">
        <is>
          <t>CALIDAD Y ANALISIS DE REQUERIMIENTOS</t>
        </is>
      </c>
      <c r="U1487" t="n">
        <v>317100</v>
      </c>
      <c r="V1487" t="inlineStr">
        <is>
          <t>BPM</t>
        </is>
      </c>
      <c r="W1487" t="n">
        <v>100101</v>
      </c>
      <c r="X1487" t="inlineStr">
        <is>
          <t>CORPORATIVO</t>
        </is>
      </c>
      <c r="Y1487" t="n">
        <v>4</v>
      </c>
      <c r="Z1487" t="inlineStr">
        <is>
          <t>CORPORATIVO</t>
        </is>
      </c>
      <c r="AA1487" t="n">
        <v>10</v>
      </c>
      <c r="AB1487" t="inlineStr">
        <is>
          <t>BPM</t>
        </is>
      </c>
      <c r="AC1487" t="n">
        <v>1</v>
      </c>
      <c r="AD1487" t="inlineStr">
        <is>
          <t>BANCO</t>
        </is>
      </c>
      <c r="AE1487" t="n">
        <v>1</v>
      </c>
      <c r="AF1487" t="inlineStr">
        <is>
          <t>BACK</t>
        </is>
      </c>
      <c r="AG1487" t="n">
        <v>100101</v>
      </c>
      <c r="AH1487" t="inlineStr">
        <is>
          <t>CORPORATIVO</t>
        </is>
      </c>
      <c r="AI1487" t="inlineStr">
        <is>
          <t>MDELAFUENT@BANCOBASE.COM</t>
        </is>
      </c>
      <c r="AJ1487" s="151" t="n">
        <v>46209</v>
      </c>
    </row>
    <row r="1488" hidden="1" s="150">
      <c r="A1488" t="inlineStr">
        <is>
          <t>AMORALESG</t>
        </is>
      </c>
      <c r="B1488" t="n">
        <v>2581</v>
      </c>
      <c r="C1488" t="inlineStr">
        <is>
          <t>ALFREDO JOSE MORALES GALINDO</t>
        </is>
      </c>
      <c r="D1488" t="n">
        <v>8229</v>
      </c>
      <c r="E1488" t="inlineStr">
        <is>
          <t>SUBDIRECTOR DE EXCELENCIA OPERATIVA Y GOBIERNO</t>
        </is>
      </c>
      <c r="F1488" t="inlineStr">
        <is>
          <t>MONTERREY</t>
        </is>
      </c>
      <c r="G1488" t="n">
        <v>891</v>
      </c>
      <c r="H1488" t="inlineStr">
        <is>
          <t>JEAN PAUL LOZANO GAMIZ</t>
        </is>
      </c>
      <c r="I1488" t="n">
        <v>10076</v>
      </c>
      <c r="J1488" t="inlineStr">
        <is>
          <t>DIRECTOR DE PROCESOS</t>
        </is>
      </c>
      <c r="K1488" t="n">
        <v>1</v>
      </c>
      <c r="L1488" t="inlineStr">
        <is>
          <t>PRESIDENCIA EJECUTIVA DEL CONSEJO</t>
        </is>
      </c>
      <c r="M1488" t="n">
        <v>40</v>
      </c>
      <c r="N1488" t="inlineStr">
        <is>
          <t>DIRECCION GENERAL BANCO BASE</t>
        </is>
      </c>
      <c r="O1488" t="n">
        <v>310</v>
      </c>
      <c r="P1488" t="inlineStr">
        <is>
          <t>DIRECCION DE TECNOLOGIA</t>
        </is>
      </c>
      <c r="Q1488" t="n">
        <v>3171</v>
      </c>
      <c r="R1488" t="inlineStr">
        <is>
          <t>DIRECCION DE PROCESOS</t>
        </is>
      </c>
      <c r="S1488" t="n">
        <v>31714</v>
      </c>
      <c r="T1488" t="inlineStr">
        <is>
          <t>EXCELENCIA OPERATIVA Y GOBIERNO</t>
        </is>
      </c>
      <c r="U1488" t="n">
        <v>317100</v>
      </c>
      <c r="V1488" t="inlineStr">
        <is>
          <t>BPM</t>
        </is>
      </c>
      <c r="W1488" t="n">
        <v>100101</v>
      </c>
      <c r="X1488" t="inlineStr">
        <is>
          <t>CORPORATIVO</t>
        </is>
      </c>
      <c r="Y1488" t="n">
        <v>4</v>
      </c>
      <c r="Z1488" t="inlineStr">
        <is>
          <t>CORPORATIVO</t>
        </is>
      </c>
      <c r="AA1488" t="n">
        <v>10</v>
      </c>
      <c r="AB1488" t="inlineStr">
        <is>
          <t>BPM</t>
        </is>
      </c>
      <c r="AC1488" t="n">
        <v>1</v>
      </c>
      <c r="AD1488" t="inlineStr">
        <is>
          <t>BANCO</t>
        </is>
      </c>
      <c r="AE1488" t="n">
        <v>1</v>
      </c>
      <c r="AF1488" t="inlineStr">
        <is>
          <t>BACK</t>
        </is>
      </c>
      <c r="AG1488" t="n">
        <v>100101</v>
      </c>
      <c r="AH1488" t="inlineStr">
        <is>
          <t>CORPORATIVO</t>
        </is>
      </c>
      <c r="AI1488" t="inlineStr">
        <is>
          <t>AMORALESG@BANCOBASE.COM</t>
        </is>
      </c>
      <c r="AJ1488" s="151" t="n">
        <v>44522</v>
      </c>
    </row>
    <row r="1489" hidden="1" s="150">
      <c r="A1489" t="inlineStr">
        <is>
          <t>CMENDEZ</t>
        </is>
      </c>
      <c r="B1489" t="n">
        <v>3192</v>
      </c>
      <c r="C1489" t="inlineStr">
        <is>
          <t>CLAUDIA MENDEZ TORRES</t>
        </is>
      </c>
      <c r="D1489" t="n">
        <v>8188</v>
      </c>
      <c r="E1489" t="inlineStr">
        <is>
          <t>ESPECIALISTA DE EXCELENCIA OPERATIVA</t>
        </is>
      </c>
      <c r="F1489" t="inlineStr">
        <is>
          <t>TELETRABAJO</t>
        </is>
      </c>
      <c r="G1489" t="n">
        <v>2581</v>
      </c>
      <c r="H1489" t="inlineStr">
        <is>
          <t>ALFREDO JOSE MORALES GALINDO</t>
        </is>
      </c>
      <c r="I1489" t="n">
        <v>8229</v>
      </c>
      <c r="J1489" t="inlineStr">
        <is>
          <t>SUBDIRECTOR DE EXCELENCIA OPERATIVA Y GOBIERNO</t>
        </is>
      </c>
      <c r="K1489" t="n">
        <v>1</v>
      </c>
      <c r="L1489" t="inlineStr">
        <is>
          <t>PRESIDENCIA EJECUTIVA DEL CONSEJO</t>
        </is>
      </c>
      <c r="M1489" t="n">
        <v>40</v>
      </c>
      <c r="N1489" t="inlineStr">
        <is>
          <t>DIRECCION GENERAL BANCO BASE</t>
        </is>
      </c>
      <c r="O1489" t="n">
        <v>310</v>
      </c>
      <c r="P1489" t="inlineStr">
        <is>
          <t>DIRECCION DE TECNOLOGIA</t>
        </is>
      </c>
      <c r="Q1489" t="n">
        <v>3171</v>
      </c>
      <c r="R1489" t="inlineStr">
        <is>
          <t>DIRECCION DE PROCESOS</t>
        </is>
      </c>
      <c r="S1489" t="n">
        <v>31714</v>
      </c>
      <c r="T1489" t="inlineStr">
        <is>
          <t>EXCELENCIA OPERATIVA Y GOBIERNO</t>
        </is>
      </c>
      <c r="U1489" t="n">
        <v>317100</v>
      </c>
      <c r="V1489" t="inlineStr">
        <is>
          <t>BPM</t>
        </is>
      </c>
      <c r="W1489" t="n">
        <v>100101</v>
      </c>
      <c r="X1489" t="inlineStr">
        <is>
          <t>CORPORATIVO</t>
        </is>
      </c>
      <c r="Y1489" t="n">
        <v>4</v>
      </c>
      <c r="Z1489" t="inlineStr">
        <is>
          <t>CORPORATIVO</t>
        </is>
      </c>
      <c r="AA1489" t="n">
        <v>10</v>
      </c>
      <c r="AB1489" t="inlineStr">
        <is>
          <t>BPM</t>
        </is>
      </c>
      <c r="AC1489" t="n">
        <v>1</v>
      </c>
      <c r="AD1489" t="inlineStr">
        <is>
          <t>BANCO</t>
        </is>
      </c>
      <c r="AE1489" t="n">
        <v>1</v>
      </c>
      <c r="AF1489" t="inlineStr">
        <is>
          <t>BACK</t>
        </is>
      </c>
      <c r="AG1489" t="n">
        <v>100101</v>
      </c>
      <c r="AH1489" t="inlineStr">
        <is>
          <t>CORPORATIVO</t>
        </is>
      </c>
      <c r="AI1489" t="inlineStr">
        <is>
          <t>CMENDEZ@BANCOBASE.COM</t>
        </is>
      </c>
      <c r="AJ1489" s="151" t="n">
        <v>45537</v>
      </c>
    </row>
    <row r="1490" hidden="1" s="150">
      <c r="A1490" t="inlineStr">
        <is>
          <t>SVILLAGOME</t>
        </is>
      </c>
      <c r="B1490" t="n">
        <v>1251</v>
      </c>
      <c r="C1490" t="inlineStr">
        <is>
          <t>SERGIO ANTONIO VILLAGOMEZ VILLARREAL</t>
        </is>
      </c>
      <c r="D1490" t="n">
        <v>8293</v>
      </c>
      <c r="E1490" t="inlineStr">
        <is>
          <t>ESPECIALISTA DE EXCELENCIA OPERATIVA</t>
        </is>
      </c>
      <c r="F1490" t="inlineStr">
        <is>
          <t>TELETRABAJO</t>
        </is>
      </c>
      <c r="G1490" t="n">
        <v>2581</v>
      </c>
      <c r="H1490" t="inlineStr">
        <is>
          <t>ALFREDO JOSE MORALES GALINDO</t>
        </is>
      </c>
      <c r="I1490" t="n">
        <v>8229</v>
      </c>
      <c r="J1490" t="inlineStr">
        <is>
          <t>SUBDIRECTOR DE EXCELENCIA OPERATIVA Y GOBIERNO</t>
        </is>
      </c>
      <c r="K1490" t="n">
        <v>1</v>
      </c>
      <c r="L1490" t="inlineStr">
        <is>
          <t>PRESIDENCIA EJECUTIVA DEL CONSEJO</t>
        </is>
      </c>
      <c r="M1490" t="n">
        <v>40</v>
      </c>
      <c r="N1490" t="inlineStr">
        <is>
          <t>DIRECCION GENERAL BANCO BASE</t>
        </is>
      </c>
      <c r="O1490" t="n">
        <v>310</v>
      </c>
      <c r="P1490" t="inlineStr">
        <is>
          <t>DIRECCION DE TECNOLOGIA</t>
        </is>
      </c>
      <c r="Q1490" t="n">
        <v>3171</v>
      </c>
      <c r="R1490" t="inlineStr">
        <is>
          <t>DIRECCION DE PROCESOS</t>
        </is>
      </c>
      <c r="S1490" t="n">
        <v>31711</v>
      </c>
      <c r="T1490" t="inlineStr">
        <is>
          <t>CALIDAD Y ANALISIS DE REQUERIMIENTOS</t>
        </is>
      </c>
      <c r="U1490" t="n">
        <v>317100</v>
      </c>
      <c r="V1490" t="inlineStr">
        <is>
          <t>BPM</t>
        </is>
      </c>
      <c r="W1490" t="n">
        <v>100101</v>
      </c>
      <c r="X1490" t="inlineStr">
        <is>
          <t>CORPORATIVO</t>
        </is>
      </c>
      <c r="Y1490" t="n">
        <v>4</v>
      </c>
      <c r="Z1490" t="inlineStr">
        <is>
          <t>CORPORATIVO</t>
        </is>
      </c>
      <c r="AA1490" t="n">
        <v>10</v>
      </c>
      <c r="AB1490" t="inlineStr">
        <is>
          <t>BPM</t>
        </is>
      </c>
      <c r="AC1490" t="n">
        <v>1</v>
      </c>
      <c r="AD1490" t="inlineStr">
        <is>
          <t>BANCO</t>
        </is>
      </c>
      <c r="AE1490" t="n">
        <v>1</v>
      </c>
      <c r="AF1490" t="inlineStr">
        <is>
          <t>BACK</t>
        </is>
      </c>
      <c r="AG1490" t="n">
        <v>100101</v>
      </c>
      <c r="AH1490" t="inlineStr">
        <is>
          <t>CORPORATIVO</t>
        </is>
      </c>
      <c r="AI1490" t="inlineStr">
        <is>
          <t>SVILLAGOME@BANCOBASE.COM</t>
        </is>
      </c>
      <c r="AJ1490" s="151" t="n">
        <v>42038</v>
      </c>
    </row>
    <row r="1491" hidden="1" s="150">
      <c r="A1491" t="inlineStr">
        <is>
          <t>OARIAS</t>
        </is>
      </c>
      <c r="B1491" t="n">
        <v>2403</v>
      </c>
      <c r="C1491" t="inlineStr">
        <is>
          <t>OSCAR ALBERTO ARIAS RAMIREZ</t>
        </is>
      </c>
      <c r="D1491" t="n">
        <v>8292</v>
      </c>
      <c r="E1491" t="inlineStr">
        <is>
          <t>ESPECIALISTA DE EXCELENCIA OPERATIVA</t>
        </is>
      </c>
      <c r="F1491" t="inlineStr">
        <is>
          <t>TELETRABAJO</t>
        </is>
      </c>
      <c r="G1491" t="n">
        <v>2581</v>
      </c>
      <c r="H1491" t="inlineStr">
        <is>
          <t>ALFREDO JOSE MORALES GALINDO</t>
        </is>
      </c>
      <c r="I1491" t="n">
        <v>8229</v>
      </c>
      <c r="J1491" t="inlineStr">
        <is>
          <t>SUBDIRECTOR DE EXCELENCIA OPERATIVA Y GOBIERNO</t>
        </is>
      </c>
      <c r="K1491" t="n">
        <v>1</v>
      </c>
      <c r="L1491" t="inlineStr">
        <is>
          <t>PRESIDENCIA EJECUTIVA DEL CONSEJO</t>
        </is>
      </c>
      <c r="M1491" t="n">
        <v>40</v>
      </c>
      <c r="N1491" t="inlineStr">
        <is>
          <t>DIRECCION GENERAL BANCO BASE</t>
        </is>
      </c>
      <c r="O1491" t="n">
        <v>310</v>
      </c>
      <c r="P1491" t="inlineStr">
        <is>
          <t>DIRECCION DE TECNOLOGIA</t>
        </is>
      </c>
      <c r="Q1491" t="n">
        <v>3171</v>
      </c>
      <c r="R1491" t="inlineStr">
        <is>
          <t>DIRECCION DE PROCESOS</t>
        </is>
      </c>
      <c r="S1491" t="n">
        <v>31714</v>
      </c>
      <c r="T1491" t="inlineStr">
        <is>
          <t>EXCELENCIA OPERATIVA Y GOBIERNO</t>
        </is>
      </c>
      <c r="U1491" t="n">
        <v>317100</v>
      </c>
      <c r="V1491" t="inlineStr">
        <is>
          <t>BPM</t>
        </is>
      </c>
      <c r="W1491" t="n">
        <v>100101</v>
      </c>
      <c r="X1491" t="inlineStr">
        <is>
          <t>CORPORATIVO</t>
        </is>
      </c>
      <c r="Y1491" t="n">
        <v>4</v>
      </c>
      <c r="Z1491" t="inlineStr">
        <is>
          <t>CORPORATIVO</t>
        </is>
      </c>
      <c r="AA1491" t="n">
        <v>10</v>
      </c>
      <c r="AB1491" t="inlineStr">
        <is>
          <t>BPM</t>
        </is>
      </c>
      <c r="AC1491" t="n">
        <v>1</v>
      </c>
      <c r="AD1491" t="inlineStr">
        <is>
          <t>BANCO</t>
        </is>
      </c>
      <c r="AE1491" t="n">
        <v>1</v>
      </c>
      <c r="AF1491" t="inlineStr">
        <is>
          <t>BACK</t>
        </is>
      </c>
      <c r="AG1491" t="n">
        <v>100101</v>
      </c>
      <c r="AH1491" t="inlineStr">
        <is>
          <t>CORPORATIVO</t>
        </is>
      </c>
      <c r="AI1491" t="inlineStr">
        <is>
          <t>OARIAS@BANCOBASE.COM</t>
        </is>
      </c>
      <c r="AJ1491" s="151" t="n">
        <v>43906</v>
      </c>
    </row>
    <row r="1492" hidden="1" s="150">
      <c r="A1492" t="inlineStr">
        <is>
          <t>ECOLLADO</t>
        </is>
      </c>
      <c r="B1492" t="n">
        <v>1944</v>
      </c>
      <c r="C1492" t="inlineStr">
        <is>
          <t>EDGAR COLLADO VILLALOBOS</t>
        </is>
      </c>
      <c r="D1492" t="n">
        <v>10164</v>
      </c>
      <c r="E1492" t="inlineStr">
        <is>
          <t>ESPECIALISTA DE EXCELENCIA OPERATIVA</t>
        </is>
      </c>
      <c r="F1492" t="inlineStr">
        <is>
          <t>TELETRABAJO</t>
        </is>
      </c>
      <c r="G1492" t="n">
        <v>2581</v>
      </c>
      <c r="H1492" t="inlineStr">
        <is>
          <t>ALFREDO JOSE MORALES GALINDO</t>
        </is>
      </c>
      <c r="I1492" t="n">
        <v>8229</v>
      </c>
      <c r="J1492" t="inlineStr">
        <is>
          <t>SUBDIRECTOR DE EXCELENCIA OPERATIVA Y GOBIERNO</t>
        </is>
      </c>
      <c r="K1492" t="n">
        <v>1</v>
      </c>
      <c r="L1492" t="inlineStr">
        <is>
          <t>PRESIDENCIA EJECUTIVA DEL CONSEJO</t>
        </is>
      </c>
      <c r="M1492" t="n">
        <v>40</v>
      </c>
      <c r="N1492" t="inlineStr">
        <is>
          <t>DIRECCION GENERAL BANCO BASE</t>
        </is>
      </c>
      <c r="O1492" t="n">
        <v>310</v>
      </c>
      <c r="P1492" t="inlineStr">
        <is>
          <t>DIRECCION DE TECNOLOGIA</t>
        </is>
      </c>
      <c r="Q1492" t="n">
        <v>3171</v>
      </c>
      <c r="R1492" t="inlineStr">
        <is>
          <t>DIRECCION DE PROCESOS</t>
        </is>
      </c>
      <c r="S1492" t="n">
        <v>31711</v>
      </c>
      <c r="T1492" t="inlineStr">
        <is>
          <t>CALIDAD Y ANALISIS DE REQUERIMIENTOS</t>
        </is>
      </c>
      <c r="U1492" t="n">
        <v>317100</v>
      </c>
      <c r="V1492" t="inlineStr">
        <is>
          <t>BPM</t>
        </is>
      </c>
      <c r="W1492" t="n">
        <v>100101</v>
      </c>
      <c r="X1492" t="inlineStr">
        <is>
          <t>CORPORATIVO</t>
        </is>
      </c>
      <c r="Y1492" t="n">
        <v>4</v>
      </c>
      <c r="Z1492" t="inlineStr">
        <is>
          <t>CORPORATIVO</t>
        </is>
      </c>
      <c r="AA1492" t="n">
        <v>10</v>
      </c>
      <c r="AB1492" t="inlineStr">
        <is>
          <t>BPM</t>
        </is>
      </c>
      <c r="AC1492" t="n">
        <v>1</v>
      </c>
      <c r="AD1492" t="inlineStr">
        <is>
          <t>BANCO</t>
        </is>
      </c>
      <c r="AE1492" t="n">
        <v>1</v>
      </c>
      <c r="AF1492" t="inlineStr">
        <is>
          <t>BACK</t>
        </is>
      </c>
      <c r="AG1492" t="n">
        <v>100101</v>
      </c>
      <c r="AH1492" t="inlineStr">
        <is>
          <t>CORPORATIVO</t>
        </is>
      </c>
      <c r="AI1492" t="inlineStr">
        <is>
          <t>ECOLLADO@BANCOBASE.COM</t>
        </is>
      </c>
      <c r="AJ1492" s="151" t="n">
        <v>43147</v>
      </c>
    </row>
    <row r="1493" hidden="1" s="150">
      <c r="A1493" t="inlineStr">
        <is>
          <t>MARRATIA</t>
        </is>
      </c>
      <c r="B1493" t="n">
        <v>3240</v>
      </c>
      <c r="C1493" t="inlineStr">
        <is>
          <t>MARCELA ILIAN ARRATIA RIVERA</t>
        </is>
      </c>
      <c r="D1493" t="n">
        <v>9437</v>
      </c>
      <c r="E1493" t="inlineStr">
        <is>
          <t>ESPECIALISTA DE EXCELENCIA OPERATIVA</t>
        </is>
      </c>
      <c r="F1493" t="inlineStr">
        <is>
          <t>TELETRABAJO</t>
        </is>
      </c>
      <c r="G1493" t="n">
        <v>2581</v>
      </c>
      <c r="H1493" t="inlineStr">
        <is>
          <t>ALFREDO JOSE MORALES GALINDO</t>
        </is>
      </c>
      <c r="I1493" t="n">
        <v>8229</v>
      </c>
      <c r="J1493" t="inlineStr">
        <is>
          <t>SUBDIRECTOR DE EXCELENCIA OPERATIVA Y GOBIERNO</t>
        </is>
      </c>
      <c r="K1493" t="n">
        <v>1</v>
      </c>
      <c r="L1493" t="inlineStr">
        <is>
          <t>PRESIDENCIA EJECUTIVA DEL CONSEJO</t>
        </is>
      </c>
      <c r="M1493" t="n">
        <v>40</v>
      </c>
      <c r="N1493" t="inlineStr">
        <is>
          <t>DIRECCION GENERAL BANCO BASE</t>
        </is>
      </c>
      <c r="O1493" t="n">
        <v>310</v>
      </c>
      <c r="P1493" t="inlineStr">
        <is>
          <t>DIRECCION DE TECNOLOGIA</t>
        </is>
      </c>
      <c r="Q1493" t="n">
        <v>3171</v>
      </c>
      <c r="R1493" t="inlineStr">
        <is>
          <t>DIRECCION DE PROCESOS</t>
        </is>
      </c>
      <c r="S1493" t="n">
        <v>31714</v>
      </c>
      <c r="T1493" t="inlineStr">
        <is>
          <t>EXCELENCIA OPERATIVA Y GOBIERNO</t>
        </is>
      </c>
      <c r="U1493" t="n">
        <v>317100</v>
      </c>
      <c r="V1493" t="inlineStr">
        <is>
          <t>BPM</t>
        </is>
      </c>
      <c r="W1493" t="n">
        <v>100101</v>
      </c>
      <c r="X1493" t="inlineStr">
        <is>
          <t>CORPORATIVO</t>
        </is>
      </c>
      <c r="Y1493" t="n">
        <v>4</v>
      </c>
      <c r="Z1493" t="inlineStr">
        <is>
          <t>CORPORATIVO</t>
        </is>
      </c>
      <c r="AA1493" t="n">
        <v>10</v>
      </c>
      <c r="AB1493" t="inlineStr">
        <is>
          <t>BPM</t>
        </is>
      </c>
      <c r="AC1493" t="n">
        <v>1</v>
      </c>
      <c r="AD1493" t="inlineStr">
        <is>
          <t>BANCO</t>
        </is>
      </c>
      <c r="AE1493" t="n">
        <v>1</v>
      </c>
      <c r="AF1493" t="inlineStr">
        <is>
          <t>BACK</t>
        </is>
      </c>
      <c r="AG1493" t="n">
        <v>100101</v>
      </c>
      <c r="AH1493" t="inlineStr">
        <is>
          <t>CORPORATIVO</t>
        </is>
      </c>
      <c r="AI1493" t="inlineStr">
        <is>
          <t>MARRATIA@BANCOBASE.COM</t>
        </is>
      </c>
      <c r="AJ1493" s="151" t="n">
        <v>45581</v>
      </c>
    </row>
    <row r="1494" hidden="1" s="150">
      <c r="A1494" t="inlineStr">
        <is>
          <t>EGONZALEZA</t>
        </is>
      </c>
      <c r="B1494" t="n">
        <v>2188</v>
      </c>
      <c r="C1494" t="inlineStr">
        <is>
          <t>DIEGO ELIUD GONZALEZ ALMAGUER</t>
        </is>
      </c>
      <c r="D1494" t="n">
        <v>10400</v>
      </c>
      <c r="E1494" t="inlineStr">
        <is>
          <t>GERENTE DE AUTOMATIZACION Y DATOS DE PROCESOS</t>
        </is>
      </c>
      <c r="F1494" t="inlineStr">
        <is>
          <t>TELETRABAJO</t>
        </is>
      </c>
      <c r="G1494" t="n">
        <v>2581</v>
      </c>
      <c r="H1494" t="inlineStr">
        <is>
          <t>ALFREDO JOSE MORALES GALINDO</t>
        </is>
      </c>
      <c r="I1494" t="n">
        <v>8229</v>
      </c>
      <c r="J1494" t="inlineStr">
        <is>
          <t>SUBDIRECTOR DE EXCELENCIA OPERATIVA Y GOBIERNO</t>
        </is>
      </c>
      <c r="K1494" t="n">
        <v>1</v>
      </c>
      <c r="L1494" t="inlineStr">
        <is>
          <t>PRESIDENCIA EJECUTIVA DEL CONSEJO</t>
        </is>
      </c>
      <c r="M1494" t="n">
        <v>40</v>
      </c>
      <c r="N1494" t="inlineStr">
        <is>
          <t>DIRECCION GENERAL BANCO BASE</t>
        </is>
      </c>
      <c r="O1494" t="n">
        <v>310</v>
      </c>
      <c r="P1494" t="inlineStr">
        <is>
          <t>DIRECCION DE TECNOLOGIA</t>
        </is>
      </c>
      <c r="Q1494" t="n">
        <v>3171</v>
      </c>
      <c r="R1494" t="inlineStr">
        <is>
          <t>DIRECCION DE PROCESOS</t>
        </is>
      </c>
      <c r="S1494" t="n">
        <v>31713</v>
      </c>
      <c r="T1494" t="inlineStr">
        <is>
          <t>GERENCIA DE AUTOMATIZACION Y DATOS DE PROCESOS</t>
        </is>
      </c>
      <c r="U1494" t="n">
        <v>317100</v>
      </c>
      <c r="V1494" t="inlineStr">
        <is>
          <t>BPM</t>
        </is>
      </c>
      <c r="W1494" t="n">
        <v>100101</v>
      </c>
      <c r="X1494" t="inlineStr">
        <is>
          <t>CORPORATIVO</t>
        </is>
      </c>
      <c r="Y1494" t="n">
        <v>4</v>
      </c>
      <c r="Z1494" t="inlineStr">
        <is>
          <t>CORPORATIVO</t>
        </is>
      </c>
      <c r="AA1494" t="n">
        <v>10</v>
      </c>
      <c r="AB1494" t="inlineStr">
        <is>
          <t>BPM</t>
        </is>
      </c>
      <c r="AC1494" t="n">
        <v>1</v>
      </c>
      <c r="AD1494" t="inlineStr">
        <is>
          <t>BANCO</t>
        </is>
      </c>
      <c r="AE1494" t="n">
        <v>1</v>
      </c>
      <c r="AF1494" t="inlineStr">
        <is>
          <t>BACK</t>
        </is>
      </c>
      <c r="AG1494" t="n">
        <v>100101</v>
      </c>
      <c r="AH1494" t="inlineStr">
        <is>
          <t>CORPORATIVO</t>
        </is>
      </c>
      <c r="AI1494" t="inlineStr">
        <is>
          <t>EGONZALEZA@BANCOBASE.COM</t>
        </is>
      </c>
      <c r="AJ1494" s="151" t="n">
        <v>43525</v>
      </c>
    </row>
    <row r="1495" hidden="1" s="150">
      <c r="A1495" t="inlineStr">
        <is>
          <t>RALCANTARA</t>
        </is>
      </c>
      <c r="B1495" t="n">
        <v>1960</v>
      </c>
      <c r="C1495" t="inlineStr">
        <is>
          <t>ROBERTO ALEJANDRO ALCANTARA LEON</t>
        </is>
      </c>
      <c r="D1495" t="n">
        <v>10162</v>
      </c>
      <c r="E1495" t="inlineStr">
        <is>
          <t>ESPECIALISTA DE AUTOMATIZACION</t>
        </is>
      </c>
      <c r="F1495" t="inlineStr">
        <is>
          <t>TELETRABAJO</t>
        </is>
      </c>
      <c r="G1495" t="n">
        <v>2188</v>
      </c>
      <c r="H1495" t="inlineStr">
        <is>
          <t>DIEGO ELIUD GONZALEZ ALMAGUER</t>
        </is>
      </c>
      <c r="I1495" t="n">
        <v>10400</v>
      </c>
      <c r="J1495" t="inlineStr">
        <is>
          <t>GERENTE DE AUTOMATIZACION Y DATOS DE PROCESOS</t>
        </is>
      </c>
      <c r="K1495" t="n">
        <v>1</v>
      </c>
      <c r="L1495" t="inlineStr">
        <is>
          <t>PRESIDENCIA EJECUTIVA DEL CONSEJO</t>
        </is>
      </c>
      <c r="M1495" t="n">
        <v>40</v>
      </c>
      <c r="N1495" t="inlineStr">
        <is>
          <t>DIRECCION GENERAL BANCO BASE</t>
        </is>
      </c>
      <c r="O1495" t="n">
        <v>310</v>
      </c>
      <c r="P1495" t="inlineStr">
        <is>
          <t>DIRECCION DE TECNOLOGIA</t>
        </is>
      </c>
      <c r="Q1495" t="n">
        <v>3171</v>
      </c>
      <c r="R1495" t="inlineStr">
        <is>
          <t>DIRECCION DE PROCESOS</t>
        </is>
      </c>
      <c r="S1495" t="n">
        <v>31713</v>
      </c>
      <c r="T1495" t="inlineStr">
        <is>
          <t>GERENCIA DE AUTOMATIZACION Y DATOS DE PROCESOS</t>
        </is>
      </c>
      <c r="U1495" t="n">
        <v>317100</v>
      </c>
      <c r="V1495" t="inlineStr">
        <is>
          <t>BPM</t>
        </is>
      </c>
      <c r="W1495" t="n">
        <v>100101</v>
      </c>
      <c r="X1495" t="inlineStr">
        <is>
          <t>CORPORATIVO</t>
        </is>
      </c>
      <c r="Y1495" t="n">
        <v>4</v>
      </c>
      <c r="Z1495" t="inlineStr">
        <is>
          <t>CORPORATIVO</t>
        </is>
      </c>
      <c r="AA1495" t="n">
        <v>10</v>
      </c>
      <c r="AB1495" t="inlineStr">
        <is>
          <t>BPM</t>
        </is>
      </c>
      <c r="AC1495" t="n">
        <v>1</v>
      </c>
      <c r="AD1495" t="inlineStr">
        <is>
          <t>BANCO</t>
        </is>
      </c>
      <c r="AE1495" t="n">
        <v>1</v>
      </c>
      <c r="AF1495" t="inlineStr">
        <is>
          <t>BACK</t>
        </is>
      </c>
      <c r="AG1495" t="n">
        <v>100101</v>
      </c>
      <c r="AH1495" t="inlineStr">
        <is>
          <t>CORPORATIVO</t>
        </is>
      </c>
      <c r="AI1495" t="inlineStr">
        <is>
          <t>RALCANTARA@BANCOBASE.COM</t>
        </is>
      </c>
      <c r="AJ1495" s="151" t="n">
        <v>43164</v>
      </c>
    </row>
    <row r="1496" hidden="1" s="150">
      <c r="A1496" t="inlineStr">
        <is>
          <t>PESCOBEDO</t>
        </is>
      </c>
      <c r="B1496" t="n">
        <v>3671</v>
      </c>
      <c r="C1496" t="inlineStr">
        <is>
          <t>PSAUMIS ESCOBEDO DELGADO</t>
        </is>
      </c>
      <c r="D1496" t="n">
        <v>8859</v>
      </c>
      <c r="E1496" t="inlineStr">
        <is>
          <t>SUBDIRECTOR DE INGENIERIA TI</t>
        </is>
      </c>
      <c r="F1496" t="inlineStr">
        <is>
          <t>MEXICO</t>
        </is>
      </c>
      <c r="I1496" t="n">
        <v>8844</v>
      </c>
      <c r="J1496" t="inlineStr">
        <is>
          <t>DIRECTOR DE INGENIERIA E INNOVACION</t>
        </is>
      </c>
      <c r="K1496" t="n">
        <v>1</v>
      </c>
      <c r="L1496" t="inlineStr">
        <is>
          <t>PRESIDENCIA EJECUTIVA DEL CONSEJO</t>
        </is>
      </c>
      <c r="M1496" t="n">
        <v>40</v>
      </c>
      <c r="N1496" t="inlineStr">
        <is>
          <t>DIRECCION GENERAL BANCO BASE</t>
        </is>
      </c>
      <c r="O1496" t="n">
        <v>310</v>
      </c>
      <c r="P1496" t="inlineStr">
        <is>
          <t>DIRECCION DE TECNOLOGIA</t>
        </is>
      </c>
      <c r="Q1496" t="n">
        <v>3190</v>
      </c>
      <c r="R1496" t="inlineStr">
        <is>
          <t>DIRECCION DE INGENIERIA TI</t>
        </is>
      </c>
      <c r="S1496" t="n">
        <v>31900</v>
      </c>
      <c r="T1496" t="inlineStr">
        <is>
          <t>DIRECCION DE INGENIERIA TI</t>
        </is>
      </c>
      <c r="U1496" t="n">
        <v>319000</v>
      </c>
      <c r="V1496" t="inlineStr">
        <is>
          <t>DIRECCION DE INGENIERIA TI</t>
        </is>
      </c>
      <c r="W1496" t="n">
        <v>134111</v>
      </c>
      <c r="X1496" t="inlineStr">
        <is>
          <t>LOMAS</t>
        </is>
      </c>
      <c r="Y1496" t="n">
        <v>4</v>
      </c>
      <c r="Z1496" t="inlineStr">
        <is>
          <t>CORPORATIVO</t>
        </is>
      </c>
      <c r="AA1496" t="n">
        <v>8</v>
      </c>
      <c r="AB1496" t="inlineStr">
        <is>
          <t>BAU</t>
        </is>
      </c>
      <c r="AC1496" t="n">
        <v>1</v>
      </c>
      <c r="AD1496" t="inlineStr">
        <is>
          <t>BANCO</t>
        </is>
      </c>
      <c r="AE1496" t="n">
        <v>1</v>
      </c>
      <c r="AF1496" t="inlineStr">
        <is>
          <t>BACK</t>
        </is>
      </c>
      <c r="AG1496" t="n">
        <v>134111</v>
      </c>
      <c r="AH1496" t="inlineStr">
        <is>
          <t>LOMAS</t>
        </is>
      </c>
      <c r="AI1496" t="inlineStr">
        <is>
          <t>PESCOBEDO@BANCOBASE.COM</t>
        </is>
      </c>
      <c r="AJ1496" s="151" t="n">
        <v>45971</v>
      </c>
    </row>
    <row r="1497" hidden="1" s="150">
      <c r="A1497" t="inlineStr">
        <is>
          <t>JESCALONA</t>
        </is>
      </c>
      <c r="B1497" t="n">
        <v>3882</v>
      </c>
      <c r="C1497" t="inlineStr">
        <is>
          <t>JUAN GUILLERMO ESCALONA BUSTOS</t>
        </is>
      </c>
      <c r="D1497" t="n">
        <v>5080</v>
      </c>
      <c r="E1497" t="inlineStr">
        <is>
          <t>INGENIERO DEVSECOPS</t>
        </is>
      </c>
      <c r="F1497" t="inlineStr">
        <is>
          <t>TELETRABAJO</t>
        </is>
      </c>
      <c r="G1497" t="n">
        <v>3671</v>
      </c>
      <c r="H1497" t="inlineStr">
        <is>
          <t>PSAUMIS ESCOBEDO DELGADO</t>
        </is>
      </c>
      <c r="I1497" t="n">
        <v>8859</v>
      </c>
      <c r="J1497" t="inlineStr">
        <is>
          <t>SUBDIRECTOR DE INGENIERIA TI</t>
        </is>
      </c>
      <c r="K1497" t="n">
        <v>1</v>
      </c>
      <c r="L1497" t="inlineStr">
        <is>
          <t>PRESIDENCIA EJECUTIVA DEL CONSEJO</t>
        </is>
      </c>
      <c r="M1497" t="n">
        <v>30</v>
      </c>
      <c r="N1497" t="inlineStr">
        <is>
          <t>DIRECCION GENERAL ADJUNTA PRODUCTO Y TRANSFORMACIO</t>
        </is>
      </c>
      <c r="O1497" t="n">
        <v>301</v>
      </c>
      <c r="P1497" t="inlineStr">
        <is>
          <t>DOMINIO</t>
        </is>
      </c>
      <c r="Q1497" t="n">
        <v>3100</v>
      </c>
      <c r="R1497" t="inlineStr">
        <is>
          <t>DIRECCION DE TECNOLOGIA</t>
        </is>
      </c>
      <c r="S1497" t="n">
        <v>31900</v>
      </c>
      <c r="T1497" t="inlineStr">
        <is>
          <t>DIRECCION DE INGENIERIA TI</t>
        </is>
      </c>
      <c r="U1497" t="n">
        <v>301300</v>
      </c>
      <c r="V1497" t="inlineStr">
        <is>
          <t>EQUIPO HABILITADOR</t>
        </is>
      </c>
      <c r="W1497" t="n">
        <v>100101</v>
      </c>
      <c r="X1497" t="inlineStr">
        <is>
          <t>CORPORATIVO</t>
        </is>
      </c>
      <c r="Y1497" t="n">
        <v>4</v>
      </c>
      <c r="Z1497" t="inlineStr">
        <is>
          <t>CORPORATIVO</t>
        </is>
      </c>
      <c r="AA1497" t="n">
        <v>11</v>
      </c>
      <c r="AB1497" t="inlineStr">
        <is>
          <t>DOMINIO HA</t>
        </is>
      </c>
      <c r="AC1497" t="n">
        <v>1</v>
      </c>
      <c r="AD1497" t="inlineStr">
        <is>
          <t>BANCO</t>
        </is>
      </c>
      <c r="AE1497" t="n">
        <v>1</v>
      </c>
      <c r="AF1497" t="inlineStr">
        <is>
          <t>BACK</t>
        </is>
      </c>
      <c r="AG1497" t="n">
        <v>126102</v>
      </c>
      <c r="AH1497" t="inlineStr">
        <is>
          <t>MONTERREY</t>
        </is>
      </c>
      <c r="AI1497" t="inlineStr">
        <is>
          <t>JESCALONA@BANCOBASE.COM</t>
        </is>
      </c>
      <c r="AJ1497" s="151" t="n">
        <v>46167</v>
      </c>
    </row>
    <row r="1498" hidden="1" s="150">
      <c r="A1498" t="inlineStr">
        <is>
          <t>YLOPEZ</t>
        </is>
      </c>
      <c r="B1498" t="n">
        <v>3860</v>
      </c>
      <c r="C1498" t="inlineStr">
        <is>
          <t>YANIRA JUDITH LÓPEZ CARRILLO</t>
        </is>
      </c>
      <c r="D1498" t="n">
        <v>5081</v>
      </c>
      <c r="E1498" t="inlineStr">
        <is>
          <t>QA AUTOMATION</t>
        </is>
      </c>
      <c r="F1498" t="inlineStr">
        <is>
          <t>TELETRABAJO</t>
        </is>
      </c>
      <c r="G1498" t="n">
        <v>3671</v>
      </c>
      <c r="H1498" t="inlineStr">
        <is>
          <t>PSAUMIS ESCOBEDO DELGADO</t>
        </is>
      </c>
      <c r="I1498" t="n">
        <v>8859</v>
      </c>
      <c r="J1498" t="inlineStr">
        <is>
          <t>SUBDIRECTOR DE INGENIERIA TI</t>
        </is>
      </c>
      <c r="K1498" t="n">
        <v>1</v>
      </c>
      <c r="L1498" t="inlineStr">
        <is>
          <t>PRESIDENCIA EJECUTIVA DEL CONSEJO</t>
        </is>
      </c>
      <c r="M1498" t="n">
        <v>30</v>
      </c>
      <c r="N1498" t="inlineStr">
        <is>
          <t>DIRECCION GENERAL ADJUNTA PRODUCTO Y TRANSFORMACIO</t>
        </is>
      </c>
      <c r="O1498" t="n">
        <v>301</v>
      </c>
      <c r="P1498" t="inlineStr">
        <is>
          <t>DOMINIO</t>
        </is>
      </c>
      <c r="Q1498" t="n">
        <v>3100</v>
      </c>
      <c r="R1498" t="inlineStr">
        <is>
          <t>DIRECCION DE TECNOLOGIA</t>
        </is>
      </c>
      <c r="S1498" t="n">
        <v>31900</v>
      </c>
      <c r="T1498" t="inlineStr">
        <is>
          <t>DIRECCION DE INGENIERIA TI</t>
        </is>
      </c>
      <c r="U1498" t="n">
        <v>301300</v>
      </c>
      <c r="V1498" t="inlineStr">
        <is>
          <t>EQUIPO HABILITADOR</t>
        </is>
      </c>
      <c r="W1498" t="n">
        <v>126107</v>
      </c>
      <c r="X1498" t="inlineStr">
        <is>
          <t>GUADALAJARA</t>
        </is>
      </c>
      <c r="Y1498" t="n">
        <v>4</v>
      </c>
      <c r="Z1498" t="inlineStr">
        <is>
          <t>CORPORATIVO</t>
        </is>
      </c>
      <c r="AA1498" t="n">
        <v>11</v>
      </c>
      <c r="AB1498" t="inlineStr">
        <is>
          <t>DOMINIO HA</t>
        </is>
      </c>
      <c r="AC1498" t="n">
        <v>1</v>
      </c>
      <c r="AD1498" t="inlineStr">
        <is>
          <t>BANCO</t>
        </is>
      </c>
      <c r="AE1498" t="n">
        <v>1</v>
      </c>
      <c r="AF1498" t="inlineStr">
        <is>
          <t>BACK</t>
        </is>
      </c>
      <c r="AG1498" t="n">
        <v>126107</v>
      </c>
      <c r="AH1498" t="inlineStr">
        <is>
          <t>GUADALAJARA</t>
        </is>
      </c>
      <c r="AI1498" t="inlineStr">
        <is>
          <t>YLOPEZ@BANCOBASE.COM</t>
        </is>
      </c>
      <c r="AJ1498" s="151" t="n">
        <v>46149</v>
      </c>
    </row>
    <row r="1499" hidden="1" s="150">
      <c r="A1499" t="inlineStr">
        <is>
          <t>DNAVAA</t>
        </is>
      </c>
      <c r="B1499" t="n">
        <v>3862</v>
      </c>
      <c r="C1499" t="inlineStr">
        <is>
          <t>DAVID BEN ISAI NAVA ALMAGUER</t>
        </is>
      </c>
      <c r="D1499" t="n">
        <v>5079</v>
      </c>
      <c r="E1499" t="inlineStr">
        <is>
          <t>QA FUNCIONAL</t>
        </is>
      </c>
      <c r="F1499" t="inlineStr">
        <is>
          <t>TELETRABAJO</t>
        </is>
      </c>
      <c r="G1499" t="n">
        <v>3671</v>
      </c>
      <c r="H1499" t="inlineStr">
        <is>
          <t>PSAUMIS ESCOBEDO DELGADO</t>
        </is>
      </c>
      <c r="I1499" t="n">
        <v>8859</v>
      </c>
      <c r="J1499" t="inlineStr">
        <is>
          <t>SUBDIRECTOR DE INGENIERIA TI</t>
        </is>
      </c>
      <c r="K1499" t="n">
        <v>1</v>
      </c>
      <c r="L1499" t="inlineStr">
        <is>
          <t>PRESIDENCIA EJECUTIVA DEL CONSEJO</t>
        </is>
      </c>
      <c r="M1499" t="n">
        <v>30</v>
      </c>
      <c r="N1499" t="inlineStr">
        <is>
          <t>DIRECCION GENERAL ADJUNTA PRODUCTO Y TRANSFORMACIO</t>
        </is>
      </c>
      <c r="O1499" t="n">
        <v>301</v>
      </c>
      <c r="P1499" t="inlineStr">
        <is>
          <t>DOMINIO</t>
        </is>
      </c>
      <c r="Q1499" t="n">
        <v>3100</v>
      </c>
      <c r="R1499" t="inlineStr">
        <is>
          <t>DIRECCION DE TECNOLOGIA</t>
        </is>
      </c>
      <c r="S1499" t="n">
        <v>31900</v>
      </c>
      <c r="T1499" t="inlineStr">
        <is>
          <t>DIRECCION DE INGENIERIA TI</t>
        </is>
      </c>
      <c r="U1499" t="n">
        <v>301230</v>
      </c>
      <c r="V1499" t="inlineStr">
        <is>
          <t>ACTIVACION</t>
        </is>
      </c>
      <c r="W1499" t="n">
        <v>100101</v>
      </c>
      <c r="X1499" t="inlineStr">
        <is>
          <t>CORPORATIVO</t>
        </is>
      </c>
      <c r="Y1499" t="n">
        <v>4</v>
      </c>
      <c r="Z1499" t="inlineStr">
        <is>
          <t>CORPORATIVO</t>
        </is>
      </c>
      <c r="AA1499" t="n">
        <v>11</v>
      </c>
      <c r="AB1499" t="inlineStr">
        <is>
          <t>DOMINIO HA</t>
        </is>
      </c>
      <c r="AC1499" t="n">
        <v>1</v>
      </c>
      <c r="AD1499" t="inlineStr">
        <is>
          <t>BANCO</t>
        </is>
      </c>
      <c r="AE1499" t="n">
        <v>1</v>
      </c>
      <c r="AF1499" t="inlineStr">
        <is>
          <t>BACK</t>
        </is>
      </c>
      <c r="AG1499" t="n">
        <v>126102</v>
      </c>
      <c r="AH1499" t="inlineStr">
        <is>
          <t>MONTERREY</t>
        </is>
      </c>
      <c r="AI1499" t="inlineStr">
        <is>
          <t>DNAVAA@BANCOBASE.COM</t>
        </is>
      </c>
      <c r="AJ1499" s="151" t="n">
        <v>46149</v>
      </c>
    </row>
    <row r="1500" hidden="1" s="150">
      <c r="A1500" t="inlineStr">
        <is>
          <t>FCABELLO</t>
        </is>
      </c>
      <c r="B1500" t="n">
        <v>3823</v>
      </c>
      <c r="C1500" t="inlineStr">
        <is>
          <t>FRANCISCO URIEL CABELLO REYNA</t>
        </is>
      </c>
      <c r="D1500" t="n">
        <v>8849</v>
      </c>
      <c r="E1500" t="inlineStr">
        <is>
          <t>INGENIERO DE PRUEBAS DE RENDIMIENTO</t>
        </is>
      </c>
      <c r="F1500" t="inlineStr">
        <is>
          <t>SAN LUIS POTOSI</t>
        </is>
      </c>
      <c r="G1500" t="n">
        <v>3671</v>
      </c>
      <c r="H1500" t="inlineStr">
        <is>
          <t>PSAUMIS ESCOBEDO DELGADO</t>
        </is>
      </c>
      <c r="I1500" t="n">
        <v>8859</v>
      </c>
      <c r="J1500" t="inlineStr">
        <is>
          <t>SUBDIRECTOR DE INGENIERIA TI</t>
        </is>
      </c>
      <c r="K1500" t="n">
        <v>1</v>
      </c>
      <c r="L1500" t="inlineStr">
        <is>
          <t>PRESIDENCIA EJECUTIVA DEL CONSEJO</t>
        </is>
      </c>
      <c r="M1500" t="n">
        <v>40</v>
      </c>
      <c r="N1500" t="inlineStr">
        <is>
          <t>DIRECCION GENERAL BANCO BASE</t>
        </is>
      </c>
      <c r="O1500" t="n">
        <v>310</v>
      </c>
      <c r="P1500" t="inlineStr">
        <is>
          <t>DIRECCION DE TECNOLOGIA</t>
        </is>
      </c>
      <c r="Q1500" t="n">
        <v>3190</v>
      </c>
      <c r="R1500" t="inlineStr">
        <is>
          <t>DIRECCION DE INGENIERIA TI</t>
        </is>
      </c>
      <c r="S1500" t="n">
        <v>31900</v>
      </c>
      <c r="T1500" t="inlineStr">
        <is>
          <t>DIRECCION DE INGENIERIA TI</t>
        </is>
      </c>
      <c r="U1500" t="n">
        <v>319000</v>
      </c>
      <c r="V1500" t="inlineStr">
        <is>
          <t>DIRECCION DE INGENIERIA TI</t>
        </is>
      </c>
      <c r="W1500" t="n">
        <v>126130</v>
      </c>
      <c r="X1500" t="inlineStr">
        <is>
          <t>SAN LUIS POTOSI</t>
        </is>
      </c>
      <c r="Y1500" t="n">
        <v>4</v>
      </c>
      <c r="Z1500" t="inlineStr">
        <is>
          <t>CORPORATIVO</t>
        </is>
      </c>
      <c r="AA1500" t="n">
        <v>1</v>
      </c>
      <c r="AB1500" t="inlineStr">
        <is>
          <t>NEGOCIO EN MARCHA</t>
        </is>
      </c>
      <c r="AC1500" t="n">
        <v>1</v>
      </c>
      <c r="AD1500" t="inlineStr">
        <is>
          <t>BANCO</t>
        </is>
      </c>
      <c r="AE1500" t="n">
        <v>1</v>
      </c>
      <c r="AF1500" t="inlineStr">
        <is>
          <t>BACK</t>
        </is>
      </c>
      <c r="AG1500" t="n">
        <v>126130</v>
      </c>
      <c r="AH1500" t="inlineStr">
        <is>
          <t>SAN LUIS POTOSI</t>
        </is>
      </c>
      <c r="AI1500" t="inlineStr">
        <is>
          <t>FCABELLO@BANCOBASE.COM</t>
        </is>
      </c>
      <c r="AJ1500" s="151" t="n">
        <v>46128</v>
      </c>
    </row>
    <row r="1501" hidden="1" s="150">
      <c r="A1501" t="n">
        <v>26914</v>
      </c>
      <c r="B1501" t="inlineStr">
        <is>
          <t>EXT-99549</t>
        </is>
      </c>
      <c r="C1501" t="inlineStr">
        <is>
          <t>ANGELA ELIZABETH LOPEZ NIETO</t>
        </is>
      </c>
      <c r="D1501" t="n">
        <v>5090</v>
      </c>
      <c r="E1501" t="inlineStr">
        <is>
          <t>QA FUNCIONAL</t>
        </is>
      </c>
      <c r="F1501" t="inlineStr">
        <is>
          <t>TELETRABAJO</t>
        </is>
      </c>
      <c r="G1501" t="n">
        <v>3671</v>
      </c>
      <c r="H1501" t="inlineStr">
        <is>
          <t>PSAUMIS ESCOBEDO DELGADO</t>
        </is>
      </c>
      <c r="I1501" t="n">
        <v>8859</v>
      </c>
      <c r="J1501" t="inlineStr">
        <is>
          <t>SUBDIRECTOR DE INGENIERIA TI</t>
        </is>
      </c>
      <c r="K1501" t="n">
        <v>1</v>
      </c>
      <c r="L1501" t="inlineStr">
        <is>
          <t>PRESIDENCIA EJECUTIVA DEL CONSEJO</t>
        </is>
      </c>
      <c r="M1501" t="n">
        <v>30</v>
      </c>
      <c r="N1501" t="inlineStr">
        <is>
          <t>DIRECCION GENERAL ADJUNTA PRODUCTO Y TRANSFORMACIO</t>
        </is>
      </c>
      <c r="O1501" t="n">
        <v>301</v>
      </c>
      <c r="P1501" t="inlineStr">
        <is>
          <t>DOMINIO</t>
        </is>
      </c>
      <c r="Q1501" t="n">
        <v>3100</v>
      </c>
      <c r="R1501" t="inlineStr">
        <is>
          <t>DIRECCION DE TECNOLOGIA</t>
        </is>
      </c>
      <c r="S1501" t="n">
        <v>31900</v>
      </c>
      <c r="T1501" t="inlineStr">
        <is>
          <t>DIRECCION DE INGENIERIA TI</t>
        </is>
      </c>
      <c r="U1501" t="n">
        <v>301220</v>
      </c>
      <c r="V1501" t="inlineStr">
        <is>
          <t>ONBOARDING</t>
        </is>
      </c>
      <c r="W1501" t="n">
        <v>100101</v>
      </c>
      <c r="X1501" t="inlineStr">
        <is>
          <t>CORPORATIVO</t>
        </is>
      </c>
      <c r="Y1501" t="n">
        <v>4</v>
      </c>
      <c r="Z1501" t="inlineStr">
        <is>
          <t>CORPORATIVO</t>
        </is>
      </c>
      <c r="AA1501" t="n">
        <v>11</v>
      </c>
      <c r="AB1501" t="inlineStr">
        <is>
          <t>DOMINIO HA</t>
        </is>
      </c>
      <c r="AC1501" t="n">
        <v>1</v>
      </c>
      <c r="AD1501" t="inlineStr">
        <is>
          <t>BANCO</t>
        </is>
      </c>
      <c r="AE1501" t="n">
        <v>1</v>
      </c>
      <c r="AF1501" t="inlineStr">
        <is>
          <t>BACK</t>
        </is>
      </c>
      <c r="AG1501" t="n">
        <v>126102</v>
      </c>
      <c r="AH1501" t="inlineStr">
        <is>
          <t>MONTERREY</t>
        </is>
      </c>
      <c r="AJ1501" s="151" t="n">
        <v>46245</v>
      </c>
    </row>
    <row r="1502" hidden="1" s="150">
      <c r="A1502" t="inlineStr">
        <is>
          <t>JAVALOS</t>
        </is>
      </c>
      <c r="B1502" t="n">
        <v>3975</v>
      </c>
      <c r="C1502" t="inlineStr">
        <is>
          <t>JONATHAN DE JESUS AVALOS ZAMORA</t>
        </is>
      </c>
      <c r="D1502" t="n">
        <v>5148</v>
      </c>
      <c r="E1502" t="inlineStr">
        <is>
          <t>QA FUNCIONAL</t>
        </is>
      </c>
      <c r="F1502" t="inlineStr">
        <is>
          <t>TELETRABAJO</t>
        </is>
      </c>
      <c r="G1502" t="n">
        <v>3671</v>
      </c>
      <c r="H1502" t="inlineStr">
        <is>
          <t>PSAUMIS ESCOBEDO DELGADO</t>
        </is>
      </c>
      <c r="I1502" t="n">
        <v>8859</v>
      </c>
      <c r="J1502" t="inlineStr">
        <is>
          <t>SUBDIRECTOR DE INGENIERIA TI</t>
        </is>
      </c>
      <c r="K1502" t="n">
        <v>1</v>
      </c>
      <c r="L1502" t="inlineStr">
        <is>
          <t>PRESIDENCIA EJECUTIVA DEL CONSEJO</t>
        </is>
      </c>
      <c r="M1502" t="n">
        <v>30</v>
      </c>
      <c r="N1502" t="inlineStr">
        <is>
          <t>DIRECCION GENERAL ADJUNTA PRODUCTO Y TRANSFORMACIO</t>
        </is>
      </c>
      <c r="O1502" t="n">
        <v>301</v>
      </c>
      <c r="P1502" t="inlineStr">
        <is>
          <t>DOMINIO</t>
        </is>
      </c>
      <c r="Q1502" t="n">
        <v>3100</v>
      </c>
      <c r="R1502" t="inlineStr">
        <is>
          <t>DIRECCION DE TECNOLOGIA</t>
        </is>
      </c>
      <c r="S1502" t="n">
        <v>31900</v>
      </c>
      <c r="T1502" t="inlineStr">
        <is>
          <t>DIRECCION DE INGENIERIA TI</t>
        </is>
      </c>
      <c r="U1502" t="n">
        <v>301240</v>
      </c>
      <c r="V1502" t="inlineStr">
        <is>
          <t>ADQUISICION</t>
        </is>
      </c>
      <c r="W1502" t="n">
        <v>100101</v>
      </c>
      <c r="X1502" t="inlineStr">
        <is>
          <t>CORPORATIVO</t>
        </is>
      </c>
      <c r="Y1502" t="n">
        <v>4</v>
      </c>
      <c r="Z1502" t="inlineStr">
        <is>
          <t>CORPORATIVO</t>
        </is>
      </c>
      <c r="AA1502" t="n">
        <v>11</v>
      </c>
      <c r="AB1502" t="inlineStr">
        <is>
          <t>DOMINIO HA</t>
        </is>
      </c>
      <c r="AC1502" t="n">
        <v>1</v>
      </c>
      <c r="AD1502" t="inlineStr">
        <is>
          <t>BANCO</t>
        </is>
      </c>
      <c r="AE1502" t="n">
        <v>1</v>
      </c>
      <c r="AF1502" t="inlineStr">
        <is>
          <t>BACK</t>
        </is>
      </c>
      <c r="AG1502" t="n">
        <v>126107</v>
      </c>
      <c r="AH1502" t="inlineStr">
        <is>
          <t>GUADALAJARA</t>
        </is>
      </c>
      <c r="AI1502" t="inlineStr">
        <is>
          <t>JAVALOS@BANCOBASE.COM</t>
        </is>
      </c>
      <c r="AJ1502" s="151" t="n">
        <v>46244</v>
      </c>
    </row>
    <row r="1503" hidden="1" s="150">
      <c r="A1503" t="inlineStr">
        <is>
          <t>MMANRIQUEZ</t>
        </is>
      </c>
      <c r="B1503" t="n">
        <v>3981</v>
      </c>
      <c r="C1503" t="inlineStr">
        <is>
          <t>MARIBEL MANRIQUEZ VALENZUELA</t>
        </is>
      </c>
      <c r="D1503" t="n">
        <v>8064</v>
      </c>
      <c r="E1503" t="inlineStr">
        <is>
          <t>QA AUTOMATION</t>
        </is>
      </c>
      <c r="F1503" t="inlineStr">
        <is>
          <t>TELETRABAJO</t>
        </is>
      </c>
      <c r="G1503" t="n">
        <v>3671</v>
      </c>
      <c r="H1503" t="inlineStr">
        <is>
          <t>PSAUMIS ESCOBEDO DELGADO</t>
        </is>
      </c>
      <c r="I1503" t="n">
        <v>8859</v>
      </c>
      <c r="J1503" t="inlineStr">
        <is>
          <t>SUBDIRECTOR DE INGENIERIA TI</t>
        </is>
      </c>
      <c r="K1503" t="n">
        <v>1</v>
      </c>
      <c r="L1503" t="inlineStr">
        <is>
          <t>PRESIDENCIA EJECUTIVA DEL CONSEJO</t>
        </is>
      </c>
      <c r="M1503" t="n">
        <v>30</v>
      </c>
      <c r="N1503" t="inlineStr">
        <is>
          <t>DIRECCION GENERAL ADJUNTA PRODUCTO Y TRANSFORMACIO</t>
        </is>
      </c>
      <c r="O1503" t="n">
        <v>301</v>
      </c>
      <c r="P1503" t="inlineStr">
        <is>
          <t>DOMINIO</t>
        </is>
      </c>
      <c r="Q1503" t="n">
        <v>3100</v>
      </c>
      <c r="R1503" t="inlineStr">
        <is>
          <t>DIRECCION DE TECNOLOGIA</t>
        </is>
      </c>
      <c r="S1503" t="n">
        <v>31900</v>
      </c>
      <c r="T1503" t="inlineStr">
        <is>
          <t>DIRECCION DE INGENIERIA TI</t>
        </is>
      </c>
      <c r="U1503" t="n">
        <v>301240</v>
      </c>
      <c r="V1503" t="inlineStr">
        <is>
          <t>ADQUISICION</t>
        </is>
      </c>
      <c r="W1503" t="n">
        <v>126114</v>
      </c>
      <c r="X1503" t="inlineStr">
        <is>
          <t>TIJUANA</t>
        </is>
      </c>
      <c r="Y1503" t="n">
        <v>4</v>
      </c>
      <c r="Z1503" t="inlineStr">
        <is>
          <t>CORPORATIVO</t>
        </is>
      </c>
      <c r="AA1503" t="n">
        <v>11</v>
      </c>
      <c r="AB1503" t="inlineStr">
        <is>
          <t>DOMINIO HA</t>
        </is>
      </c>
      <c r="AC1503" t="n">
        <v>1</v>
      </c>
      <c r="AD1503" t="inlineStr">
        <is>
          <t>BANCO</t>
        </is>
      </c>
      <c r="AE1503" t="n">
        <v>1</v>
      </c>
      <c r="AF1503" t="inlineStr">
        <is>
          <t>BACK</t>
        </is>
      </c>
      <c r="AG1503" t="n">
        <v>126114</v>
      </c>
      <c r="AH1503" t="inlineStr">
        <is>
          <t>TIJUANA</t>
        </is>
      </c>
      <c r="AI1503" t="inlineStr">
        <is>
          <t>MMANRIQUEZ@BANCOBASE.COM</t>
        </is>
      </c>
      <c r="AJ1503" s="151" t="n">
        <v>46244</v>
      </c>
    </row>
    <row r="1504" hidden="1" s="150">
      <c r="A1504" t="inlineStr">
        <is>
          <t>LRAMIREZCO</t>
        </is>
      </c>
      <c r="B1504" t="n">
        <v>3976</v>
      </c>
      <c r="C1504" t="inlineStr">
        <is>
          <t>LUIS FERNANDO RAMIREZ CONTRERAS</t>
        </is>
      </c>
      <c r="D1504" t="n">
        <v>8054</v>
      </c>
      <c r="E1504" t="inlineStr">
        <is>
          <t>QA FUNCIONAL</t>
        </is>
      </c>
      <c r="F1504" t="inlineStr">
        <is>
          <t>TELETRABAJO</t>
        </is>
      </c>
      <c r="G1504" t="n">
        <v>3671</v>
      </c>
      <c r="H1504" t="inlineStr">
        <is>
          <t>PSAUMIS ESCOBEDO DELGADO</t>
        </is>
      </c>
      <c r="I1504" t="n">
        <v>8859</v>
      </c>
      <c r="J1504" t="inlineStr">
        <is>
          <t>SUBDIRECTOR DE INGENIERIA TI</t>
        </is>
      </c>
      <c r="K1504" t="n">
        <v>1</v>
      </c>
      <c r="L1504" t="inlineStr">
        <is>
          <t>PRESIDENCIA EJECUTIVA DEL CONSEJO</t>
        </is>
      </c>
      <c r="M1504" t="n">
        <v>30</v>
      </c>
      <c r="N1504" t="inlineStr">
        <is>
          <t>DIRECCION GENERAL ADJUNTA PRODUCTO Y TRANSFORMACIO</t>
        </is>
      </c>
      <c r="O1504" t="n">
        <v>301</v>
      </c>
      <c r="P1504" t="inlineStr">
        <is>
          <t>DOMINIO</t>
        </is>
      </c>
      <c r="Q1504" t="n">
        <v>3100</v>
      </c>
      <c r="R1504" t="inlineStr">
        <is>
          <t>DIRECCION DE TECNOLOGIA</t>
        </is>
      </c>
      <c r="S1504" t="n">
        <v>31900</v>
      </c>
      <c r="T1504" t="inlineStr">
        <is>
          <t>DIRECCION DE INGENIERIA TI</t>
        </is>
      </c>
      <c r="U1504" t="n">
        <v>301270</v>
      </c>
      <c r="V1504" t="inlineStr">
        <is>
          <t>TRANSACCION</t>
        </is>
      </c>
      <c r="W1504" t="n">
        <v>126107</v>
      </c>
      <c r="X1504" t="inlineStr">
        <is>
          <t>GUADALAJARA</t>
        </is>
      </c>
      <c r="Y1504" t="n">
        <v>4</v>
      </c>
      <c r="Z1504" t="inlineStr">
        <is>
          <t>CORPORATIVO</t>
        </is>
      </c>
      <c r="AA1504" t="n">
        <v>11</v>
      </c>
      <c r="AB1504" t="inlineStr">
        <is>
          <t>DOMINIO HA</t>
        </is>
      </c>
      <c r="AC1504" t="n">
        <v>1</v>
      </c>
      <c r="AD1504" t="inlineStr">
        <is>
          <t>BANCO</t>
        </is>
      </c>
      <c r="AE1504" t="n">
        <v>1</v>
      </c>
      <c r="AF1504" t="inlineStr">
        <is>
          <t>BACK</t>
        </is>
      </c>
      <c r="AG1504" t="n">
        <v>126107</v>
      </c>
      <c r="AH1504" t="inlineStr">
        <is>
          <t>GUADALAJARA</t>
        </is>
      </c>
      <c r="AI1504" t="inlineStr">
        <is>
          <t>LRAMIREZCO@BANCOBASE.COM</t>
        </is>
      </c>
      <c r="AJ1504" s="151" t="n">
        <v>46244</v>
      </c>
    </row>
    <row r="1505" hidden="1" s="150">
      <c r="A1505" t="inlineStr">
        <is>
          <t>VESCARENO</t>
        </is>
      </c>
      <c r="B1505" t="n">
        <v>2033</v>
      </c>
      <c r="C1505" t="inlineStr">
        <is>
          <t>VICENTE EDUARDO ESCAREÑO LOPEZ</t>
        </is>
      </c>
      <c r="D1505" t="n">
        <v>10220</v>
      </c>
      <c r="E1505" t="inlineStr">
        <is>
          <t>ESPECIALISTA DE APLICACION SERVER</t>
        </is>
      </c>
      <c r="F1505" t="inlineStr">
        <is>
          <t>MONTERREY</t>
        </is>
      </c>
      <c r="G1505" t="n">
        <v>3671</v>
      </c>
      <c r="H1505" t="inlineStr">
        <is>
          <t>PSAUMIS ESCOBEDO DELGADO</t>
        </is>
      </c>
      <c r="I1505" t="n">
        <v>8859</v>
      </c>
      <c r="J1505" t="inlineStr">
        <is>
          <t>SUBDIRECTOR DE INGENIERIA TI</t>
        </is>
      </c>
      <c r="K1505" t="n">
        <v>1</v>
      </c>
      <c r="L1505" t="inlineStr">
        <is>
          <t>PRESIDENCIA EJECUTIVA DEL CONSEJO</t>
        </is>
      </c>
      <c r="M1505" t="n">
        <v>40</v>
      </c>
      <c r="N1505" t="inlineStr">
        <is>
          <t>DIRECCION GENERAL BANCO BASE</t>
        </is>
      </c>
      <c r="O1505" t="n">
        <v>310</v>
      </c>
      <c r="P1505" t="inlineStr">
        <is>
          <t>DIRECCION DE TECNOLOGIA</t>
        </is>
      </c>
      <c r="Q1505" t="n">
        <v>3190</v>
      </c>
      <c r="R1505" t="inlineStr">
        <is>
          <t>DIRECCION DE INGENIERIA TI</t>
        </is>
      </c>
      <c r="S1505" t="n">
        <v>31900</v>
      </c>
      <c r="T1505" t="inlineStr">
        <is>
          <t>DIRECCION DE INGENIERIA TI</t>
        </is>
      </c>
      <c r="U1505" t="n">
        <v>312000</v>
      </c>
      <c r="V1505" t="inlineStr">
        <is>
          <t>DIRECCION DE INFRAESTRUCTURA</t>
        </is>
      </c>
      <c r="W1505" t="n">
        <v>100101</v>
      </c>
      <c r="X1505" t="inlineStr">
        <is>
          <t>CORPORATIVO</t>
        </is>
      </c>
      <c r="Y1505" t="n">
        <v>4</v>
      </c>
      <c r="Z1505" t="inlineStr">
        <is>
          <t>CORPORATIVO</t>
        </is>
      </c>
      <c r="AA1505" t="n">
        <v>1</v>
      </c>
      <c r="AB1505" t="inlineStr">
        <is>
          <t>NEGOCIO EN MARCHA</t>
        </is>
      </c>
      <c r="AC1505" t="n">
        <v>1</v>
      </c>
      <c r="AD1505" t="inlineStr">
        <is>
          <t>BANCO</t>
        </is>
      </c>
      <c r="AE1505" t="n">
        <v>1</v>
      </c>
      <c r="AF1505" t="inlineStr">
        <is>
          <t>BACK</t>
        </is>
      </c>
      <c r="AG1505" t="n">
        <v>100101</v>
      </c>
      <c r="AH1505" t="inlineStr">
        <is>
          <t>CORPORATIVO</t>
        </is>
      </c>
      <c r="AI1505" t="inlineStr">
        <is>
          <t>VESCARENO@BANCOBASE.COM</t>
        </is>
      </c>
      <c r="AJ1505" s="151" t="n">
        <v>43269</v>
      </c>
    </row>
    <row r="1506" hidden="1" s="150">
      <c r="A1506" t="inlineStr">
        <is>
          <t>MOLIVARES</t>
        </is>
      </c>
      <c r="B1506" t="n">
        <v>3484</v>
      </c>
      <c r="C1506" t="inlineStr">
        <is>
          <t>MARCO ANTONIO OLIVARES ZORIA</t>
        </is>
      </c>
      <c r="D1506" t="n">
        <v>8716</v>
      </c>
      <c r="E1506" t="inlineStr">
        <is>
          <t>SUBDIRECTOR DE ASEGURAMIENTO DE CALIDAD TI</t>
        </is>
      </c>
      <c r="F1506" t="inlineStr">
        <is>
          <t>GUADALAJARA</t>
        </is>
      </c>
      <c r="G1506" t="n">
        <v>3671</v>
      </c>
      <c r="H1506" t="inlineStr">
        <is>
          <t>PSAUMIS ESCOBEDO DELGADO</t>
        </is>
      </c>
      <c r="I1506" t="n">
        <v>8859</v>
      </c>
      <c r="J1506" t="inlineStr">
        <is>
          <t>SUBDIRECTOR DE INGENIERIA TI</t>
        </is>
      </c>
      <c r="K1506" t="n">
        <v>1</v>
      </c>
      <c r="L1506" t="inlineStr">
        <is>
          <t>PRESIDENCIA EJECUTIVA DEL CONSEJO</t>
        </is>
      </c>
      <c r="M1506" t="n">
        <v>40</v>
      </c>
      <c r="N1506" t="inlineStr">
        <is>
          <t>DIRECCION GENERAL BANCO BASE</t>
        </is>
      </c>
      <c r="O1506" t="n">
        <v>310</v>
      </c>
      <c r="P1506" t="inlineStr">
        <is>
          <t>DIRECCION DE TECNOLOGIA</t>
        </is>
      </c>
      <c r="Q1506" t="n">
        <v>3190</v>
      </c>
      <c r="R1506" t="inlineStr">
        <is>
          <t>DIRECCION DE INGENIERIA TI</t>
        </is>
      </c>
      <c r="S1506" t="n">
        <v>31900</v>
      </c>
      <c r="T1506" t="inlineStr">
        <is>
          <t>DIRECCION DE INGENIERIA TI</t>
        </is>
      </c>
      <c r="U1506" t="n">
        <v>319000</v>
      </c>
      <c r="V1506" t="inlineStr">
        <is>
          <t>DIRECCION DE INGENIERIA TI</t>
        </is>
      </c>
      <c r="W1506" t="n">
        <v>126107</v>
      </c>
      <c r="X1506" t="inlineStr">
        <is>
          <t>GUADALAJARA</t>
        </is>
      </c>
      <c r="Y1506" t="n">
        <v>4</v>
      </c>
      <c r="Z1506" t="inlineStr">
        <is>
          <t>CORPORATIVO</t>
        </is>
      </c>
      <c r="AA1506" t="n">
        <v>8</v>
      </c>
      <c r="AB1506" t="inlineStr">
        <is>
          <t>BAU</t>
        </is>
      </c>
      <c r="AC1506" t="n">
        <v>1</v>
      </c>
      <c r="AD1506" t="inlineStr">
        <is>
          <t>BANCO</t>
        </is>
      </c>
      <c r="AE1506" t="n">
        <v>1</v>
      </c>
      <c r="AF1506" t="inlineStr">
        <is>
          <t>BACK</t>
        </is>
      </c>
      <c r="AG1506" t="n">
        <v>126107</v>
      </c>
      <c r="AH1506" t="inlineStr">
        <is>
          <t>GUADALAJARA</t>
        </is>
      </c>
      <c r="AI1506" t="inlineStr">
        <is>
          <t>MOLIVARES@BANCOBASE.COM</t>
        </is>
      </c>
      <c r="AJ1506" s="151" t="n">
        <v>45854</v>
      </c>
    </row>
    <row r="1507" hidden="1" s="150">
      <c r="A1507" t="inlineStr">
        <is>
          <t>DLOPEZM</t>
        </is>
      </c>
      <c r="B1507" t="n">
        <v>3880</v>
      </c>
      <c r="C1507" t="inlineStr">
        <is>
          <t>DIANA BERENICE LOPEZ MATA</t>
        </is>
      </c>
      <c r="D1507" t="n">
        <v>8855</v>
      </c>
      <c r="E1507" t="inlineStr">
        <is>
          <t>LIDER DE INGENIERIA DE PRUEBAS FUNCIONALES</t>
        </is>
      </c>
      <c r="F1507" t="inlineStr">
        <is>
          <t>MEXICO</t>
        </is>
      </c>
      <c r="G1507" t="n">
        <v>3484</v>
      </c>
      <c r="H1507" t="inlineStr">
        <is>
          <t>MARCO ANTONIO OLIVARES ZORIA</t>
        </is>
      </c>
      <c r="I1507" t="n">
        <v>8716</v>
      </c>
      <c r="J1507" t="inlineStr">
        <is>
          <t>SUBDIRECTOR DE ASEGURAMIENTO DE CALIDAD TI</t>
        </is>
      </c>
      <c r="K1507" t="n">
        <v>1</v>
      </c>
      <c r="L1507" t="inlineStr">
        <is>
          <t>PRESIDENCIA EJECUTIVA DEL CONSEJO</t>
        </is>
      </c>
      <c r="M1507" t="n">
        <v>40</v>
      </c>
      <c r="N1507" t="inlineStr">
        <is>
          <t>DIRECCION GENERAL BANCO BASE</t>
        </is>
      </c>
      <c r="O1507" t="n">
        <v>310</v>
      </c>
      <c r="P1507" t="inlineStr">
        <is>
          <t>DIRECCION DE TECNOLOGIA</t>
        </is>
      </c>
      <c r="Q1507" t="n">
        <v>3190</v>
      </c>
      <c r="R1507" t="inlineStr">
        <is>
          <t>DIRECCION DE INGENIERIA TI</t>
        </is>
      </c>
      <c r="S1507" t="n">
        <v>31900</v>
      </c>
      <c r="T1507" t="inlineStr">
        <is>
          <t>DIRECCION DE INGENIERIA TI</t>
        </is>
      </c>
      <c r="U1507" t="n">
        <v>319000</v>
      </c>
      <c r="V1507" t="inlineStr">
        <is>
          <t>DIRECCION DE INGENIERIA TI</t>
        </is>
      </c>
      <c r="W1507" t="n">
        <v>134111</v>
      </c>
      <c r="X1507" t="inlineStr">
        <is>
          <t>LOMAS</t>
        </is>
      </c>
      <c r="Y1507" t="n">
        <v>4</v>
      </c>
      <c r="Z1507" t="inlineStr">
        <is>
          <t>CORPORATIVO</t>
        </is>
      </c>
      <c r="AA1507" t="n">
        <v>8</v>
      </c>
      <c r="AB1507" t="inlineStr">
        <is>
          <t>BAU</t>
        </is>
      </c>
      <c r="AC1507" t="n">
        <v>1</v>
      </c>
      <c r="AD1507" t="inlineStr">
        <is>
          <t>BANCO</t>
        </is>
      </c>
      <c r="AE1507" t="n">
        <v>1</v>
      </c>
      <c r="AF1507" t="inlineStr">
        <is>
          <t>BACK</t>
        </is>
      </c>
      <c r="AG1507" t="n">
        <v>134111</v>
      </c>
      <c r="AH1507" t="inlineStr">
        <is>
          <t>LOMAS</t>
        </is>
      </c>
      <c r="AI1507" t="inlineStr">
        <is>
          <t>DLOPEZM@BANCOBASE.COM</t>
        </is>
      </c>
      <c r="AJ1507" s="151" t="n">
        <v>46160</v>
      </c>
    </row>
    <row r="1508" hidden="1" s="150">
      <c r="A1508" t="inlineStr">
        <is>
          <t>FSOLANO</t>
        </is>
      </c>
      <c r="B1508" t="n">
        <v>3865</v>
      </c>
      <c r="C1508" t="inlineStr">
        <is>
          <t>FABIAN SOLANO AMADOR</t>
        </is>
      </c>
      <c r="D1508" t="n">
        <v>8854</v>
      </c>
      <c r="E1508" t="inlineStr">
        <is>
          <t>LIDER DE INGENIERIA DE PRUEBAS AUTOMATICAS</t>
        </is>
      </c>
      <c r="F1508" t="inlineStr">
        <is>
          <t>MEXICO</t>
        </is>
      </c>
      <c r="G1508" t="n">
        <v>3484</v>
      </c>
      <c r="H1508" t="inlineStr">
        <is>
          <t>MARCO ANTONIO OLIVARES ZORIA</t>
        </is>
      </c>
      <c r="I1508" t="n">
        <v>8716</v>
      </c>
      <c r="J1508" t="inlineStr">
        <is>
          <t>SUBDIRECTOR DE ASEGURAMIENTO DE CALIDAD TI</t>
        </is>
      </c>
      <c r="K1508" t="n">
        <v>1</v>
      </c>
      <c r="L1508" t="inlineStr">
        <is>
          <t>PRESIDENCIA EJECUTIVA DEL CONSEJO</t>
        </is>
      </c>
      <c r="M1508" t="n">
        <v>40</v>
      </c>
      <c r="N1508" t="inlineStr">
        <is>
          <t>DIRECCION GENERAL BANCO BASE</t>
        </is>
      </c>
      <c r="O1508" t="n">
        <v>310</v>
      </c>
      <c r="P1508" t="inlineStr">
        <is>
          <t>DIRECCION DE TECNOLOGIA</t>
        </is>
      </c>
      <c r="Q1508" t="n">
        <v>3190</v>
      </c>
      <c r="R1508" t="inlineStr">
        <is>
          <t>DIRECCION DE INGENIERIA TI</t>
        </is>
      </c>
      <c r="S1508" t="n">
        <v>31900</v>
      </c>
      <c r="T1508" t="inlineStr">
        <is>
          <t>DIRECCION DE INGENIERIA TI</t>
        </is>
      </c>
      <c r="U1508" t="n">
        <v>319000</v>
      </c>
      <c r="V1508" t="inlineStr">
        <is>
          <t>DIRECCION DE INGENIERIA TI</t>
        </is>
      </c>
      <c r="W1508" t="n">
        <v>134111</v>
      </c>
      <c r="X1508" t="inlineStr">
        <is>
          <t>LOMAS</t>
        </is>
      </c>
      <c r="Y1508" t="n">
        <v>4</v>
      </c>
      <c r="Z1508" t="inlineStr">
        <is>
          <t>CORPORATIVO</t>
        </is>
      </c>
      <c r="AA1508" t="n">
        <v>8</v>
      </c>
      <c r="AB1508" t="inlineStr">
        <is>
          <t>BAU</t>
        </is>
      </c>
      <c r="AC1508" t="n">
        <v>1</v>
      </c>
      <c r="AD1508" t="inlineStr">
        <is>
          <t>BANCO</t>
        </is>
      </c>
      <c r="AE1508" t="n">
        <v>1</v>
      </c>
      <c r="AF1508" t="inlineStr">
        <is>
          <t>BACK</t>
        </is>
      </c>
      <c r="AG1508" t="n">
        <v>134111</v>
      </c>
      <c r="AH1508" t="inlineStr">
        <is>
          <t>LOMAS</t>
        </is>
      </c>
      <c r="AI1508" t="inlineStr">
        <is>
          <t>FSOLANO@BANCOBASE.COM</t>
        </is>
      </c>
      <c r="AJ1508" s="151" t="n">
        <v>46160</v>
      </c>
    </row>
    <row r="1509" hidden="1" s="150">
      <c r="A1509" t="inlineStr">
        <is>
          <t>ARAMIREZD</t>
        </is>
      </c>
      <c r="B1509" t="n">
        <v>3296</v>
      </c>
      <c r="C1509" t="inlineStr">
        <is>
          <t>ALEXIS ADRIAN RAMIREZ DORANTES</t>
        </is>
      </c>
      <c r="D1509" t="n">
        <v>8481</v>
      </c>
      <c r="E1509" t="inlineStr">
        <is>
          <t>ESPECIALISTA DE ASEGURAMIENTO DE CALIDAD TI</t>
        </is>
      </c>
      <c r="F1509" t="inlineStr">
        <is>
          <t>MEXICO</t>
        </is>
      </c>
      <c r="G1509" t="n">
        <v>3484</v>
      </c>
      <c r="H1509" t="inlineStr">
        <is>
          <t>MARCO ANTONIO OLIVARES ZORIA</t>
        </is>
      </c>
      <c r="I1509" t="n">
        <v>8716</v>
      </c>
      <c r="J1509" t="inlineStr">
        <is>
          <t>SUBDIRECTOR DE ASEGURAMIENTO DE CALIDAD TI</t>
        </is>
      </c>
      <c r="K1509" t="n">
        <v>1</v>
      </c>
      <c r="L1509" t="inlineStr">
        <is>
          <t>PRESIDENCIA EJECUTIVA DEL CONSEJO</t>
        </is>
      </c>
      <c r="M1509" t="n">
        <v>40</v>
      </c>
      <c r="N1509" t="inlineStr">
        <is>
          <t>DIRECCION GENERAL BANCO BASE</t>
        </is>
      </c>
      <c r="O1509" t="n">
        <v>310</v>
      </c>
      <c r="P1509" t="inlineStr">
        <is>
          <t>DIRECCION DE TECNOLOGIA</t>
        </is>
      </c>
      <c r="Q1509" t="n">
        <v>3190</v>
      </c>
      <c r="R1509" t="inlineStr">
        <is>
          <t>DIRECCION DE INGENIERIA TI</t>
        </is>
      </c>
      <c r="S1509" t="n">
        <v>31900</v>
      </c>
      <c r="T1509" t="inlineStr">
        <is>
          <t>DIRECCION DE INGENIERIA TI</t>
        </is>
      </c>
      <c r="U1509" t="n">
        <v>319000</v>
      </c>
      <c r="V1509" t="inlineStr">
        <is>
          <t>DIRECCION DE INGENIERIA TI</t>
        </is>
      </c>
      <c r="W1509" t="n">
        <v>134111</v>
      </c>
      <c r="X1509" t="inlineStr">
        <is>
          <t>LOMAS</t>
        </is>
      </c>
      <c r="Y1509" t="n">
        <v>4</v>
      </c>
      <c r="Z1509" t="inlineStr">
        <is>
          <t>CORPORATIVO</t>
        </is>
      </c>
      <c r="AA1509" t="n">
        <v>1</v>
      </c>
      <c r="AB1509" t="inlineStr">
        <is>
          <t>NEGOCIO EN MARCHA</t>
        </is>
      </c>
      <c r="AC1509" t="n">
        <v>1</v>
      </c>
      <c r="AD1509" t="inlineStr">
        <is>
          <t>BANCO</t>
        </is>
      </c>
      <c r="AE1509" t="n">
        <v>1</v>
      </c>
      <c r="AF1509" t="inlineStr">
        <is>
          <t>BACK</t>
        </is>
      </c>
      <c r="AG1509" t="n">
        <v>134111</v>
      </c>
      <c r="AH1509" t="inlineStr">
        <is>
          <t>LOMAS</t>
        </is>
      </c>
      <c r="AI1509" t="inlineStr">
        <is>
          <t>ARAMIREZD@BANCOBASE.COM</t>
        </is>
      </c>
      <c r="AJ1509" s="151" t="n">
        <v>45642</v>
      </c>
    </row>
    <row r="1510" hidden="1" s="150">
      <c r="A1510" t="inlineStr">
        <is>
          <t>EMANCILLA</t>
        </is>
      </c>
      <c r="B1510" t="n">
        <v>3878</v>
      </c>
      <c r="C1510" t="inlineStr">
        <is>
          <t>EMILIO ENRIQUE MANCILLA DE LA CRUZ</t>
        </is>
      </c>
      <c r="D1510" t="n">
        <v>8850</v>
      </c>
      <c r="E1510" t="inlineStr">
        <is>
          <t>INGENIERO DE PRUEBAS DE RENDIMIENTO</t>
        </is>
      </c>
      <c r="F1510" t="inlineStr">
        <is>
          <t>MONTERREY</t>
        </is>
      </c>
      <c r="G1510" t="n">
        <v>3484</v>
      </c>
      <c r="H1510" t="inlineStr">
        <is>
          <t>MARCO ANTONIO OLIVARES ZORIA</t>
        </is>
      </c>
      <c r="I1510" t="n">
        <v>8716</v>
      </c>
      <c r="J1510" t="inlineStr">
        <is>
          <t>SUBDIRECTOR DE ASEGURAMIENTO DE CALIDAD TI</t>
        </is>
      </c>
      <c r="K1510" t="n">
        <v>1</v>
      </c>
      <c r="L1510" t="inlineStr">
        <is>
          <t>PRESIDENCIA EJECUTIVA DEL CONSEJO</t>
        </is>
      </c>
      <c r="M1510" t="n">
        <v>40</v>
      </c>
      <c r="N1510" t="inlineStr">
        <is>
          <t>DIRECCION GENERAL BANCO BASE</t>
        </is>
      </c>
      <c r="O1510" t="n">
        <v>310</v>
      </c>
      <c r="P1510" t="inlineStr">
        <is>
          <t>DIRECCION DE TECNOLOGIA</t>
        </is>
      </c>
      <c r="Q1510" t="n">
        <v>3190</v>
      </c>
      <c r="R1510" t="inlineStr">
        <is>
          <t>DIRECCION DE INGENIERIA TI</t>
        </is>
      </c>
      <c r="S1510" t="n">
        <v>31900</v>
      </c>
      <c r="T1510" t="inlineStr">
        <is>
          <t>DIRECCION DE INGENIERIA TI</t>
        </is>
      </c>
      <c r="U1510" t="n">
        <v>319000</v>
      </c>
      <c r="V1510" t="inlineStr">
        <is>
          <t>DIRECCION DE INGENIERIA TI</t>
        </is>
      </c>
      <c r="W1510" t="n">
        <v>100101</v>
      </c>
      <c r="X1510" t="inlineStr">
        <is>
          <t>CORPORATIVO</t>
        </is>
      </c>
      <c r="Y1510" t="n">
        <v>4</v>
      </c>
      <c r="Z1510" t="inlineStr">
        <is>
          <t>CORPORATIVO</t>
        </is>
      </c>
      <c r="AA1510" t="n">
        <v>1</v>
      </c>
      <c r="AB1510" t="inlineStr">
        <is>
          <t>NEGOCIO EN MARCHA</t>
        </is>
      </c>
      <c r="AC1510" t="n">
        <v>1</v>
      </c>
      <c r="AD1510" t="inlineStr">
        <is>
          <t>BANCO</t>
        </is>
      </c>
      <c r="AE1510" t="n">
        <v>1</v>
      </c>
      <c r="AF1510" t="inlineStr">
        <is>
          <t>BACK</t>
        </is>
      </c>
      <c r="AG1510" t="n">
        <v>100101</v>
      </c>
      <c r="AH1510" t="inlineStr">
        <is>
          <t>CORPORATIVO</t>
        </is>
      </c>
      <c r="AI1510" t="inlineStr">
        <is>
          <t>EMANCILLA@BANCOBASE.COM</t>
        </is>
      </c>
      <c r="AJ1510" s="151" t="n">
        <v>46160</v>
      </c>
    </row>
    <row r="1511" hidden="1" s="150">
      <c r="A1511" t="inlineStr">
        <is>
          <t>GMARTINEZQ</t>
        </is>
      </c>
      <c r="B1511" t="n">
        <v>1940</v>
      </c>
      <c r="C1511" t="inlineStr">
        <is>
          <t>GLORIA ESTHEFANY MARTINEZ QUINTANILLA</t>
        </is>
      </c>
      <c r="D1511" t="n">
        <v>9112</v>
      </c>
      <c r="E1511" t="inlineStr">
        <is>
          <t>COORDINADOR DE ASEGURAMIENTO DE LA CALIDAD</t>
        </is>
      </c>
      <c r="F1511" t="inlineStr">
        <is>
          <t>MONTERREY</t>
        </is>
      </c>
      <c r="G1511" t="n">
        <v>3484</v>
      </c>
      <c r="H1511" t="inlineStr">
        <is>
          <t>MARCO ANTONIO OLIVARES ZORIA</t>
        </is>
      </c>
      <c r="I1511" t="n">
        <v>8716</v>
      </c>
      <c r="J1511" t="inlineStr">
        <is>
          <t>SUBDIRECTOR DE ASEGURAMIENTO DE CALIDAD TI</t>
        </is>
      </c>
      <c r="K1511" t="n">
        <v>1</v>
      </c>
      <c r="L1511" t="inlineStr">
        <is>
          <t>PRESIDENCIA EJECUTIVA DEL CONSEJO</t>
        </is>
      </c>
      <c r="M1511" t="n">
        <v>40</v>
      </c>
      <c r="N1511" t="inlineStr">
        <is>
          <t>DIRECCION GENERAL BANCO BASE</t>
        </is>
      </c>
      <c r="O1511" t="n">
        <v>310</v>
      </c>
      <c r="P1511" t="inlineStr">
        <is>
          <t>DIRECCION DE TECNOLOGIA</t>
        </is>
      </c>
      <c r="Q1511" t="n">
        <v>3190</v>
      </c>
      <c r="R1511" t="inlineStr">
        <is>
          <t>DIRECCION DE INGENIERIA TI</t>
        </is>
      </c>
      <c r="S1511" t="n">
        <v>31900</v>
      </c>
      <c r="T1511" t="inlineStr">
        <is>
          <t>DIRECCION DE INGENIERIA TI</t>
        </is>
      </c>
      <c r="U1511" t="n">
        <v>319000</v>
      </c>
      <c r="V1511" t="inlineStr">
        <is>
          <t>DIRECCION DE INGENIERIA TI</t>
        </is>
      </c>
      <c r="W1511" t="n">
        <v>100101</v>
      </c>
      <c r="X1511" t="inlineStr">
        <is>
          <t>CORPORATIVO</t>
        </is>
      </c>
      <c r="Y1511" t="n">
        <v>4</v>
      </c>
      <c r="Z1511" t="inlineStr">
        <is>
          <t>CORPORATIVO</t>
        </is>
      </c>
      <c r="AA1511" t="n">
        <v>1</v>
      </c>
      <c r="AB1511" t="inlineStr">
        <is>
          <t>NEGOCIO EN MARCHA</t>
        </is>
      </c>
      <c r="AC1511" t="n">
        <v>1</v>
      </c>
      <c r="AD1511" t="inlineStr">
        <is>
          <t>BANCO</t>
        </is>
      </c>
      <c r="AE1511" t="n">
        <v>1</v>
      </c>
      <c r="AF1511" t="inlineStr">
        <is>
          <t>BACK</t>
        </is>
      </c>
      <c r="AG1511" t="n">
        <v>126102</v>
      </c>
      <c r="AH1511" t="inlineStr">
        <is>
          <t>MONTERREY</t>
        </is>
      </c>
      <c r="AI1511" t="inlineStr">
        <is>
          <t>GMARTINEZQ@BANCOBASE.COM</t>
        </is>
      </c>
      <c r="AJ1511" s="151" t="n">
        <v>43147</v>
      </c>
    </row>
    <row r="1512" hidden="1" s="150">
      <c r="A1512" t="inlineStr">
        <is>
          <t>IRAMIREZG</t>
        </is>
      </c>
      <c r="B1512" t="n">
        <v>3500</v>
      </c>
      <c r="C1512" t="inlineStr">
        <is>
          <t>JOSE IVAN RAMIREZ GARZA</t>
        </is>
      </c>
      <c r="D1512" t="n">
        <v>8692</v>
      </c>
      <c r="E1512" t="inlineStr">
        <is>
          <t>ASEGURAMIENTO DE LA CALIDAD</t>
        </is>
      </c>
      <c r="F1512" t="inlineStr">
        <is>
          <t>MONTERREY</t>
        </is>
      </c>
      <c r="G1512" t="n">
        <v>1940</v>
      </c>
      <c r="H1512" t="inlineStr">
        <is>
          <t>GLORIA ESTHEFANY MARTINEZ QUINTANILLA</t>
        </is>
      </c>
      <c r="I1512" t="n">
        <v>9112</v>
      </c>
      <c r="J1512" t="inlineStr">
        <is>
          <t>COORDINADOR DE ASEGURAMIENTO DE LA CALIDAD</t>
        </is>
      </c>
      <c r="K1512" t="n">
        <v>1</v>
      </c>
      <c r="L1512" t="inlineStr">
        <is>
          <t>PRESIDENCIA EJECUTIVA DEL CONSEJO</t>
        </is>
      </c>
      <c r="M1512" t="n">
        <v>40</v>
      </c>
      <c r="N1512" t="inlineStr">
        <is>
          <t>DIRECCION GENERAL BANCO BASE</t>
        </is>
      </c>
      <c r="O1512" t="n">
        <v>310</v>
      </c>
      <c r="P1512" t="inlineStr">
        <is>
          <t>DIRECCION DE TECNOLOGIA</t>
        </is>
      </c>
      <c r="Q1512" t="n">
        <v>3190</v>
      </c>
      <c r="R1512" t="inlineStr">
        <is>
          <t>DIRECCION DE INGENIERIA TI</t>
        </is>
      </c>
      <c r="S1512" t="n">
        <v>31900</v>
      </c>
      <c r="T1512" t="inlineStr">
        <is>
          <t>DIRECCION DE INGENIERIA TI</t>
        </is>
      </c>
      <c r="U1512" t="n">
        <v>319000</v>
      </c>
      <c r="V1512" t="inlineStr">
        <is>
          <t>DIRECCION DE INGENIERIA TI</t>
        </is>
      </c>
      <c r="W1512" t="n">
        <v>100101</v>
      </c>
      <c r="X1512" t="inlineStr">
        <is>
          <t>CORPORATIVO</t>
        </is>
      </c>
      <c r="Y1512" t="n">
        <v>4</v>
      </c>
      <c r="Z1512" t="inlineStr">
        <is>
          <t>CORPORATIVO</t>
        </is>
      </c>
      <c r="AA1512" t="n">
        <v>1</v>
      </c>
      <c r="AB1512" t="inlineStr">
        <is>
          <t>NEGOCIO EN MARCHA</t>
        </is>
      </c>
      <c r="AC1512" t="n">
        <v>1</v>
      </c>
      <c r="AD1512" t="inlineStr">
        <is>
          <t>BANCO</t>
        </is>
      </c>
      <c r="AE1512" t="n">
        <v>1</v>
      </c>
      <c r="AF1512" t="inlineStr">
        <is>
          <t>BACK</t>
        </is>
      </c>
      <c r="AG1512" t="n">
        <v>126102</v>
      </c>
      <c r="AH1512" t="inlineStr">
        <is>
          <t>MONTERREY</t>
        </is>
      </c>
      <c r="AI1512" t="inlineStr">
        <is>
          <t>IRAMIREZG@BANCOBASE.COM</t>
        </is>
      </c>
      <c r="AJ1512" s="151" t="n">
        <v>45873</v>
      </c>
    </row>
    <row r="1513" hidden="1" s="150">
      <c r="A1513" t="inlineStr">
        <is>
          <t>LMARTINEZP</t>
        </is>
      </c>
      <c r="B1513" t="n">
        <v>2734</v>
      </c>
      <c r="C1513" t="inlineStr">
        <is>
          <t>LIBNI ISUI MARTINEZ PEREZ</t>
        </is>
      </c>
      <c r="D1513" t="n">
        <v>10091</v>
      </c>
      <c r="E1513" t="inlineStr">
        <is>
          <t>ASEGURAMIENTO DE LA CALIDAD</t>
        </is>
      </c>
      <c r="F1513" t="inlineStr">
        <is>
          <t>MONTERREY</t>
        </is>
      </c>
      <c r="G1513" t="n">
        <v>1940</v>
      </c>
      <c r="H1513" t="inlineStr">
        <is>
          <t>GLORIA ESTHEFANY MARTINEZ QUINTANILLA</t>
        </is>
      </c>
      <c r="I1513" t="n">
        <v>9112</v>
      </c>
      <c r="J1513" t="inlineStr">
        <is>
          <t>COORDINADOR DE ASEGURAMIENTO DE LA CALIDAD</t>
        </is>
      </c>
      <c r="K1513" t="n">
        <v>1</v>
      </c>
      <c r="L1513" t="inlineStr">
        <is>
          <t>PRESIDENCIA EJECUTIVA DEL CONSEJO</t>
        </is>
      </c>
      <c r="M1513" t="n">
        <v>40</v>
      </c>
      <c r="N1513" t="inlineStr">
        <is>
          <t>DIRECCION GENERAL BANCO BASE</t>
        </is>
      </c>
      <c r="O1513" t="n">
        <v>310</v>
      </c>
      <c r="P1513" t="inlineStr">
        <is>
          <t>DIRECCION DE TECNOLOGIA</t>
        </is>
      </c>
      <c r="Q1513" t="n">
        <v>3190</v>
      </c>
      <c r="R1513" t="inlineStr">
        <is>
          <t>DIRECCION DE INGENIERIA TI</t>
        </is>
      </c>
      <c r="S1513" t="n">
        <v>31900</v>
      </c>
      <c r="T1513" t="inlineStr">
        <is>
          <t>DIRECCION DE INGENIERIA TI</t>
        </is>
      </c>
      <c r="U1513" t="n">
        <v>319000</v>
      </c>
      <c r="V1513" t="inlineStr">
        <is>
          <t>DIRECCION DE INGENIERIA TI</t>
        </is>
      </c>
      <c r="W1513" t="n">
        <v>100101</v>
      </c>
      <c r="X1513" t="inlineStr">
        <is>
          <t>CORPORATIVO</t>
        </is>
      </c>
      <c r="Y1513" t="n">
        <v>4</v>
      </c>
      <c r="Z1513" t="inlineStr">
        <is>
          <t>CORPORATIVO</t>
        </is>
      </c>
      <c r="AA1513" t="n">
        <v>1</v>
      </c>
      <c r="AB1513" t="inlineStr">
        <is>
          <t>NEGOCIO EN MARCHA</t>
        </is>
      </c>
      <c r="AC1513" t="n">
        <v>1</v>
      </c>
      <c r="AD1513" t="inlineStr">
        <is>
          <t>BANCO</t>
        </is>
      </c>
      <c r="AE1513" t="n">
        <v>1</v>
      </c>
      <c r="AF1513" t="inlineStr">
        <is>
          <t>BACK</t>
        </is>
      </c>
      <c r="AG1513" t="n">
        <v>126102</v>
      </c>
      <c r="AH1513" t="inlineStr">
        <is>
          <t>MONTERREY</t>
        </is>
      </c>
      <c r="AI1513" t="inlineStr">
        <is>
          <t>LMARTINEZP@BANCOBASE.COM</t>
        </is>
      </c>
      <c r="AJ1513" s="151" t="n">
        <v>44823</v>
      </c>
    </row>
    <row r="1514" hidden="1" s="150">
      <c r="A1514" t="inlineStr">
        <is>
          <t>HMORALESC</t>
        </is>
      </c>
      <c r="B1514" t="n">
        <v>3931</v>
      </c>
      <c r="C1514" t="inlineStr">
        <is>
          <t>HECTOR MORALES CABRERA</t>
        </is>
      </c>
      <c r="D1514" t="n">
        <v>8857</v>
      </c>
      <c r="E1514" t="inlineStr">
        <is>
          <t>INGENIERO DE PRUEBAS AUTOMATICAS</t>
        </is>
      </c>
      <c r="F1514" t="inlineStr">
        <is>
          <t>TELETRABAJO</t>
        </is>
      </c>
      <c r="G1514" t="n">
        <v>3484</v>
      </c>
      <c r="H1514" t="inlineStr">
        <is>
          <t>MARCO ANTONIO OLIVARES ZORIA</t>
        </is>
      </c>
      <c r="I1514" t="n">
        <v>8716</v>
      </c>
      <c r="J1514" t="inlineStr">
        <is>
          <t>SUBDIRECTOR DE ASEGURAMIENTO DE CALIDAD TI</t>
        </is>
      </c>
      <c r="K1514" t="n">
        <v>1</v>
      </c>
      <c r="L1514" t="inlineStr">
        <is>
          <t>PRESIDENCIA EJECUTIVA DEL CONSEJO</t>
        </is>
      </c>
      <c r="M1514" t="n">
        <v>40</v>
      </c>
      <c r="N1514" t="inlineStr">
        <is>
          <t>DIRECCION GENERAL BANCO BASE</t>
        </is>
      </c>
      <c r="O1514" t="n">
        <v>310</v>
      </c>
      <c r="P1514" t="inlineStr">
        <is>
          <t>DIRECCION DE TECNOLOGIA</t>
        </is>
      </c>
      <c r="Q1514" t="n">
        <v>3190</v>
      </c>
      <c r="R1514" t="inlineStr">
        <is>
          <t>DIRECCION DE INGENIERIA TI</t>
        </is>
      </c>
      <c r="S1514" t="n">
        <v>31900</v>
      </c>
      <c r="T1514" t="inlineStr">
        <is>
          <t>DIRECCION DE INGENIERIA TI</t>
        </is>
      </c>
      <c r="U1514" t="n">
        <v>319000</v>
      </c>
      <c r="V1514" t="inlineStr">
        <is>
          <t>DIRECCION DE INGENIERIA TI</t>
        </is>
      </c>
      <c r="W1514" t="n">
        <v>126121</v>
      </c>
      <c r="X1514" t="inlineStr">
        <is>
          <t>CANCUN</t>
        </is>
      </c>
      <c r="Y1514" t="n">
        <v>4</v>
      </c>
      <c r="Z1514" t="inlineStr">
        <is>
          <t>CORPORATIVO</t>
        </is>
      </c>
      <c r="AA1514" t="n">
        <v>8</v>
      </c>
      <c r="AB1514" t="inlineStr">
        <is>
          <t>BAU</t>
        </is>
      </c>
      <c r="AC1514" t="n">
        <v>1</v>
      </c>
      <c r="AD1514" t="inlineStr">
        <is>
          <t>BANCO</t>
        </is>
      </c>
      <c r="AE1514" t="n">
        <v>1</v>
      </c>
      <c r="AF1514" t="inlineStr">
        <is>
          <t>BACK</t>
        </is>
      </c>
      <c r="AG1514" t="n">
        <v>126121</v>
      </c>
      <c r="AH1514" t="inlineStr">
        <is>
          <t>CANCUN</t>
        </is>
      </c>
      <c r="AI1514" t="inlineStr">
        <is>
          <t>HMORALESC@BANCOBASE.COM</t>
        </is>
      </c>
      <c r="AJ1514" s="151" t="n">
        <v>46212</v>
      </c>
    </row>
    <row r="1515" hidden="1" s="150">
      <c r="A1515" t="inlineStr">
        <is>
          <t>NRANGEL</t>
        </is>
      </c>
      <c r="B1515" t="n">
        <v>3919</v>
      </c>
      <c r="C1515" t="inlineStr">
        <is>
          <t>NOEMI INES RANGEL RAMÍREZ</t>
        </is>
      </c>
      <c r="D1515" t="n">
        <v>8856</v>
      </c>
      <c r="E1515" t="inlineStr">
        <is>
          <t>INGENIERO DE PRUEBAS MANUALES</t>
        </is>
      </c>
      <c r="F1515" t="inlineStr">
        <is>
          <t>LEON</t>
        </is>
      </c>
      <c r="G1515" t="n">
        <v>3484</v>
      </c>
      <c r="H1515" t="inlineStr">
        <is>
          <t>MARCO ANTONIO OLIVARES ZORIA</t>
        </is>
      </c>
      <c r="I1515" t="n">
        <v>8716</v>
      </c>
      <c r="J1515" t="inlineStr">
        <is>
          <t>SUBDIRECTOR DE ASEGURAMIENTO DE CALIDAD TI</t>
        </is>
      </c>
      <c r="K1515" t="n">
        <v>1</v>
      </c>
      <c r="L1515" t="inlineStr">
        <is>
          <t>PRESIDENCIA EJECUTIVA DEL CONSEJO</t>
        </is>
      </c>
      <c r="M1515" t="n">
        <v>40</v>
      </c>
      <c r="N1515" t="inlineStr">
        <is>
          <t>DIRECCION GENERAL BANCO BASE</t>
        </is>
      </c>
      <c r="O1515" t="n">
        <v>310</v>
      </c>
      <c r="P1515" t="inlineStr">
        <is>
          <t>DIRECCION DE TECNOLOGIA</t>
        </is>
      </c>
      <c r="Q1515" t="n">
        <v>3190</v>
      </c>
      <c r="R1515" t="inlineStr">
        <is>
          <t>DIRECCION DE INGENIERIA TI</t>
        </is>
      </c>
      <c r="S1515" t="n">
        <v>31900</v>
      </c>
      <c r="T1515" t="inlineStr">
        <is>
          <t>DIRECCION DE INGENIERIA TI</t>
        </is>
      </c>
      <c r="U1515" t="n">
        <v>319000</v>
      </c>
      <c r="V1515" t="inlineStr">
        <is>
          <t>DIRECCION DE INGENIERIA TI</t>
        </is>
      </c>
      <c r="W1515" t="n">
        <v>126128</v>
      </c>
      <c r="X1515" t="inlineStr">
        <is>
          <t>LEON</t>
        </is>
      </c>
      <c r="Y1515" t="n">
        <v>4</v>
      </c>
      <c r="Z1515" t="inlineStr">
        <is>
          <t>CORPORATIVO</t>
        </is>
      </c>
      <c r="AA1515" t="n">
        <v>8</v>
      </c>
      <c r="AB1515" t="inlineStr">
        <is>
          <t>BAU</t>
        </is>
      </c>
      <c r="AC1515" t="n">
        <v>1</v>
      </c>
      <c r="AD1515" t="inlineStr">
        <is>
          <t>BANCO</t>
        </is>
      </c>
      <c r="AE1515" t="n">
        <v>1</v>
      </c>
      <c r="AF1515" t="inlineStr">
        <is>
          <t>BACK</t>
        </is>
      </c>
      <c r="AG1515" t="n">
        <v>126128</v>
      </c>
      <c r="AH1515" t="inlineStr">
        <is>
          <t>LEON</t>
        </is>
      </c>
      <c r="AI1515" t="inlineStr">
        <is>
          <t>NRANGEL@BANCOBASE.COM</t>
        </is>
      </c>
      <c r="AJ1515" s="151" t="n">
        <v>46195</v>
      </c>
    </row>
    <row r="1516" hidden="1" s="150">
      <c r="A1516" t="inlineStr">
        <is>
          <t>ACOBA</t>
        </is>
      </c>
      <c r="B1516" t="n">
        <v>3989</v>
      </c>
      <c r="C1516" t="inlineStr">
        <is>
          <t>ARACELI COBA SANTACRUZ</t>
        </is>
      </c>
      <c r="D1516" t="n">
        <v>8865</v>
      </c>
      <c r="E1516" t="inlineStr">
        <is>
          <t>INGENIERO DE PRUEBAS FUNCIONALES</t>
        </is>
      </c>
      <c r="F1516" t="inlineStr">
        <is>
          <t>MEXICO</t>
        </is>
      </c>
      <c r="G1516" t="n">
        <v>3671</v>
      </c>
      <c r="H1516" t="inlineStr">
        <is>
          <t>PSAUMIS ESCOBEDO DELGADO</t>
        </is>
      </c>
      <c r="I1516" t="n">
        <v>8859</v>
      </c>
      <c r="J1516" t="inlineStr">
        <is>
          <t>SUBDIRECTOR DE INGENIERIA TI</t>
        </is>
      </c>
      <c r="K1516" t="n">
        <v>1</v>
      </c>
      <c r="L1516" t="inlineStr">
        <is>
          <t>PRESIDENCIA EJECUTIVA DEL CONSEJO</t>
        </is>
      </c>
      <c r="M1516" t="n">
        <v>40</v>
      </c>
      <c r="N1516" t="inlineStr">
        <is>
          <t>DIRECCION GENERAL BANCO BASE</t>
        </is>
      </c>
      <c r="O1516" t="n">
        <v>310</v>
      </c>
      <c r="P1516" t="inlineStr">
        <is>
          <t>DIRECCION DE TECNOLOGIA</t>
        </is>
      </c>
      <c r="Q1516" t="n">
        <v>3190</v>
      </c>
      <c r="R1516" t="inlineStr">
        <is>
          <t>DIRECCION DE INGENIERIA TI</t>
        </is>
      </c>
      <c r="S1516" t="n">
        <v>31900</v>
      </c>
      <c r="T1516" t="inlineStr">
        <is>
          <t>DIRECCION DE INGENIERIA TI</t>
        </is>
      </c>
      <c r="U1516" t="n">
        <v>319000</v>
      </c>
      <c r="V1516" t="inlineStr">
        <is>
          <t>DIRECCION DE INGENIERIA TI</t>
        </is>
      </c>
      <c r="W1516" t="n">
        <v>134111</v>
      </c>
      <c r="X1516" t="inlineStr">
        <is>
          <t>LOMAS</t>
        </is>
      </c>
      <c r="Y1516" t="n">
        <v>4</v>
      </c>
      <c r="Z1516" t="inlineStr">
        <is>
          <t>CORPORATIVO</t>
        </is>
      </c>
      <c r="AA1516" t="n">
        <v>8</v>
      </c>
      <c r="AB1516" t="inlineStr">
        <is>
          <t>BAU</t>
        </is>
      </c>
      <c r="AC1516" t="n">
        <v>1</v>
      </c>
      <c r="AD1516" t="inlineStr">
        <is>
          <t>BANCO</t>
        </is>
      </c>
      <c r="AE1516" t="n">
        <v>1</v>
      </c>
      <c r="AF1516" t="inlineStr">
        <is>
          <t>BACK</t>
        </is>
      </c>
      <c r="AG1516" t="n">
        <v>134111</v>
      </c>
      <c r="AH1516" t="inlineStr">
        <is>
          <t>LOMAS</t>
        </is>
      </c>
      <c r="AI1516" t="inlineStr">
        <is>
          <t>ACOBA@BANCOBASE.COM</t>
        </is>
      </c>
      <c r="AJ1516" s="151" t="n">
        <v>46251</v>
      </c>
    </row>
    <row r="1517" hidden="1" s="150">
      <c r="A1517" t="inlineStr">
        <is>
          <t>AMEDINAR</t>
        </is>
      </c>
      <c r="B1517" t="n">
        <v>3930</v>
      </c>
      <c r="C1517" t="inlineStr">
        <is>
          <t>ANA MARIA MEDINA ROJAS</t>
        </is>
      </c>
      <c r="D1517" t="n">
        <v>8225</v>
      </c>
      <c r="E1517" t="inlineStr">
        <is>
          <t>ESPECIALISTA DE EVALUACION DE METRICAS DE TI</t>
        </is>
      </c>
      <c r="F1517" t="inlineStr">
        <is>
          <t>MONTERREY</t>
        </is>
      </c>
      <c r="G1517" t="n">
        <v>3671</v>
      </c>
      <c r="H1517" t="inlineStr">
        <is>
          <t>PSAUMIS ESCOBEDO DELGADO</t>
        </is>
      </c>
      <c r="I1517" t="n">
        <v>8859</v>
      </c>
      <c r="J1517" t="inlineStr">
        <is>
          <t>SUBDIRECTOR DE INGENIERIA TI</t>
        </is>
      </c>
      <c r="K1517" t="n">
        <v>1</v>
      </c>
      <c r="L1517" t="inlineStr">
        <is>
          <t>PRESIDENCIA EJECUTIVA DEL CONSEJO</t>
        </is>
      </c>
      <c r="M1517" t="n">
        <v>40</v>
      </c>
      <c r="N1517" t="inlineStr">
        <is>
          <t>DIRECCION GENERAL BANCO BASE</t>
        </is>
      </c>
      <c r="O1517" t="n">
        <v>310</v>
      </c>
      <c r="P1517" t="inlineStr">
        <is>
          <t>DIRECCION DE TECNOLOGIA</t>
        </is>
      </c>
      <c r="Q1517" t="n">
        <v>3190</v>
      </c>
      <c r="R1517" t="inlineStr">
        <is>
          <t>DIRECCION DE INGENIERIA TI</t>
        </is>
      </c>
      <c r="S1517" t="n">
        <v>31900</v>
      </c>
      <c r="T1517" t="inlineStr">
        <is>
          <t>DIRECCION DE INGENIERIA TI</t>
        </is>
      </c>
      <c r="U1517" t="n">
        <v>319000</v>
      </c>
      <c r="V1517" t="inlineStr">
        <is>
          <t>DIRECCION DE INGENIERIA TI</t>
        </is>
      </c>
      <c r="W1517" t="n">
        <v>100101</v>
      </c>
      <c r="X1517" t="inlineStr">
        <is>
          <t>CORPORATIVO</t>
        </is>
      </c>
      <c r="Y1517" t="n">
        <v>4</v>
      </c>
      <c r="Z1517" t="inlineStr">
        <is>
          <t>CORPORATIVO</t>
        </is>
      </c>
      <c r="AA1517" t="n">
        <v>8</v>
      </c>
      <c r="AB1517" t="inlineStr">
        <is>
          <t>BAU</t>
        </is>
      </c>
      <c r="AC1517" t="n">
        <v>1</v>
      </c>
      <c r="AD1517" t="inlineStr">
        <is>
          <t>BANCO</t>
        </is>
      </c>
      <c r="AE1517" t="n">
        <v>1</v>
      </c>
      <c r="AF1517" t="inlineStr">
        <is>
          <t>BACK</t>
        </is>
      </c>
      <c r="AG1517" t="n">
        <v>100101</v>
      </c>
      <c r="AH1517" t="inlineStr">
        <is>
          <t>CORPORATIVO</t>
        </is>
      </c>
      <c r="AI1517" t="inlineStr">
        <is>
          <t>AMEDINAR@BANCOBASE.COM</t>
        </is>
      </c>
      <c r="AJ1517" s="151" t="n">
        <v>46209</v>
      </c>
    </row>
    <row r="1518" hidden="1" s="150">
      <c r="A1518" t="inlineStr">
        <is>
          <t>AVALENTIN</t>
        </is>
      </c>
      <c r="B1518" t="n">
        <v>3927</v>
      </c>
      <c r="C1518" t="inlineStr">
        <is>
          <t>ALFREDO EMMANUEL VALENTIN MONDRAGON</t>
        </is>
      </c>
      <c r="D1518" t="n">
        <v>8861</v>
      </c>
      <c r="E1518" t="inlineStr">
        <is>
          <t>INGENIERO DEVOPS</t>
        </is>
      </c>
      <c r="F1518" t="inlineStr">
        <is>
          <t>MEXICO</t>
        </is>
      </c>
      <c r="G1518" t="n">
        <v>3671</v>
      </c>
      <c r="H1518" t="inlineStr">
        <is>
          <t>PSAUMIS ESCOBEDO DELGADO</t>
        </is>
      </c>
      <c r="I1518" t="n">
        <v>8859</v>
      </c>
      <c r="J1518" t="inlineStr">
        <is>
          <t>SUBDIRECTOR DE INGENIERIA TI</t>
        </is>
      </c>
      <c r="K1518" t="n">
        <v>1</v>
      </c>
      <c r="L1518" t="inlineStr">
        <is>
          <t>PRESIDENCIA EJECUTIVA DEL CONSEJO</t>
        </is>
      </c>
      <c r="M1518" t="n">
        <v>40</v>
      </c>
      <c r="N1518" t="inlineStr">
        <is>
          <t>DIRECCION GENERAL BANCO BASE</t>
        </is>
      </c>
      <c r="O1518" t="n">
        <v>310</v>
      </c>
      <c r="P1518" t="inlineStr">
        <is>
          <t>DIRECCION DE TECNOLOGIA</t>
        </is>
      </c>
      <c r="Q1518" t="n">
        <v>3190</v>
      </c>
      <c r="R1518" t="inlineStr">
        <is>
          <t>DIRECCION DE INGENIERIA TI</t>
        </is>
      </c>
      <c r="S1518" t="n">
        <v>31900</v>
      </c>
      <c r="T1518" t="inlineStr">
        <is>
          <t>DIRECCION DE INGENIERIA TI</t>
        </is>
      </c>
      <c r="U1518" t="n">
        <v>319000</v>
      </c>
      <c r="V1518" t="inlineStr">
        <is>
          <t>DIRECCION DE INGENIERIA TI</t>
        </is>
      </c>
      <c r="W1518" t="n">
        <v>134111</v>
      </c>
      <c r="X1518" t="inlineStr">
        <is>
          <t>LOMAS</t>
        </is>
      </c>
      <c r="Y1518" t="n">
        <v>4</v>
      </c>
      <c r="Z1518" t="inlineStr">
        <is>
          <t>CORPORATIVO</t>
        </is>
      </c>
      <c r="AA1518" t="n">
        <v>8</v>
      </c>
      <c r="AB1518" t="inlineStr">
        <is>
          <t>BAU</t>
        </is>
      </c>
      <c r="AC1518" t="n">
        <v>1</v>
      </c>
      <c r="AD1518" t="inlineStr">
        <is>
          <t>BANCO</t>
        </is>
      </c>
      <c r="AE1518" t="n">
        <v>1</v>
      </c>
      <c r="AF1518" t="inlineStr">
        <is>
          <t>BACK</t>
        </is>
      </c>
      <c r="AG1518" t="n">
        <v>134111</v>
      </c>
      <c r="AH1518" t="inlineStr">
        <is>
          <t>LOMAS</t>
        </is>
      </c>
      <c r="AI1518" t="inlineStr">
        <is>
          <t>AVALENTIN@BANCOBASE.COM</t>
        </is>
      </c>
      <c r="AJ1518" s="151" t="n">
        <v>46209</v>
      </c>
    </row>
    <row r="1519" hidden="1" s="150">
      <c r="A1519" t="inlineStr">
        <is>
          <t>DCHAVEZA</t>
        </is>
      </c>
      <c r="B1519" t="n">
        <v>4005</v>
      </c>
      <c r="C1519" t="inlineStr">
        <is>
          <t>DAVID CHAVEZ AVILA</t>
        </is>
      </c>
      <c r="D1519" t="n">
        <v>6048</v>
      </c>
      <c r="E1519" t="inlineStr">
        <is>
          <t>QA FUNCIONAL</t>
        </is>
      </c>
      <c r="F1519" t="inlineStr">
        <is>
          <t>TELETRABAJO</t>
        </is>
      </c>
      <c r="G1519" t="n">
        <v>3671</v>
      </c>
      <c r="H1519" t="inlineStr">
        <is>
          <t>PSAUMIS ESCOBEDO DELGADO</t>
        </is>
      </c>
      <c r="I1519" t="n">
        <v>8859</v>
      </c>
      <c r="J1519" t="inlineStr">
        <is>
          <t>SUBDIRECTOR DE INGENIERIA TI</t>
        </is>
      </c>
      <c r="K1519" t="n">
        <v>1</v>
      </c>
      <c r="L1519" t="inlineStr">
        <is>
          <t>PRESIDENCIA EJECUTIVA DEL CONSEJO</t>
        </is>
      </c>
      <c r="M1519" t="n">
        <v>40</v>
      </c>
      <c r="N1519" t="inlineStr">
        <is>
          <t>DIRECCION GENERAL BANCO BASE</t>
        </is>
      </c>
      <c r="O1519" t="n">
        <v>310</v>
      </c>
      <c r="P1519" t="inlineStr">
        <is>
          <t>DIRECCION DE TECNOLOGIA</t>
        </is>
      </c>
      <c r="Q1519" t="n">
        <v>3190</v>
      </c>
      <c r="R1519" t="inlineStr">
        <is>
          <t>DIRECCION DE INGENIERIA TI</t>
        </is>
      </c>
      <c r="S1519" t="n">
        <v>31900</v>
      </c>
      <c r="T1519" t="inlineStr">
        <is>
          <t>DIRECCION DE INGENIERIA TI</t>
        </is>
      </c>
      <c r="U1519" t="n">
        <v>319000</v>
      </c>
      <c r="V1519" t="inlineStr">
        <is>
          <t>DIRECCION DE INGENIERIA TI</t>
        </is>
      </c>
      <c r="W1519" t="n">
        <v>134111</v>
      </c>
      <c r="X1519" t="inlineStr">
        <is>
          <t>LOMAS</t>
        </is>
      </c>
      <c r="Y1519" t="n">
        <v>4</v>
      </c>
      <c r="Z1519" t="inlineStr">
        <is>
          <t>CORPORATIVO</t>
        </is>
      </c>
      <c r="AA1519" t="n">
        <v>8</v>
      </c>
      <c r="AB1519" t="inlineStr">
        <is>
          <t>BAU</t>
        </is>
      </c>
      <c r="AC1519" t="n">
        <v>1</v>
      </c>
      <c r="AD1519" t="inlineStr">
        <is>
          <t>BANCO</t>
        </is>
      </c>
      <c r="AE1519" t="n">
        <v>1</v>
      </c>
      <c r="AF1519" t="inlineStr">
        <is>
          <t>BACK</t>
        </is>
      </c>
      <c r="AG1519" t="n">
        <v>134111</v>
      </c>
      <c r="AH1519" t="inlineStr">
        <is>
          <t>LOMAS</t>
        </is>
      </c>
      <c r="AI1519" t="inlineStr">
        <is>
          <t>DCHAVEZA@BANCOBASE.COM</t>
        </is>
      </c>
      <c r="AJ1519" s="151" t="n">
        <v>46258</v>
      </c>
    </row>
    <row r="1520" hidden="1" s="150">
      <c r="A1520" t="inlineStr">
        <is>
          <t>MCARRERA</t>
        </is>
      </c>
      <c r="B1520" t="n">
        <v>4008</v>
      </c>
      <c r="C1520" t="inlineStr">
        <is>
          <t>MARISELA CARRERA GARCIA</t>
        </is>
      </c>
      <c r="D1520" t="n">
        <v>8858</v>
      </c>
      <c r="E1520" t="inlineStr">
        <is>
          <t>QA FUNCIONAL</t>
        </is>
      </c>
      <c r="F1520" t="inlineStr">
        <is>
          <t>TELETRABAJO</t>
        </is>
      </c>
      <c r="G1520" t="n">
        <v>3671</v>
      </c>
      <c r="H1520" t="inlineStr">
        <is>
          <t>PSAUMIS ESCOBEDO DELGADO</t>
        </is>
      </c>
      <c r="I1520" t="n">
        <v>8859</v>
      </c>
      <c r="J1520" t="inlineStr">
        <is>
          <t>SUBDIRECTOR DE INGENIERIA TI</t>
        </is>
      </c>
      <c r="K1520" t="n">
        <v>1</v>
      </c>
      <c r="L1520" t="inlineStr">
        <is>
          <t>PRESIDENCIA EJECUTIVA DEL CONSEJO</t>
        </is>
      </c>
      <c r="M1520" t="n">
        <v>40</v>
      </c>
      <c r="N1520" t="inlineStr">
        <is>
          <t>DIRECCION GENERAL BANCO BASE</t>
        </is>
      </c>
      <c r="O1520" t="n">
        <v>310</v>
      </c>
      <c r="P1520" t="inlineStr">
        <is>
          <t>DIRECCION DE TECNOLOGIA</t>
        </is>
      </c>
      <c r="Q1520" t="n">
        <v>3190</v>
      </c>
      <c r="R1520" t="inlineStr">
        <is>
          <t>DIRECCION DE INGENIERIA TI</t>
        </is>
      </c>
      <c r="S1520" t="n">
        <v>31900</v>
      </c>
      <c r="T1520" t="inlineStr">
        <is>
          <t>DIRECCION DE INGENIERIA TI</t>
        </is>
      </c>
      <c r="U1520" t="n">
        <v>319000</v>
      </c>
      <c r="V1520" t="inlineStr">
        <is>
          <t>DIRECCION DE INGENIERIA TI</t>
        </is>
      </c>
      <c r="W1520" t="n">
        <v>134111</v>
      </c>
      <c r="X1520" t="inlineStr">
        <is>
          <t>LOMAS</t>
        </is>
      </c>
      <c r="Y1520" t="n">
        <v>4</v>
      </c>
      <c r="Z1520" t="inlineStr">
        <is>
          <t>CORPORATIVO</t>
        </is>
      </c>
      <c r="AA1520" t="n">
        <v>8</v>
      </c>
      <c r="AB1520" t="inlineStr">
        <is>
          <t>BAU</t>
        </is>
      </c>
      <c r="AC1520" t="n">
        <v>1</v>
      </c>
      <c r="AD1520" t="inlineStr">
        <is>
          <t>BANCO</t>
        </is>
      </c>
      <c r="AE1520" t="n">
        <v>1</v>
      </c>
      <c r="AF1520" t="inlineStr">
        <is>
          <t>BACK</t>
        </is>
      </c>
      <c r="AG1520" t="n">
        <v>134111</v>
      </c>
      <c r="AH1520" t="inlineStr">
        <is>
          <t>LOMAS</t>
        </is>
      </c>
      <c r="AI1520" t="inlineStr">
        <is>
          <t>MCARRERA@BANCOBASE.COM</t>
        </is>
      </c>
      <c r="AJ1520" s="151" t="n">
        <v>46258</v>
      </c>
    </row>
    <row r="1521" hidden="1" s="150">
      <c r="A1521" t="inlineStr">
        <is>
          <t>RMOCTEZUMA</t>
        </is>
      </c>
      <c r="B1521" t="n">
        <v>3973</v>
      </c>
      <c r="C1521" t="inlineStr">
        <is>
          <t>RAUL MOCTEZUMA CORDERO</t>
        </is>
      </c>
      <c r="D1521" t="n">
        <v>8848</v>
      </c>
      <c r="E1521" t="inlineStr">
        <is>
          <t>QA AUTOMATION</t>
        </is>
      </c>
      <c r="F1521" t="inlineStr">
        <is>
          <t>MEXICO</t>
        </is>
      </c>
      <c r="G1521" t="n">
        <v>3671</v>
      </c>
      <c r="H1521" t="inlineStr">
        <is>
          <t>PSAUMIS ESCOBEDO DELGADO</t>
        </is>
      </c>
      <c r="I1521" t="n">
        <v>8859</v>
      </c>
      <c r="J1521" t="inlineStr">
        <is>
          <t>SUBDIRECTOR DE INGENIERIA TI</t>
        </is>
      </c>
      <c r="K1521" t="n">
        <v>1</v>
      </c>
      <c r="L1521" t="inlineStr">
        <is>
          <t>PRESIDENCIA EJECUTIVA DEL CONSEJO</t>
        </is>
      </c>
      <c r="M1521" t="n">
        <v>40</v>
      </c>
      <c r="N1521" t="inlineStr">
        <is>
          <t>DIRECCION GENERAL BANCO BASE</t>
        </is>
      </c>
      <c r="O1521" t="n">
        <v>310</v>
      </c>
      <c r="P1521" t="inlineStr">
        <is>
          <t>DIRECCION DE TECNOLOGIA</t>
        </is>
      </c>
      <c r="Q1521" t="n">
        <v>3190</v>
      </c>
      <c r="R1521" t="inlineStr">
        <is>
          <t>DIRECCION DE INGENIERIA TI</t>
        </is>
      </c>
      <c r="S1521" t="n">
        <v>31900</v>
      </c>
      <c r="T1521" t="inlineStr">
        <is>
          <t>DIRECCION DE INGENIERIA TI</t>
        </is>
      </c>
      <c r="U1521" t="n">
        <v>319000</v>
      </c>
      <c r="V1521" t="inlineStr">
        <is>
          <t>DIRECCION DE INGENIERIA TI</t>
        </is>
      </c>
      <c r="W1521" t="n">
        <v>134111</v>
      </c>
      <c r="X1521" t="inlineStr">
        <is>
          <t>LOMAS</t>
        </is>
      </c>
      <c r="Y1521" t="n">
        <v>4</v>
      </c>
      <c r="Z1521" t="inlineStr">
        <is>
          <t>CORPORATIVO</t>
        </is>
      </c>
      <c r="AA1521" t="n">
        <v>8</v>
      </c>
      <c r="AB1521" t="inlineStr">
        <is>
          <t>BAU</t>
        </is>
      </c>
      <c r="AC1521" t="n">
        <v>1</v>
      </c>
      <c r="AD1521" t="inlineStr">
        <is>
          <t>BANCO</t>
        </is>
      </c>
      <c r="AE1521" t="n">
        <v>1</v>
      </c>
      <c r="AF1521" t="inlineStr">
        <is>
          <t>BACK</t>
        </is>
      </c>
      <c r="AG1521" t="n">
        <v>134111</v>
      </c>
      <c r="AH1521" t="inlineStr">
        <is>
          <t>LOMAS</t>
        </is>
      </c>
      <c r="AI1521" t="inlineStr">
        <is>
          <t>RMOCTEZUMA@BANCOBASE.COM</t>
        </is>
      </c>
      <c r="AJ1521" s="151" t="n">
        <v>46239</v>
      </c>
    </row>
    <row r="1522" hidden="1" s="150">
      <c r="A1522" t="inlineStr">
        <is>
          <t>JOROZCOG</t>
        </is>
      </c>
      <c r="B1522" t="n">
        <v>3485</v>
      </c>
      <c r="C1522" t="inlineStr">
        <is>
          <t>JORGE ENRIQUE OROZCO GARCIA</t>
        </is>
      </c>
      <c r="D1522" t="n">
        <v>8717</v>
      </c>
      <c r="E1522" t="inlineStr">
        <is>
          <t>SUBDIRECTOR DE CIBERSEGURIDAD</t>
        </is>
      </c>
      <c r="F1522" t="inlineStr">
        <is>
          <t>CANCUN</t>
        </is>
      </c>
      <c r="G1522" t="n">
        <v>3043</v>
      </c>
      <c r="H1522" t="inlineStr">
        <is>
          <t>PAOLA CAROLINA CANO CRUZ</t>
        </is>
      </c>
      <c r="I1522" t="n">
        <v>10402</v>
      </c>
      <c r="J1522" t="inlineStr">
        <is>
          <t>DIRECTOR DE TECNOLOGIA</t>
        </is>
      </c>
      <c r="K1522" t="n">
        <v>1</v>
      </c>
      <c r="L1522" t="inlineStr">
        <is>
          <t>PRESIDENCIA EJECUTIVA DEL CONSEJO</t>
        </is>
      </c>
      <c r="M1522" t="n">
        <v>40</v>
      </c>
      <c r="N1522" t="inlineStr">
        <is>
          <t>DIRECCION GENERAL BANCO BASE</t>
        </is>
      </c>
      <c r="O1522" t="n">
        <v>310</v>
      </c>
      <c r="P1522" t="inlineStr">
        <is>
          <t>DIRECCION DE TECNOLOGIA</t>
        </is>
      </c>
      <c r="Q1522" t="n">
        <v>3191</v>
      </c>
      <c r="R1522" t="inlineStr">
        <is>
          <t>DIRECCION DE CIBERSEGURIDAD</t>
        </is>
      </c>
      <c r="S1522" t="n">
        <v>31910</v>
      </c>
      <c r="T1522" t="inlineStr">
        <is>
          <t>DIRECCION DE CIBERSEGURIDAD</t>
        </is>
      </c>
      <c r="U1522" t="n">
        <v>319100</v>
      </c>
      <c r="V1522" t="inlineStr">
        <is>
          <t>DIRECCION DE CIBERSEGURIDAD</t>
        </is>
      </c>
      <c r="W1522" t="n">
        <v>126121</v>
      </c>
      <c r="X1522" t="inlineStr">
        <is>
          <t>CANCUN</t>
        </is>
      </c>
      <c r="Y1522" t="n">
        <v>4</v>
      </c>
      <c r="Z1522" t="inlineStr">
        <is>
          <t>CORPORATIVO</t>
        </is>
      </c>
      <c r="AA1522" t="n">
        <v>8</v>
      </c>
      <c r="AB1522" t="inlineStr">
        <is>
          <t>BAU</t>
        </is>
      </c>
      <c r="AC1522" t="n">
        <v>1</v>
      </c>
      <c r="AD1522" t="inlineStr">
        <is>
          <t>BANCO</t>
        </is>
      </c>
      <c r="AE1522" t="n">
        <v>1</v>
      </c>
      <c r="AF1522" t="inlineStr">
        <is>
          <t>BACK</t>
        </is>
      </c>
      <c r="AG1522" t="n">
        <v>126121</v>
      </c>
      <c r="AH1522" t="inlineStr">
        <is>
          <t>CANCUN</t>
        </is>
      </c>
      <c r="AI1522" t="inlineStr">
        <is>
          <t>JOROZCOG@BANCOBASE.COM</t>
        </is>
      </c>
      <c r="AJ1522" s="151" t="n">
        <v>45854</v>
      </c>
    </row>
    <row r="1523" hidden="1" s="150">
      <c r="A1523" t="inlineStr">
        <is>
          <t>FTAPIA</t>
        </is>
      </c>
      <c r="B1523" t="n">
        <v>3740</v>
      </c>
      <c r="C1523" t="inlineStr">
        <is>
          <t>FRANCISCO JONATHAN TAPIA RIVERA</t>
        </is>
      </c>
      <c r="D1523" t="n">
        <v>8868</v>
      </c>
      <c r="E1523" t="inlineStr">
        <is>
          <t>LIDER DE CIBERINTELIGENCIA</t>
        </is>
      </c>
      <c r="F1523" t="inlineStr">
        <is>
          <t>MEXICO</t>
        </is>
      </c>
      <c r="G1523" t="n">
        <v>3485</v>
      </c>
      <c r="H1523" t="inlineStr">
        <is>
          <t>JORGE ENRIQUE OROZCO GARCIA</t>
        </is>
      </c>
      <c r="I1523" t="n">
        <v>8717</v>
      </c>
      <c r="J1523" t="inlineStr">
        <is>
          <t>SUBDIRECTOR DE CIBERSEGURIDAD</t>
        </is>
      </c>
      <c r="K1523" t="n">
        <v>1</v>
      </c>
      <c r="L1523" t="inlineStr">
        <is>
          <t>PRESIDENCIA EJECUTIVA DEL CONSEJO</t>
        </is>
      </c>
      <c r="M1523" t="n">
        <v>40</v>
      </c>
      <c r="N1523" t="inlineStr">
        <is>
          <t>DIRECCION GENERAL BANCO BASE</t>
        </is>
      </c>
      <c r="O1523" t="n">
        <v>310</v>
      </c>
      <c r="P1523" t="inlineStr">
        <is>
          <t>DIRECCION DE TECNOLOGIA</t>
        </is>
      </c>
      <c r="Q1523" t="n">
        <v>3191</v>
      </c>
      <c r="R1523" t="inlineStr">
        <is>
          <t>DIRECCION DE CIBERSEGURIDAD</t>
        </is>
      </c>
      <c r="S1523" t="n">
        <v>31910</v>
      </c>
      <c r="T1523" t="inlineStr">
        <is>
          <t>DIRECCION DE CIBERSEGURIDAD</t>
        </is>
      </c>
      <c r="U1523" t="n">
        <v>319100</v>
      </c>
      <c r="V1523" t="inlineStr">
        <is>
          <t>DIRECCION DE CIBERSEGURIDAD</t>
        </is>
      </c>
      <c r="W1523" t="n">
        <v>134111</v>
      </c>
      <c r="X1523" t="inlineStr">
        <is>
          <t>LOMAS</t>
        </is>
      </c>
      <c r="Y1523" t="n">
        <v>4</v>
      </c>
      <c r="Z1523" t="inlineStr">
        <is>
          <t>CORPORATIVO</t>
        </is>
      </c>
      <c r="AA1523" t="n">
        <v>1</v>
      </c>
      <c r="AB1523" t="inlineStr">
        <is>
          <t>NEGOCIO EN MARCHA</t>
        </is>
      </c>
      <c r="AC1523" t="n">
        <v>1</v>
      </c>
      <c r="AD1523" t="inlineStr">
        <is>
          <t>BANCO</t>
        </is>
      </c>
      <c r="AE1523" t="n">
        <v>1</v>
      </c>
      <c r="AF1523" t="inlineStr">
        <is>
          <t>BACK</t>
        </is>
      </c>
      <c r="AG1523" t="n">
        <v>134111</v>
      </c>
      <c r="AH1523" t="inlineStr">
        <is>
          <t>LOMAS</t>
        </is>
      </c>
      <c r="AI1523" t="inlineStr">
        <is>
          <t>FTAPIA@BANCOBASE.COM</t>
        </is>
      </c>
      <c r="AJ1523" s="151" t="n">
        <v>46041</v>
      </c>
    </row>
    <row r="1524" hidden="1" s="150">
      <c r="A1524" t="inlineStr">
        <is>
          <t>AHERRERAM</t>
        </is>
      </c>
      <c r="B1524" t="n">
        <v>3335</v>
      </c>
      <c r="C1524" t="inlineStr">
        <is>
          <t>ALMA NALLELY HERRERA MENDOZA</t>
        </is>
      </c>
      <c r="D1524" t="n">
        <v>8137</v>
      </c>
      <c r="E1524" t="inlineStr">
        <is>
          <t>INGENIERO DE SEGURIDAD DE INFRAESTRUCTURA TECNOLOGICA</t>
        </is>
      </c>
      <c r="F1524" t="inlineStr">
        <is>
          <t>MONTERREY</t>
        </is>
      </c>
      <c r="G1524" t="n">
        <v>3740</v>
      </c>
      <c r="H1524" t="inlineStr">
        <is>
          <t>FRANCISCO JONATHAN TAPIA RIVERA</t>
        </is>
      </c>
      <c r="I1524" t="n">
        <v>8868</v>
      </c>
      <c r="J1524" t="inlineStr">
        <is>
          <t>LIDER DE CIBERINTELIGENCIA</t>
        </is>
      </c>
      <c r="K1524" t="n">
        <v>1</v>
      </c>
      <c r="L1524" t="inlineStr">
        <is>
          <t>PRESIDENCIA EJECUTIVA DEL CONSEJO</t>
        </is>
      </c>
      <c r="M1524" t="n">
        <v>40</v>
      </c>
      <c r="N1524" t="inlineStr">
        <is>
          <t>DIRECCION GENERAL BANCO BASE</t>
        </is>
      </c>
      <c r="O1524" t="n">
        <v>310</v>
      </c>
      <c r="P1524" t="inlineStr">
        <is>
          <t>DIRECCION DE TECNOLOGIA</t>
        </is>
      </c>
      <c r="Q1524" t="n">
        <v>3191</v>
      </c>
      <c r="R1524" t="inlineStr">
        <is>
          <t>DIRECCION DE CIBERSEGURIDAD</t>
        </is>
      </c>
      <c r="S1524" t="n">
        <v>31910</v>
      </c>
      <c r="T1524" t="inlineStr">
        <is>
          <t>DIRECCION DE CIBERSEGURIDAD</t>
        </is>
      </c>
      <c r="U1524" t="n">
        <v>319100</v>
      </c>
      <c r="V1524" t="inlineStr">
        <is>
          <t>DIRECCION DE CIBERSEGURIDAD</t>
        </is>
      </c>
      <c r="W1524" t="n">
        <v>100101</v>
      </c>
      <c r="X1524" t="inlineStr">
        <is>
          <t>CORPORATIVO</t>
        </is>
      </c>
      <c r="Y1524" t="n">
        <v>4</v>
      </c>
      <c r="Z1524" t="inlineStr">
        <is>
          <t>CORPORATIVO</t>
        </is>
      </c>
      <c r="AA1524" t="n">
        <v>1</v>
      </c>
      <c r="AB1524" t="inlineStr">
        <is>
          <t>NEGOCIO EN MARCHA</t>
        </is>
      </c>
      <c r="AC1524" t="n">
        <v>1</v>
      </c>
      <c r="AD1524" t="inlineStr">
        <is>
          <t>BANCO</t>
        </is>
      </c>
      <c r="AE1524" t="n">
        <v>1</v>
      </c>
      <c r="AF1524" t="inlineStr">
        <is>
          <t>BACK</t>
        </is>
      </c>
      <c r="AG1524" t="n">
        <v>100101</v>
      </c>
      <c r="AH1524" t="inlineStr">
        <is>
          <t>CORPORATIVO</t>
        </is>
      </c>
      <c r="AI1524" t="inlineStr">
        <is>
          <t>AHERRERAM@BANCOBASE.COM</t>
        </is>
      </c>
      <c r="AJ1524" s="151" t="n">
        <v>45692</v>
      </c>
    </row>
    <row r="1525" hidden="1" s="150">
      <c r="A1525" t="inlineStr">
        <is>
          <t>SLUNAM</t>
        </is>
      </c>
      <c r="B1525" t="n">
        <v>3746</v>
      </c>
      <c r="C1525" t="inlineStr">
        <is>
          <t>SERGIO LUNA MEDEL</t>
        </is>
      </c>
      <c r="D1525" t="n">
        <v>8874</v>
      </c>
      <c r="E1525" t="inlineStr">
        <is>
          <t>LIDER DE CIBERSEGURIDAD DIGITAL</t>
        </is>
      </c>
      <c r="F1525" t="inlineStr">
        <is>
          <t>MONTERREY</t>
        </is>
      </c>
      <c r="G1525" t="n">
        <v>3485</v>
      </c>
      <c r="H1525" t="inlineStr">
        <is>
          <t>JORGE ENRIQUE OROZCO GARCIA</t>
        </is>
      </c>
      <c r="I1525" t="n">
        <v>8717</v>
      </c>
      <c r="J1525" t="inlineStr">
        <is>
          <t>SUBDIRECTOR DE CIBERSEGURIDAD</t>
        </is>
      </c>
      <c r="K1525" t="n">
        <v>1</v>
      </c>
      <c r="L1525" t="inlineStr">
        <is>
          <t>PRESIDENCIA EJECUTIVA DEL CONSEJO</t>
        </is>
      </c>
      <c r="M1525" t="n">
        <v>40</v>
      </c>
      <c r="N1525" t="inlineStr">
        <is>
          <t>DIRECCION GENERAL BANCO BASE</t>
        </is>
      </c>
      <c r="O1525" t="n">
        <v>310</v>
      </c>
      <c r="P1525" t="inlineStr">
        <is>
          <t>DIRECCION DE TECNOLOGIA</t>
        </is>
      </c>
      <c r="Q1525" t="n">
        <v>3191</v>
      </c>
      <c r="R1525" t="inlineStr">
        <is>
          <t>DIRECCION DE CIBERSEGURIDAD</t>
        </is>
      </c>
      <c r="S1525" t="n">
        <v>31910</v>
      </c>
      <c r="T1525" t="inlineStr">
        <is>
          <t>DIRECCION DE CIBERSEGURIDAD</t>
        </is>
      </c>
      <c r="U1525" t="n">
        <v>319100</v>
      </c>
      <c r="V1525" t="inlineStr">
        <is>
          <t>DIRECCION DE CIBERSEGURIDAD</t>
        </is>
      </c>
      <c r="W1525" t="n">
        <v>100101</v>
      </c>
      <c r="X1525" t="inlineStr">
        <is>
          <t>CORPORATIVO</t>
        </is>
      </c>
      <c r="Y1525" t="n">
        <v>4</v>
      </c>
      <c r="Z1525" t="inlineStr">
        <is>
          <t>CORPORATIVO</t>
        </is>
      </c>
      <c r="AA1525" t="n">
        <v>1</v>
      </c>
      <c r="AB1525" t="inlineStr">
        <is>
          <t>NEGOCIO EN MARCHA</t>
        </is>
      </c>
      <c r="AC1525" t="n">
        <v>1</v>
      </c>
      <c r="AD1525" t="inlineStr">
        <is>
          <t>BANCO</t>
        </is>
      </c>
      <c r="AE1525" t="n">
        <v>1</v>
      </c>
      <c r="AF1525" t="inlineStr">
        <is>
          <t>BACK</t>
        </is>
      </c>
      <c r="AG1525" t="n">
        <v>100101</v>
      </c>
      <c r="AH1525" t="inlineStr">
        <is>
          <t>CORPORATIVO</t>
        </is>
      </c>
      <c r="AI1525" t="inlineStr">
        <is>
          <t>SLUNAM@BANCOBASE.COM</t>
        </is>
      </c>
      <c r="AJ1525" s="151" t="n">
        <v>46041</v>
      </c>
    </row>
    <row r="1526" hidden="1" s="150">
      <c r="A1526" t="inlineStr">
        <is>
          <t>CCAMPOS</t>
        </is>
      </c>
      <c r="B1526" t="n">
        <v>3793</v>
      </c>
      <c r="C1526" t="inlineStr">
        <is>
          <t>CARLOS ALEJANDRO CAMPOS HERNANDEZ</t>
        </is>
      </c>
      <c r="D1526" t="n">
        <v>8870</v>
      </c>
      <c r="E1526" t="inlineStr">
        <is>
          <t>ESPECIALISTA DE CONTROL DE ACCESOS</t>
        </is>
      </c>
      <c r="F1526" t="inlineStr">
        <is>
          <t>QUERETARO</t>
        </is>
      </c>
      <c r="G1526" t="n">
        <v>3485</v>
      </c>
      <c r="H1526" t="inlineStr">
        <is>
          <t>JORGE ENRIQUE OROZCO GARCIA</t>
        </is>
      </c>
      <c r="I1526" t="n">
        <v>8717</v>
      </c>
      <c r="J1526" t="inlineStr">
        <is>
          <t>SUBDIRECTOR DE CIBERSEGURIDAD</t>
        </is>
      </c>
      <c r="K1526" t="n">
        <v>1</v>
      </c>
      <c r="L1526" t="inlineStr">
        <is>
          <t>PRESIDENCIA EJECUTIVA DEL CONSEJO</t>
        </is>
      </c>
      <c r="M1526" t="n">
        <v>40</v>
      </c>
      <c r="N1526" t="inlineStr">
        <is>
          <t>DIRECCION GENERAL BANCO BASE</t>
        </is>
      </c>
      <c r="O1526" t="n">
        <v>310</v>
      </c>
      <c r="P1526" t="inlineStr">
        <is>
          <t>DIRECCION DE TECNOLOGIA</t>
        </is>
      </c>
      <c r="Q1526" t="n">
        <v>3191</v>
      </c>
      <c r="R1526" t="inlineStr">
        <is>
          <t>DIRECCION DE CIBERSEGURIDAD</t>
        </is>
      </c>
      <c r="S1526" t="n">
        <v>31910</v>
      </c>
      <c r="T1526" t="inlineStr">
        <is>
          <t>DIRECCION DE CIBERSEGURIDAD</t>
        </is>
      </c>
      <c r="U1526" t="n">
        <v>319100</v>
      </c>
      <c r="V1526" t="inlineStr">
        <is>
          <t>DIRECCION DE CIBERSEGURIDAD</t>
        </is>
      </c>
      <c r="W1526" t="n">
        <v>126112</v>
      </c>
      <c r="X1526" t="inlineStr">
        <is>
          <t>QUERETARO</t>
        </is>
      </c>
      <c r="Y1526" t="n">
        <v>4</v>
      </c>
      <c r="Z1526" t="inlineStr">
        <is>
          <t>CORPORATIVO</t>
        </is>
      </c>
      <c r="AA1526" t="n">
        <v>1</v>
      </c>
      <c r="AB1526" t="inlineStr">
        <is>
          <t>NEGOCIO EN MARCHA</t>
        </is>
      </c>
      <c r="AC1526" t="n">
        <v>1</v>
      </c>
      <c r="AD1526" t="inlineStr">
        <is>
          <t>BANCO</t>
        </is>
      </c>
      <c r="AE1526" t="n">
        <v>1</v>
      </c>
      <c r="AF1526" t="inlineStr">
        <is>
          <t>BACK</t>
        </is>
      </c>
      <c r="AG1526" t="n">
        <v>126112</v>
      </c>
      <c r="AH1526" t="inlineStr">
        <is>
          <t>QUERETARO</t>
        </is>
      </c>
      <c r="AI1526" t="inlineStr">
        <is>
          <t>CCAMPOS@BANCOBASE.COM</t>
        </is>
      </c>
      <c r="AJ1526" s="151" t="n">
        <v>46098</v>
      </c>
    </row>
    <row r="1527" hidden="1" s="150">
      <c r="A1527" t="inlineStr">
        <is>
          <t>GNAVARRO</t>
        </is>
      </c>
      <c r="B1527" t="n">
        <v>3824</v>
      </c>
      <c r="C1527" t="inlineStr">
        <is>
          <t>GONZALO NAVARRO BLANCAS</t>
        </is>
      </c>
      <c r="D1527" t="n">
        <v>8872</v>
      </c>
      <c r="E1527" t="inlineStr">
        <is>
          <t>ESPECIALISTA DE CONTROL DE ACCESOS</t>
        </is>
      </c>
      <c r="F1527" t="inlineStr">
        <is>
          <t>MEXICO</t>
        </is>
      </c>
      <c r="G1527" t="n">
        <v>3485</v>
      </c>
      <c r="H1527" t="inlineStr">
        <is>
          <t>JORGE ENRIQUE OROZCO GARCIA</t>
        </is>
      </c>
      <c r="I1527" t="n">
        <v>8717</v>
      </c>
      <c r="J1527" t="inlineStr">
        <is>
          <t>SUBDIRECTOR DE CIBERSEGURIDAD</t>
        </is>
      </c>
      <c r="K1527" t="n">
        <v>1</v>
      </c>
      <c r="L1527" t="inlineStr">
        <is>
          <t>PRESIDENCIA EJECUTIVA DEL CONSEJO</t>
        </is>
      </c>
      <c r="M1527" t="n">
        <v>40</v>
      </c>
      <c r="N1527" t="inlineStr">
        <is>
          <t>DIRECCION GENERAL BANCO BASE</t>
        </is>
      </c>
      <c r="O1527" t="n">
        <v>310</v>
      </c>
      <c r="P1527" t="inlineStr">
        <is>
          <t>DIRECCION DE TECNOLOGIA</t>
        </is>
      </c>
      <c r="Q1527" t="n">
        <v>3191</v>
      </c>
      <c r="R1527" t="inlineStr">
        <is>
          <t>DIRECCION DE CIBERSEGURIDAD</t>
        </is>
      </c>
      <c r="S1527" t="n">
        <v>31910</v>
      </c>
      <c r="T1527" t="inlineStr">
        <is>
          <t>DIRECCION DE CIBERSEGURIDAD</t>
        </is>
      </c>
      <c r="U1527" t="n">
        <v>319100</v>
      </c>
      <c r="V1527" t="inlineStr">
        <is>
          <t>DIRECCION DE CIBERSEGURIDAD</t>
        </is>
      </c>
      <c r="W1527" t="n">
        <v>134111</v>
      </c>
      <c r="X1527" t="inlineStr">
        <is>
          <t>LOMAS</t>
        </is>
      </c>
      <c r="Y1527" t="n">
        <v>4</v>
      </c>
      <c r="Z1527" t="inlineStr">
        <is>
          <t>CORPORATIVO</t>
        </is>
      </c>
      <c r="AA1527" t="n">
        <v>1</v>
      </c>
      <c r="AB1527" t="inlineStr">
        <is>
          <t>NEGOCIO EN MARCHA</t>
        </is>
      </c>
      <c r="AC1527" t="n">
        <v>1</v>
      </c>
      <c r="AD1527" t="inlineStr">
        <is>
          <t>BANCO</t>
        </is>
      </c>
      <c r="AE1527" t="n">
        <v>1</v>
      </c>
      <c r="AF1527" t="inlineStr">
        <is>
          <t>BACK</t>
        </is>
      </c>
      <c r="AG1527" t="n">
        <v>134111</v>
      </c>
      <c r="AH1527" t="inlineStr">
        <is>
          <t>LOMAS</t>
        </is>
      </c>
      <c r="AI1527" t="inlineStr">
        <is>
          <t>GNAVARRO@BANCOBASE.COM</t>
        </is>
      </c>
      <c r="AJ1527" s="151" t="n">
        <v>46128</v>
      </c>
    </row>
    <row r="1528" hidden="1" s="150">
      <c r="A1528" t="inlineStr">
        <is>
          <t>GSANCHEZR</t>
        </is>
      </c>
      <c r="B1528" t="n">
        <v>3034</v>
      </c>
      <c r="C1528" t="inlineStr">
        <is>
          <t>GABRIEL OMAR SANCHEZ REYES</t>
        </is>
      </c>
      <c r="D1528" t="n">
        <v>8332</v>
      </c>
      <c r="E1528" t="inlineStr">
        <is>
          <t>ESPECIALISTA DE SEGURIDAD INFORMATICA</t>
        </is>
      </c>
      <c r="F1528" t="inlineStr">
        <is>
          <t>MONTERREY</t>
        </is>
      </c>
      <c r="G1528" t="n">
        <v>3485</v>
      </c>
      <c r="H1528" t="inlineStr">
        <is>
          <t>JORGE ENRIQUE OROZCO GARCIA</t>
        </is>
      </c>
      <c r="I1528" t="n">
        <v>8717</v>
      </c>
      <c r="J1528" t="inlineStr">
        <is>
          <t>SUBDIRECTOR DE CIBERSEGURIDAD</t>
        </is>
      </c>
      <c r="K1528" t="n">
        <v>1</v>
      </c>
      <c r="L1528" t="inlineStr">
        <is>
          <t>PRESIDENCIA EJECUTIVA DEL CONSEJO</t>
        </is>
      </c>
      <c r="M1528" t="n">
        <v>40</v>
      </c>
      <c r="N1528" t="inlineStr">
        <is>
          <t>DIRECCION GENERAL BANCO BASE</t>
        </is>
      </c>
      <c r="O1528" t="n">
        <v>310</v>
      </c>
      <c r="P1528" t="inlineStr">
        <is>
          <t>DIRECCION DE TECNOLOGIA</t>
        </is>
      </c>
      <c r="Q1528" t="n">
        <v>3191</v>
      </c>
      <c r="R1528" t="inlineStr">
        <is>
          <t>DIRECCION DE CIBERSEGURIDAD</t>
        </is>
      </c>
      <c r="S1528" t="n">
        <v>31910</v>
      </c>
      <c r="T1528" t="inlineStr">
        <is>
          <t>DIRECCION DE CIBERSEGURIDAD</t>
        </is>
      </c>
      <c r="U1528" t="n">
        <v>319100</v>
      </c>
      <c r="V1528" t="inlineStr">
        <is>
          <t>DIRECCION DE CIBERSEGURIDAD</t>
        </is>
      </c>
      <c r="W1528" t="n">
        <v>100101</v>
      </c>
      <c r="X1528" t="inlineStr">
        <is>
          <t>CORPORATIVO</t>
        </is>
      </c>
      <c r="Y1528" t="n">
        <v>4</v>
      </c>
      <c r="Z1528" t="inlineStr">
        <is>
          <t>CORPORATIVO</t>
        </is>
      </c>
      <c r="AA1528" t="n">
        <v>1</v>
      </c>
      <c r="AB1528" t="inlineStr">
        <is>
          <t>NEGOCIO EN MARCHA</t>
        </is>
      </c>
      <c r="AC1528" t="n">
        <v>1</v>
      </c>
      <c r="AD1528" t="inlineStr">
        <is>
          <t>BANCO</t>
        </is>
      </c>
      <c r="AE1528" t="n">
        <v>1</v>
      </c>
      <c r="AF1528" t="inlineStr">
        <is>
          <t>BACK</t>
        </is>
      </c>
      <c r="AG1528" t="n">
        <v>100101</v>
      </c>
      <c r="AH1528" t="inlineStr">
        <is>
          <t>CORPORATIVO</t>
        </is>
      </c>
      <c r="AI1528" t="inlineStr">
        <is>
          <t>GSANCHEZR@BANCOBASE.COM</t>
        </is>
      </c>
      <c r="AJ1528" s="151" t="n">
        <v>45338</v>
      </c>
    </row>
    <row r="1529" hidden="1" s="150">
      <c r="A1529" t="inlineStr">
        <is>
          <t>KMARTINEZM</t>
        </is>
      </c>
      <c r="B1529" t="n">
        <v>2919</v>
      </c>
      <c r="C1529" t="inlineStr">
        <is>
          <t>KEVIN MARTINEZ MIRANDA</t>
        </is>
      </c>
      <c r="D1529" t="n">
        <v>9783</v>
      </c>
      <c r="E1529" t="inlineStr">
        <is>
          <t>ESPECIALISTA DE SEGURIDAD INFORMATICA</t>
        </is>
      </c>
      <c r="F1529" t="inlineStr">
        <is>
          <t>MONTERREY</t>
        </is>
      </c>
      <c r="G1529" t="n">
        <v>3485</v>
      </c>
      <c r="H1529" t="inlineStr">
        <is>
          <t>JORGE ENRIQUE OROZCO GARCIA</t>
        </is>
      </c>
      <c r="I1529" t="n">
        <v>8717</v>
      </c>
      <c r="J1529" t="inlineStr">
        <is>
          <t>SUBDIRECTOR DE CIBERSEGURIDAD</t>
        </is>
      </c>
      <c r="K1529" t="n">
        <v>1</v>
      </c>
      <c r="L1529" t="inlineStr">
        <is>
          <t>PRESIDENCIA EJECUTIVA DEL CONSEJO</t>
        </is>
      </c>
      <c r="M1529" t="n">
        <v>40</v>
      </c>
      <c r="N1529" t="inlineStr">
        <is>
          <t>DIRECCION GENERAL BANCO BASE</t>
        </is>
      </c>
      <c r="O1529" t="n">
        <v>310</v>
      </c>
      <c r="P1529" t="inlineStr">
        <is>
          <t>DIRECCION DE TECNOLOGIA</t>
        </is>
      </c>
      <c r="Q1529" t="n">
        <v>3191</v>
      </c>
      <c r="R1529" t="inlineStr">
        <is>
          <t>DIRECCION DE CIBERSEGURIDAD</t>
        </is>
      </c>
      <c r="S1529" t="n">
        <v>31910</v>
      </c>
      <c r="T1529" t="inlineStr">
        <is>
          <t>DIRECCION DE CIBERSEGURIDAD</t>
        </is>
      </c>
      <c r="U1529" t="n">
        <v>319100</v>
      </c>
      <c r="V1529" t="inlineStr">
        <is>
          <t>DIRECCION DE CIBERSEGURIDAD</t>
        </is>
      </c>
      <c r="W1529" t="n">
        <v>100101</v>
      </c>
      <c r="X1529" t="inlineStr">
        <is>
          <t>CORPORATIVO</t>
        </is>
      </c>
      <c r="Y1529" t="n">
        <v>4</v>
      </c>
      <c r="Z1529" t="inlineStr">
        <is>
          <t>CORPORATIVO</t>
        </is>
      </c>
      <c r="AA1529" t="n">
        <v>1</v>
      </c>
      <c r="AB1529" t="inlineStr">
        <is>
          <t>NEGOCIO EN MARCHA</t>
        </is>
      </c>
      <c r="AC1529" t="n">
        <v>1</v>
      </c>
      <c r="AD1529" t="inlineStr">
        <is>
          <t>BANCO</t>
        </is>
      </c>
      <c r="AE1529" t="n">
        <v>1</v>
      </c>
      <c r="AF1529" t="inlineStr">
        <is>
          <t>BACK</t>
        </is>
      </c>
      <c r="AG1529" t="n">
        <v>100101</v>
      </c>
      <c r="AH1529" t="inlineStr">
        <is>
          <t>CORPORATIVO</t>
        </is>
      </c>
      <c r="AI1529" t="inlineStr">
        <is>
          <t>KMARTINEZM@BANCOBASE.COM</t>
        </is>
      </c>
      <c r="AJ1529" s="151" t="n">
        <v>45110</v>
      </c>
    </row>
    <row r="1530" hidden="1" s="150">
      <c r="A1530" t="inlineStr">
        <is>
          <t>MLOERA</t>
        </is>
      </c>
      <c r="B1530" t="n">
        <v>3027</v>
      </c>
      <c r="C1530" t="inlineStr">
        <is>
          <t>MARIO ENRIQUE LOERA HERNANDEZ</t>
        </is>
      </c>
      <c r="D1530" t="n">
        <v>8327</v>
      </c>
      <c r="E1530" t="inlineStr">
        <is>
          <t>ESPECIALISTA DE SEGURIDAD INFORMATICA</t>
        </is>
      </c>
      <c r="F1530" t="inlineStr">
        <is>
          <t>MONTERREY</t>
        </is>
      </c>
      <c r="G1530" t="n">
        <v>3485</v>
      </c>
      <c r="H1530" t="inlineStr">
        <is>
          <t>JORGE ENRIQUE OROZCO GARCIA</t>
        </is>
      </c>
      <c r="I1530" t="n">
        <v>8717</v>
      </c>
      <c r="J1530" t="inlineStr">
        <is>
          <t>SUBDIRECTOR DE CIBERSEGURIDAD</t>
        </is>
      </c>
      <c r="K1530" t="n">
        <v>1</v>
      </c>
      <c r="L1530" t="inlineStr">
        <is>
          <t>PRESIDENCIA EJECUTIVA DEL CONSEJO</t>
        </is>
      </c>
      <c r="M1530" t="n">
        <v>40</v>
      </c>
      <c r="N1530" t="inlineStr">
        <is>
          <t>DIRECCION GENERAL BANCO BASE</t>
        </is>
      </c>
      <c r="O1530" t="n">
        <v>310</v>
      </c>
      <c r="P1530" t="inlineStr">
        <is>
          <t>DIRECCION DE TECNOLOGIA</t>
        </is>
      </c>
      <c r="Q1530" t="n">
        <v>3191</v>
      </c>
      <c r="R1530" t="inlineStr">
        <is>
          <t>DIRECCION DE CIBERSEGURIDAD</t>
        </is>
      </c>
      <c r="S1530" t="n">
        <v>31910</v>
      </c>
      <c r="T1530" t="inlineStr">
        <is>
          <t>DIRECCION DE CIBERSEGURIDAD</t>
        </is>
      </c>
      <c r="U1530" t="n">
        <v>319100</v>
      </c>
      <c r="V1530" t="inlineStr">
        <is>
          <t>DIRECCION DE CIBERSEGURIDAD</t>
        </is>
      </c>
      <c r="W1530" t="n">
        <v>100101</v>
      </c>
      <c r="X1530" t="inlineStr">
        <is>
          <t>CORPORATIVO</t>
        </is>
      </c>
      <c r="Y1530" t="n">
        <v>4</v>
      </c>
      <c r="Z1530" t="inlineStr">
        <is>
          <t>CORPORATIVO</t>
        </is>
      </c>
      <c r="AA1530" t="n">
        <v>1</v>
      </c>
      <c r="AB1530" t="inlineStr">
        <is>
          <t>NEGOCIO EN MARCHA</t>
        </is>
      </c>
      <c r="AC1530" t="n">
        <v>1</v>
      </c>
      <c r="AD1530" t="inlineStr">
        <is>
          <t>BANCO</t>
        </is>
      </c>
      <c r="AE1530" t="n">
        <v>1</v>
      </c>
      <c r="AF1530" t="inlineStr">
        <is>
          <t>BACK</t>
        </is>
      </c>
      <c r="AG1530" t="n">
        <v>100101</v>
      </c>
      <c r="AH1530" t="inlineStr">
        <is>
          <t>CORPORATIVO</t>
        </is>
      </c>
      <c r="AI1530" t="inlineStr">
        <is>
          <t>MLOERA@BANCOBASE.COM</t>
        </is>
      </c>
      <c r="AJ1530" s="151" t="n">
        <v>45328</v>
      </c>
    </row>
    <row r="1531" hidden="1" s="150">
      <c r="A1531" t="inlineStr">
        <is>
          <t>ASANTAMARS</t>
        </is>
      </c>
      <c r="B1531" t="n">
        <v>3717</v>
      </c>
      <c r="C1531" t="inlineStr">
        <is>
          <t>ALBERTO SANTAMARIA SANCHEZ</t>
        </is>
      </c>
      <c r="D1531" t="n">
        <v>8869</v>
      </c>
      <c r="E1531" t="inlineStr">
        <is>
          <t>ESPECIALISTA PENTESTING</t>
        </is>
      </c>
      <c r="F1531" t="inlineStr">
        <is>
          <t>MEXICO</t>
        </is>
      </c>
      <c r="G1531" t="n">
        <v>3485</v>
      </c>
      <c r="H1531" t="inlineStr">
        <is>
          <t>JORGE ENRIQUE OROZCO GARCIA</t>
        </is>
      </c>
      <c r="I1531" t="n">
        <v>8717</v>
      </c>
      <c r="J1531" t="inlineStr">
        <is>
          <t>SUBDIRECTOR DE CIBERSEGURIDAD</t>
        </is>
      </c>
      <c r="K1531" t="n">
        <v>1</v>
      </c>
      <c r="L1531" t="inlineStr">
        <is>
          <t>PRESIDENCIA EJECUTIVA DEL CONSEJO</t>
        </is>
      </c>
      <c r="M1531" t="n">
        <v>40</v>
      </c>
      <c r="N1531" t="inlineStr">
        <is>
          <t>DIRECCION GENERAL BANCO BASE</t>
        </is>
      </c>
      <c r="O1531" t="n">
        <v>310</v>
      </c>
      <c r="P1531" t="inlineStr">
        <is>
          <t>DIRECCION DE TECNOLOGIA</t>
        </is>
      </c>
      <c r="Q1531" t="n">
        <v>3191</v>
      </c>
      <c r="R1531" t="inlineStr">
        <is>
          <t>DIRECCION DE CIBERSEGURIDAD</t>
        </is>
      </c>
      <c r="S1531" t="n">
        <v>31910</v>
      </c>
      <c r="T1531" t="inlineStr">
        <is>
          <t>DIRECCION DE CIBERSEGURIDAD</t>
        </is>
      </c>
      <c r="U1531" t="n">
        <v>319100</v>
      </c>
      <c r="V1531" t="inlineStr">
        <is>
          <t>DIRECCION DE CIBERSEGURIDAD</t>
        </is>
      </c>
      <c r="W1531" t="n">
        <v>134111</v>
      </c>
      <c r="X1531" t="inlineStr">
        <is>
          <t>LOMAS</t>
        </is>
      </c>
      <c r="Y1531" t="n">
        <v>4</v>
      </c>
      <c r="Z1531" t="inlineStr">
        <is>
          <t>CORPORATIVO</t>
        </is>
      </c>
      <c r="AA1531" t="n">
        <v>1</v>
      </c>
      <c r="AB1531" t="inlineStr">
        <is>
          <t>NEGOCIO EN MARCHA</t>
        </is>
      </c>
      <c r="AC1531" t="n">
        <v>1</v>
      </c>
      <c r="AD1531" t="inlineStr">
        <is>
          <t>BANCO</t>
        </is>
      </c>
      <c r="AE1531" t="n">
        <v>1</v>
      </c>
      <c r="AF1531" t="inlineStr">
        <is>
          <t>BACK</t>
        </is>
      </c>
      <c r="AG1531" t="n">
        <v>134111</v>
      </c>
      <c r="AH1531" t="inlineStr">
        <is>
          <t>LOMAS</t>
        </is>
      </c>
      <c r="AI1531" t="inlineStr">
        <is>
          <t>ASANTAMARS@BANCOBASE.COM</t>
        </is>
      </c>
      <c r="AJ1531" s="151" t="n">
        <v>46027</v>
      </c>
    </row>
    <row r="1532" hidden="1" s="150">
      <c r="A1532" t="inlineStr">
        <is>
          <t>LRAMIREZC</t>
        </is>
      </c>
      <c r="B1532" t="n">
        <v>2567</v>
      </c>
      <c r="C1532" t="inlineStr">
        <is>
          <t>LEONARDO DANIEL RAMIREZ COLLINS</t>
        </is>
      </c>
      <c r="D1532" t="n">
        <v>8551</v>
      </c>
      <c r="E1532" t="inlineStr">
        <is>
          <t>LIDER DE SEGURIDAD DE INFRAESTRUCTURA TI</t>
        </is>
      </c>
      <c r="F1532" t="inlineStr">
        <is>
          <t>MONTERREY</t>
        </is>
      </c>
      <c r="G1532" t="n">
        <v>3485</v>
      </c>
      <c r="H1532" t="inlineStr">
        <is>
          <t>JORGE ENRIQUE OROZCO GARCIA</t>
        </is>
      </c>
      <c r="I1532" t="n">
        <v>8717</v>
      </c>
      <c r="J1532" t="inlineStr">
        <is>
          <t>SUBDIRECTOR DE CIBERSEGURIDAD</t>
        </is>
      </c>
      <c r="K1532" t="n">
        <v>1</v>
      </c>
      <c r="L1532" t="inlineStr">
        <is>
          <t>PRESIDENCIA EJECUTIVA DEL CONSEJO</t>
        </is>
      </c>
      <c r="M1532" t="n">
        <v>40</v>
      </c>
      <c r="N1532" t="inlineStr">
        <is>
          <t>DIRECCION GENERAL BANCO BASE</t>
        </is>
      </c>
      <c r="O1532" t="n">
        <v>310</v>
      </c>
      <c r="P1532" t="inlineStr">
        <is>
          <t>DIRECCION DE TECNOLOGIA</t>
        </is>
      </c>
      <c r="Q1532" t="n">
        <v>3191</v>
      </c>
      <c r="R1532" t="inlineStr">
        <is>
          <t>DIRECCION DE CIBERSEGURIDAD</t>
        </is>
      </c>
      <c r="S1532" t="n">
        <v>31910</v>
      </c>
      <c r="T1532" t="inlineStr">
        <is>
          <t>DIRECCION DE CIBERSEGURIDAD</t>
        </is>
      </c>
      <c r="U1532" t="n">
        <v>319100</v>
      </c>
      <c r="V1532" t="inlineStr">
        <is>
          <t>DIRECCION DE CIBERSEGURIDAD</t>
        </is>
      </c>
      <c r="W1532" t="n">
        <v>100101</v>
      </c>
      <c r="X1532" t="inlineStr">
        <is>
          <t>CORPORATIVO</t>
        </is>
      </c>
      <c r="Y1532" t="n">
        <v>4</v>
      </c>
      <c r="Z1532" t="inlineStr">
        <is>
          <t>CORPORATIVO</t>
        </is>
      </c>
      <c r="AA1532" t="n">
        <v>7</v>
      </c>
      <c r="AB1532" t="inlineStr">
        <is>
          <t>PROYECTO DARWIN</t>
        </is>
      </c>
      <c r="AC1532" t="n">
        <v>1</v>
      </c>
      <c r="AD1532" t="inlineStr">
        <is>
          <t>BANCO</t>
        </is>
      </c>
      <c r="AE1532" t="n">
        <v>1</v>
      </c>
      <c r="AF1532" t="inlineStr">
        <is>
          <t>BACK</t>
        </is>
      </c>
      <c r="AG1532" t="n">
        <v>100101</v>
      </c>
      <c r="AH1532" t="inlineStr">
        <is>
          <t>CORPORATIVO</t>
        </is>
      </c>
      <c r="AI1532" t="inlineStr">
        <is>
          <t>LRAMIREZC@BANCOBASE.COM</t>
        </is>
      </c>
      <c r="AJ1532" s="151" t="n">
        <v>44503</v>
      </c>
    </row>
    <row r="1533" hidden="1" s="150">
      <c r="A1533" t="inlineStr">
        <is>
          <t>ADIAZD</t>
        </is>
      </c>
      <c r="B1533" t="n">
        <v>3290</v>
      </c>
      <c r="C1533" t="inlineStr">
        <is>
          <t>ADAN ALEKZEY DIAZ DE LEON ZUÑIGA</t>
        </is>
      </c>
      <c r="D1533" t="n">
        <v>8553</v>
      </c>
      <c r="E1533" t="inlineStr">
        <is>
          <t>INGENIERO DE SEGURIDAD DE INFRAESTRUCTURA TECNOLOGICA</t>
        </is>
      </c>
      <c r="F1533" t="inlineStr">
        <is>
          <t>MONTERREY</t>
        </is>
      </c>
      <c r="G1533" t="n">
        <v>2567</v>
      </c>
      <c r="H1533" t="inlineStr">
        <is>
          <t>LEONARDO DANIEL RAMIREZ COLLINS</t>
        </is>
      </c>
      <c r="I1533" t="n">
        <v>8551</v>
      </c>
      <c r="J1533" t="inlineStr">
        <is>
          <t>LIDER DE SEGURIDAD DE INFRAESTRUCTURA TI</t>
        </is>
      </c>
      <c r="K1533" t="n">
        <v>1</v>
      </c>
      <c r="L1533" t="inlineStr">
        <is>
          <t>PRESIDENCIA EJECUTIVA DEL CONSEJO</t>
        </is>
      </c>
      <c r="M1533" t="n">
        <v>40</v>
      </c>
      <c r="N1533" t="inlineStr">
        <is>
          <t>DIRECCION GENERAL BANCO BASE</t>
        </is>
      </c>
      <c r="O1533" t="n">
        <v>310</v>
      </c>
      <c r="P1533" t="inlineStr">
        <is>
          <t>DIRECCION DE TECNOLOGIA</t>
        </is>
      </c>
      <c r="Q1533" t="n">
        <v>3191</v>
      </c>
      <c r="R1533" t="inlineStr">
        <is>
          <t>DIRECCION DE CIBERSEGURIDAD</t>
        </is>
      </c>
      <c r="S1533" t="n">
        <v>31910</v>
      </c>
      <c r="T1533" t="inlineStr">
        <is>
          <t>DIRECCION DE CIBERSEGURIDAD</t>
        </is>
      </c>
      <c r="U1533" t="n">
        <v>319100</v>
      </c>
      <c r="V1533" t="inlineStr">
        <is>
          <t>DIRECCION DE CIBERSEGURIDAD</t>
        </is>
      </c>
      <c r="W1533" t="n">
        <v>100101</v>
      </c>
      <c r="X1533" t="inlineStr">
        <is>
          <t>CORPORATIVO</t>
        </is>
      </c>
      <c r="Y1533" t="n">
        <v>4</v>
      </c>
      <c r="Z1533" t="inlineStr">
        <is>
          <t>CORPORATIVO</t>
        </is>
      </c>
      <c r="AA1533" t="n">
        <v>8</v>
      </c>
      <c r="AB1533" t="inlineStr">
        <is>
          <t>BAU</t>
        </is>
      </c>
      <c r="AC1533" t="n">
        <v>1</v>
      </c>
      <c r="AD1533" t="inlineStr">
        <is>
          <t>BANCO</t>
        </is>
      </c>
      <c r="AE1533" t="n">
        <v>1</v>
      </c>
      <c r="AF1533" t="inlineStr">
        <is>
          <t>BACK</t>
        </is>
      </c>
      <c r="AG1533" t="n">
        <v>100101</v>
      </c>
      <c r="AH1533" t="inlineStr">
        <is>
          <t>CORPORATIVO</t>
        </is>
      </c>
      <c r="AI1533" t="inlineStr">
        <is>
          <t>ADIAZD@BANCOBASE.COM</t>
        </is>
      </c>
      <c r="AJ1533" s="151" t="n">
        <v>45642</v>
      </c>
    </row>
    <row r="1534" hidden="1" s="150">
      <c r="A1534" t="inlineStr">
        <is>
          <t>AGOMEZO</t>
        </is>
      </c>
      <c r="B1534" t="n">
        <v>2675</v>
      </c>
      <c r="C1534" t="inlineStr">
        <is>
          <t>ALEJANDRO GOMEZ ORTIZ</t>
        </is>
      </c>
      <c r="D1534" t="n">
        <v>9999</v>
      </c>
      <c r="E1534" t="inlineStr">
        <is>
          <t>INGENIERO DE SEGURIDAD DE INFRAESTRUCTURA TECNOLOGICA</t>
        </is>
      </c>
      <c r="F1534" t="inlineStr">
        <is>
          <t>MONTERREY</t>
        </is>
      </c>
      <c r="G1534" t="n">
        <v>2567</v>
      </c>
      <c r="H1534" t="inlineStr">
        <is>
          <t>LEONARDO DANIEL RAMIREZ COLLINS</t>
        </is>
      </c>
      <c r="I1534" t="n">
        <v>8551</v>
      </c>
      <c r="J1534" t="inlineStr">
        <is>
          <t>LIDER DE SEGURIDAD DE INFRAESTRUCTURA TI</t>
        </is>
      </c>
      <c r="K1534" t="n">
        <v>1</v>
      </c>
      <c r="L1534" t="inlineStr">
        <is>
          <t>PRESIDENCIA EJECUTIVA DEL CONSEJO</t>
        </is>
      </c>
      <c r="M1534" t="n">
        <v>40</v>
      </c>
      <c r="N1534" t="inlineStr">
        <is>
          <t>DIRECCION GENERAL BANCO BASE</t>
        </is>
      </c>
      <c r="O1534" t="n">
        <v>310</v>
      </c>
      <c r="P1534" t="inlineStr">
        <is>
          <t>DIRECCION DE TECNOLOGIA</t>
        </is>
      </c>
      <c r="Q1534" t="n">
        <v>3191</v>
      </c>
      <c r="R1534" t="inlineStr">
        <is>
          <t>DIRECCION DE CIBERSEGURIDAD</t>
        </is>
      </c>
      <c r="S1534" t="n">
        <v>31910</v>
      </c>
      <c r="T1534" t="inlineStr">
        <is>
          <t>DIRECCION DE CIBERSEGURIDAD</t>
        </is>
      </c>
      <c r="U1534" t="n">
        <v>319100</v>
      </c>
      <c r="V1534" t="inlineStr">
        <is>
          <t>DIRECCION DE CIBERSEGURIDAD</t>
        </is>
      </c>
      <c r="W1534" t="n">
        <v>100101</v>
      </c>
      <c r="X1534" t="inlineStr">
        <is>
          <t>CORPORATIVO</t>
        </is>
      </c>
      <c r="Y1534" t="n">
        <v>4</v>
      </c>
      <c r="Z1534" t="inlineStr">
        <is>
          <t>CORPORATIVO</t>
        </is>
      </c>
      <c r="AA1534" t="n">
        <v>1</v>
      </c>
      <c r="AB1534" t="inlineStr">
        <is>
          <t>NEGOCIO EN MARCHA</t>
        </is>
      </c>
      <c r="AC1534" t="n">
        <v>1</v>
      </c>
      <c r="AD1534" t="inlineStr">
        <is>
          <t>BANCO</t>
        </is>
      </c>
      <c r="AE1534" t="n">
        <v>1</v>
      </c>
      <c r="AF1534" t="inlineStr">
        <is>
          <t>BACK</t>
        </is>
      </c>
      <c r="AG1534" t="n">
        <v>100101</v>
      </c>
      <c r="AH1534" t="inlineStr">
        <is>
          <t>CORPORATIVO</t>
        </is>
      </c>
      <c r="AI1534" t="inlineStr">
        <is>
          <t>AGOMEZO@BANCOBASE.COM</t>
        </is>
      </c>
      <c r="AJ1534" s="151" t="n">
        <v>44732</v>
      </c>
    </row>
    <row r="1535" hidden="1" s="150">
      <c r="A1535" t="inlineStr">
        <is>
          <t>JLMARTINEZ</t>
        </is>
      </c>
      <c r="B1535" t="n">
        <v>1668</v>
      </c>
      <c r="C1535" t="inlineStr">
        <is>
          <t>JOSE LUIS MARTINEZ LOZANO</t>
        </is>
      </c>
      <c r="D1535" t="n">
        <v>8117</v>
      </c>
      <c r="E1535" t="inlineStr">
        <is>
          <t>INGENIERO DE SEGURIDAD DE INFRAESTRUCTURA TECNOLOGICA</t>
        </is>
      </c>
      <c r="F1535" t="inlineStr">
        <is>
          <t>MONTERREY</t>
        </is>
      </c>
      <c r="G1535" t="n">
        <v>2567</v>
      </c>
      <c r="H1535" t="inlineStr">
        <is>
          <t>LEONARDO DANIEL RAMIREZ COLLINS</t>
        </is>
      </c>
      <c r="I1535" t="n">
        <v>8551</v>
      </c>
      <c r="J1535" t="inlineStr">
        <is>
          <t>LIDER DE SEGURIDAD DE INFRAESTRUCTURA TI</t>
        </is>
      </c>
      <c r="K1535" t="n">
        <v>1</v>
      </c>
      <c r="L1535" t="inlineStr">
        <is>
          <t>PRESIDENCIA EJECUTIVA DEL CONSEJO</t>
        </is>
      </c>
      <c r="M1535" t="n">
        <v>40</v>
      </c>
      <c r="N1535" t="inlineStr">
        <is>
          <t>DIRECCION GENERAL BANCO BASE</t>
        </is>
      </c>
      <c r="O1535" t="n">
        <v>310</v>
      </c>
      <c r="P1535" t="inlineStr">
        <is>
          <t>DIRECCION DE TECNOLOGIA</t>
        </is>
      </c>
      <c r="Q1535" t="n">
        <v>3191</v>
      </c>
      <c r="R1535" t="inlineStr">
        <is>
          <t>DIRECCION DE CIBERSEGURIDAD</t>
        </is>
      </c>
      <c r="S1535" t="n">
        <v>31910</v>
      </c>
      <c r="T1535" t="inlineStr">
        <is>
          <t>DIRECCION DE CIBERSEGURIDAD</t>
        </is>
      </c>
      <c r="U1535" t="n">
        <v>319100</v>
      </c>
      <c r="V1535" t="inlineStr">
        <is>
          <t>DIRECCION DE CIBERSEGURIDAD</t>
        </is>
      </c>
      <c r="W1535" t="n">
        <v>100101</v>
      </c>
      <c r="X1535" t="inlineStr">
        <is>
          <t>CORPORATIVO</t>
        </is>
      </c>
      <c r="Y1535" t="n">
        <v>4</v>
      </c>
      <c r="Z1535" t="inlineStr">
        <is>
          <t>CORPORATIVO</t>
        </is>
      </c>
      <c r="AA1535" t="n">
        <v>1</v>
      </c>
      <c r="AB1535" t="inlineStr">
        <is>
          <t>NEGOCIO EN MARCHA</t>
        </is>
      </c>
      <c r="AC1535" t="n">
        <v>1</v>
      </c>
      <c r="AD1535" t="inlineStr">
        <is>
          <t>BANCO</t>
        </is>
      </c>
      <c r="AE1535" t="n">
        <v>1</v>
      </c>
      <c r="AF1535" t="inlineStr">
        <is>
          <t>BACK</t>
        </is>
      </c>
      <c r="AG1535" t="n">
        <v>100101</v>
      </c>
      <c r="AH1535" t="inlineStr">
        <is>
          <t>CORPORATIVO</t>
        </is>
      </c>
      <c r="AI1535" t="inlineStr">
        <is>
          <t>JLMARTINEZ@BANCOBASE.COM</t>
        </is>
      </c>
      <c r="AJ1535" s="151" t="n">
        <v>42705</v>
      </c>
    </row>
    <row r="1536" hidden="1" s="150">
      <c r="A1536" t="inlineStr">
        <is>
          <t>LCORTEZR</t>
        </is>
      </c>
      <c r="B1536" t="n">
        <v>1406</v>
      </c>
      <c r="C1536" t="inlineStr">
        <is>
          <t>LUIS FERNANDO CORTEZ RAMOS</t>
        </is>
      </c>
      <c r="D1536" t="n">
        <v>10224</v>
      </c>
      <c r="E1536" t="inlineStr">
        <is>
          <t>ESPECIALISTA DE SEGURIDAD INFORMATICA</t>
        </is>
      </c>
      <c r="F1536" t="inlineStr">
        <is>
          <t>MONTERREY</t>
        </is>
      </c>
      <c r="G1536" t="n">
        <v>3485</v>
      </c>
      <c r="H1536" t="inlineStr">
        <is>
          <t>JORGE ENRIQUE OROZCO GARCIA</t>
        </is>
      </c>
      <c r="I1536" t="n">
        <v>8717</v>
      </c>
      <c r="J1536" t="inlineStr">
        <is>
          <t>SUBDIRECTOR DE CIBERSEGURIDAD</t>
        </is>
      </c>
      <c r="K1536" t="n">
        <v>1</v>
      </c>
      <c r="L1536" t="inlineStr">
        <is>
          <t>PRESIDENCIA EJECUTIVA DEL CONSEJO</t>
        </is>
      </c>
      <c r="M1536" t="n">
        <v>40</v>
      </c>
      <c r="N1536" t="inlineStr">
        <is>
          <t>DIRECCION GENERAL BANCO BASE</t>
        </is>
      </c>
      <c r="O1536" t="n">
        <v>310</v>
      </c>
      <c r="P1536" t="inlineStr">
        <is>
          <t>DIRECCION DE TECNOLOGIA</t>
        </is>
      </c>
      <c r="Q1536" t="n">
        <v>3191</v>
      </c>
      <c r="R1536" t="inlineStr">
        <is>
          <t>DIRECCION DE CIBERSEGURIDAD</t>
        </is>
      </c>
      <c r="S1536" t="n">
        <v>31910</v>
      </c>
      <c r="T1536" t="inlineStr">
        <is>
          <t>DIRECCION DE CIBERSEGURIDAD</t>
        </is>
      </c>
      <c r="U1536" t="n">
        <v>319100</v>
      </c>
      <c r="V1536" t="inlineStr">
        <is>
          <t>DIRECCION DE CIBERSEGURIDAD</t>
        </is>
      </c>
      <c r="W1536" t="n">
        <v>100101</v>
      </c>
      <c r="X1536" t="inlineStr">
        <is>
          <t>CORPORATIVO</t>
        </is>
      </c>
      <c r="Y1536" t="n">
        <v>4</v>
      </c>
      <c r="Z1536" t="inlineStr">
        <is>
          <t>CORPORATIVO</t>
        </is>
      </c>
      <c r="AA1536" t="n">
        <v>1</v>
      </c>
      <c r="AB1536" t="inlineStr">
        <is>
          <t>NEGOCIO EN MARCHA</t>
        </is>
      </c>
      <c r="AC1536" t="n">
        <v>1</v>
      </c>
      <c r="AD1536" t="inlineStr">
        <is>
          <t>BANCO</t>
        </is>
      </c>
      <c r="AE1536" t="n">
        <v>1</v>
      </c>
      <c r="AF1536" t="inlineStr">
        <is>
          <t>BACK</t>
        </is>
      </c>
      <c r="AG1536" t="n">
        <v>100101</v>
      </c>
      <c r="AH1536" t="inlineStr">
        <is>
          <t>CORPORATIVO</t>
        </is>
      </c>
      <c r="AI1536" t="inlineStr">
        <is>
          <t>LCORTEZR@BANCOBASE.COM</t>
        </is>
      </c>
      <c r="AJ1536" s="151" t="n">
        <v>42331</v>
      </c>
    </row>
    <row r="1537" hidden="1" s="150">
      <c r="A1537" t="inlineStr">
        <is>
          <t>ECRUZ</t>
        </is>
      </c>
      <c r="B1537" t="n">
        <v>2429</v>
      </c>
      <c r="C1537" t="inlineStr">
        <is>
          <t>ERNESTO CRUZ SHELLEY</t>
        </is>
      </c>
      <c r="D1537" t="n">
        <v>10411</v>
      </c>
      <c r="E1537" t="inlineStr">
        <is>
          <t>DIRECTOR DE ESTRATEGIA</t>
        </is>
      </c>
      <c r="F1537" t="inlineStr">
        <is>
          <t>MONTERREY</t>
        </is>
      </c>
      <c r="G1537" t="n">
        <v>386</v>
      </c>
      <c r="H1537" t="inlineStr">
        <is>
          <t>JULIO RICARDO ESCANDON JIMENEZ</t>
        </is>
      </c>
      <c r="I1537" t="n">
        <v>10324</v>
      </c>
      <c r="J1537" t="inlineStr">
        <is>
          <t>DIRECTOR GENERAL</t>
        </is>
      </c>
      <c r="K1537" t="n">
        <v>1</v>
      </c>
      <c r="L1537" t="inlineStr">
        <is>
          <t>PRESIDENCIA EJECUTIVA DEL CONSEJO</t>
        </is>
      </c>
      <c r="M1537" t="n">
        <v>40</v>
      </c>
      <c r="N1537" t="inlineStr">
        <is>
          <t>DIRECCION GENERAL BANCO BASE</t>
        </is>
      </c>
      <c r="O1537" t="n">
        <v>320</v>
      </c>
      <c r="P1537" t="inlineStr">
        <is>
          <t>DIRECCION DE ESTRATEGIA</t>
        </is>
      </c>
      <c r="Q1537" t="n">
        <v>3200</v>
      </c>
      <c r="R1537" t="inlineStr">
        <is>
          <t>DIRECCION DE ESTRATEGIA</t>
        </is>
      </c>
      <c r="S1537" t="n">
        <v>32000</v>
      </c>
      <c r="T1537" t="inlineStr">
        <is>
          <t>DIRECCION DE ESTRATEGIA</t>
        </is>
      </c>
      <c r="U1537" t="n">
        <v>320000</v>
      </c>
      <c r="V1537" t="inlineStr">
        <is>
          <t>DIRECCION DE ESTRATEGIA</t>
        </is>
      </c>
      <c r="W1537" t="n">
        <v>100101</v>
      </c>
      <c r="X1537" t="inlineStr">
        <is>
          <t>CORPORATIVO</t>
        </is>
      </c>
      <c r="Y1537" t="n">
        <v>4</v>
      </c>
      <c r="Z1537" t="inlineStr">
        <is>
          <t>CORPORATIVO</t>
        </is>
      </c>
      <c r="AA1537" t="n">
        <v>1</v>
      </c>
      <c r="AB1537" t="inlineStr">
        <is>
          <t>NEGOCIO EN MARCHA</t>
        </is>
      </c>
      <c r="AC1537" t="n">
        <v>1</v>
      </c>
      <c r="AD1537" t="inlineStr">
        <is>
          <t>BANCO</t>
        </is>
      </c>
      <c r="AE1537" t="n">
        <v>1</v>
      </c>
      <c r="AF1537" t="inlineStr">
        <is>
          <t>BACK</t>
        </is>
      </c>
      <c r="AG1537" t="n">
        <v>100101</v>
      </c>
      <c r="AH1537" t="inlineStr">
        <is>
          <t>CORPORATIVO</t>
        </is>
      </c>
      <c r="AI1537" t="inlineStr">
        <is>
          <t>ECRUZ@BANCOBASE.COM</t>
        </is>
      </c>
      <c r="AJ1537" s="151" t="n">
        <v>44082</v>
      </c>
    </row>
    <row r="1538" hidden="1" s="150">
      <c r="A1538" t="inlineStr">
        <is>
          <t>EGARCIAGO</t>
        </is>
      </c>
      <c r="B1538" t="n">
        <v>2960</v>
      </c>
      <c r="C1538" t="inlineStr">
        <is>
          <t>ELIZABETH ELISHEBA GARCIA GONZALEZ</t>
        </is>
      </c>
      <c r="D1538" t="n">
        <v>8249</v>
      </c>
      <c r="E1538" t="inlineStr">
        <is>
          <t>LIDER DE ESTRATEGIA</t>
        </is>
      </c>
      <c r="F1538" t="inlineStr">
        <is>
          <t>MONTERREY</t>
        </is>
      </c>
      <c r="G1538" t="n">
        <v>2429</v>
      </c>
      <c r="H1538" t="inlineStr">
        <is>
          <t>ERNESTO CRUZ SHELLEY</t>
        </is>
      </c>
      <c r="I1538" t="n">
        <v>10411</v>
      </c>
      <c r="J1538" t="inlineStr">
        <is>
          <t>DIRECTOR DE ESTRATEGIA</t>
        </is>
      </c>
      <c r="K1538" t="n">
        <v>1</v>
      </c>
      <c r="L1538" t="inlineStr">
        <is>
          <t>PRESIDENCIA EJECUTIVA DEL CONSEJO</t>
        </is>
      </c>
      <c r="M1538" t="n">
        <v>40</v>
      </c>
      <c r="N1538" t="inlineStr">
        <is>
          <t>DIRECCION GENERAL BANCO BASE</t>
        </is>
      </c>
      <c r="O1538" t="n">
        <v>320</v>
      </c>
      <c r="P1538" t="inlineStr">
        <is>
          <t>DIRECCION DE ESTRATEGIA</t>
        </is>
      </c>
      <c r="Q1538" t="n">
        <v>3200</v>
      </c>
      <c r="R1538" t="inlineStr">
        <is>
          <t>DIRECCION DE ESTRATEGIA</t>
        </is>
      </c>
      <c r="S1538" t="n">
        <v>32000</v>
      </c>
      <c r="T1538" t="inlineStr">
        <is>
          <t>DIRECCION DE ESTRATEGIA</t>
        </is>
      </c>
      <c r="U1538" t="n">
        <v>320000</v>
      </c>
      <c r="V1538" t="inlineStr">
        <is>
          <t>DIRECCION DE ESTRATEGIA</t>
        </is>
      </c>
      <c r="W1538" t="n">
        <v>100101</v>
      </c>
      <c r="X1538" t="inlineStr">
        <is>
          <t>CORPORATIVO</t>
        </is>
      </c>
      <c r="Y1538" t="n">
        <v>4</v>
      </c>
      <c r="Z1538" t="inlineStr">
        <is>
          <t>CORPORATIVO</t>
        </is>
      </c>
      <c r="AA1538" t="n">
        <v>1</v>
      </c>
      <c r="AB1538" t="inlineStr">
        <is>
          <t>NEGOCIO EN MARCHA</t>
        </is>
      </c>
      <c r="AC1538" t="n">
        <v>1</v>
      </c>
      <c r="AD1538" t="inlineStr">
        <is>
          <t>BANCO</t>
        </is>
      </c>
      <c r="AE1538" t="n">
        <v>1</v>
      </c>
      <c r="AF1538" t="inlineStr">
        <is>
          <t>BACK</t>
        </is>
      </c>
      <c r="AG1538" t="n">
        <v>100101</v>
      </c>
      <c r="AH1538" t="inlineStr">
        <is>
          <t>CORPORATIVO</t>
        </is>
      </c>
      <c r="AI1538" t="inlineStr">
        <is>
          <t>EGARCIAGO@BANCOBASE.COM</t>
        </is>
      </c>
      <c r="AJ1538" s="151" t="n">
        <v>45187</v>
      </c>
    </row>
    <row r="1539" hidden="1" s="150">
      <c r="A1539" t="inlineStr">
        <is>
          <t>JGIRON</t>
        </is>
      </c>
      <c r="B1539" t="n">
        <v>810</v>
      </c>
      <c r="C1539" t="inlineStr">
        <is>
          <t>JOSE LUIS GIRON AMAYA</t>
        </is>
      </c>
      <c r="D1539" t="n">
        <v>54</v>
      </c>
      <c r="E1539" t="inlineStr">
        <is>
          <t>DIRECTOR DE AUDITORIA</t>
        </is>
      </c>
      <c r="F1539" t="inlineStr">
        <is>
          <t>MONTERREY</t>
        </is>
      </c>
      <c r="K1539" t="n">
        <v>1</v>
      </c>
      <c r="L1539" t="inlineStr">
        <is>
          <t>PRESIDENCIA EJECUTIVA DEL CONSEJO</t>
        </is>
      </c>
      <c r="M1539" t="n">
        <v>50</v>
      </c>
      <c r="N1539" t="inlineStr">
        <is>
          <t>DIRECCION AUDITORIA</t>
        </is>
      </c>
      <c r="O1539" t="n">
        <v>500</v>
      </c>
      <c r="P1539" t="inlineStr">
        <is>
          <t>DIRECCION AUDITORIA</t>
        </is>
      </c>
      <c r="Q1539" t="n">
        <v>5000</v>
      </c>
      <c r="R1539" t="inlineStr">
        <is>
          <t>DIRECCION AUDITORIA</t>
        </is>
      </c>
      <c r="S1539" t="n">
        <v>50000</v>
      </c>
      <c r="T1539" t="inlineStr">
        <is>
          <t>DIRECCION AUDITORIA</t>
        </is>
      </c>
      <c r="U1539" t="n">
        <v>500000</v>
      </c>
      <c r="V1539" t="inlineStr">
        <is>
          <t>DIRECCION AUDITORIA</t>
        </is>
      </c>
      <c r="W1539" t="n">
        <v>100101</v>
      </c>
      <c r="X1539" t="inlineStr">
        <is>
          <t>CORPORATIVO</t>
        </is>
      </c>
      <c r="Y1539" t="n">
        <v>4</v>
      </c>
      <c r="Z1539" t="inlineStr">
        <is>
          <t>CORPORATIVO</t>
        </is>
      </c>
      <c r="AA1539" t="n">
        <v>1</v>
      </c>
      <c r="AB1539" t="inlineStr">
        <is>
          <t>NEGOCIO EN MARCHA</t>
        </is>
      </c>
      <c r="AC1539" t="n">
        <v>1</v>
      </c>
      <c r="AD1539" t="inlineStr">
        <is>
          <t>BANCO</t>
        </is>
      </c>
      <c r="AE1539" t="n">
        <v>1</v>
      </c>
      <c r="AF1539" t="inlineStr">
        <is>
          <t>BACK</t>
        </is>
      </c>
      <c r="AG1539" t="n">
        <v>100101</v>
      </c>
      <c r="AH1539" t="inlineStr">
        <is>
          <t>CORPORATIVO</t>
        </is>
      </c>
      <c r="AI1539" t="inlineStr">
        <is>
          <t>JGIRON@BANCOBASE.COM</t>
        </is>
      </c>
      <c r="AJ1539" s="151" t="n">
        <v>40878</v>
      </c>
    </row>
    <row r="1540" hidden="1" s="150">
      <c r="A1540" t="inlineStr">
        <is>
          <t>DPALERMO</t>
        </is>
      </c>
      <c r="B1540" t="n">
        <v>1025</v>
      </c>
      <c r="C1540" t="inlineStr">
        <is>
          <t>DOMINGO JOSE PALERMO RODRIGUEZ</t>
        </is>
      </c>
      <c r="D1540" t="n">
        <v>6064</v>
      </c>
      <c r="E1540" t="inlineStr">
        <is>
          <t>SUBDIRECTOR DE AUDITORIA</t>
        </is>
      </c>
      <c r="F1540" t="inlineStr">
        <is>
          <t>MONTERREY</t>
        </is>
      </c>
      <c r="G1540" t="n">
        <v>810</v>
      </c>
      <c r="H1540" t="inlineStr">
        <is>
          <t>JOSE LUIS GIRON AMAYA</t>
        </is>
      </c>
      <c r="I1540" t="n">
        <v>54</v>
      </c>
      <c r="J1540" t="inlineStr">
        <is>
          <t>DIRECTOR DE AUDITORIA</t>
        </is>
      </c>
      <c r="K1540" t="n">
        <v>1</v>
      </c>
      <c r="L1540" t="inlineStr">
        <is>
          <t>PRESIDENCIA EJECUTIVA DEL CONSEJO</t>
        </is>
      </c>
      <c r="M1540" t="n">
        <v>50</v>
      </c>
      <c r="N1540" t="inlineStr">
        <is>
          <t>DIRECCION AUDITORIA</t>
        </is>
      </c>
      <c r="O1540" t="n">
        <v>500</v>
      </c>
      <c r="P1540" t="inlineStr">
        <is>
          <t>DIRECCION AUDITORIA</t>
        </is>
      </c>
      <c r="Q1540" t="n">
        <v>5010</v>
      </c>
      <c r="R1540" t="inlineStr">
        <is>
          <t>SUBDIRECCION DE AUDITORIA MERCADOS FINANCIEROS</t>
        </is>
      </c>
      <c r="S1540" t="n">
        <v>50100</v>
      </c>
      <c r="T1540" t="inlineStr">
        <is>
          <t>SUBDIRECCION DE AUDITORIA MERCADOS FINANCIEROS</t>
        </is>
      </c>
      <c r="U1540" t="n">
        <v>501000</v>
      </c>
      <c r="V1540" t="inlineStr">
        <is>
          <t>SUBDIRECCION DE AUDITORIA MERCADOS FINANCIEROS</t>
        </is>
      </c>
      <c r="W1540" t="n">
        <v>100101</v>
      </c>
      <c r="X1540" t="inlineStr">
        <is>
          <t>CORPORATIVO</t>
        </is>
      </c>
      <c r="Y1540" t="n">
        <v>4</v>
      </c>
      <c r="Z1540" t="inlineStr">
        <is>
          <t>CORPORATIVO</t>
        </is>
      </c>
      <c r="AA1540" t="n">
        <v>1</v>
      </c>
      <c r="AB1540" t="inlineStr">
        <is>
          <t>NEGOCIO EN MARCHA</t>
        </is>
      </c>
      <c r="AC1540" t="n">
        <v>1</v>
      </c>
      <c r="AD1540" t="inlineStr">
        <is>
          <t>BANCO</t>
        </is>
      </c>
      <c r="AE1540" t="n">
        <v>1</v>
      </c>
      <c r="AF1540" t="inlineStr">
        <is>
          <t>BACK</t>
        </is>
      </c>
      <c r="AG1540" t="n">
        <v>100101</v>
      </c>
      <c r="AH1540" t="inlineStr">
        <is>
          <t>CORPORATIVO</t>
        </is>
      </c>
      <c r="AI1540" t="inlineStr">
        <is>
          <t>DPALERMO@BANCOBASE.COM</t>
        </is>
      </c>
      <c r="AJ1540" s="151" t="n">
        <v>41400</v>
      </c>
    </row>
    <row r="1541" hidden="1" s="150">
      <c r="A1541" t="inlineStr">
        <is>
          <t>JMALDONAC</t>
        </is>
      </c>
      <c r="B1541" t="n">
        <v>2273</v>
      </c>
      <c r="C1541" t="inlineStr">
        <is>
          <t>JORGE ALBERTO MALDONADO CANTU</t>
        </is>
      </c>
      <c r="D1541" t="n">
        <v>10201</v>
      </c>
      <c r="E1541" t="inlineStr">
        <is>
          <t>AUDITOR SR</t>
        </is>
      </c>
      <c r="F1541" t="inlineStr">
        <is>
          <t>MONTERREY</t>
        </is>
      </c>
      <c r="G1541" t="n">
        <v>1025</v>
      </c>
      <c r="H1541" t="inlineStr">
        <is>
          <t>DOMINGO JOSE PALERMO RODRIGUEZ</t>
        </is>
      </c>
      <c r="I1541" t="n">
        <v>6064</v>
      </c>
      <c r="J1541" t="inlineStr">
        <is>
          <t>SUBDIRECTOR DE AUDITORIA</t>
        </is>
      </c>
      <c r="K1541" t="n">
        <v>1</v>
      </c>
      <c r="L1541" t="inlineStr">
        <is>
          <t>PRESIDENCIA EJECUTIVA DEL CONSEJO</t>
        </is>
      </c>
      <c r="M1541" t="n">
        <v>50</v>
      </c>
      <c r="N1541" t="inlineStr">
        <is>
          <t>DIRECCION AUDITORIA</t>
        </is>
      </c>
      <c r="O1541" t="n">
        <v>500</v>
      </c>
      <c r="P1541" t="inlineStr">
        <is>
          <t>DIRECCION AUDITORIA</t>
        </is>
      </c>
      <c r="Q1541" t="n">
        <v>5010</v>
      </c>
      <c r="R1541" t="inlineStr">
        <is>
          <t>SUBDIRECCION DE AUDITORIA MERCADOS FINANCIEROS</t>
        </is>
      </c>
      <c r="S1541" t="n">
        <v>50100</v>
      </c>
      <c r="T1541" t="inlineStr">
        <is>
          <t>SUBDIRECCION DE AUDITORIA MERCADOS FINANCIEROS</t>
        </is>
      </c>
      <c r="U1541" t="n">
        <v>501000</v>
      </c>
      <c r="V1541" t="inlineStr">
        <is>
          <t>SUBDIRECCION DE AUDITORIA MERCADOS FINANCIEROS</t>
        </is>
      </c>
      <c r="W1541" t="n">
        <v>100101</v>
      </c>
      <c r="X1541" t="inlineStr">
        <is>
          <t>CORPORATIVO</t>
        </is>
      </c>
      <c r="Y1541" t="n">
        <v>4</v>
      </c>
      <c r="Z1541" t="inlineStr">
        <is>
          <t>CORPORATIVO</t>
        </is>
      </c>
      <c r="AA1541" t="n">
        <v>1</v>
      </c>
      <c r="AB1541" t="inlineStr">
        <is>
          <t>NEGOCIO EN MARCHA</t>
        </is>
      </c>
      <c r="AC1541" t="n">
        <v>1</v>
      </c>
      <c r="AD1541" t="inlineStr">
        <is>
          <t>BANCO</t>
        </is>
      </c>
      <c r="AE1541" t="n">
        <v>1</v>
      </c>
      <c r="AF1541" t="inlineStr">
        <is>
          <t>BACK</t>
        </is>
      </c>
      <c r="AG1541" t="n">
        <v>100101</v>
      </c>
      <c r="AH1541" t="inlineStr">
        <is>
          <t>CORPORATIVO</t>
        </is>
      </c>
      <c r="AI1541" t="inlineStr">
        <is>
          <t>JMALDONAC@BANCOBASE.COM</t>
        </is>
      </c>
      <c r="AJ1541" s="151" t="n">
        <v>43647</v>
      </c>
    </row>
    <row r="1542" hidden="1" s="150">
      <c r="A1542" t="inlineStr">
        <is>
          <t>DMOSQUEDA</t>
        </is>
      </c>
      <c r="B1542" t="n">
        <v>3273</v>
      </c>
      <c r="C1542" t="inlineStr">
        <is>
          <t>DIANA PATRICIA MOSQUEDA PEÑA</t>
        </is>
      </c>
      <c r="D1542" t="n">
        <v>10032</v>
      </c>
      <c r="E1542" t="inlineStr">
        <is>
          <t>AUDITOR JR</t>
        </is>
      </c>
      <c r="F1542" t="inlineStr">
        <is>
          <t>MONTERREY</t>
        </is>
      </c>
      <c r="G1542" t="n">
        <v>1025</v>
      </c>
      <c r="H1542" t="inlineStr">
        <is>
          <t>DOMINGO JOSE PALERMO RODRIGUEZ</t>
        </is>
      </c>
      <c r="I1542" t="n">
        <v>6064</v>
      </c>
      <c r="J1542" t="inlineStr">
        <is>
          <t>SUBDIRECTOR DE AUDITORIA</t>
        </is>
      </c>
      <c r="K1542" t="n">
        <v>1</v>
      </c>
      <c r="L1542" t="inlineStr">
        <is>
          <t>PRESIDENCIA EJECUTIVA DEL CONSEJO</t>
        </is>
      </c>
      <c r="M1542" t="n">
        <v>50</v>
      </c>
      <c r="N1542" t="inlineStr">
        <is>
          <t>DIRECCION AUDITORIA</t>
        </is>
      </c>
      <c r="O1542" t="n">
        <v>500</v>
      </c>
      <c r="P1542" t="inlineStr">
        <is>
          <t>DIRECCION AUDITORIA</t>
        </is>
      </c>
      <c r="Q1542" t="n">
        <v>5010</v>
      </c>
      <c r="R1542" t="inlineStr">
        <is>
          <t>SUBDIRECCION DE AUDITORIA MERCADOS FINANCIEROS</t>
        </is>
      </c>
      <c r="S1542" t="n">
        <v>50100</v>
      </c>
      <c r="T1542" t="inlineStr">
        <is>
          <t>SUBDIRECCION DE AUDITORIA MERCADOS FINANCIEROS</t>
        </is>
      </c>
      <c r="U1542" t="n">
        <v>501000</v>
      </c>
      <c r="V1542" t="inlineStr">
        <is>
          <t>SUBDIRECCION DE AUDITORIA MERCADOS FINANCIEROS</t>
        </is>
      </c>
      <c r="W1542" t="n">
        <v>100101</v>
      </c>
      <c r="X1542" t="inlineStr">
        <is>
          <t>CORPORATIVO</t>
        </is>
      </c>
      <c r="Y1542" t="n">
        <v>4</v>
      </c>
      <c r="Z1542" t="inlineStr">
        <is>
          <t>CORPORATIVO</t>
        </is>
      </c>
      <c r="AA1542" t="n">
        <v>1</v>
      </c>
      <c r="AB1542" t="inlineStr">
        <is>
          <t>NEGOCIO EN MARCHA</t>
        </is>
      </c>
      <c r="AC1542" t="n">
        <v>1</v>
      </c>
      <c r="AD1542" t="inlineStr">
        <is>
          <t>BANCO</t>
        </is>
      </c>
      <c r="AE1542" t="n">
        <v>1</v>
      </c>
      <c r="AF1542" t="inlineStr">
        <is>
          <t>BACK</t>
        </is>
      </c>
      <c r="AG1542" t="n">
        <v>100101</v>
      </c>
      <c r="AH1542" t="inlineStr">
        <is>
          <t>CORPORATIVO</t>
        </is>
      </c>
      <c r="AI1542" t="inlineStr">
        <is>
          <t>DMOSQUEDA@BANCOBASE.COM</t>
        </is>
      </c>
      <c r="AJ1542" s="151" t="n">
        <v>45615</v>
      </c>
    </row>
    <row r="1543" hidden="1" s="150">
      <c r="A1543" t="inlineStr">
        <is>
          <t>RPACHECO</t>
        </is>
      </c>
      <c r="B1543" t="n">
        <v>1982</v>
      </c>
      <c r="C1543" t="inlineStr">
        <is>
          <t>RAFAEL PACHECO TORRES</t>
        </is>
      </c>
      <c r="D1543" t="n">
        <v>9533</v>
      </c>
      <c r="E1543" t="inlineStr">
        <is>
          <t>GERENTE DE AUDITORIA</t>
        </is>
      </c>
      <c r="F1543" t="inlineStr">
        <is>
          <t>MEXICO</t>
        </is>
      </c>
      <c r="G1543" t="n">
        <v>1025</v>
      </c>
      <c r="H1543" t="inlineStr">
        <is>
          <t>DOMINGO JOSE PALERMO RODRIGUEZ</t>
        </is>
      </c>
      <c r="I1543" t="n">
        <v>6064</v>
      </c>
      <c r="J1543" t="inlineStr">
        <is>
          <t>SUBDIRECTOR DE AUDITORIA</t>
        </is>
      </c>
      <c r="K1543" t="n">
        <v>1</v>
      </c>
      <c r="L1543" t="inlineStr">
        <is>
          <t>PRESIDENCIA EJECUTIVA DEL CONSEJO</t>
        </is>
      </c>
      <c r="M1543" t="n">
        <v>50</v>
      </c>
      <c r="N1543" t="inlineStr">
        <is>
          <t>DIRECCION AUDITORIA</t>
        </is>
      </c>
      <c r="O1543" t="n">
        <v>500</v>
      </c>
      <c r="P1543" t="inlineStr">
        <is>
          <t>DIRECCION AUDITORIA</t>
        </is>
      </c>
      <c r="Q1543" t="n">
        <v>5010</v>
      </c>
      <c r="R1543" t="inlineStr">
        <is>
          <t>SUBDIRECCION DE AUDITORIA MERCADOS FINANCIEROS</t>
        </is>
      </c>
      <c r="S1543" t="n">
        <v>50300</v>
      </c>
      <c r="T1543" t="inlineStr">
        <is>
          <t>GERENCIA DE AUDITORIA DE CREDITO</t>
        </is>
      </c>
      <c r="U1543" t="n">
        <v>503000</v>
      </c>
      <c r="V1543" t="inlineStr">
        <is>
          <t>GERENCIA DE AUDITORIA DE CREDITO</t>
        </is>
      </c>
      <c r="W1543" t="n">
        <v>134111</v>
      </c>
      <c r="X1543" t="inlineStr">
        <is>
          <t>LOMAS</t>
        </is>
      </c>
      <c r="Y1543" t="n">
        <v>4</v>
      </c>
      <c r="Z1543" t="inlineStr">
        <is>
          <t>CORPORATIVO</t>
        </is>
      </c>
      <c r="AA1543" t="n">
        <v>1</v>
      </c>
      <c r="AB1543" t="inlineStr">
        <is>
          <t>NEGOCIO EN MARCHA</t>
        </is>
      </c>
      <c r="AC1543" t="n">
        <v>1</v>
      </c>
      <c r="AD1543" t="inlineStr">
        <is>
          <t>BANCO</t>
        </is>
      </c>
      <c r="AE1543" t="n">
        <v>1</v>
      </c>
      <c r="AF1543" t="inlineStr">
        <is>
          <t>BACK</t>
        </is>
      </c>
      <c r="AG1543" t="n">
        <v>134111</v>
      </c>
      <c r="AH1543" t="inlineStr">
        <is>
          <t>LOMAS</t>
        </is>
      </c>
      <c r="AI1543" t="inlineStr">
        <is>
          <t>RPACHECO@BANCOBASE.COM</t>
        </is>
      </c>
      <c r="AJ1543" s="151" t="n">
        <v>43206</v>
      </c>
    </row>
    <row r="1544" hidden="1" s="150">
      <c r="A1544" t="inlineStr">
        <is>
          <t>BGUTIERREZ</t>
        </is>
      </c>
      <c r="B1544" t="n">
        <v>1961</v>
      </c>
      <c r="C1544" t="inlineStr">
        <is>
          <t>BLANCA NELLY GUTIERREZ GARZA</t>
        </is>
      </c>
      <c r="D1544" t="n">
        <v>10202</v>
      </c>
      <c r="E1544" t="inlineStr">
        <is>
          <t>AUDITOR SR</t>
        </is>
      </c>
      <c r="F1544" t="inlineStr">
        <is>
          <t>MONTERREY</t>
        </is>
      </c>
      <c r="G1544" t="n">
        <v>1982</v>
      </c>
      <c r="H1544" t="inlineStr">
        <is>
          <t>RAFAEL PACHECO TORRES</t>
        </is>
      </c>
      <c r="I1544" t="n">
        <v>9533</v>
      </c>
      <c r="J1544" t="inlineStr">
        <is>
          <t>GERENTE DE AUDITORIA</t>
        </is>
      </c>
      <c r="K1544" t="n">
        <v>1</v>
      </c>
      <c r="L1544" t="inlineStr">
        <is>
          <t>PRESIDENCIA EJECUTIVA DEL CONSEJO</t>
        </is>
      </c>
      <c r="M1544" t="n">
        <v>50</v>
      </c>
      <c r="N1544" t="inlineStr">
        <is>
          <t>DIRECCION AUDITORIA</t>
        </is>
      </c>
      <c r="O1544" t="n">
        <v>500</v>
      </c>
      <c r="P1544" t="inlineStr">
        <is>
          <t>DIRECCION AUDITORIA</t>
        </is>
      </c>
      <c r="Q1544" t="n">
        <v>5010</v>
      </c>
      <c r="R1544" t="inlineStr">
        <is>
          <t>SUBDIRECCION DE AUDITORIA MERCADOS FINANCIEROS</t>
        </is>
      </c>
      <c r="S1544" t="n">
        <v>50300</v>
      </c>
      <c r="T1544" t="inlineStr">
        <is>
          <t>GERENCIA DE AUDITORIA DE CREDITO</t>
        </is>
      </c>
      <c r="U1544" t="n">
        <v>503000</v>
      </c>
      <c r="V1544" t="inlineStr">
        <is>
          <t>GERENCIA DE AUDITORIA DE CREDITO</t>
        </is>
      </c>
      <c r="W1544" t="n">
        <v>100101</v>
      </c>
      <c r="X1544" t="inlineStr">
        <is>
          <t>CORPORATIVO</t>
        </is>
      </c>
      <c r="Y1544" t="n">
        <v>4</v>
      </c>
      <c r="Z1544" t="inlineStr">
        <is>
          <t>CORPORATIVO</t>
        </is>
      </c>
      <c r="AA1544" t="n">
        <v>1</v>
      </c>
      <c r="AB1544" t="inlineStr">
        <is>
          <t>NEGOCIO EN MARCHA</t>
        </is>
      </c>
      <c r="AC1544" t="n">
        <v>1</v>
      </c>
      <c r="AD1544" t="inlineStr">
        <is>
          <t>BANCO</t>
        </is>
      </c>
      <c r="AE1544" t="n">
        <v>1</v>
      </c>
      <c r="AF1544" t="inlineStr">
        <is>
          <t>BACK</t>
        </is>
      </c>
      <c r="AG1544" t="n">
        <v>100101</v>
      </c>
      <c r="AH1544" t="inlineStr">
        <is>
          <t>CORPORATIVO</t>
        </is>
      </c>
      <c r="AI1544" t="inlineStr">
        <is>
          <t>BGUTIERREZ@BANCOBASE.COM</t>
        </is>
      </c>
      <c r="AJ1544" s="151" t="n">
        <v>43164</v>
      </c>
    </row>
    <row r="1545" hidden="1" s="150">
      <c r="A1545" t="inlineStr">
        <is>
          <t>IRODRIGUER</t>
        </is>
      </c>
      <c r="B1545" t="n">
        <v>3995</v>
      </c>
      <c r="C1545" t="inlineStr">
        <is>
          <t>ILSE ARLETH RODRIGUEZ RUBIO</t>
        </is>
      </c>
      <c r="D1545" t="n">
        <v>10033</v>
      </c>
      <c r="E1545" t="inlineStr">
        <is>
          <t>AUDITOR JR</t>
        </is>
      </c>
      <c r="F1545" t="inlineStr">
        <is>
          <t>MONTERREY</t>
        </is>
      </c>
      <c r="G1545" t="n">
        <v>1982</v>
      </c>
      <c r="H1545" t="inlineStr">
        <is>
          <t>RAFAEL PACHECO TORRES</t>
        </is>
      </c>
      <c r="I1545" t="n">
        <v>9533</v>
      </c>
      <c r="J1545" t="inlineStr">
        <is>
          <t>GERENTE DE AUDITORIA</t>
        </is>
      </c>
      <c r="K1545" t="n">
        <v>1</v>
      </c>
      <c r="L1545" t="inlineStr">
        <is>
          <t>PRESIDENCIA EJECUTIVA DEL CONSEJO</t>
        </is>
      </c>
      <c r="M1545" t="n">
        <v>50</v>
      </c>
      <c r="N1545" t="inlineStr">
        <is>
          <t>DIRECCION AUDITORIA</t>
        </is>
      </c>
      <c r="O1545" t="n">
        <v>500</v>
      </c>
      <c r="P1545" t="inlineStr">
        <is>
          <t>DIRECCION AUDITORIA</t>
        </is>
      </c>
      <c r="Q1545" t="n">
        <v>5040</v>
      </c>
      <c r="R1545" t="inlineStr">
        <is>
          <t>GERENCIA DE AUDITORIA DE OPERACIONES PASIVAS Y SER</t>
        </is>
      </c>
      <c r="S1545" t="n">
        <v>50400</v>
      </c>
      <c r="T1545" t="inlineStr">
        <is>
          <t>GERENCIA DE AUDITORIA DE OPERACIONES PASIVAS Y SER</t>
        </is>
      </c>
      <c r="U1545" t="n">
        <v>504000</v>
      </c>
      <c r="V1545" t="inlineStr">
        <is>
          <t>GERENCIA DE AUDITORIA DE OPERACIONES PASIVAS Y SER</t>
        </is>
      </c>
      <c r="W1545" t="n">
        <v>100101</v>
      </c>
      <c r="X1545" t="inlineStr">
        <is>
          <t>CORPORATIVO</t>
        </is>
      </c>
      <c r="Y1545" t="n">
        <v>4</v>
      </c>
      <c r="Z1545" t="inlineStr">
        <is>
          <t>CORPORATIVO</t>
        </is>
      </c>
      <c r="AA1545" t="n">
        <v>1</v>
      </c>
      <c r="AB1545" t="inlineStr">
        <is>
          <t>NEGOCIO EN MARCHA</t>
        </is>
      </c>
      <c r="AC1545" t="n">
        <v>1</v>
      </c>
      <c r="AD1545" t="inlineStr">
        <is>
          <t>BANCO</t>
        </is>
      </c>
      <c r="AE1545" t="n">
        <v>1</v>
      </c>
      <c r="AF1545" t="inlineStr">
        <is>
          <t>BACK</t>
        </is>
      </c>
      <c r="AG1545" t="n">
        <v>100101</v>
      </c>
      <c r="AH1545" t="inlineStr">
        <is>
          <t>CORPORATIVO</t>
        </is>
      </c>
      <c r="AI1545" t="inlineStr">
        <is>
          <t>IRODRIGUER@BANCOBASE.COM</t>
        </is>
      </c>
      <c r="AJ1545" s="151" t="n">
        <v>46251</v>
      </c>
    </row>
    <row r="1546" hidden="1" s="150">
      <c r="A1546" t="inlineStr">
        <is>
          <t>FHUERTAL</t>
        </is>
      </c>
      <c r="B1546" t="n">
        <v>2710</v>
      </c>
      <c r="C1546" t="inlineStr">
        <is>
          <t>FERNANDO HUERTA LOPEZ</t>
        </is>
      </c>
      <c r="D1546" t="n">
        <v>9457</v>
      </c>
      <c r="E1546" t="inlineStr">
        <is>
          <t>GERENTE DE AUDITORIA</t>
        </is>
      </c>
      <c r="F1546" t="inlineStr">
        <is>
          <t>MONTERREY</t>
        </is>
      </c>
      <c r="G1546" t="n">
        <v>1025</v>
      </c>
      <c r="H1546" t="inlineStr">
        <is>
          <t>DOMINGO JOSE PALERMO RODRIGUEZ</t>
        </is>
      </c>
      <c r="I1546" t="n">
        <v>6064</v>
      </c>
      <c r="J1546" t="inlineStr">
        <is>
          <t>SUBDIRECTOR DE AUDITORIA</t>
        </is>
      </c>
      <c r="K1546" t="n">
        <v>1</v>
      </c>
      <c r="L1546" t="inlineStr">
        <is>
          <t>PRESIDENCIA EJECUTIVA DEL CONSEJO</t>
        </is>
      </c>
      <c r="M1546" t="n">
        <v>50</v>
      </c>
      <c r="N1546" t="inlineStr">
        <is>
          <t>DIRECCION AUDITORIA</t>
        </is>
      </c>
      <c r="O1546" t="n">
        <v>500</v>
      </c>
      <c r="P1546" t="inlineStr">
        <is>
          <t>DIRECCION AUDITORIA</t>
        </is>
      </c>
      <c r="Q1546" t="n">
        <v>5040</v>
      </c>
      <c r="R1546" t="inlineStr">
        <is>
          <t>GERENCIA DE AUDITORIA DE OPERACIONES PASIVAS Y SER</t>
        </is>
      </c>
      <c r="S1546" t="n">
        <v>50400</v>
      </c>
      <c r="T1546" t="inlineStr">
        <is>
          <t>GERENCIA DE AUDITORIA DE OPERACIONES PASIVAS Y SER</t>
        </is>
      </c>
      <c r="U1546" t="n">
        <v>504000</v>
      </c>
      <c r="V1546" t="inlineStr">
        <is>
          <t>GERENCIA DE AUDITORIA DE OPERACIONES PASIVAS Y SER</t>
        </is>
      </c>
      <c r="W1546" t="n">
        <v>100101</v>
      </c>
      <c r="X1546" t="inlineStr">
        <is>
          <t>CORPORATIVO</t>
        </is>
      </c>
      <c r="Y1546" t="n">
        <v>4</v>
      </c>
      <c r="Z1546" t="inlineStr">
        <is>
          <t>CORPORATIVO</t>
        </is>
      </c>
      <c r="AA1546" t="n">
        <v>1</v>
      </c>
      <c r="AB1546" t="inlineStr">
        <is>
          <t>NEGOCIO EN MARCHA</t>
        </is>
      </c>
      <c r="AC1546" t="n">
        <v>1</v>
      </c>
      <c r="AD1546" t="inlineStr">
        <is>
          <t>BANCO</t>
        </is>
      </c>
      <c r="AE1546" t="n">
        <v>1</v>
      </c>
      <c r="AF1546" t="inlineStr">
        <is>
          <t>BACK</t>
        </is>
      </c>
      <c r="AG1546" t="n">
        <v>100101</v>
      </c>
      <c r="AH1546" t="inlineStr">
        <is>
          <t>CORPORATIVO</t>
        </is>
      </c>
      <c r="AI1546" t="inlineStr">
        <is>
          <t>FHUERTAL@BANCOBASE.COM</t>
        </is>
      </c>
      <c r="AJ1546" s="151" t="n">
        <v>44774</v>
      </c>
    </row>
    <row r="1547" hidden="1" s="150">
      <c r="A1547" t="inlineStr">
        <is>
          <t>ASOLISA</t>
        </is>
      </c>
      <c r="B1547" t="n">
        <v>3361</v>
      </c>
      <c r="C1547" t="inlineStr">
        <is>
          <t>ALEJANDRO GUADALUPE SOLIS ARTEAGA</t>
        </is>
      </c>
      <c r="D1547" t="n">
        <v>10422</v>
      </c>
      <c r="E1547" t="inlineStr">
        <is>
          <t>AUDITOR JR</t>
        </is>
      </c>
      <c r="F1547" t="inlineStr">
        <is>
          <t>MONTERREY</t>
        </is>
      </c>
      <c r="G1547" t="n">
        <v>2710</v>
      </c>
      <c r="H1547" t="inlineStr">
        <is>
          <t>FERNANDO HUERTA LOPEZ</t>
        </is>
      </c>
      <c r="I1547" t="n">
        <v>9457</v>
      </c>
      <c r="J1547" t="inlineStr">
        <is>
          <t>GERENTE DE AUDITORIA</t>
        </is>
      </c>
      <c r="K1547" t="n">
        <v>1</v>
      </c>
      <c r="L1547" t="inlineStr">
        <is>
          <t>PRESIDENCIA EJECUTIVA DEL CONSEJO</t>
        </is>
      </c>
      <c r="M1547" t="n">
        <v>50</v>
      </c>
      <c r="N1547" t="inlineStr">
        <is>
          <t>DIRECCION AUDITORIA</t>
        </is>
      </c>
      <c r="O1547" t="n">
        <v>500</v>
      </c>
      <c r="P1547" t="inlineStr">
        <is>
          <t>DIRECCION AUDITORIA</t>
        </is>
      </c>
      <c r="Q1547" t="n">
        <v>5010</v>
      </c>
      <c r="R1547" t="inlineStr">
        <is>
          <t>SUBDIRECCION DE AUDITORIA MERCADOS FINANCIEROS</t>
        </is>
      </c>
      <c r="S1547" t="n">
        <v>50100</v>
      </c>
      <c r="T1547" t="inlineStr">
        <is>
          <t>SUBDIRECCION DE AUDITORIA MERCADOS FINANCIEROS</t>
        </is>
      </c>
      <c r="U1547" t="n">
        <v>501000</v>
      </c>
      <c r="V1547" t="inlineStr">
        <is>
          <t>SUBDIRECCION DE AUDITORIA MERCADOS FINANCIEROS</t>
        </is>
      </c>
      <c r="W1547" t="n">
        <v>100101</v>
      </c>
      <c r="X1547" t="inlineStr">
        <is>
          <t>CORPORATIVO</t>
        </is>
      </c>
      <c r="Y1547" t="n">
        <v>4</v>
      </c>
      <c r="Z1547" t="inlineStr">
        <is>
          <t>CORPORATIVO</t>
        </is>
      </c>
      <c r="AA1547" t="n">
        <v>1</v>
      </c>
      <c r="AB1547" t="inlineStr">
        <is>
          <t>NEGOCIO EN MARCHA</t>
        </is>
      </c>
      <c r="AC1547" t="n">
        <v>1</v>
      </c>
      <c r="AD1547" t="inlineStr">
        <is>
          <t>BANCO</t>
        </is>
      </c>
      <c r="AE1547" t="n">
        <v>1</v>
      </c>
      <c r="AF1547" t="inlineStr">
        <is>
          <t>BACK</t>
        </is>
      </c>
      <c r="AG1547" t="n">
        <v>100101</v>
      </c>
      <c r="AH1547" t="inlineStr">
        <is>
          <t>CORPORATIVO</t>
        </is>
      </c>
      <c r="AI1547" t="inlineStr">
        <is>
          <t>ASOLISA@BANCOBASE.COM</t>
        </is>
      </c>
      <c r="AJ1547" s="151" t="n">
        <v>45734</v>
      </c>
    </row>
    <row r="1548" hidden="1" s="150">
      <c r="A1548" t="inlineStr">
        <is>
          <t>CMURO</t>
        </is>
      </c>
      <c r="B1548" t="n">
        <v>1724</v>
      </c>
      <c r="C1548" t="inlineStr">
        <is>
          <t>CINTHIA VIANEY MURO CASAS</t>
        </is>
      </c>
      <c r="D1548" t="n">
        <v>8196</v>
      </c>
      <c r="E1548" t="inlineStr">
        <is>
          <t>AUDITOR SR</t>
        </is>
      </c>
      <c r="F1548" t="inlineStr">
        <is>
          <t>MONTERREY</t>
        </is>
      </c>
      <c r="G1548" t="n">
        <v>2710</v>
      </c>
      <c r="H1548" t="inlineStr">
        <is>
          <t>FERNANDO HUERTA LOPEZ</t>
        </is>
      </c>
      <c r="I1548" t="n">
        <v>9457</v>
      </c>
      <c r="J1548" t="inlineStr">
        <is>
          <t>GERENTE DE AUDITORIA</t>
        </is>
      </c>
      <c r="K1548" t="n">
        <v>1</v>
      </c>
      <c r="L1548" t="inlineStr">
        <is>
          <t>PRESIDENCIA EJECUTIVA DEL CONSEJO</t>
        </is>
      </c>
      <c r="M1548" t="n">
        <v>50</v>
      </c>
      <c r="N1548" t="inlineStr">
        <is>
          <t>DIRECCION AUDITORIA</t>
        </is>
      </c>
      <c r="O1548" t="n">
        <v>500</v>
      </c>
      <c r="P1548" t="inlineStr">
        <is>
          <t>DIRECCION AUDITORIA</t>
        </is>
      </c>
      <c r="Q1548" t="n">
        <v>5040</v>
      </c>
      <c r="R1548" t="inlineStr">
        <is>
          <t>GERENCIA DE AUDITORIA DE OPERACIONES PASIVAS Y SER</t>
        </is>
      </c>
      <c r="S1548" t="n">
        <v>50400</v>
      </c>
      <c r="T1548" t="inlineStr">
        <is>
          <t>GERENCIA DE AUDITORIA DE OPERACIONES PASIVAS Y SER</t>
        </is>
      </c>
      <c r="U1548" t="n">
        <v>504000</v>
      </c>
      <c r="V1548" t="inlineStr">
        <is>
          <t>GERENCIA DE AUDITORIA DE OPERACIONES PASIVAS Y SER</t>
        </is>
      </c>
      <c r="W1548" t="n">
        <v>100101</v>
      </c>
      <c r="X1548" t="inlineStr">
        <is>
          <t>CORPORATIVO</t>
        </is>
      </c>
      <c r="Y1548" t="n">
        <v>4</v>
      </c>
      <c r="Z1548" t="inlineStr">
        <is>
          <t>CORPORATIVO</t>
        </is>
      </c>
      <c r="AA1548" t="n">
        <v>1</v>
      </c>
      <c r="AB1548" t="inlineStr">
        <is>
          <t>NEGOCIO EN MARCHA</t>
        </is>
      </c>
      <c r="AC1548" t="n">
        <v>1</v>
      </c>
      <c r="AD1548" t="inlineStr">
        <is>
          <t>BANCO</t>
        </is>
      </c>
      <c r="AE1548" t="n">
        <v>1</v>
      </c>
      <c r="AF1548" t="inlineStr">
        <is>
          <t>BACK</t>
        </is>
      </c>
      <c r="AG1548" t="n">
        <v>100101</v>
      </c>
      <c r="AH1548" t="inlineStr">
        <is>
          <t>CORPORATIVO</t>
        </is>
      </c>
      <c r="AI1548" t="inlineStr">
        <is>
          <t>CMURO@BANCOBASE.COM</t>
        </is>
      </c>
      <c r="AJ1548" s="151" t="n">
        <v>42800</v>
      </c>
    </row>
    <row r="1549" hidden="1" s="150">
      <c r="A1549" t="inlineStr">
        <is>
          <t>BSANTIAGO</t>
        </is>
      </c>
      <c r="B1549" t="n">
        <v>3376</v>
      </c>
      <c r="C1549" t="inlineStr">
        <is>
          <t>BRENDA NAIROBI SANTIAGO MORALES</t>
        </is>
      </c>
      <c r="D1549" t="n">
        <v>3764</v>
      </c>
      <c r="E1549" t="inlineStr">
        <is>
          <t>AUDITOR JR</t>
        </is>
      </c>
      <c r="F1549" t="inlineStr">
        <is>
          <t>MONTERREY</t>
        </is>
      </c>
      <c r="G1549" t="n">
        <v>2710</v>
      </c>
      <c r="H1549" t="inlineStr">
        <is>
          <t>FERNANDO HUERTA LOPEZ</t>
        </is>
      </c>
      <c r="I1549" t="n">
        <v>9457</v>
      </c>
      <c r="J1549" t="inlineStr">
        <is>
          <t>GERENTE DE AUDITORIA</t>
        </is>
      </c>
      <c r="K1549" t="n">
        <v>1</v>
      </c>
      <c r="L1549" t="inlineStr">
        <is>
          <t>PRESIDENCIA EJECUTIVA DEL CONSEJO</t>
        </is>
      </c>
      <c r="M1549" t="n">
        <v>50</v>
      </c>
      <c r="N1549" t="inlineStr">
        <is>
          <t>DIRECCION AUDITORIA</t>
        </is>
      </c>
      <c r="O1549" t="n">
        <v>500</v>
      </c>
      <c r="P1549" t="inlineStr">
        <is>
          <t>DIRECCION AUDITORIA</t>
        </is>
      </c>
      <c r="Q1549" t="n">
        <v>5040</v>
      </c>
      <c r="R1549" t="inlineStr">
        <is>
          <t>GERENCIA DE AUDITORIA DE OPERACIONES PASIVAS Y SER</t>
        </is>
      </c>
      <c r="S1549" t="n">
        <v>50400</v>
      </c>
      <c r="T1549" t="inlineStr">
        <is>
          <t>GERENCIA DE AUDITORIA DE OPERACIONES PASIVAS Y SER</t>
        </is>
      </c>
      <c r="U1549" t="n">
        <v>504000</v>
      </c>
      <c r="V1549" t="inlineStr">
        <is>
          <t>GERENCIA DE AUDITORIA DE OPERACIONES PASIVAS Y SER</t>
        </is>
      </c>
      <c r="W1549" t="n">
        <v>100101</v>
      </c>
      <c r="X1549" t="inlineStr">
        <is>
          <t>CORPORATIVO</t>
        </is>
      </c>
      <c r="Y1549" t="n">
        <v>4</v>
      </c>
      <c r="Z1549" t="inlineStr">
        <is>
          <t>CORPORATIVO</t>
        </is>
      </c>
      <c r="AA1549" t="n">
        <v>1</v>
      </c>
      <c r="AB1549" t="inlineStr">
        <is>
          <t>NEGOCIO EN MARCHA</t>
        </is>
      </c>
      <c r="AC1549" t="n">
        <v>1</v>
      </c>
      <c r="AD1549" t="inlineStr">
        <is>
          <t>BANCO</t>
        </is>
      </c>
      <c r="AE1549" t="n">
        <v>1</v>
      </c>
      <c r="AF1549" t="inlineStr">
        <is>
          <t>BACK</t>
        </is>
      </c>
      <c r="AG1549" t="n">
        <v>100101</v>
      </c>
      <c r="AH1549" t="inlineStr">
        <is>
          <t>CORPORATIVO</t>
        </is>
      </c>
      <c r="AI1549" t="inlineStr">
        <is>
          <t>BSANTIAGO@BANCOBASE.COM</t>
        </is>
      </c>
      <c r="AJ1549" s="151" t="n">
        <v>45748</v>
      </c>
    </row>
    <row r="1550" hidden="1" s="150">
      <c r="A1550" t="inlineStr">
        <is>
          <t>JDUQUEL</t>
        </is>
      </c>
      <c r="B1550" t="n">
        <v>2205</v>
      </c>
      <c r="C1550" t="inlineStr">
        <is>
          <t>JOSE ENRIQUE DUQUE LEAL</t>
        </is>
      </c>
      <c r="D1550" t="n">
        <v>10089</v>
      </c>
      <c r="E1550" t="inlineStr">
        <is>
          <t>GERENTE DE AUDITORIA</t>
        </is>
      </c>
      <c r="F1550" t="inlineStr">
        <is>
          <t>MONTERREY</t>
        </is>
      </c>
      <c r="G1550" t="n">
        <v>810</v>
      </c>
      <c r="H1550" t="inlineStr">
        <is>
          <t>JOSE LUIS GIRON AMAYA</t>
        </is>
      </c>
      <c r="I1550" t="n">
        <v>54</v>
      </c>
      <c r="J1550" t="inlineStr">
        <is>
          <t>DIRECTOR DE AUDITORIA</t>
        </is>
      </c>
      <c r="K1550" t="n">
        <v>1</v>
      </c>
      <c r="L1550" t="inlineStr">
        <is>
          <t>PRESIDENCIA EJECUTIVA DEL CONSEJO</t>
        </is>
      </c>
      <c r="M1550" t="n">
        <v>50</v>
      </c>
      <c r="N1550" t="inlineStr">
        <is>
          <t>DIRECCION AUDITORIA</t>
        </is>
      </c>
      <c r="O1550" t="n">
        <v>500</v>
      </c>
      <c r="P1550" t="inlineStr">
        <is>
          <t>DIRECCION AUDITORIA</t>
        </is>
      </c>
      <c r="Q1550" t="n">
        <v>5020</v>
      </c>
      <c r="R1550" t="inlineStr">
        <is>
          <t>GERENCIA DE AUDITORIA DE RIESGOS Y AREAS CENTRALES</t>
        </is>
      </c>
      <c r="S1550" t="n">
        <v>50200</v>
      </c>
      <c r="T1550" t="inlineStr">
        <is>
          <t>GERENCIA DE AUDITORIA DE RIESGOS Y AREAS CENTRALES</t>
        </is>
      </c>
      <c r="U1550" t="n">
        <v>502000</v>
      </c>
      <c r="V1550" t="inlineStr">
        <is>
          <t>GERENCIA DE AUDITORIA DE RIESGOS Y AREAS CENTRALES</t>
        </is>
      </c>
      <c r="W1550" t="n">
        <v>100101</v>
      </c>
      <c r="X1550" t="inlineStr">
        <is>
          <t>CORPORATIVO</t>
        </is>
      </c>
      <c r="Y1550" t="n">
        <v>4</v>
      </c>
      <c r="Z1550" t="inlineStr">
        <is>
          <t>CORPORATIVO</t>
        </is>
      </c>
      <c r="AA1550" t="n">
        <v>1</v>
      </c>
      <c r="AB1550" t="inlineStr">
        <is>
          <t>NEGOCIO EN MARCHA</t>
        </is>
      </c>
      <c r="AC1550" t="n">
        <v>1</v>
      </c>
      <c r="AD1550" t="inlineStr">
        <is>
          <t>BANCO</t>
        </is>
      </c>
      <c r="AE1550" t="n">
        <v>1</v>
      </c>
      <c r="AF1550" t="inlineStr">
        <is>
          <t>BACK</t>
        </is>
      </c>
      <c r="AG1550" t="n">
        <v>100101</v>
      </c>
      <c r="AH1550" t="inlineStr">
        <is>
          <t>CORPORATIVO</t>
        </is>
      </c>
      <c r="AI1550" t="inlineStr">
        <is>
          <t>JDUQUEL@BANCOBASE.COM</t>
        </is>
      </c>
      <c r="AJ1550" s="151" t="n">
        <v>43556</v>
      </c>
    </row>
    <row r="1551" hidden="1" s="150">
      <c r="A1551" t="inlineStr">
        <is>
          <t>EESCOBEDO</t>
        </is>
      </c>
      <c r="B1551" t="n">
        <v>2611</v>
      </c>
      <c r="C1551" t="inlineStr">
        <is>
          <t>ELIAS ESCOBEDO GARCIA</t>
        </is>
      </c>
      <c r="D1551" t="n">
        <v>9915</v>
      </c>
      <c r="E1551" t="inlineStr">
        <is>
          <t>AUDITOR SR</t>
        </is>
      </c>
      <c r="F1551" t="inlineStr">
        <is>
          <t>MONTERREY</t>
        </is>
      </c>
      <c r="G1551" t="n">
        <v>2205</v>
      </c>
      <c r="H1551" t="inlineStr">
        <is>
          <t>JOSE ENRIQUE DUQUE LEAL</t>
        </is>
      </c>
      <c r="I1551" t="n">
        <v>10089</v>
      </c>
      <c r="J1551" t="inlineStr">
        <is>
          <t>GERENTE DE AUDITORIA</t>
        </is>
      </c>
      <c r="K1551" t="n">
        <v>1</v>
      </c>
      <c r="L1551" t="inlineStr">
        <is>
          <t>PRESIDENCIA EJECUTIVA DEL CONSEJO</t>
        </is>
      </c>
      <c r="M1551" t="n">
        <v>50</v>
      </c>
      <c r="N1551" t="inlineStr">
        <is>
          <t>DIRECCION AUDITORIA</t>
        </is>
      </c>
      <c r="O1551" t="n">
        <v>500</v>
      </c>
      <c r="P1551" t="inlineStr">
        <is>
          <t>DIRECCION AUDITORIA</t>
        </is>
      </c>
      <c r="Q1551" t="n">
        <v>5020</v>
      </c>
      <c r="R1551" t="inlineStr">
        <is>
          <t>GERENCIA DE AUDITORIA DE RIESGOS Y AREAS CENTRALES</t>
        </is>
      </c>
      <c r="S1551" t="n">
        <v>50200</v>
      </c>
      <c r="T1551" t="inlineStr">
        <is>
          <t>GERENCIA DE AUDITORIA DE RIESGOS Y AREAS CENTRALES</t>
        </is>
      </c>
      <c r="U1551" t="n">
        <v>502000</v>
      </c>
      <c r="V1551" t="inlineStr">
        <is>
          <t>GERENCIA DE AUDITORIA DE RIESGOS Y AREAS CENTRALES</t>
        </is>
      </c>
      <c r="W1551" t="n">
        <v>100101</v>
      </c>
      <c r="X1551" t="inlineStr">
        <is>
          <t>CORPORATIVO</t>
        </is>
      </c>
      <c r="Y1551" t="n">
        <v>4</v>
      </c>
      <c r="Z1551" t="inlineStr">
        <is>
          <t>CORPORATIVO</t>
        </is>
      </c>
      <c r="AA1551" t="n">
        <v>1</v>
      </c>
      <c r="AB1551" t="inlineStr">
        <is>
          <t>NEGOCIO EN MARCHA</t>
        </is>
      </c>
      <c r="AC1551" t="n">
        <v>1</v>
      </c>
      <c r="AD1551" t="inlineStr">
        <is>
          <t>BANCO</t>
        </is>
      </c>
      <c r="AE1551" t="n">
        <v>1</v>
      </c>
      <c r="AF1551" t="inlineStr">
        <is>
          <t>BACK</t>
        </is>
      </c>
      <c r="AG1551" t="n">
        <v>100101</v>
      </c>
      <c r="AH1551" t="inlineStr">
        <is>
          <t>CORPORATIVO</t>
        </is>
      </c>
      <c r="AI1551" t="inlineStr">
        <is>
          <t>EESCOBEDO@BANCOBASE.COM</t>
        </is>
      </c>
      <c r="AJ1551" s="151" t="n">
        <v>44600</v>
      </c>
    </row>
    <row r="1552" hidden="1" s="150">
      <c r="A1552" t="inlineStr">
        <is>
          <t>SDEVICENTE</t>
        </is>
      </c>
      <c r="B1552" t="n">
        <v>3753</v>
      </c>
      <c r="C1552" t="inlineStr">
        <is>
          <t>SOFIA MARIELLE DE VICENTE MOLINA</t>
        </is>
      </c>
      <c r="D1552" t="n">
        <v>9741</v>
      </c>
      <c r="E1552" t="inlineStr">
        <is>
          <t>AUDITOR SR</t>
        </is>
      </c>
      <c r="F1552" t="inlineStr">
        <is>
          <t>MONTERREY</t>
        </is>
      </c>
      <c r="G1552" t="n">
        <v>2205</v>
      </c>
      <c r="H1552" t="inlineStr">
        <is>
          <t>JOSE ENRIQUE DUQUE LEAL</t>
        </is>
      </c>
      <c r="I1552" t="n">
        <v>10089</v>
      </c>
      <c r="J1552" t="inlineStr">
        <is>
          <t>GERENTE DE AUDITORIA</t>
        </is>
      </c>
      <c r="K1552" t="n">
        <v>1</v>
      </c>
      <c r="L1552" t="inlineStr">
        <is>
          <t>PRESIDENCIA EJECUTIVA DEL CONSEJO</t>
        </is>
      </c>
      <c r="M1552" t="n">
        <v>50</v>
      </c>
      <c r="N1552" t="inlineStr">
        <is>
          <t>DIRECCION AUDITORIA</t>
        </is>
      </c>
      <c r="O1552" t="n">
        <v>500</v>
      </c>
      <c r="P1552" t="inlineStr">
        <is>
          <t>DIRECCION AUDITORIA</t>
        </is>
      </c>
      <c r="Q1552" t="n">
        <v>5020</v>
      </c>
      <c r="R1552" t="inlineStr">
        <is>
          <t>GERENCIA DE AUDITORIA DE RIESGOS Y AREAS CENTRALES</t>
        </is>
      </c>
      <c r="S1552" t="n">
        <v>50200</v>
      </c>
      <c r="T1552" t="inlineStr">
        <is>
          <t>GERENCIA DE AUDITORIA DE RIESGOS Y AREAS CENTRALES</t>
        </is>
      </c>
      <c r="U1552" t="n">
        <v>502000</v>
      </c>
      <c r="V1552" t="inlineStr">
        <is>
          <t>GERENCIA DE AUDITORIA DE RIESGOS Y AREAS CENTRALES</t>
        </is>
      </c>
      <c r="W1552" t="n">
        <v>100101</v>
      </c>
      <c r="X1552" t="inlineStr">
        <is>
          <t>CORPORATIVO</t>
        </is>
      </c>
      <c r="Y1552" t="n">
        <v>4</v>
      </c>
      <c r="Z1552" t="inlineStr">
        <is>
          <t>CORPORATIVO</t>
        </is>
      </c>
      <c r="AA1552" t="n">
        <v>1</v>
      </c>
      <c r="AB1552" t="inlineStr">
        <is>
          <t>NEGOCIO EN MARCHA</t>
        </is>
      </c>
      <c r="AC1552" t="n">
        <v>1</v>
      </c>
      <c r="AD1552" t="inlineStr">
        <is>
          <t>BANCO</t>
        </is>
      </c>
      <c r="AE1552" t="n">
        <v>1</v>
      </c>
      <c r="AF1552" t="inlineStr">
        <is>
          <t>BACK</t>
        </is>
      </c>
      <c r="AG1552" t="n">
        <v>100101</v>
      </c>
      <c r="AH1552" t="inlineStr">
        <is>
          <t>CORPORATIVO</t>
        </is>
      </c>
      <c r="AI1552" t="inlineStr">
        <is>
          <t>SDEVICENTE@BANCOBASE.COM</t>
        </is>
      </c>
      <c r="AJ1552" s="151" t="n">
        <v>46056</v>
      </c>
    </row>
    <row r="1553" hidden="1" s="150">
      <c r="A1553" t="inlineStr">
        <is>
          <t>EMARTINEGA</t>
        </is>
      </c>
      <c r="B1553" t="n">
        <v>2883</v>
      </c>
      <c r="C1553" t="inlineStr">
        <is>
          <t>EVELYN YAMILETH MARTINEZ GALVAN</t>
        </is>
      </c>
      <c r="D1553" t="n">
        <v>9020</v>
      </c>
      <c r="E1553" t="inlineStr">
        <is>
          <t>AUDITOR JR</t>
        </is>
      </c>
      <c r="F1553" t="inlineStr">
        <is>
          <t>MONTERREY</t>
        </is>
      </c>
      <c r="G1553" t="n">
        <v>2205</v>
      </c>
      <c r="H1553" t="inlineStr">
        <is>
          <t>JOSE ENRIQUE DUQUE LEAL</t>
        </is>
      </c>
      <c r="I1553" t="n">
        <v>10089</v>
      </c>
      <c r="J1553" t="inlineStr">
        <is>
          <t>GERENTE DE AUDITORIA</t>
        </is>
      </c>
      <c r="K1553" t="n">
        <v>1</v>
      </c>
      <c r="L1553" t="inlineStr">
        <is>
          <t>PRESIDENCIA EJECUTIVA DEL CONSEJO</t>
        </is>
      </c>
      <c r="M1553" t="n">
        <v>50</v>
      </c>
      <c r="N1553" t="inlineStr">
        <is>
          <t>DIRECCION AUDITORIA</t>
        </is>
      </c>
      <c r="O1553" t="n">
        <v>500</v>
      </c>
      <c r="P1553" t="inlineStr">
        <is>
          <t>DIRECCION AUDITORIA</t>
        </is>
      </c>
      <c r="Q1553" t="n">
        <v>5020</v>
      </c>
      <c r="R1553" t="inlineStr">
        <is>
          <t>GERENCIA DE AUDITORIA DE RIESGOS Y AREAS CENTRALES</t>
        </is>
      </c>
      <c r="S1553" t="n">
        <v>50200</v>
      </c>
      <c r="T1553" t="inlineStr">
        <is>
          <t>GERENCIA DE AUDITORIA DE RIESGOS Y AREAS CENTRALES</t>
        </is>
      </c>
      <c r="U1553" t="n">
        <v>502000</v>
      </c>
      <c r="V1553" t="inlineStr">
        <is>
          <t>GERENCIA DE AUDITORIA DE RIESGOS Y AREAS CENTRALES</t>
        </is>
      </c>
      <c r="W1553" t="n">
        <v>100101</v>
      </c>
      <c r="X1553" t="inlineStr">
        <is>
          <t>CORPORATIVO</t>
        </is>
      </c>
      <c r="Y1553" t="n">
        <v>4</v>
      </c>
      <c r="Z1553" t="inlineStr">
        <is>
          <t>CORPORATIVO</t>
        </is>
      </c>
      <c r="AA1553" t="n">
        <v>1</v>
      </c>
      <c r="AB1553" t="inlineStr">
        <is>
          <t>NEGOCIO EN MARCHA</t>
        </is>
      </c>
      <c r="AC1553" t="n">
        <v>1</v>
      </c>
      <c r="AD1553" t="inlineStr">
        <is>
          <t>BANCO</t>
        </is>
      </c>
      <c r="AE1553" t="n">
        <v>1</v>
      </c>
      <c r="AF1553" t="inlineStr">
        <is>
          <t>BACK</t>
        </is>
      </c>
      <c r="AG1553" t="n">
        <v>100101</v>
      </c>
      <c r="AH1553" t="inlineStr">
        <is>
          <t>CORPORATIVO</t>
        </is>
      </c>
      <c r="AI1553" t="inlineStr">
        <is>
          <t>EMARTINEGA@BANCOBASE.COM</t>
        </is>
      </c>
      <c r="AJ1553" s="151" t="n">
        <v>45047</v>
      </c>
    </row>
    <row r="1554" hidden="1" s="150">
      <c r="A1554" t="inlineStr">
        <is>
          <t>YCRUZ</t>
        </is>
      </c>
      <c r="B1554" t="n">
        <v>3686</v>
      </c>
      <c r="C1554" t="inlineStr">
        <is>
          <t>YARELLI MICHELL CRUZ SANCHEZ</t>
        </is>
      </c>
      <c r="D1554" t="n">
        <v>10421</v>
      </c>
      <c r="E1554" t="inlineStr">
        <is>
          <t>AUDITOR JR</t>
        </is>
      </c>
      <c r="F1554" t="inlineStr">
        <is>
          <t>MONTERREY</t>
        </is>
      </c>
      <c r="G1554" t="n">
        <v>2205</v>
      </c>
      <c r="H1554" t="inlineStr">
        <is>
          <t>JOSE ENRIQUE DUQUE LEAL</t>
        </is>
      </c>
      <c r="I1554" t="n">
        <v>10089</v>
      </c>
      <c r="J1554" t="inlineStr">
        <is>
          <t>GERENTE DE AUDITORIA</t>
        </is>
      </c>
      <c r="K1554" t="n">
        <v>1</v>
      </c>
      <c r="L1554" t="inlineStr">
        <is>
          <t>PRESIDENCIA EJECUTIVA DEL CONSEJO</t>
        </is>
      </c>
      <c r="M1554" t="n">
        <v>50</v>
      </c>
      <c r="N1554" t="inlineStr">
        <is>
          <t>DIRECCION AUDITORIA</t>
        </is>
      </c>
      <c r="O1554" t="n">
        <v>500</v>
      </c>
      <c r="P1554" t="inlineStr">
        <is>
          <t>DIRECCION AUDITORIA</t>
        </is>
      </c>
      <c r="Q1554" t="n">
        <v>5020</v>
      </c>
      <c r="R1554" t="inlineStr">
        <is>
          <t>GERENCIA DE AUDITORIA DE RIESGOS Y AREAS CENTRALES</t>
        </is>
      </c>
      <c r="S1554" t="n">
        <v>50200</v>
      </c>
      <c r="T1554" t="inlineStr">
        <is>
          <t>GERENCIA DE AUDITORIA DE RIESGOS Y AREAS CENTRALES</t>
        </is>
      </c>
      <c r="U1554" t="n">
        <v>502000</v>
      </c>
      <c r="V1554" t="inlineStr">
        <is>
          <t>GERENCIA DE AUDITORIA DE RIESGOS Y AREAS CENTRALES</t>
        </is>
      </c>
      <c r="W1554" t="n">
        <v>100101</v>
      </c>
      <c r="X1554" t="inlineStr">
        <is>
          <t>CORPORATIVO</t>
        </is>
      </c>
      <c r="Y1554" t="n">
        <v>4</v>
      </c>
      <c r="Z1554" t="inlineStr">
        <is>
          <t>CORPORATIVO</t>
        </is>
      </c>
      <c r="AA1554" t="n">
        <v>1</v>
      </c>
      <c r="AB1554" t="inlineStr">
        <is>
          <t>NEGOCIO EN MARCHA</t>
        </is>
      </c>
      <c r="AC1554" t="n">
        <v>1</v>
      </c>
      <c r="AD1554" t="inlineStr">
        <is>
          <t>BANCO</t>
        </is>
      </c>
      <c r="AE1554" t="n">
        <v>1</v>
      </c>
      <c r="AF1554" t="inlineStr">
        <is>
          <t>BACK</t>
        </is>
      </c>
      <c r="AG1554" t="n">
        <v>100101</v>
      </c>
      <c r="AH1554" t="inlineStr">
        <is>
          <t>CORPORATIVO</t>
        </is>
      </c>
      <c r="AI1554" t="inlineStr">
        <is>
          <t>YCRUZ@BANCOBASE.COM</t>
        </is>
      </c>
      <c r="AJ1554" s="151" t="n">
        <v>45979</v>
      </c>
    </row>
    <row r="1555" hidden="1" s="150">
      <c r="A1555" t="inlineStr">
        <is>
          <t>JUGARTE</t>
        </is>
      </c>
      <c r="B1555" t="n">
        <v>3375</v>
      </c>
      <c r="C1555" t="inlineStr">
        <is>
          <t>JORGE UGARTE MURO</t>
        </is>
      </c>
      <c r="D1555" t="n">
        <v>9532</v>
      </c>
      <c r="E1555" t="inlineStr">
        <is>
          <t>AUDITOR SR</t>
        </is>
      </c>
      <c r="F1555" t="inlineStr">
        <is>
          <t>MONTERREY</t>
        </is>
      </c>
      <c r="G1555" t="n">
        <v>2205</v>
      </c>
      <c r="H1555" t="inlineStr">
        <is>
          <t>JOSE ENRIQUE DUQUE LEAL</t>
        </is>
      </c>
      <c r="I1555" t="n">
        <v>10089</v>
      </c>
      <c r="J1555" t="inlineStr">
        <is>
          <t>GERENTE DE AUDITORIA</t>
        </is>
      </c>
      <c r="K1555" t="n">
        <v>1</v>
      </c>
      <c r="L1555" t="inlineStr">
        <is>
          <t>PRESIDENCIA EJECUTIVA DEL CONSEJO</t>
        </is>
      </c>
      <c r="M1555" t="n">
        <v>50</v>
      </c>
      <c r="N1555" t="inlineStr">
        <is>
          <t>DIRECCION AUDITORIA</t>
        </is>
      </c>
      <c r="O1555" t="n">
        <v>500</v>
      </c>
      <c r="P1555" t="inlineStr">
        <is>
          <t>DIRECCION AUDITORIA</t>
        </is>
      </c>
      <c r="Q1555" t="n">
        <v>5040</v>
      </c>
      <c r="R1555" t="inlineStr">
        <is>
          <t>GERENCIA DE AUDITORIA DE OPERACIONES PASIVAS Y SER</t>
        </is>
      </c>
      <c r="S1555" t="n">
        <v>50400</v>
      </c>
      <c r="T1555" t="inlineStr">
        <is>
          <t>GERENCIA DE AUDITORIA DE OPERACIONES PASIVAS Y SER</t>
        </is>
      </c>
      <c r="U1555" t="n">
        <v>504000</v>
      </c>
      <c r="V1555" t="inlineStr">
        <is>
          <t>GERENCIA DE AUDITORIA DE OPERACIONES PASIVAS Y SER</t>
        </is>
      </c>
      <c r="W1555" t="n">
        <v>100101</v>
      </c>
      <c r="X1555" t="inlineStr">
        <is>
          <t>CORPORATIVO</t>
        </is>
      </c>
      <c r="Y1555" t="n">
        <v>4</v>
      </c>
      <c r="Z1555" t="inlineStr">
        <is>
          <t>CORPORATIVO</t>
        </is>
      </c>
      <c r="AA1555" t="n">
        <v>1</v>
      </c>
      <c r="AB1555" t="inlineStr">
        <is>
          <t>NEGOCIO EN MARCHA</t>
        </is>
      </c>
      <c r="AC1555" t="n">
        <v>1</v>
      </c>
      <c r="AD1555" t="inlineStr">
        <is>
          <t>BANCO</t>
        </is>
      </c>
      <c r="AE1555" t="n">
        <v>1</v>
      </c>
      <c r="AF1555" t="inlineStr">
        <is>
          <t>BACK</t>
        </is>
      </c>
      <c r="AG1555" t="n">
        <v>100101</v>
      </c>
      <c r="AH1555" t="inlineStr">
        <is>
          <t>CORPORATIVO</t>
        </is>
      </c>
      <c r="AI1555" t="inlineStr">
        <is>
          <t>JUGARTE@BANCOBASE.COM</t>
        </is>
      </c>
      <c r="AJ1555" s="151" t="n">
        <v>45748</v>
      </c>
    </row>
    <row r="1556" hidden="1" s="150">
      <c r="A1556" t="inlineStr">
        <is>
          <t>JTORRESA</t>
        </is>
      </c>
      <c r="B1556" t="n">
        <v>815</v>
      </c>
      <c r="C1556" t="inlineStr">
        <is>
          <t>JORGE ARMANDO TORRES ALCARAZ</t>
        </is>
      </c>
      <c r="D1556" t="n">
        <v>9696</v>
      </c>
      <c r="E1556" t="inlineStr">
        <is>
          <t>SUBDIRECTOR DE INVESTIGACION FORENSE Y DICTAMINACION DE FRAUDES</t>
        </is>
      </c>
      <c r="F1556" t="inlineStr">
        <is>
          <t>MONTERREY</t>
        </is>
      </c>
      <c r="G1556" t="n">
        <v>810</v>
      </c>
      <c r="H1556" t="inlineStr">
        <is>
          <t>JOSE LUIS GIRON AMAYA</t>
        </is>
      </c>
      <c r="I1556" t="n">
        <v>54</v>
      </c>
      <c r="J1556" t="inlineStr">
        <is>
          <t>DIRECTOR DE AUDITORIA</t>
        </is>
      </c>
      <c r="K1556" t="n">
        <v>1</v>
      </c>
      <c r="L1556" t="inlineStr">
        <is>
          <t>PRESIDENCIA EJECUTIVA DEL CONSEJO</t>
        </is>
      </c>
      <c r="M1556" t="n">
        <v>50</v>
      </c>
      <c r="N1556" t="inlineStr">
        <is>
          <t>DIRECCION AUDITORIA</t>
        </is>
      </c>
      <c r="O1556" t="n">
        <v>500</v>
      </c>
      <c r="P1556" t="inlineStr">
        <is>
          <t>DIRECCION AUDITORIA</t>
        </is>
      </c>
      <c r="Q1556" t="n">
        <v>5050</v>
      </c>
      <c r="R1556" t="inlineStr">
        <is>
          <t>INVESTIGACION FORENSE Y DICTAMINACION DE FRAUDES</t>
        </is>
      </c>
      <c r="S1556" t="n">
        <v>50500</v>
      </c>
      <c r="T1556" t="inlineStr">
        <is>
          <t>INVESTIGACION FORENSE Y DICTAMINACION DE FRAUDES</t>
        </is>
      </c>
      <c r="U1556" t="n">
        <v>505000</v>
      </c>
      <c r="V1556" t="inlineStr">
        <is>
          <t>AUDITORIA FORENSE Y DICTAMINACION DE FRAUDES</t>
        </is>
      </c>
      <c r="W1556" t="n">
        <v>100101</v>
      </c>
      <c r="X1556" t="inlineStr">
        <is>
          <t>CORPORATIVO</t>
        </is>
      </c>
      <c r="Y1556" t="n">
        <v>4</v>
      </c>
      <c r="Z1556" t="inlineStr">
        <is>
          <t>CORPORATIVO</t>
        </is>
      </c>
      <c r="AA1556" t="n">
        <v>1</v>
      </c>
      <c r="AB1556" t="inlineStr">
        <is>
          <t>NEGOCIO EN MARCHA</t>
        </is>
      </c>
      <c r="AC1556" t="n">
        <v>1</v>
      </c>
      <c r="AD1556" t="inlineStr">
        <is>
          <t>BANCO</t>
        </is>
      </c>
      <c r="AE1556" t="n">
        <v>1</v>
      </c>
      <c r="AF1556" t="inlineStr">
        <is>
          <t>BACK</t>
        </is>
      </c>
      <c r="AG1556" t="n">
        <v>100101</v>
      </c>
      <c r="AH1556" t="inlineStr">
        <is>
          <t>CORPORATIVO</t>
        </is>
      </c>
      <c r="AI1556" t="inlineStr">
        <is>
          <t>JTORRESA@BANCOBASE.COM</t>
        </is>
      </c>
      <c r="AJ1556" s="151" t="n">
        <v>40878</v>
      </c>
    </row>
    <row r="1557" hidden="1" s="150">
      <c r="A1557" t="inlineStr">
        <is>
          <t>EMARTINEZF</t>
        </is>
      </c>
      <c r="B1557" t="n">
        <v>951</v>
      </c>
      <c r="C1557" t="inlineStr">
        <is>
          <t>ESPERANZA ELIZABETH MARTINEZ FAZ</t>
        </is>
      </c>
      <c r="D1557" t="n">
        <v>8389</v>
      </c>
      <c r="E1557" t="inlineStr">
        <is>
          <t>COORDINADOR DE AUDITORIA FORENSE E INVESTIGACION</t>
        </is>
      </c>
      <c r="F1557" t="inlineStr">
        <is>
          <t>MONTERREY</t>
        </is>
      </c>
      <c r="G1557" t="n">
        <v>815</v>
      </c>
      <c r="H1557" t="inlineStr">
        <is>
          <t>JORGE ARMANDO TORRES ALCARAZ</t>
        </is>
      </c>
      <c r="I1557" t="n">
        <v>9696</v>
      </c>
      <c r="J1557" t="inlineStr">
        <is>
          <t>SUBDIRECTOR DE INVESTIGACION FORENSE Y DICTAMINACION DE FRAUDES</t>
        </is>
      </c>
      <c r="K1557" t="n">
        <v>1</v>
      </c>
      <c r="L1557" t="inlineStr">
        <is>
          <t>PRESIDENCIA EJECUTIVA DEL CONSEJO</t>
        </is>
      </c>
      <c r="M1557" t="n">
        <v>50</v>
      </c>
      <c r="N1557" t="inlineStr">
        <is>
          <t>DIRECCION AUDITORIA</t>
        </is>
      </c>
      <c r="O1557" t="n">
        <v>500</v>
      </c>
      <c r="P1557" t="inlineStr">
        <is>
          <t>DIRECCION AUDITORIA</t>
        </is>
      </c>
      <c r="Q1557" t="n">
        <v>5050</v>
      </c>
      <c r="R1557" t="inlineStr">
        <is>
          <t>INVESTIGACION FORENSE Y DICTAMINACION DE FRAUDES</t>
        </is>
      </c>
      <c r="S1557" t="n">
        <v>50500</v>
      </c>
      <c r="T1557" t="inlineStr">
        <is>
          <t>INVESTIGACION FORENSE Y DICTAMINACION DE FRAUDES</t>
        </is>
      </c>
      <c r="U1557" t="n">
        <v>505000</v>
      </c>
      <c r="V1557" t="inlineStr">
        <is>
          <t>AUDITORIA FORENSE Y DICTAMINACION DE FRAUDES</t>
        </is>
      </c>
      <c r="W1557" t="n">
        <v>100101</v>
      </c>
      <c r="X1557" t="inlineStr">
        <is>
          <t>CORPORATIVO</t>
        </is>
      </c>
      <c r="Y1557" t="n">
        <v>4</v>
      </c>
      <c r="Z1557" t="inlineStr">
        <is>
          <t>CORPORATIVO</t>
        </is>
      </c>
      <c r="AA1557" t="n">
        <v>1</v>
      </c>
      <c r="AB1557" t="inlineStr">
        <is>
          <t>NEGOCIO EN MARCHA</t>
        </is>
      </c>
      <c r="AC1557" t="n">
        <v>1</v>
      </c>
      <c r="AD1557" t="inlineStr">
        <is>
          <t>BANCO</t>
        </is>
      </c>
      <c r="AE1557" t="n">
        <v>1</v>
      </c>
      <c r="AF1557" t="inlineStr">
        <is>
          <t>BACK</t>
        </is>
      </c>
      <c r="AG1557" t="n">
        <v>100101</v>
      </c>
      <c r="AH1557" t="inlineStr">
        <is>
          <t>CORPORATIVO</t>
        </is>
      </c>
      <c r="AI1557" t="inlineStr">
        <is>
          <t>EMARTINEZF@BANCOBASE.COM</t>
        </is>
      </c>
      <c r="AJ1557" s="151" t="n">
        <v>41183</v>
      </c>
    </row>
    <row r="1558" hidden="1" s="150">
      <c r="A1558" t="inlineStr">
        <is>
          <t>CJUAREZ</t>
        </is>
      </c>
      <c r="B1558" t="n">
        <v>1180</v>
      </c>
      <c r="C1558" t="inlineStr">
        <is>
          <t>CESAR GUADALUPE JUAREZ LUMBRERAS</t>
        </is>
      </c>
      <c r="D1558" t="n">
        <v>1000</v>
      </c>
      <c r="E1558" t="inlineStr">
        <is>
          <t>ANALISTA DE INVESTIGACION DE FRAUDES</t>
        </is>
      </c>
      <c r="F1558" t="inlineStr">
        <is>
          <t>MONTERREY</t>
        </is>
      </c>
      <c r="G1558" t="n">
        <v>951</v>
      </c>
      <c r="H1558" t="inlineStr">
        <is>
          <t>ESPERANZA ELIZABETH MARTINEZ FAZ</t>
        </is>
      </c>
      <c r="I1558" t="n">
        <v>8389</v>
      </c>
      <c r="J1558" t="inlineStr">
        <is>
          <t>COORDINADOR DE AUDITORIA FORENSE E INVESTIGACION</t>
        </is>
      </c>
      <c r="K1558" t="n">
        <v>1</v>
      </c>
      <c r="L1558" t="inlineStr">
        <is>
          <t>PRESIDENCIA EJECUTIVA DEL CONSEJO</t>
        </is>
      </c>
      <c r="M1558" t="n">
        <v>50</v>
      </c>
      <c r="N1558" t="inlineStr">
        <is>
          <t>DIRECCION AUDITORIA</t>
        </is>
      </c>
      <c r="O1558" t="n">
        <v>500</v>
      </c>
      <c r="P1558" t="inlineStr">
        <is>
          <t>DIRECCION AUDITORIA</t>
        </is>
      </c>
      <c r="Q1558" t="n">
        <v>5050</v>
      </c>
      <c r="R1558" t="inlineStr">
        <is>
          <t>INVESTIGACION FORENSE Y DICTAMINACION DE FRAUDES</t>
        </is>
      </c>
      <c r="S1558" t="n">
        <v>50500</v>
      </c>
      <c r="T1558" t="inlineStr">
        <is>
          <t>INVESTIGACION FORENSE Y DICTAMINACION DE FRAUDES</t>
        </is>
      </c>
      <c r="U1558" t="n">
        <v>505000</v>
      </c>
      <c r="V1558" t="inlineStr">
        <is>
          <t>AUDITORIA FORENSE Y DICTAMINACION DE FRAUDES</t>
        </is>
      </c>
      <c r="W1558" t="n">
        <v>100101</v>
      </c>
      <c r="X1558" t="inlineStr">
        <is>
          <t>CORPORATIVO</t>
        </is>
      </c>
      <c r="Y1558" t="n">
        <v>4</v>
      </c>
      <c r="Z1558" t="inlineStr">
        <is>
          <t>CORPORATIVO</t>
        </is>
      </c>
      <c r="AA1558" t="n">
        <v>1</v>
      </c>
      <c r="AB1558" t="inlineStr">
        <is>
          <t>NEGOCIO EN MARCHA</t>
        </is>
      </c>
      <c r="AC1558" t="n">
        <v>1</v>
      </c>
      <c r="AD1558" t="inlineStr">
        <is>
          <t>BANCO</t>
        </is>
      </c>
      <c r="AE1558" t="n">
        <v>1</v>
      </c>
      <c r="AF1558" t="inlineStr">
        <is>
          <t>BACK</t>
        </is>
      </c>
      <c r="AG1558" t="n">
        <v>100101</v>
      </c>
      <c r="AH1558" t="inlineStr">
        <is>
          <t>CORPORATIVO</t>
        </is>
      </c>
      <c r="AI1558" t="inlineStr">
        <is>
          <t>CJUAREZ@BANCOBASE.COM</t>
        </is>
      </c>
      <c r="AJ1558" s="151" t="n">
        <v>41835</v>
      </c>
    </row>
    <row r="1559" hidden="1" s="150">
      <c r="A1559" t="inlineStr">
        <is>
          <t>DLEONG</t>
        </is>
      </c>
      <c r="B1559" t="n">
        <v>3964</v>
      </c>
      <c r="C1559" t="inlineStr">
        <is>
          <t>DANNA PAOLA LEON GUZMAN</t>
        </is>
      </c>
      <c r="D1559" t="n">
        <v>8465</v>
      </c>
      <c r="E1559" t="inlineStr">
        <is>
          <t>ANALISTA DE INVESTIGACION DE FRAUDES</t>
        </is>
      </c>
      <c r="F1559" t="inlineStr">
        <is>
          <t>MONTERREY</t>
        </is>
      </c>
      <c r="G1559" t="n">
        <v>951</v>
      </c>
      <c r="H1559" t="inlineStr">
        <is>
          <t>ESPERANZA ELIZABETH MARTINEZ FAZ</t>
        </is>
      </c>
      <c r="I1559" t="n">
        <v>8389</v>
      </c>
      <c r="J1559" t="inlineStr">
        <is>
          <t>COORDINADOR DE AUDITORIA FORENSE E INVESTIGACION</t>
        </is>
      </c>
      <c r="K1559" t="n">
        <v>1</v>
      </c>
      <c r="L1559" t="inlineStr">
        <is>
          <t>PRESIDENCIA EJECUTIVA DEL CONSEJO</t>
        </is>
      </c>
      <c r="M1559" t="n">
        <v>50</v>
      </c>
      <c r="N1559" t="inlineStr">
        <is>
          <t>DIRECCION AUDITORIA</t>
        </is>
      </c>
      <c r="O1559" t="n">
        <v>500</v>
      </c>
      <c r="P1559" t="inlineStr">
        <is>
          <t>DIRECCION AUDITORIA</t>
        </is>
      </c>
      <c r="Q1559" t="n">
        <v>5050</v>
      </c>
      <c r="R1559" t="inlineStr">
        <is>
          <t>INVESTIGACION FORENSE Y DICTAMINACION DE FRAUDES</t>
        </is>
      </c>
      <c r="S1559" t="n">
        <v>50500</v>
      </c>
      <c r="T1559" t="inlineStr">
        <is>
          <t>INVESTIGACION FORENSE Y DICTAMINACION DE FRAUDES</t>
        </is>
      </c>
      <c r="U1559" t="n">
        <v>505000</v>
      </c>
      <c r="V1559" t="inlineStr">
        <is>
          <t>AUDITORIA FORENSE Y DICTAMINACION DE FRAUDES</t>
        </is>
      </c>
      <c r="W1559" t="n">
        <v>100101</v>
      </c>
      <c r="X1559" t="inlineStr">
        <is>
          <t>CORPORATIVO</t>
        </is>
      </c>
      <c r="Y1559" t="n">
        <v>4</v>
      </c>
      <c r="Z1559" t="inlineStr">
        <is>
          <t>CORPORATIVO</t>
        </is>
      </c>
      <c r="AA1559" t="n">
        <v>1</v>
      </c>
      <c r="AB1559" t="inlineStr">
        <is>
          <t>NEGOCIO EN MARCHA</t>
        </is>
      </c>
      <c r="AC1559" t="n">
        <v>1</v>
      </c>
      <c r="AD1559" t="inlineStr">
        <is>
          <t>BANCO</t>
        </is>
      </c>
      <c r="AE1559" t="n">
        <v>1</v>
      </c>
      <c r="AF1559" t="inlineStr">
        <is>
          <t>BACK</t>
        </is>
      </c>
      <c r="AG1559" t="n">
        <v>100101</v>
      </c>
      <c r="AH1559" t="inlineStr">
        <is>
          <t>CORPORATIVO</t>
        </is>
      </c>
      <c r="AI1559" t="inlineStr">
        <is>
          <t>DLEONG@BANCOBASE.COM</t>
        </is>
      </c>
      <c r="AJ1559" s="151" t="n">
        <v>46237</v>
      </c>
    </row>
    <row r="1560" hidden="1" s="150">
      <c r="A1560" t="inlineStr">
        <is>
          <t>COCHOA</t>
        </is>
      </c>
      <c r="B1560" t="n">
        <v>3682</v>
      </c>
      <c r="C1560" t="inlineStr">
        <is>
          <t>CRISTIAN ALEXANDRE OCHOA BARBOZA</t>
        </is>
      </c>
      <c r="D1560" t="n">
        <v>8704</v>
      </c>
      <c r="E1560" t="inlineStr">
        <is>
          <t>ANALISTA DE NORMATIVIDAD, SEGUROS Y OFICIOS</t>
        </is>
      </c>
      <c r="F1560" t="inlineStr">
        <is>
          <t>MONTERREY</t>
        </is>
      </c>
      <c r="G1560" t="n">
        <v>815</v>
      </c>
      <c r="H1560" t="inlineStr">
        <is>
          <t>JORGE ARMANDO TORRES ALCARAZ</t>
        </is>
      </c>
      <c r="I1560" t="n">
        <v>9696</v>
      </c>
      <c r="J1560" t="inlineStr">
        <is>
          <t>SUBDIRECTOR DE INVESTIGACION FORENSE Y DICTAMINACION DE FRAUDES</t>
        </is>
      </c>
      <c r="K1560" t="n">
        <v>1</v>
      </c>
      <c r="L1560" t="inlineStr">
        <is>
          <t>PRESIDENCIA EJECUTIVA DEL CONSEJO</t>
        </is>
      </c>
      <c r="M1560" t="n">
        <v>50</v>
      </c>
      <c r="N1560" t="inlineStr">
        <is>
          <t>DIRECCION AUDITORIA</t>
        </is>
      </c>
      <c r="O1560" t="n">
        <v>500</v>
      </c>
      <c r="P1560" t="inlineStr">
        <is>
          <t>DIRECCION AUDITORIA</t>
        </is>
      </c>
      <c r="Q1560" t="n">
        <v>5050</v>
      </c>
      <c r="R1560" t="inlineStr">
        <is>
          <t>INVESTIGACION FORENSE Y DICTAMINACION DE FRAUDES</t>
        </is>
      </c>
      <c r="S1560" t="n">
        <v>50500</v>
      </c>
      <c r="T1560" t="inlineStr">
        <is>
          <t>INVESTIGACION FORENSE Y DICTAMINACION DE FRAUDES</t>
        </is>
      </c>
      <c r="U1560" t="n">
        <v>505000</v>
      </c>
      <c r="V1560" t="inlineStr">
        <is>
          <t>AUDITORIA FORENSE Y DICTAMINACION DE FRAUDES</t>
        </is>
      </c>
      <c r="W1560" t="n">
        <v>100101</v>
      </c>
      <c r="X1560" t="inlineStr">
        <is>
          <t>CORPORATIVO</t>
        </is>
      </c>
      <c r="Y1560" t="n">
        <v>4</v>
      </c>
      <c r="Z1560" t="inlineStr">
        <is>
          <t>CORPORATIVO</t>
        </is>
      </c>
      <c r="AA1560" t="n">
        <v>1</v>
      </c>
      <c r="AB1560" t="inlineStr">
        <is>
          <t>NEGOCIO EN MARCHA</t>
        </is>
      </c>
      <c r="AC1560" t="n">
        <v>1</v>
      </c>
      <c r="AD1560" t="inlineStr">
        <is>
          <t>BANCO</t>
        </is>
      </c>
      <c r="AE1560" t="n">
        <v>1</v>
      </c>
      <c r="AF1560" t="inlineStr">
        <is>
          <t>BACK</t>
        </is>
      </c>
      <c r="AG1560" t="n">
        <v>100101</v>
      </c>
      <c r="AH1560" t="inlineStr">
        <is>
          <t>CORPORATIVO</t>
        </is>
      </c>
      <c r="AI1560" t="inlineStr">
        <is>
          <t>COCHOA@BANCOBASE.COM</t>
        </is>
      </c>
      <c r="AJ1560" s="151" t="n">
        <v>45979</v>
      </c>
    </row>
    <row r="1561" hidden="1" s="150">
      <c r="A1561" t="inlineStr">
        <is>
          <t>MRAMIREZD</t>
        </is>
      </c>
      <c r="B1561" t="n">
        <v>3193</v>
      </c>
      <c r="C1561" t="inlineStr">
        <is>
          <t>MARTHA JOSELINE RAMIREZ DUARTE</t>
        </is>
      </c>
      <c r="D1561" t="n">
        <v>8424</v>
      </c>
      <c r="E1561" t="inlineStr">
        <is>
          <t>ANALISTA LEGAL Y NORMATIVO DE INVESTIGACION FORENSE</t>
        </is>
      </c>
      <c r="F1561" t="inlineStr">
        <is>
          <t>MONTERREY</t>
        </is>
      </c>
      <c r="G1561" t="n">
        <v>815</v>
      </c>
      <c r="H1561" t="inlineStr">
        <is>
          <t>JORGE ARMANDO TORRES ALCARAZ</t>
        </is>
      </c>
      <c r="I1561" t="n">
        <v>9696</v>
      </c>
      <c r="J1561" t="inlineStr">
        <is>
          <t>SUBDIRECTOR DE INVESTIGACION FORENSE Y DICTAMINACION DE FRAUDES</t>
        </is>
      </c>
      <c r="K1561" t="n">
        <v>1</v>
      </c>
      <c r="L1561" t="inlineStr">
        <is>
          <t>PRESIDENCIA EJECUTIVA DEL CONSEJO</t>
        </is>
      </c>
      <c r="M1561" t="n">
        <v>50</v>
      </c>
      <c r="N1561" t="inlineStr">
        <is>
          <t>DIRECCION AUDITORIA</t>
        </is>
      </c>
      <c r="O1561" t="n">
        <v>500</v>
      </c>
      <c r="P1561" t="inlineStr">
        <is>
          <t>DIRECCION AUDITORIA</t>
        </is>
      </c>
      <c r="Q1561" t="n">
        <v>5050</v>
      </c>
      <c r="R1561" t="inlineStr">
        <is>
          <t>INVESTIGACION FORENSE Y DICTAMINACION DE FRAUDES</t>
        </is>
      </c>
      <c r="S1561" t="n">
        <v>50500</v>
      </c>
      <c r="T1561" t="inlineStr">
        <is>
          <t>INVESTIGACION FORENSE Y DICTAMINACION DE FRAUDES</t>
        </is>
      </c>
      <c r="U1561" t="n">
        <v>505000</v>
      </c>
      <c r="V1561" t="inlineStr">
        <is>
          <t>AUDITORIA FORENSE Y DICTAMINACION DE FRAUDES</t>
        </is>
      </c>
      <c r="W1561" t="n">
        <v>100101</v>
      </c>
      <c r="X1561" t="inlineStr">
        <is>
          <t>CORPORATIVO</t>
        </is>
      </c>
      <c r="Y1561" t="n">
        <v>4</v>
      </c>
      <c r="Z1561" t="inlineStr">
        <is>
          <t>CORPORATIVO</t>
        </is>
      </c>
      <c r="AA1561" t="n">
        <v>1</v>
      </c>
      <c r="AB1561" t="inlineStr">
        <is>
          <t>NEGOCIO EN MARCHA</t>
        </is>
      </c>
      <c r="AC1561" t="n">
        <v>1</v>
      </c>
      <c r="AD1561" t="inlineStr">
        <is>
          <t>BANCO</t>
        </is>
      </c>
      <c r="AE1561" t="n">
        <v>1</v>
      </c>
      <c r="AF1561" t="inlineStr">
        <is>
          <t>BACK</t>
        </is>
      </c>
      <c r="AG1561" t="n">
        <v>100101</v>
      </c>
      <c r="AH1561" t="inlineStr">
        <is>
          <t>CORPORATIVO</t>
        </is>
      </c>
      <c r="AI1561" t="inlineStr">
        <is>
          <t>MRAMIREZD@BANCOBASE.COM</t>
        </is>
      </c>
      <c r="AJ1561" s="151" t="n">
        <v>45537</v>
      </c>
    </row>
    <row r="1562" hidden="1" s="150">
      <c r="A1562" t="inlineStr">
        <is>
          <t>DQUINTANIL</t>
        </is>
      </c>
      <c r="B1562" t="n">
        <v>3965</v>
      </c>
      <c r="C1562" t="inlineStr">
        <is>
          <t>DEBANIE ELIZABETH QUINTANILLA HERNANDEZ</t>
        </is>
      </c>
      <c r="D1562" t="n">
        <v>5096</v>
      </c>
      <c r="E1562" t="inlineStr">
        <is>
          <t>SUBDIRECTOR DE AUDITORIA TI</t>
        </is>
      </c>
      <c r="F1562" t="inlineStr">
        <is>
          <t>MONTERREY</t>
        </is>
      </c>
      <c r="G1562" t="n">
        <v>810</v>
      </c>
      <c r="H1562" t="inlineStr">
        <is>
          <t>JOSE LUIS GIRON AMAYA</t>
        </is>
      </c>
      <c r="I1562" t="n">
        <v>54</v>
      </c>
      <c r="J1562" t="inlineStr">
        <is>
          <t>DIRECTOR DE AUDITORIA</t>
        </is>
      </c>
      <c r="K1562" t="n">
        <v>1</v>
      </c>
      <c r="L1562" t="inlineStr">
        <is>
          <t>PRESIDENCIA EJECUTIVA DEL CONSEJO</t>
        </is>
      </c>
      <c r="M1562" t="n">
        <v>50</v>
      </c>
      <c r="N1562" t="inlineStr">
        <is>
          <t>DIRECCION AUDITORIA</t>
        </is>
      </c>
      <c r="O1562" t="n">
        <v>500</v>
      </c>
      <c r="P1562" t="inlineStr">
        <is>
          <t>DIRECCION AUDITORIA</t>
        </is>
      </c>
      <c r="Q1562" t="n">
        <v>5060</v>
      </c>
      <c r="R1562" t="inlineStr">
        <is>
          <t>SUBDIRECCION DE AUDITORIA DE TI</t>
        </is>
      </c>
      <c r="S1562" t="n">
        <v>50600</v>
      </c>
      <c r="T1562" t="inlineStr">
        <is>
          <t>SUBDIRECCION DE AUDITORIA DE TI</t>
        </is>
      </c>
      <c r="U1562" t="n">
        <v>506000</v>
      </c>
      <c r="V1562" t="inlineStr">
        <is>
          <t>SUBDIRECCION DE AUDITORIA DE TI</t>
        </is>
      </c>
      <c r="W1562" t="n">
        <v>100101</v>
      </c>
      <c r="X1562" t="inlineStr">
        <is>
          <t>CORPORATIVO</t>
        </is>
      </c>
      <c r="Y1562" t="n">
        <v>4</v>
      </c>
      <c r="Z1562" t="inlineStr">
        <is>
          <t>CORPORATIVO</t>
        </is>
      </c>
      <c r="AA1562" t="n">
        <v>1</v>
      </c>
      <c r="AB1562" t="inlineStr">
        <is>
          <t>NEGOCIO EN MARCHA</t>
        </is>
      </c>
      <c r="AC1562" t="n">
        <v>1</v>
      </c>
      <c r="AD1562" t="inlineStr">
        <is>
          <t>BANCO</t>
        </is>
      </c>
      <c r="AE1562" t="n">
        <v>1</v>
      </c>
      <c r="AF1562" t="inlineStr">
        <is>
          <t>BACK</t>
        </is>
      </c>
      <c r="AG1562" t="n">
        <v>100101</v>
      </c>
      <c r="AH1562" t="inlineStr">
        <is>
          <t>CORPORATIVO</t>
        </is>
      </c>
      <c r="AI1562" t="inlineStr">
        <is>
          <t>DQUINTANIL@BANCOBASE.COM</t>
        </is>
      </c>
      <c r="AJ1562" s="151" t="n">
        <v>46237</v>
      </c>
    </row>
    <row r="1563" hidden="1" s="150">
      <c r="A1563" t="inlineStr">
        <is>
          <t>GTORRESM</t>
        </is>
      </c>
      <c r="B1563" t="n">
        <v>3134</v>
      </c>
      <c r="C1563" t="inlineStr">
        <is>
          <t>GRISELDA TORRES MARTINEZ</t>
        </is>
      </c>
      <c r="D1563" t="n">
        <v>9015</v>
      </c>
      <c r="E1563" t="inlineStr">
        <is>
          <t>AUDITOR SR</t>
        </is>
      </c>
      <c r="F1563" t="inlineStr">
        <is>
          <t>MONTERREY</t>
        </is>
      </c>
      <c r="G1563" t="n">
        <v>3965</v>
      </c>
      <c r="H1563" t="inlineStr">
        <is>
          <t>DEBANIE ELIZABETH QUINTANILLA HERNANDEZ</t>
        </is>
      </c>
      <c r="I1563" t="n">
        <v>5096</v>
      </c>
      <c r="J1563" t="inlineStr">
        <is>
          <t>SUBDIRECTOR DE AUDITORIA TI</t>
        </is>
      </c>
      <c r="K1563" t="n">
        <v>1</v>
      </c>
      <c r="L1563" t="inlineStr">
        <is>
          <t>PRESIDENCIA EJECUTIVA DEL CONSEJO</t>
        </is>
      </c>
      <c r="M1563" t="n">
        <v>50</v>
      </c>
      <c r="N1563" t="inlineStr">
        <is>
          <t>DIRECCION AUDITORIA</t>
        </is>
      </c>
      <c r="O1563" t="n">
        <v>500</v>
      </c>
      <c r="P1563" t="inlineStr">
        <is>
          <t>DIRECCION AUDITORIA</t>
        </is>
      </c>
      <c r="Q1563" t="n">
        <v>5060</v>
      </c>
      <c r="R1563" t="inlineStr">
        <is>
          <t>SUBDIRECCION DE AUDITORIA DE TI</t>
        </is>
      </c>
      <c r="S1563" t="n">
        <v>50600</v>
      </c>
      <c r="T1563" t="inlineStr">
        <is>
          <t>SUBDIRECCION DE AUDITORIA DE TI</t>
        </is>
      </c>
      <c r="U1563" t="n">
        <v>506000</v>
      </c>
      <c r="V1563" t="inlineStr">
        <is>
          <t>SUBDIRECCION DE AUDITORIA DE TI</t>
        </is>
      </c>
      <c r="W1563" t="n">
        <v>100101</v>
      </c>
      <c r="X1563" t="inlineStr">
        <is>
          <t>CORPORATIVO</t>
        </is>
      </c>
      <c r="Y1563" t="n">
        <v>4</v>
      </c>
      <c r="Z1563" t="inlineStr">
        <is>
          <t>CORPORATIVO</t>
        </is>
      </c>
      <c r="AA1563" t="n">
        <v>1</v>
      </c>
      <c r="AB1563" t="inlineStr">
        <is>
          <t>NEGOCIO EN MARCHA</t>
        </is>
      </c>
      <c r="AC1563" t="n">
        <v>1</v>
      </c>
      <c r="AD1563" t="inlineStr">
        <is>
          <t>BANCO</t>
        </is>
      </c>
      <c r="AE1563" t="n">
        <v>1</v>
      </c>
      <c r="AF1563" t="inlineStr">
        <is>
          <t>BACK</t>
        </is>
      </c>
      <c r="AG1563" t="n">
        <v>100101</v>
      </c>
      <c r="AH1563" t="inlineStr">
        <is>
          <t>CORPORATIVO</t>
        </is>
      </c>
      <c r="AI1563" t="inlineStr">
        <is>
          <t>GTORRESM@BANCOBASE.COM</t>
        </is>
      </c>
      <c r="AJ1563" s="151" t="n">
        <v>45460</v>
      </c>
    </row>
    <row r="1564" hidden="1" s="150">
      <c r="A1564" t="inlineStr">
        <is>
          <t>JFLOREST</t>
        </is>
      </c>
      <c r="B1564" t="n">
        <v>2735</v>
      </c>
      <c r="C1564" t="inlineStr">
        <is>
          <t>JULIO MANUEL FLORES TREVIÑO</t>
        </is>
      </c>
      <c r="D1564" t="n">
        <v>5001</v>
      </c>
      <c r="E1564" t="inlineStr">
        <is>
          <t>AUDITOR SR</t>
        </is>
      </c>
      <c r="F1564" t="inlineStr">
        <is>
          <t>MONTERREY</t>
        </is>
      </c>
      <c r="G1564" t="n">
        <v>3965</v>
      </c>
      <c r="H1564" t="inlineStr">
        <is>
          <t>DEBANIE ELIZABETH QUINTANILLA HERNANDEZ</t>
        </is>
      </c>
      <c r="I1564" t="n">
        <v>5096</v>
      </c>
      <c r="J1564" t="inlineStr">
        <is>
          <t>SUBDIRECTOR DE AUDITORIA TI</t>
        </is>
      </c>
      <c r="K1564" t="n">
        <v>1</v>
      </c>
      <c r="L1564" t="inlineStr">
        <is>
          <t>PRESIDENCIA EJECUTIVA DEL CONSEJO</t>
        </is>
      </c>
      <c r="M1564" t="n">
        <v>50</v>
      </c>
      <c r="N1564" t="inlineStr">
        <is>
          <t>DIRECCION AUDITORIA</t>
        </is>
      </c>
      <c r="O1564" t="n">
        <v>500</v>
      </c>
      <c r="P1564" t="inlineStr">
        <is>
          <t>DIRECCION AUDITORIA</t>
        </is>
      </c>
      <c r="Q1564" t="n">
        <v>5060</v>
      </c>
      <c r="R1564" t="inlineStr">
        <is>
          <t>SUBDIRECCION DE AUDITORIA DE TI</t>
        </is>
      </c>
      <c r="S1564" t="n">
        <v>50600</v>
      </c>
      <c r="T1564" t="inlineStr">
        <is>
          <t>SUBDIRECCION DE AUDITORIA DE TI</t>
        </is>
      </c>
      <c r="U1564" t="n">
        <v>506000</v>
      </c>
      <c r="V1564" t="inlineStr">
        <is>
          <t>SUBDIRECCION DE AUDITORIA DE TI</t>
        </is>
      </c>
      <c r="W1564" t="n">
        <v>100101</v>
      </c>
      <c r="X1564" t="inlineStr">
        <is>
          <t>CORPORATIVO</t>
        </is>
      </c>
      <c r="Y1564" t="n">
        <v>4</v>
      </c>
      <c r="Z1564" t="inlineStr">
        <is>
          <t>CORPORATIVO</t>
        </is>
      </c>
      <c r="AA1564" t="n">
        <v>1</v>
      </c>
      <c r="AB1564" t="inlineStr">
        <is>
          <t>NEGOCIO EN MARCHA</t>
        </is>
      </c>
      <c r="AC1564" t="n">
        <v>1</v>
      </c>
      <c r="AD1564" t="inlineStr">
        <is>
          <t>BANCO</t>
        </is>
      </c>
      <c r="AE1564" t="n">
        <v>1</v>
      </c>
      <c r="AF1564" t="inlineStr">
        <is>
          <t>BACK</t>
        </is>
      </c>
      <c r="AG1564" t="n">
        <v>100101</v>
      </c>
      <c r="AH1564" t="inlineStr">
        <is>
          <t>CORPORATIVO</t>
        </is>
      </c>
      <c r="AI1564" t="inlineStr">
        <is>
          <t>JFLOREST@BANCOBASE.COM</t>
        </is>
      </c>
      <c r="AJ1564" s="151" t="n">
        <v>44823</v>
      </c>
    </row>
    <row r="1565" hidden="1" s="150">
      <c r="A1565" t="inlineStr">
        <is>
          <t>SCOVARRUBI</t>
        </is>
      </c>
      <c r="B1565" t="n">
        <v>3455</v>
      </c>
      <c r="C1565" t="inlineStr">
        <is>
          <t>SAMANTHA KAHORI COVARRUBIAS UBALDO</t>
        </is>
      </c>
      <c r="D1565" t="n">
        <v>8422</v>
      </c>
      <c r="E1565" t="inlineStr">
        <is>
          <t>AUDITOR JR</t>
        </is>
      </c>
      <c r="F1565" t="inlineStr">
        <is>
          <t>MONTERREY</t>
        </is>
      </c>
      <c r="G1565" t="n">
        <v>3965</v>
      </c>
      <c r="H1565" t="inlineStr">
        <is>
          <t>DEBANIE ELIZABETH QUINTANILLA HERNANDEZ</t>
        </is>
      </c>
      <c r="I1565" t="n">
        <v>5096</v>
      </c>
      <c r="J1565" t="inlineStr">
        <is>
          <t>SUBDIRECTOR DE AUDITORIA TI</t>
        </is>
      </c>
      <c r="K1565" t="n">
        <v>1</v>
      </c>
      <c r="L1565" t="inlineStr">
        <is>
          <t>PRESIDENCIA EJECUTIVA DEL CONSEJO</t>
        </is>
      </c>
      <c r="M1565" t="n">
        <v>50</v>
      </c>
      <c r="N1565" t="inlineStr">
        <is>
          <t>DIRECCION AUDITORIA</t>
        </is>
      </c>
      <c r="O1565" t="n">
        <v>500</v>
      </c>
      <c r="P1565" t="inlineStr">
        <is>
          <t>DIRECCION AUDITORIA</t>
        </is>
      </c>
      <c r="Q1565" t="n">
        <v>5060</v>
      </c>
      <c r="R1565" t="inlineStr">
        <is>
          <t>SUBDIRECCION DE AUDITORIA DE TI</t>
        </is>
      </c>
      <c r="S1565" t="n">
        <v>50600</v>
      </c>
      <c r="T1565" t="inlineStr">
        <is>
          <t>SUBDIRECCION DE AUDITORIA DE TI</t>
        </is>
      </c>
      <c r="U1565" t="n">
        <v>506000</v>
      </c>
      <c r="V1565" t="inlineStr">
        <is>
          <t>SUBDIRECCION DE AUDITORIA DE TI</t>
        </is>
      </c>
      <c r="W1565" t="n">
        <v>100101</v>
      </c>
      <c r="X1565" t="inlineStr">
        <is>
          <t>CORPORATIVO</t>
        </is>
      </c>
      <c r="Y1565" t="n">
        <v>4</v>
      </c>
      <c r="Z1565" t="inlineStr">
        <is>
          <t>CORPORATIVO</t>
        </is>
      </c>
      <c r="AA1565" t="n">
        <v>1</v>
      </c>
      <c r="AB1565" t="inlineStr">
        <is>
          <t>NEGOCIO EN MARCHA</t>
        </is>
      </c>
      <c r="AC1565" t="n">
        <v>1</v>
      </c>
      <c r="AD1565" t="inlineStr">
        <is>
          <t>BANCO</t>
        </is>
      </c>
      <c r="AE1565" t="n">
        <v>1</v>
      </c>
      <c r="AF1565" t="inlineStr">
        <is>
          <t>BACK</t>
        </is>
      </c>
      <c r="AG1565" t="n">
        <v>100101</v>
      </c>
      <c r="AH1565" t="inlineStr">
        <is>
          <t>CORPORATIVO</t>
        </is>
      </c>
      <c r="AI1565" t="inlineStr">
        <is>
          <t>SCOVARRUBI@BANCOBASE.COM</t>
        </is>
      </c>
      <c r="AJ1565" s="151" t="n">
        <v>45824</v>
      </c>
    </row>
    <row r="1566" hidden="1" s="150">
      <c r="A1566" t="inlineStr">
        <is>
          <t>DZAMUDIO</t>
        </is>
      </c>
      <c r="B1566" t="n">
        <v>2718</v>
      </c>
      <c r="C1566" t="inlineStr">
        <is>
          <t>DANIEL EDMUNDO ZAMUDIO ROSALES</t>
        </is>
      </c>
      <c r="D1566" t="n">
        <v>10085</v>
      </c>
      <c r="E1566" t="inlineStr">
        <is>
          <t>DIRECTOR DE RIESGOS</t>
        </is>
      </c>
      <c r="F1566" t="inlineStr">
        <is>
          <t>MONTERREY</t>
        </is>
      </c>
      <c r="K1566" t="n">
        <v>1</v>
      </c>
      <c r="L1566" t="inlineStr">
        <is>
          <t>PRESIDENCIA EJECUTIVA DEL CONSEJO</t>
        </is>
      </c>
      <c r="M1566" t="n">
        <v>60</v>
      </c>
      <c r="N1566" t="inlineStr">
        <is>
          <t>DIRECCION RIESGOS</t>
        </is>
      </c>
      <c r="O1566" t="n">
        <v>600</v>
      </c>
      <c r="P1566" t="inlineStr">
        <is>
          <t>DIRECCION RIESGOS</t>
        </is>
      </c>
      <c r="Q1566" t="n">
        <v>6000</v>
      </c>
      <c r="R1566" t="inlineStr">
        <is>
          <t>DIRECCION RIESGOS</t>
        </is>
      </c>
      <c r="S1566" t="n">
        <v>60000</v>
      </c>
      <c r="T1566" t="inlineStr">
        <is>
          <t>DIRECCION RIESGOS</t>
        </is>
      </c>
      <c r="U1566" t="n">
        <v>600000</v>
      </c>
      <c r="V1566" t="inlineStr">
        <is>
          <t>DIRECCION RIESGOS</t>
        </is>
      </c>
      <c r="W1566" t="n">
        <v>100101</v>
      </c>
      <c r="X1566" t="inlineStr">
        <is>
          <t>CORPORATIVO</t>
        </is>
      </c>
      <c r="Y1566" t="n">
        <v>4</v>
      </c>
      <c r="Z1566" t="inlineStr">
        <is>
          <t>CORPORATIVO</t>
        </is>
      </c>
      <c r="AA1566" t="n">
        <v>1</v>
      </c>
      <c r="AB1566" t="inlineStr">
        <is>
          <t>NEGOCIO EN MARCHA</t>
        </is>
      </c>
      <c r="AC1566" t="n">
        <v>1</v>
      </c>
      <c r="AD1566" t="inlineStr">
        <is>
          <t>BANCO</t>
        </is>
      </c>
      <c r="AE1566" t="n">
        <v>1</v>
      </c>
      <c r="AF1566" t="inlineStr">
        <is>
          <t>BACK</t>
        </is>
      </c>
      <c r="AG1566" t="n">
        <v>100101</v>
      </c>
      <c r="AH1566" t="inlineStr">
        <is>
          <t>CORPORATIVO</t>
        </is>
      </c>
      <c r="AI1566" t="inlineStr">
        <is>
          <t>DZAMUDIO@BANCOBASE.COM</t>
        </is>
      </c>
      <c r="AJ1566" s="151" t="n">
        <v>44791</v>
      </c>
    </row>
    <row r="1567" hidden="1" s="150">
      <c r="A1567" t="inlineStr">
        <is>
          <t>LNOVELO</t>
        </is>
      </c>
      <c r="B1567" t="n">
        <v>1881</v>
      </c>
      <c r="C1567" t="inlineStr">
        <is>
          <t>LUIS ANTONIO NOVELO LAZO</t>
        </is>
      </c>
      <c r="D1567" t="n">
        <v>5</v>
      </c>
      <c r="E1567" t="inlineStr">
        <is>
          <t>DIRECTOR DE CREDITO</t>
        </is>
      </c>
      <c r="F1567" t="inlineStr">
        <is>
          <t>MONTERREY</t>
        </is>
      </c>
      <c r="G1567" t="n">
        <v>2718</v>
      </c>
      <c r="H1567" t="inlineStr">
        <is>
          <t>DANIEL EDMUNDO ZAMUDIO ROSALES</t>
        </is>
      </c>
      <c r="I1567" t="n">
        <v>10085</v>
      </c>
      <c r="J1567" t="inlineStr">
        <is>
          <t>DIRECTOR DE RIESGOS</t>
        </is>
      </c>
      <c r="K1567" t="n">
        <v>1</v>
      </c>
      <c r="L1567" t="inlineStr">
        <is>
          <t>PRESIDENCIA EJECUTIVA DEL CONSEJO</t>
        </is>
      </c>
      <c r="M1567" t="n">
        <v>60</v>
      </c>
      <c r="N1567" t="inlineStr">
        <is>
          <t>DIRECCION RIESGOS</t>
        </is>
      </c>
      <c r="O1567" t="n">
        <v>460</v>
      </c>
      <c r="P1567" t="inlineStr">
        <is>
          <t>DIRECCION CREDITO</t>
        </is>
      </c>
      <c r="Q1567" t="n">
        <v>4600</v>
      </c>
      <c r="R1567" t="inlineStr">
        <is>
          <t>DIRECCION CREDITO</t>
        </is>
      </c>
      <c r="S1567" t="n">
        <v>46000</v>
      </c>
      <c r="T1567" t="inlineStr">
        <is>
          <t>DIRECCION CREDITO</t>
        </is>
      </c>
      <c r="U1567" t="n">
        <v>460000</v>
      </c>
      <c r="V1567" t="inlineStr">
        <is>
          <t>DIRECCION CREDITO</t>
        </is>
      </c>
      <c r="W1567" t="n">
        <v>100101</v>
      </c>
      <c r="X1567" t="inlineStr">
        <is>
          <t>CORPORATIVO</t>
        </is>
      </c>
      <c r="Y1567" t="n">
        <v>4</v>
      </c>
      <c r="Z1567" t="inlineStr">
        <is>
          <t>CORPORATIVO</t>
        </is>
      </c>
      <c r="AA1567" t="n">
        <v>1</v>
      </c>
      <c r="AB1567" t="inlineStr">
        <is>
          <t>NEGOCIO EN MARCHA</t>
        </is>
      </c>
      <c r="AC1567" t="n">
        <v>1</v>
      </c>
      <c r="AD1567" t="inlineStr">
        <is>
          <t>BANCO</t>
        </is>
      </c>
      <c r="AE1567" t="n">
        <v>1</v>
      </c>
      <c r="AF1567" t="inlineStr">
        <is>
          <t>BACK</t>
        </is>
      </c>
      <c r="AG1567" t="n">
        <v>100101</v>
      </c>
      <c r="AH1567" t="inlineStr">
        <is>
          <t>CORPORATIVO</t>
        </is>
      </c>
      <c r="AI1567" t="inlineStr">
        <is>
          <t>LNOVELO@BANCOBASE.COM</t>
        </is>
      </c>
      <c r="AJ1567" s="151" t="n">
        <v>43052</v>
      </c>
    </row>
    <row r="1568" hidden="1" s="150">
      <c r="A1568" t="inlineStr">
        <is>
          <t>MLEDEZMA</t>
        </is>
      </c>
      <c r="B1568" t="n">
        <v>1471</v>
      </c>
      <c r="C1568" t="inlineStr">
        <is>
          <t>MARIA DE LA LUZ LEDEZMA GOMEZ</t>
        </is>
      </c>
      <c r="D1568" t="n">
        <v>9448</v>
      </c>
      <c r="E1568" t="inlineStr">
        <is>
          <t>SUBDIRECTOR DE ADMINISTRACION DE CREDITO</t>
        </is>
      </c>
      <c r="F1568" t="inlineStr">
        <is>
          <t>MONTERREY</t>
        </is>
      </c>
      <c r="G1568" t="n">
        <v>1881</v>
      </c>
      <c r="H1568" t="inlineStr">
        <is>
          <t>LUIS ANTONIO NOVELO LAZO</t>
        </is>
      </c>
      <c r="I1568" t="n">
        <v>5</v>
      </c>
      <c r="J1568" t="inlineStr">
        <is>
          <t>DIRECTOR DE CREDITO</t>
        </is>
      </c>
      <c r="K1568" t="n">
        <v>1</v>
      </c>
      <c r="L1568" t="inlineStr">
        <is>
          <t>PRESIDENCIA EJECUTIVA DEL CONSEJO</t>
        </is>
      </c>
      <c r="M1568" t="n">
        <v>60</v>
      </c>
      <c r="N1568" t="inlineStr">
        <is>
          <t>DIRECCION RIESGOS</t>
        </is>
      </c>
      <c r="O1568" t="n">
        <v>460</v>
      </c>
      <c r="P1568" t="inlineStr">
        <is>
          <t>DIRECCION CREDITO</t>
        </is>
      </c>
      <c r="Q1568" t="n">
        <v>4610</v>
      </c>
      <c r="R1568" t="inlineStr">
        <is>
          <t>SUBDIRECCION ADMINISTRACION DE CREDITO</t>
        </is>
      </c>
      <c r="S1568" t="n">
        <v>46100</v>
      </c>
      <c r="T1568" t="inlineStr">
        <is>
          <t>SUBDIRECCION ADMINISTRACION DE CREDITO</t>
        </is>
      </c>
      <c r="U1568" t="n">
        <v>461000</v>
      </c>
      <c r="V1568" t="inlineStr">
        <is>
          <t>SUBDIRECCION ADMINISTRACION DE CREDITO</t>
        </is>
      </c>
      <c r="W1568" t="n">
        <v>100101</v>
      </c>
      <c r="X1568" t="inlineStr">
        <is>
          <t>CORPORATIVO</t>
        </is>
      </c>
      <c r="Y1568" t="n">
        <v>4</v>
      </c>
      <c r="Z1568" t="inlineStr">
        <is>
          <t>CORPORATIVO</t>
        </is>
      </c>
      <c r="AA1568" t="n">
        <v>1</v>
      </c>
      <c r="AB1568" t="inlineStr">
        <is>
          <t>NEGOCIO EN MARCHA</t>
        </is>
      </c>
      <c r="AC1568" t="n">
        <v>1</v>
      </c>
      <c r="AD1568" t="inlineStr">
        <is>
          <t>BANCO</t>
        </is>
      </c>
      <c r="AE1568" t="n">
        <v>1</v>
      </c>
      <c r="AF1568" t="inlineStr">
        <is>
          <t>BACK</t>
        </is>
      </c>
      <c r="AG1568" t="n">
        <v>100101</v>
      </c>
      <c r="AH1568" t="inlineStr">
        <is>
          <t>CORPORATIVO</t>
        </is>
      </c>
      <c r="AI1568" t="inlineStr">
        <is>
          <t>MLEDEZMA@BANCOBASE.COM</t>
        </is>
      </c>
      <c r="AJ1568" s="151" t="n">
        <v>42408</v>
      </c>
    </row>
    <row r="1569" hidden="1" s="150">
      <c r="A1569" t="inlineStr">
        <is>
          <t>RFLORES</t>
        </is>
      </c>
      <c r="B1569" t="n">
        <v>730</v>
      </c>
      <c r="C1569" t="inlineStr">
        <is>
          <t>RENE JAVIER FLORES MARIN</t>
        </is>
      </c>
      <c r="D1569" t="n">
        <v>8002</v>
      </c>
      <c r="E1569" t="inlineStr">
        <is>
          <t>GERENTE DE ADMINISTRACION DE CREDITO</t>
        </is>
      </c>
      <c r="F1569" t="inlineStr">
        <is>
          <t>MONTERREY</t>
        </is>
      </c>
      <c r="G1569" t="n">
        <v>1471</v>
      </c>
      <c r="H1569" t="inlineStr">
        <is>
          <t>MARIA DE LA LUZ LEDEZMA GOMEZ</t>
        </is>
      </c>
      <c r="I1569" t="n">
        <v>9448</v>
      </c>
      <c r="J1569" t="inlineStr">
        <is>
          <t>SUBDIRECTOR DE ADMINISTRACION DE CREDITO</t>
        </is>
      </c>
      <c r="K1569" t="n">
        <v>1</v>
      </c>
      <c r="L1569" t="inlineStr">
        <is>
          <t>PRESIDENCIA EJECUTIVA DEL CONSEJO</t>
        </is>
      </c>
      <c r="M1569" t="n">
        <v>60</v>
      </c>
      <c r="N1569" t="inlineStr">
        <is>
          <t>DIRECCION RIESGOS</t>
        </is>
      </c>
      <c r="O1569" t="n">
        <v>460</v>
      </c>
      <c r="P1569" t="inlineStr">
        <is>
          <t>DIRECCION CREDITO</t>
        </is>
      </c>
      <c r="Q1569" t="n">
        <v>4610</v>
      </c>
      <c r="R1569" t="inlineStr">
        <is>
          <t>SUBDIRECCION ADMINISTRACION DE CREDITO</t>
        </is>
      </c>
      <c r="S1569" t="n">
        <v>46100</v>
      </c>
      <c r="T1569" t="inlineStr">
        <is>
          <t>SUBDIRECCION ADMINISTRACION DE CREDITO</t>
        </is>
      </c>
      <c r="U1569" t="n">
        <v>461000</v>
      </c>
      <c r="V1569" t="inlineStr">
        <is>
          <t>SUBDIRECCION ADMINISTRACION DE CREDITO</t>
        </is>
      </c>
      <c r="W1569" t="n">
        <v>100101</v>
      </c>
      <c r="X1569" t="inlineStr">
        <is>
          <t>CORPORATIVO</t>
        </is>
      </c>
      <c r="Y1569" t="n">
        <v>4</v>
      </c>
      <c r="Z1569" t="inlineStr">
        <is>
          <t>CORPORATIVO</t>
        </is>
      </c>
      <c r="AA1569" t="n">
        <v>1</v>
      </c>
      <c r="AB1569" t="inlineStr">
        <is>
          <t>NEGOCIO EN MARCHA</t>
        </is>
      </c>
      <c r="AC1569" t="n">
        <v>1</v>
      </c>
      <c r="AD1569" t="inlineStr">
        <is>
          <t>BANCO</t>
        </is>
      </c>
      <c r="AE1569" t="n">
        <v>1</v>
      </c>
      <c r="AF1569" t="inlineStr">
        <is>
          <t>BACK</t>
        </is>
      </c>
      <c r="AG1569" t="n">
        <v>100101</v>
      </c>
      <c r="AH1569" t="inlineStr">
        <is>
          <t>CORPORATIVO</t>
        </is>
      </c>
      <c r="AI1569" t="inlineStr">
        <is>
          <t>RFLORES@BANCOBASE.COM</t>
        </is>
      </c>
      <c r="AJ1569" s="151" t="n">
        <v>40634</v>
      </c>
    </row>
    <row r="1570" hidden="1" s="150">
      <c r="A1570" t="inlineStr">
        <is>
          <t>EGARCIALE</t>
        </is>
      </c>
      <c r="B1570" t="n">
        <v>2748</v>
      </c>
      <c r="C1570" t="inlineStr">
        <is>
          <t>ERICKA JUDITH LARISA GARCIA LEYVA</t>
        </is>
      </c>
      <c r="D1570" t="n">
        <v>8192</v>
      </c>
      <c r="E1570" t="inlineStr">
        <is>
          <t>ESPECIALISTA DE VERIFICACIONES</t>
        </is>
      </c>
      <c r="F1570" t="inlineStr">
        <is>
          <t>MONTERREY</t>
        </is>
      </c>
      <c r="G1570" t="n">
        <v>730</v>
      </c>
      <c r="H1570" t="inlineStr">
        <is>
          <t>RENE JAVIER FLORES MARIN</t>
        </is>
      </c>
      <c r="I1570" t="n">
        <v>8002</v>
      </c>
      <c r="J1570" t="inlineStr">
        <is>
          <t>GERENTE DE ADMINISTRACION DE CREDITO</t>
        </is>
      </c>
      <c r="K1570" t="n">
        <v>1</v>
      </c>
      <c r="L1570" t="inlineStr">
        <is>
          <t>PRESIDENCIA EJECUTIVA DEL CONSEJO</t>
        </is>
      </c>
      <c r="M1570" t="n">
        <v>60</v>
      </c>
      <c r="N1570" t="inlineStr">
        <is>
          <t>DIRECCION RIESGOS</t>
        </is>
      </c>
      <c r="O1570" t="n">
        <v>460</v>
      </c>
      <c r="P1570" t="inlineStr">
        <is>
          <t>DIRECCION CREDITO</t>
        </is>
      </c>
      <c r="Q1570" t="n">
        <v>4610</v>
      </c>
      <c r="R1570" t="inlineStr">
        <is>
          <t>SUBDIRECCION ADMINISTRACION DE CREDITO</t>
        </is>
      </c>
      <c r="S1570" t="n">
        <v>46100</v>
      </c>
      <c r="T1570" t="inlineStr">
        <is>
          <t>SUBDIRECCION ADMINISTRACION DE CREDITO</t>
        </is>
      </c>
      <c r="U1570" t="n">
        <v>461000</v>
      </c>
      <c r="V1570" t="inlineStr">
        <is>
          <t>SUBDIRECCION ADMINISTRACION DE CREDITO</t>
        </is>
      </c>
      <c r="W1570" t="n">
        <v>100101</v>
      </c>
      <c r="X1570" t="inlineStr">
        <is>
          <t>CORPORATIVO</t>
        </is>
      </c>
      <c r="Y1570" t="n">
        <v>4</v>
      </c>
      <c r="Z1570" t="inlineStr">
        <is>
          <t>CORPORATIVO</t>
        </is>
      </c>
      <c r="AA1570" t="n">
        <v>1</v>
      </c>
      <c r="AB1570" t="inlineStr">
        <is>
          <t>NEGOCIO EN MARCHA</t>
        </is>
      </c>
      <c r="AC1570" t="n">
        <v>1</v>
      </c>
      <c r="AD1570" t="inlineStr">
        <is>
          <t>BANCO</t>
        </is>
      </c>
      <c r="AE1570" t="n">
        <v>1</v>
      </c>
      <c r="AF1570" t="inlineStr">
        <is>
          <t>BACK</t>
        </is>
      </c>
      <c r="AG1570" t="n">
        <v>100101</v>
      </c>
      <c r="AH1570" t="inlineStr">
        <is>
          <t>CORPORATIVO</t>
        </is>
      </c>
      <c r="AI1570" t="inlineStr">
        <is>
          <t>EGARCIALE@BANCOBASE.COM</t>
        </is>
      </c>
      <c r="AJ1570" s="151" t="n">
        <v>44839</v>
      </c>
    </row>
    <row r="1571" hidden="1" s="150">
      <c r="A1571" t="inlineStr">
        <is>
          <t>JRAMON</t>
        </is>
      </c>
      <c r="B1571" t="n">
        <v>3851</v>
      </c>
      <c r="C1571" t="inlineStr">
        <is>
          <t>JOSE SERGIO RAMON GONZALEZ</t>
        </is>
      </c>
      <c r="D1571" t="n">
        <v>9045</v>
      </c>
      <c r="E1571" t="inlineStr">
        <is>
          <t>ANALISTA ADMINISTRACION DE CREDITO</t>
        </is>
      </c>
      <c r="F1571" t="inlineStr">
        <is>
          <t>MONTERREY</t>
        </is>
      </c>
      <c r="G1571" t="n">
        <v>730</v>
      </c>
      <c r="H1571" t="inlineStr">
        <is>
          <t>RENE JAVIER FLORES MARIN</t>
        </is>
      </c>
      <c r="I1571" t="n">
        <v>8002</v>
      </c>
      <c r="J1571" t="inlineStr">
        <is>
          <t>GERENTE DE ADMINISTRACION DE CREDITO</t>
        </is>
      </c>
      <c r="K1571" t="n">
        <v>1</v>
      </c>
      <c r="L1571" t="inlineStr">
        <is>
          <t>PRESIDENCIA EJECUTIVA DEL CONSEJO</t>
        </is>
      </c>
      <c r="M1571" t="n">
        <v>60</v>
      </c>
      <c r="N1571" t="inlineStr">
        <is>
          <t>DIRECCION RIESGOS</t>
        </is>
      </c>
      <c r="O1571" t="n">
        <v>460</v>
      </c>
      <c r="P1571" t="inlineStr">
        <is>
          <t>DIRECCION CREDITO</t>
        </is>
      </c>
      <c r="Q1571" t="n">
        <v>4610</v>
      </c>
      <c r="R1571" t="inlineStr">
        <is>
          <t>SUBDIRECCION ADMINISTRACION DE CREDITO</t>
        </is>
      </c>
      <c r="S1571" t="n">
        <v>46100</v>
      </c>
      <c r="T1571" t="inlineStr">
        <is>
          <t>SUBDIRECCION ADMINISTRACION DE CREDITO</t>
        </is>
      </c>
      <c r="U1571" t="n">
        <v>461000</v>
      </c>
      <c r="V1571" t="inlineStr">
        <is>
          <t>SUBDIRECCION ADMINISTRACION DE CREDITO</t>
        </is>
      </c>
      <c r="W1571" t="n">
        <v>100101</v>
      </c>
      <c r="X1571" t="inlineStr">
        <is>
          <t>CORPORATIVO</t>
        </is>
      </c>
      <c r="Y1571" t="n">
        <v>4</v>
      </c>
      <c r="Z1571" t="inlineStr">
        <is>
          <t>CORPORATIVO</t>
        </is>
      </c>
      <c r="AA1571" t="n">
        <v>1</v>
      </c>
      <c r="AB1571" t="inlineStr">
        <is>
          <t>NEGOCIO EN MARCHA</t>
        </is>
      </c>
      <c r="AC1571" t="n">
        <v>1</v>
      </c>
      <c r="AD1571" t="inlineStr">
        <is>
          <t>BANCO</t>
        </is>
      </c>
      <c r="AE1571" t="n">
        <v>1</v>
      </c>
      <c r="AF1571" t="inlineStr">
        <is>
          <t>BACK</t>
        </is>
      </c>
      <c r="AG1571" t="n">
        <v>100101</v>
      </c>
      <c r="AH1571" t="inlineStr">
        <is>
          <t>CORPORATIVO</t>
        </is>
      </c>
      <c r="AI1571" t="inlineStr">
        <is>
          <t>JRAMON@BANCOBASE.COM</t>
        </is>
      </c>
      <c r="AJ1571" s="151" t="n">
        <v>46146</v>
      </c>
    </row>
    <row r="1572" hidden="1" s="150">
      <c r="A1572" t="inlineStr">
        <is>
          <t>DMORALES</t>
        </is>
      </c>
      <c r="B1572" t="n">
        <v>1675</v>
      </c>
      <c r="C1572" t="inlineStr">
        <is>
          <t>DIEGO ARMANDO MORALES DE LUNA</t>
        </is>
      </c>
      <c r="D1572" t="n">
        <v>8193</v>
      </c>
      <c r="E1572" t="inlineStr">
        <is>
          <t>ESPECIALISTA DE SEGUIMIENTO Y CONTROL DE CARTERA</t>
        </is>
      </c>
      <c r="F1572" t="inlineStr">
        <is>
          <t>MONTERREY</t>
        </is>
      </c>
      <c r="G1572" t="n">
        <v>1471</v>
      </c>
      <c r="H1572" t="inlineStr">
        <is>
          <t>MARIA DE LA LUZ LEDEZMA GOMEZ</t>
        </is>
      </c>
      <c r="I1572" t="n">
        <v>9448</v>
      </c>
      <c r="J1572" t="inlineStr">
        <is>
          <t>SUBDIRECTOR DE ADMINISTRACION DE CREDITO</t>
        </is>
      </c>
      <c r="K1572" t="n">
        <v>1</v>
      </c>
      <c r="L1572" t="inlineStr">
        <is>
          <t>PRESIDENCIA EJECUTIVA DEL CONSEJO</t>
        </is>
      </c>
      <c r="M1572" t="n">
        <v>60</v>
      </c>
      <c r="N1572" t="inlineStr">
        <is>
          <t>DIRECCION RIESGOS</t>
        </is>
      </c>
      <c r="O1572" t="n">
        <v>460</v>
      </c>
      <c r="P1572" t="inlineStr">
        <is>
          <t>DIRECCION CREDITO</t>
        </is>
      </c>
      <c r="Q1572" t="n">
        <v>4610</v>
      </c>
      <c r="R1572" t="inlineStr">
        <is>
          <t>SUBDIRECCION ADMINISTRACION DE CREDITO</t>
        </is>
      </c>
      <c r="S1572" t="n">
        <v>46100</v>
      </c>
      <c r="T1572" t="inlineStr">
        <is>
          <t>SUBDIRECCION ADMINISTRACION DE CREDITO</t>
        </is>
      </c>
      <c r="U1572" t="n">
        <v>461000</v>
      </c>
      <c r="V1572" t="inlineStr">
        <is>
          <t>SUBDIRECCION ADMINISTRACION DE CREDITO</t>
        </is>
      </c>
      <c r="W1572" t="n">
        <v>100101</v>
      </c>
      <c r="X1572" t="inlineStr">
        <is>
          <t>CORPORATIVO</t>
        </is>
      </c>
      <c r="Y1572" t="n">
        <v>4</v>
      </c>
      <c r="Z1572" t="inlineStr">
        <is>
          <t>CORPORATIVO</t>
        </is>
      </c>
      <c r="AA1572" t="n">
        <v>1</v>
      </c>
      <c r="AB1572" t="inlineStr">
        <is>
          <t>NEGOCIO EN MARCHA</t>
        </is>
      </c>
      <c r="AC1572" t="n">
        <v>1</v>
      </c>
      <c r="AD1572" t="inlineStr">
        <is>
          <t>BANCO</t>
        </is>
      </c>
      <c r="AE1572" t="n">
        <v>1</v>
      </c>
      <c r="AF1572" t="inlineStr">
        <is>
          <t>BACK</t>
        </is>
      </c>
      <c r="AG1572" t="n">
        <v>100101</v>
      </c>
      <c r="AH1572" t="inlineStr">
        <is>
          <t>CORPORATIVO</t>
        </is>
      </c>
      <c r="AI1572" t="inlineStr">
        <is>
          <t>DMORALES@BANCOBASE.COM</t>
        </is>
      </c>
      <c r="AJ1572" s="151" t="n">
        <v>42717</v>
      </c>
    </row>
    <row r="1573" hidden="1" s="150">
      <c r="A1573" t="inlineStr">
        <is>
          <t>BPEREZ</t>
        </is>
      </c>
      <c r="B1573" t="n">
        <v>1604</v>
      </c>
      <c r="C1573" t="inlineStr">
        <is>
          <t>BENITO ANTONIO PEREZ MORALES</t>
        </is>
      </c>
      <c r="D1573" t="n">
        <v>8190</v>
      </c>
      <c r="E1573" t="inlineStr">
        <is>
          <t>COORDINADOR DE SEGUIMIENTO Y FONDOS DE FOMENTO</t>
        </is>
      </c>
      <c r="F1573" t="inlineStr">
        <is>
          <t>MONTERREY</t>
        </is>
      </c>
      <c r="G1573" t="n">
        <v>1471</v>
      </c>
      <c r="H1573" t="inlineStr">
        <is>
          <t>MARIA DE LA LUZ LEDEZMA GOMEZ</t>
        </is>
      </c>
      <c r="I1573" t="n">
        <v>9448</v>
      </c>
      <c r="J1573" t="inlineStr">
        <is>
          <t>SUBDIRECTOR DE ADMINISTRACION DE CREDITO</t>
        </is>
      </c>
      <c r="K1573" t="n">
        <v>1</v>
      </c>
      <c r="L1573" t="inlineStr">
        <is>
          <t>PRESIDENCIA EJECUTIVA DEL CONSEJO</t>
        </is>
      </c>
      <c r="M1573" t="n">
        <v>60</v>
      </c>
      <c r="N1573" t="inlineStr">
        <is>
          <t>DIRECCION RIESGOS</t>
        </is>
      </c>
      <c r="O1573" t="n">
        <v>460</v>
      </c>
      <c r="P1573" t="inlineStr">
        <is>
          <t>DIRECCION CREDITO</t>
        </is>
      </c>
      <c r="Q1573" t="n">
        <v>4610</v>
      </c>
      <c r="R1573" t="inlineStr">
        <is>
          <t>SUBDIRECCION ADMINISTRACION DE CREDITO</t>
        </is>
      </c>
      <c r="S1573" t="n">
        <v>46100</v>
      </c>
      <c r="T1573" t="inlineStr">
        <is>
          <t>SUBDIRECCION ADMINISTRACION DE CREDITO</t>
        </is>
      </c>
      <c r="U1573" t="n">
        <v>461000</v>
      </c>
      <c r="V1573" t="inlineStr">
        <is>
          <t>SUBDIRECCION ADMINISTRACION DE CREDITO</t>
        </is>
      </c>
      <c r="W1573" t="n">
        <v>100101</v>
      </c>
      <c r="X1573" t="inlineStr">
        <is>
          <t>CORPORATIVO</t>
        </is>
      </c>
      <c r="Y1573" t="n">
        <v>4</v>
      </c>
      <c r="Z1573" t="inlineStr">
        <is>
          <t>CORPORATIVO</t>
        </is>
      </c>
      <c r="AA1573" t="n">
        <v>1</v>
      </c>
      <c r="AB1573" t="inlineStr">
        <is>
          <t>NEGOCIO EN MARCHA</t>
        </is>
      </c>
      <c r="AC1573" t="n">
        <v>1</v>
      </c>
      <c r="AD1573" t="inlineStr">
        <is>
          <t>BANCO</t>
        </is>
      </c>
      <c r="AE1573" t="n">
        <v>1</v>
      </c>
      <c r="AF1573" t="inlineStr">
        <is>
          <t>BACK</t>
        </is>
      </c>
      <c r="AG1573" t="n">
        <v>100101</v>
      </c>
      <c r="AH1573" t="inlineStr">
        <is>
          <t>CORPORATIVO</t>
        </is>
      </c>
      <c r="AI1573" t="inlineStr">
        <is>
          <t>BPEREZ@BANCOBASE.COM</t>
        </is>
      </c>
      <c r="AJ1573" s="151" t="n">
        <v>42590</v>
      </c>
    </row>
    <row r="1574" hidden="1" s="150">
      <c r="A1574" t="inlineStr">
        <is>
          <t>AGOMEZF</t>
        </is>
      </c>
      <c r="B1574" t="n">
        <v>3338</v>
      </c>
      <c r="C1574" t="inlineStr">
        <is>
          <t>ANA SOFIA GOMEZ FLORES</t>
        </is>
      </c>
      <c r="D1574" t="n">
        <v>8444</v>
      </c>
      <c r="E1574" t="inlineStr">
        <is>
          <t>ANALISTA DE SEGUIMIENTO Y FONDOS DE FOMENTO</t>
        </is>
      </c>
      <c r="F1574" t="inlineStr">
        <is>
          <t>MONTERREY</t>
        </is>
      </c>
      <c r="G1574" t="n">
        <v>1604</v>
      </c>
      <c r="H1574" t="inlineStr">
        <is>
          <t>BENITO ANTONIO PEREZ MORALES</t>
        </is>
      </c>
      <c r="I1574" t="n">
        <v>8190</v>
      </c>
      <c r="J1574" t="inlineStr">
        <is>
          <t>COORDINADOR DE SEGUIMIENTO Y FONDOS DE FOMENTO</t>
        </is>
      </c>
      <c r="K1574" t="n">
        <v>1</v>
      </c>
      <c r="L1574" t="inlineStr">
        <is>
          <t>PRESIDENCIA EJECUTIVA DEL CONSEJO</t>
        </is>
      </c>
      <c r="M1574" t="n">
        <v>60</v>
      </c>
      <c r="N1574" t="inlineStr">
        <is>
          <t>DIRECCION RIESGOS</t>
        </is>
      </c>
      <c r="O1574" t="n">
        <v>460</v>
      </c>
      <c r="P1574" t="inlineStr">
        <is>
          <t>DIRECCION CREDITO</t>
        </is>
      </c>
      <c r="Q1574" t="n">
        <v>4610</v>
      </c>
      <c r="R1574" t="inlineStr">
        <is>
          <t>SUBDIRECCION ADMINISTRACION DE CREDITO</t>
        </is>
      </c>
      <c r="S1574" t="n">
        <v>46100</v>
      </c>
      <c r="T1574" t="inlineStr">
        <is>
          <t>SUBDIRECCION ADMINISTRACION DE CREDITO</t>
        </is>
      </c>
      <c r="U1574" t="n">
        <v>461000</v>
      </c>
      <c r="V1574" t="inlineStr">
        <is>
          <t>SUBDIRECCION ADMINISTRACION DE CREDITO</t>
        </is>
      </c>
      <c r="W1574" t="n">
        <v>100101</v>
      </c>
      <c r="X1574" t="inlineStr">
        <is>
          <t>CORPORATIVO</t>
        </is>
      </c>
      <c r="Y1574" t="n">
        <v>4</v>
      </c>
      <c r="Z1574" t="inlineStr">
        <is>
          <t>CORPORATIVO</t>
        </is>
      </c>
      <c r="AA1574" t="n">
        <v>1</v>
      </c>
      <c r="AB1574" t="inlineStr">
        <is>
          <t>NEGOCIO EN MARCHA</t>
        </is>
      </c>
      <c r="AC1574" t="n">
        <v>1</v>
      </c>
      <c r="AD1574" t="inlineStr">
        <is>
          <t>BANCO</t>
        </is>
      </c>
      <c r="AE1574" t="n">
        <v>1</v>
      </c>
      <c r="AF1574" t="inlineStr">
        <is>
          <t>BACK</t>
        </is>
      </c>
      <c r="AG1574" t="n">
        <v>100101</v>
      </c>
      <c r="AH1574" t="inlineStr">
        <is>
          <t>CORPORATIVO</t>
        </is>
      </c>
      <c r="AI1574" t="inlineStr">
        <is>
          <t>AGOMEZF@BANCOBASE.COM</t>
        </is>
      </c>
      <c r="AJ1574" s="151" t="n">
        <v>45705</v>
      </c>
    </row>
    <row r="1575" hidden="1" s="150">
      <c r="A1575" t="inlineStr">
        <is>
          <t>RCERDA</t>
        </is>
      </c>
      <c r="B1575" t="n">
        <v>1394</v>
      </c>
      <c r="C1575" t="inlineStr">
        <is>
          <t>ROCIO ELIZABETH CERDA HERRERA</t>
        </is>
      </c>
      <c r="D1575" t="n">
        <v>8194</v>
      </c>
      <c r="E1575" t="inlineStr">
        <is>
          <t>COORDINADOR DE SEGUIMIENTO Y GARANTIAS</t>
        </is>
      </c>
      <c r="F1575" t="inlineStr">
        <is>
          <t>MONTERREY</t>
        </is>
      </c>
      <c r="G1575" t="n">
        <v>1471</v>
      </c>
      <c r="H1575" t="inlineStr">
        <is>
          <t>MARIA DE LA LUZ LEDEZMA GOMEZ</t>
        </is>
      </c>
      <c r="I1575" t="n">
        <v>9448</v>
      </c>
      <c r="J1575" t="inlineStr">
        <is>
          <t>SUBDIRECTOR DE ADMINISTRACION DE CREDITO</t>
        </is>
      </c>
      <c r="K1575" t="n">
        <v>1</v>
      </c>
      <c r="L1575" t="inlineStr">
        <is>
          <t>PRESIDENCIA EJECUTIVA DEL CONSEJO</t>
        </is>
      </c>
      <c r="M1575" t="n">
        <v>60</v>
      </c>
      <c r="N1575" t="inlineStr">
        <is>
          <t>DIRECCION RIESGOS</t>
        </is>
      </c>
      <c r="O1575" t="n">
        <v>460</v>
      </c>
      <c r="P1575" t="inlineStr">
        <is>
          <t>DIRECCION CREDITO</t>
        </is>
      </c>
      <c r="Q1575" t="n">
        <v>4610</v>
      </c>
      <c r="R1575" t="inlineStr">
        <is>
          <t>SUBDIRECCION ADMINISTRACION DE CREDITO</t>
        </is>
      </c>
      <c r="S1575" t="n">
        <v>46100</v>
      </c>
      <c r="T1575" t="inlineStr">
        <is>
          <t>SUBDIRECCION ADMINISTRACION DE CREDITO</t>
        </is>
      </c>
      <c r="U1575" t="n">
        <v>461000</v>
      </c>
      <c r="V1575" t="inlineStr">
        <is>
          <t>SUBDIRECCION ADMINISTRACION DE CREDITO</t>
        </is>
      </c>
      <c r="W1575" t="n">
        <v>100101</v>
      </c>
      <c r="X1575" t="inlineStr">
        <is>
          <t>CORPORATIVO</t>
        </is>
      </c>
      <c r="Y1575" t="n">
        <v>4</v>
      </c>
      <c r="Z1575" t="inlineStr">
        <is>
          <t>CORPORATIVO</t>
        </is>
      </c>
      <c r="AA1575" t="n">
        <v>1</v>
      </c>
      <c r="AB1575" t="inlineStr">
        <is>
          <t>NEGOCIO EN MARCHA</t>
        </is>
      </c>
      <c r="AC1575" t="n">
        <v>1</v>
      </c>
      <c r="AD1575" t="inlineStr">
        <is>
          <t>BANCO</t>
        </is>
      </c>
      <c r="AE1575" t="n">
        <v>1</v>
      </c>
      <c r="AF1575" t="inlineStr">
        <is>
          <t>BACK</t>
        </is>
      </c>
      <c r="AG1575" t="n">
        <v>100101</v>
      </c>
      <c r="AH1575" t="inlineStr">
        <is>
          <t>CORPORATIVO</t>
        </is>
      </c>
      <c r="AI1575" t="inlineStr">
        <is>
          <t>RCERDA@BANCOBASE.COM</t>
        </is>
      </c>
      <c r="AJ1575" s="151" t="n">
        <v>42312</v>
      </c>
    </row>
    <row r="1576" hidden="1" s="150">
      <c r="A1576" t="inlineStr">
        <is>
          <t>CZERTUCHE</t>
        </is>
      </c>
      <c r="B1576" t="n">
        <v>3341</v>
      </c>
      <c r="C1576" t="inlineStr">
        <is>
          <t>CECILIA ZERTUCHE PEREZ</t>
        </is>
      </c>
      <c r="D1576" t="n">
        <v>8649</v>
      </c>
      <c r="E1576" t="inlineStr">
        <is>
          <t>ANALISTA DE SEGUIMIENTO Y GARANTIAS</t>
        </is>
      </c>
      <c r="F1576" t="inlineStr">
        <is>
          <t>MONTERREY</t>
        </is>
      </c>
      <c r="G1576" t="n">
        <v>1394</v>
      </c>
      <c r="H1576" t="inlineStr">
        <is>
          <t>ROCIO ELIZABETH CERDA HERRERA</t>
        </is>
      </c>
      <c r="I1576" t="n">
        <v>8194</v>
      </c>
      <c r="J1576" t="inlineStr">
        <is>
          <t>COORDINADOR DE SEGUIMIENTO Y GARANTIAS</t>
        </is>
      </c>
      <c r="K1576" t="n">
        <v>1</v>
      </c>
      <c r="L1576" t="inlineStr">
        <is>
          <t>PRESIDENCIA EJECUTIVA DEL CONSEJO</t>
        </is>
      </c>
      <c r="M1576" t="n">
        <v>60</v>
      </c>
      <c r="N1576" t="inlineStr">
        <is>
          <t>DIRECCION RIESGOS</t>
        </is>
      </c>
      <c r="O1576" t="n">
        <v>460</v>
      </c>
      <c r="P1576" t="inlineStr">
        <is>
          <t>DIRECCION CREDITO</t>
        </is>
      </c>
      <c r="Q1576" t="n">
        <v>4610</v>
      </c>
      <c r="R1576" t="inlineStr">
        <is>
          <t>SUBDIRECCION ADMINISTRACION DE CREDITO</t>
        </is>
      </c>
      <c r="S1576" t="n">
        <v>46100</v>
      </c>
      <c r="T1576" t="inlineStr">
        <is>
          <t>SUBDIRECCION ADMINISTRACION DE CREDITO</t>
        </is>
      </c>
      <c r="U1576" t="n">
        <v>461000</v>
      </c>
      <c r="V1576" t="inlineStr">
        <is>
          <t>SUBDIRECCION ADMINISTRACION DE CREDITO</t>
        </is>
      </c>
      <c r="W1576" t="n">
        <v>100101</v>
      </c>
      <c r="X1576" t="inlineStr">
        <is>
          <t>CORPORATIVO</t>
        </is>
      </c>
      <c r="Y1576" t="n">
        <v>4</v>
      </c>
      <c r="Z1576" t="inlineStr">
        <is>
          <t>CORPORATIVO</t>
        </is>
      </c>
      <c r="AA1576" t="n">
        <v>1</v>
      </c>
      <c r="AB1576" t="inlineStr">
        <is>
          <t>NEGOCIO EN MARCHA</t>
        </is>
      </c>
      <c r="AC1576" t="n">
        <v>1</v>
      </c>
      <c r="AD1576" t="inlineStr">
        <is>
          <t>BANCO</t>
        </is>
      </c>
      <c r="AE1576" t="n">
        <v>1</v>
      </c>
      <c r="AF1576" t="inlineStr">
        <is>
          <t>BACK</t>
        </is>
      </c>
      <c r="AG1576" t="n">
        <v>100101</v>
      </c>
      <c r="AH1576" t="inlineStr">
        <is>
          <t>CORPORATIVO</t>
        </is>
      </c>
      <c r="AI1576" t="inlineStr">
        <is>
          <t>CZERTUCHE@BANCOBASE.COM</t>
        </is>
      </c>
      <c r="AJ1576" s="151" t="n">
        <v>45705</v>
      </c>
    </row>
    <row r="1577" hidden="1" s="150">
      <c r="A1577" t="inlineStr">
        <is>
          <t>ECORONADO</t>
        </is>
      </c>
      <c r="B1577" t="n">
        <v>1783</v>
      </c>
      <c r="C1577" t="inlineStr">
        <is>
          <t>EMMANUEL CORONADO MUÑOZ</t>
        </is>
      </c>
      <c r="D1577" t="n">
        <v>8191</v>
      </c>
      <c r="E1577" t="inlineStr">
        <is>
          <t>GERENTE DE SEGUIMIENTO Y CONTROL DE INFORMACION</t>
        </is>
      </c>
      <c r="F1577" t="inlineStr">
        <is>
          <t>MONTERREY</t>
        </is>
      </c>
      <c r="G1577" t="n">
        <v>1471</v>
      </c>
      <c r="H1577" t="inlineStr">
        <is>
          <t>MARIA DE LA LUZ LEDEZMA GOMEZ</t>
        </is>
      </c>
      <c r="I1577" t="n">
        <v>9448</v>
      </c>
      <c r="J1577" t="inlineStr">
        <is>
          <t>SUBDIRECTOR DE ADMINISTRACION DE CREDITO</t>
        </is>
      </c>
      <c r="K1577" t="n">
        <v>1</v>
      </c>
      <c r="L1577" t="inlineStr">
        <is>
          <t>PRESIDENCIA EJECUTIVA DEL CONSEJO</t>
        </is>
      </c>
      <c r="M1577" t="n">
        <v>60</v>
      </c>
      <c r="N1577" t="inlineStr">
        <is>
          <t>DIRECCION RIESGOS</t>
        </is>
      </c>
      <c r="O1577" t="n">
        <v>460</v>
      </c>
      <c r="P1577" t="inlineStr">
        <is>
          <t>DIRECCION CREDITO</t>
        </is>
      </c>
      <c r="Q1577" t="n">
        <v>4610</v>
      </c>
      <c r="R1577" t="inlineStr">
        <is>
          <t>SUBDIRECCION ADMINISTRACION DE CREDITO</t>
        </is>
      </c>
      <c r="S1577" t="n">
        <v>46120</v>
      </c>
      <c r="T1577" t="inlineStr">
        <is>
          <t>GERENCIA DE SEGUIMIENTO DE CREDITO</t>
        </is>
      </c>
      <c r="U1577" t="n">
        <v>461200</v>
      </c>
      <c r="V1577" t="inlineStr">
        <is>
          <t>GERENCIA DE SEGUIMIENTO DE CREDITO</t>
        </is>
      </c>
      <c r="W1577" t="n">
        <v>100101</v>
      </c>
      <c r="X1577" t="inlineStr">
        <is>
          <t>CORPORATIVO</t>
        </is>
      </c>
      <c r="Y1577" t="n">
        <v>4</v>
      </c>
      <c r="Z1577" t="inlineStr">
        <is>
          <t>CORPORATIVO</t>
        </is>
      </c>
      <c r="AA1577" t="n">
        <v>1</v>
      </c>
      <c r="AB1577" t="inlineStr">
        <is>
          <t>NEGOCIO EN MARCHA</t>
        </is>
      </c>
      <c r="AC1577" t="n">
        <v>1</v>
      </c>
      <c r="AD1577" t="inlineStr">
        <is>
          <t>BANCO</t>
        </is>
      </c>
      <c r="AE1577" t="n">
        <v>1</v>
      </c>
      <c r="AF1577" t="inlineStr">
        <is>
          <t>BACK</t>
        </is>
      </c>
      <c r="AG1577" t="n">
        <v>100101</v>
      </c>
      <c r="AH1577" t="inlineStr">
        <is>
          <t>CORPORATIVO</t>
        </is>
      </c>
      <c r="AI1577" t="inlineStr">
        <is>
          <t>ECORONADO@BANCOBASE.COM</t>
        </is>
      </c>
      <c r="AJ1577" s="151" t="n">
        <v>42912</v>
      </c>
    </row>
    <row r="1578" hidden="1" s="150">
      <c r="A1578" t="inlineStr">
        <is>
          <t>LGALVEZ</t>
        </is>
      </c>
      <c r="B1578" t="n">
        <v>2792</v>
      </c>
      <c r="C1578" t="inlineStr">
        <is>
          <t>LUIS DANIEL GALVEZ ROSALES</t>
        </is>
      </c>
      <c r="D1578" t="n">
        <v>10070</v>
      </c>
      <c r="E1578" t="inlineStr">
        <is>
          <t>ANALISTA SEGUIMIENTO DE CREDITO</t>
        </is>
      </c>
      <c r="F1578" t="inlineStr">
        <is>
          <t>MONTERREY</t>
        </is>
      </c>
      <c r="G1578" t="n">
        <v>1783</v>
      </c>
      <c r="H1578" t="inlineStr">
        <is>
          <t>EMMANUEL CORONADO MUÑOZ</t>
        </is>
      </c>
      <c r="I1578" t="n">
        <v>8191</v>
      </c>
      <c r="J1578" t="inlineStr">
        <is>
          <t>GERENTE DE SEGUIMIENTO Y CONTROL DE INFORMACION</t>
        </is>
      </c>
      <c r="K1578" t="n">
        <v>1</v>
      </c>
      <c r="L1578" t="inlineStr">
        <is>
          <t>PRESIDENCIA EJECUTIVA DEL CONSEJO</t>
        </is>
      </c>
      <c r="M1578" t="n">
        <v>60</v>
      </c>
      <c r="N1578" t="inlineStr">
        <is>
          <t>DIRECCION RIESGOS</t>
        </is>
      </c>
      <c r="O1578" t="n">
        <v>460</v>
      </c>
      <c r="P1578" t="inlineStr">
        <is>
          <t>DIRECCION CREDITO</t>
        </is>
      </c>
      <c r="Q1578" t="n">
        <v>4610</v>
      </c>
      <c r="R1578" t="inlineStr">
        <is>
          <t>SUBDIRECCION ADMINISTRACION DE CREDITO</t>
        </is>
      </c>
      <c r="S1578" t="n">
        <v>46120</v>
      </c>
      <c r="T1578" t="inlineStr">
        <is>
          <t>GERENCIA DE SEGUIMIENTO DE CREDITO</t>
        </is>
      </c>
      <c r="U1578" t="n">
        <v>461200</v>
      </c>
      <c r="V1578" t="inlineStr">
        <is>
          <t>GERENCIA DE SEGUIMIENTO DE CREDITO</t>
        </is>
      </c>
      <c r="W1578" t="n">
        <v>100101</v>
      </c>
      <c r="X1578" t="inlineStr">
        <is>
          <t>CORPORATIVO</t>
        </is>
      </c>
      <c r="Y1578" t="n">
        <v>4</v>
      </c>
      <c r="Z1578" t="inlineStr">
        <is>
          <t>CORPORATIVO</t>
        </is>
      </c>
      <c r="AA1578" t="n">
        <v>1</v>
      </c>
      <c r="AB1578" t="inlineStr">
        <is>
          <t>NEGOCIO EN MARCHA</t>
        </is>
      </c>
      <c r="AC1578" t="n">
        <v>1</v>
      </c>
      <c r="AD1578" t="inlineStr">
        <is>
          <t>BANCO</t>
        </is>
      </c>
      <c r="AE1578" t="n">
        <v>1</v>
      </c>
      <c r="AF1578" t="inlineStr">
        <is>
          <t>BACK</t>
        </is>
      </c>
      <c r="AG1578" t="n">
        <v>100101</v>
      </c>
      <c r="AH1578" t="inlineStr">
        <is>
          <t>CORPORATIVO</t>
        </is>
      </c>
      <c r="AI1578" t="inlineStr">
        <is>
          <t>LGALVEZ@BANCOBASE.COM</t>
        </is>
      </c>
      <c r="AJ1578" s="151" t="n">
        <v>44896</v>
      </c>
    </row>
    <row r="1579" hidden="1" s="150">
      <c r="A1579" t="inlineStr">
        <is>
          <t>LMARTINEZG</t>
        </is>
      </c>
      <c r="B1579" t="n">
        <v>3350</v>
      </c>
      <c r="C1579" t="inlineStr">
        <is>
          <t>LUIS ENRIQUE MARTINEZ GALVAN</t>
        </is>
      </c>
      <c r="D1579" t="n">
        <v>8393</v>
      </c>
      <c r="E1579" t="inlineStr">
        <is>
          <t>ANALISTA DE SEGUIMIENTO Y CONTROL DE INFORMACION</t>
        </is>
      </c>
      <c r="F1579" t="inlineStr">
        <is>
          <t>MONTERREY</t>
        </is>
      </c>
      <c r="G1579" t="n">
        <v>1783</v>
      </c>
      <c r="H1579" t="inlineStr">
        <is>
          <t>EMMANUEL CORONADO MUÑOZ</t>
        </is>
      </c>
      <c r="I1579" t="n">
        <v>8191</v>
      </c>
      <c r="J1579" t="inlineStr">
        <is>
          <t>GERENTE DE SEGUIMIENTO Y CONTROL DE INFORMACION</t>
        </is>
      </c>
      <c r="K1579" t="n">
        <v>1</v>
      </c>
      <c r="L1579" t="inlineStr">
        <is>
          <t>PRESIDENCIA EJECUTIVA DEL CONSEJO</t>
        </is>
      </c>
      <c r="M1579" t="n">
        <v>60</v>
      </c>
      <c r="N1579" t="inlineStr">
        <is>
          <t>DIRECCION RIESGOS</t>
        </is>
      </c>
      <c r="O1579" t="n">
        <v>460</v>
      </c>
      <c r="P1579" t="inlineStr">
        <is>
          <t>DIRECCION CREDITO</t>
        </is>
      </c>
      <c r="Q1579" t="n">
        <v>4610</v>
      </c>
      <c r="R1579" t="inlineStr">
        <is>
          <t>SUBDIRECCION ADMINISTRACION DE CREDITO</t>
        </is>
      </c>
      <c r="S1579" t="n">
        <v>46120</v>
      </c>
      <c r="T1579" t="inlineStr">
        <is>
          <t>GERENCIA DE SEGUIMIENTO DE CREDITO</t>
        </is>
      </c>
      <c r="U1579" t="n">
        <v>461200</v>
      </c>
      <c r="V1579" t="inlineStr">
        <is>
          <t>GERENCIA DE SEGUIMIENTO DE CREDITO</t>
        </is>
      </c>
      <c r="W1579" t="n">
        <v>100101</v>
      </c>
      <c r="X1579" t="inlineStr">
        <is>
          <t>CORPORATIVO</t>
        </is>
      </c>
      <c r="Y1579" t="n">
        <v>4</v>
      </c>
      <c r="Z1579" t="inlineStr">
        <is>
          <t>CORPORATIVO</t>
        </is>
      </c>
      <c r="AA1579" t="n">
        <v>1</v>
      </c>
      <c r="AB1579" t="inlineStr">
        <is>
          <t>NEGOCIO EN MARCHA</t>
        </is>
      </c>
      <c r="AC1579" t="n">
        <v>1</v>
      </c>
      <c r="AD1579" t="inlineStr">
        <is>
          <t>BANCO</t>
        </is>
      </c>
      <c r="AE1579" t="n">
        <v>1</v>
      </c>
      <c r="AF1579" t="inlineStr">
        <is>
          <t>BACK</t>
        </is>
      </c>
      <c r="AG1579" t="n">
        <v>100101</v>
      </c>
      <c r="AH1579" t="inlineStr">
        <is>
          <t>CORPORATIVO</t>
        </is>
      </c>
      <c r="AI1579" t="inlineStr">
        <is>
          <t>LMARTINEZG@BANCOBASE.COM</t>
        </is>
      </c>
      <c r="AJ1579" s="151" t="n">
        <v>45719</v>
      </c>
    </row>
    <row r="1580" hidden="1" s="150">
      <c r="A1580" t="inlineStr">
        <is>
          <t>GTEJEDA</t>
        </is>
      </c>
      <c r="B1580" t="n">
        <v>1780</v>
      </c>
      <c r="C1580" t="inlineStr">
        <is>
          <t>GERARDO MANUEL TEJEDA CRUZ</t>
        </is>
      </c>
      <c r="D1580" t="n">
        <v>10203</v>
      </c>
      <c r="E1580" t="inlineStr">
        <is>
          <t>GERENTE DE MONITOREO DE SOLICITUDES DE FINANCIAMIENTO</t>
        </is>
      </c>
      <c r="F1580" t="inlineStr">
        <is>
          <t>MONTERREY</t>
        </is>
      </c>
      <c r="G1580" t="n">
        <v>1471</v>
      </c>
      <c r="H1580" t="inlineStr">
        <is>
          <t>MARIA DE LA LUZ LEDEZMA GOMEZ</t>
        </is>
      </c>
      <c r="I1580" t="n">
        <v>9448</v>
      </c>
      <c r="J1580" t="inlineStr">
        <is>
          <t>SUBDIRECTOR DE ADMINISTRACION DE CREDITO</t>
        </is>
      </c>
      <c r="K1580" t="n">
        <v>1</v>
      </c>
      <c r="L1580" t="inlineStr">
        <is>
          <t>PRESIDENCIA EJECUTIVA DEL CONSEJO</t>
        </is>
      </c>
      <c r="M1580" t="n">
        <v>60</v>
      </c>
      <c r="N1580" t="inlineStr">
        <is>
          <t>DIRECCION RIESGOS</t>
        </is>
      </c>
      <c r="O1580" t="n">
        <v>460</v>
      </c>
      <c r="P1580" t="inlineStr">
        <is>
          <t>DIRECCION CREDITO</t>
        </is>
      </c>
      <c r="Q1580" t="n">
        <v>4610</v>
      </c>
      <c r="R1580" t="inlineStr">
        <is>
          <t>SUBDIRECCION ADMINISTRACION DE CREDITO</t>
        </is>
      </c>
      <c r="S1580" t="n">
        <v>46130</v>
      </c>
      <c r="T1580" t="inlineStr">
        <is>
          <t>GERENCIA DE MONITOREO DE FINANCIAMIENTO</t>
        </is>
      </c>
      <c r="U1580" t="n">
        <v>461300</v>
      </c>
      <c r="V1580" t="inlineStr">
        <is>
          <t>GERENCIA DE MONITOREO DE FINANCIAMIENTO</t>
        </is>
      </c>
      <c r="W1580" t="n">
        <v>100101</v>
      </c>
      <c r="X1580" t="inlineStr">
        <is>
          <t>CORPORATIVO</t>
        </is>
      </c>
      <c r="Y1580" t="n">
        <v>4</v>
      </c>
      <c r="Z1580" t="inlineStr">
        <is>
          <t>CORPORATIVO</t>
        </is>
      </c>
      <c r="AA1580" t="n">
        <v>1</v>
      </c>
      <c r="AB1580" t="inlineStr">
        <is>
          <t>NEGOCIO EN MARCHA</t>
        </is>
      </c>
      <c r="AC1580" t="n">
        <v>1</v>
      </c>
      <c r="AD1580" t="inlineStr">
        <is>
          <t>BANCO</t>
        </is>
      </c>
      <c r="AE1580" t="n">
        <v>1</v>
      </c>
      <c r="AF1580" t="inlineStr">
        <is>
          <t>BACK</t>
        </is>
      </c>
      <c r="AG1580" t="n">
        <v>100101</v>
      </c>
      <c r="AH1580" t="inlineStr">
        <is>
          <t>CORPORATIVO</t>
        </is>
      </c>
      <c r="AI1580" t="inlineStr">
        <is>
          <t>GTEJEDA@BANCOBASE.COM</t>
        </is>
      </c>
      <c r="AJ1580" s="151" t="n">
        <v>42902</v>
      </c>
    </row>
    <row r="1581" hidden="1" s="150">
      <c r="A1581" t="inlineStr">
        <is>
          <t>SCOLORADO</t>
        </is>
      </c>
      <c r="B1581" t="n">
        <v>3791</v>
      </c>
      <c r="C1581" t="inlineStr">
        <is>
          <t>SAUL OMAR COLORADO AYALA</t>
        </is>
      </c>
      <c r="D1581" t="n">
        <v>10103</v>
      </c>
      <c r="E1581" t="inlineStr">
        <is>
          <t>ANALISTA DE MESA RECEPTORA DE CREDITO</t>
        </is>
      </c>
      <c r="F1581" t="inlineStr">
        <is>
          <t>MONTERREY</t>
        </is>
      </c>
      <c r="G1581" t="n">
        <v>1780</v>
      </c>
      <c r="H1581" t="inlineStr">
        <is>
          <t>GERARDO MANUEL TEJEDA CRUZ</t>
        </is>
      </c>
      <c r="I1581" t="n">
        <v>10203</v>
      </c>
      <c r="J1581" t="inlineStr">
        <is>
          <t>GERENTE DE MONITOREO DE SOLICITUDES DE FINANCIAMIENTO</t>
        </is>
      </c>
      <c r="K1581" t="n">
        <v>1</v>
      </c>
      <c r="L1581" t="inlineStr">
        <is>
          <t>PRESIDENCIA EJECUTIVA DEL CONSEJO</t>
        </is>
      </c>
      <c r="M1581" t="n">
        <v>60</v>
      </c>
      <c r="N1581" t="inlineStr">
        <is>
          <t>DIRECCION RIESGOS</t>
        </is>
      </c>
      <c r="O1581" t="n">
        <v>460</v>
      </c>
      <c r="P1581" t="inlineStr">
        <is>
          <t>DIRECCION CREDITO</t>
        </is>
      </c>
      <c r="Q1581" t="n">
        <v>4610</v>
      </c>
      <c r="R1581" t="inlineStr">
        <is>
          <t>SUBDIRECCION ADMINISTRACION DE CREDITO</t>
        </is>
      </c>
      <c r="S1581" t="n">
        <v>46130</v>
      </c>
      <c r="T1581" t="inlineStr">
        <is>
          <t>GERENCIA DE MONITOREO DE FINANCIAMIENTO</t>
        </is>
      </c>
      <c r="U1581" t="n">
        <v>461300</v>
      </c>
      <c r="V1581" t="inlineStr">
        <is>
          <t>GERENCIA DE MONITOREO DE FINANCIAMIENTO</t>
        </is>
      </c>
      <c r="W1581" t="n">
        <v>100101</v>
      </c>
      <c r="X1581" t="inlineStr">
        <is>
          <t>CORPORATIVO</t>
        </is>
      </c>
      <c r="Y1581" t="n">
        <v>4</v>
      </c>
      <c r="Z1581" t="inlineStr">
        <is>
          <t>CORPORATIVO</t>
        </is>
      </c>
      <c r="AA1581" t="n">
        <v>1</v>
      </c>
      <c r="AB1581" t="inlineStr">
        <is>
          <t>NEGOCIO EN MARCHA</t>
        </is>
      </c>
      <c r="AC1581" t="n">
        <v>1</v>
      </c>
      <c r="AD1581" t="inlineStr">
        <is>
          <t>BANCO</t>
        </is>
      </c>
      <c r="AE1581" t="n">
        <v>1</v>
      </c>
      <c r="AF1581" t="inlineStr">
        <is>
          <t>BACK</t>
        </is>
      </c>
      <c r="AG1581" t="n">
        <v>100101</v>
      </c>
      <c r="AH1581" t="inlineStr">
        <is>
          <t>CORPORATIVO</t>
        </is>
      </c>
      <c r="AI1581" t="inlineStr">
        <is>
          <t>SCOLORADO@BANCOBASE.COM</t>
        </is>
      </c>
      <c r="AJ1581" s="151" t="n">
        <v>46098</v>
      </c>
    </row>
    <row r="1582" hidden="1" s="150">
      <c r="A1582" t="inlineStr">
        <is>
          <t>VAGUILAR</t>
        </is>
      </c>
      <c r="B1582" t="n">
        <v>3201</v>
      </c>
      <c r="C1582" t="inlineStr">
        <is>
          <t>VERONICA VANESSA AGUILAR ORTIZ</t>
        </is>
      </c>
      <c r="D1582" t="n">
        <v>10347</v>
      </c>
      <c r="E1582" t="inlineStr">
        <is>
          <t>ANALISTA DE MESA RECEPTORA DE CREDITO</t>
        </is>
      </c>
      <c r="F1582" t="inlineStr">
        <is>
          <t>MONTERREY</t>
        </is>
      </c>
      <c r="G1582" t="n">
        <v>1780</v>
      </c>
      <c r="H1582" t="inlineStr">
        <is>
          <t>GERARDO MANUEL TEJEDA CRUZ</t>
        </is>
      </c>
      <c r="I1582" t="n">
        <v>10203</v>
      </c>
      <c r="J1582" t="inlineStr">
        <is>
          <t>GERENTE DE MONITOREO DE SOLICITUDES DE FINANCIAMIENTO</t>
        </is>
      </c>
      <c r="K1582" t="n">
        <v>1</v>
      </c>
      <c r="L1582" t="inlineStr">
        <is>
          <t>PRESIDENCIA EJECUTIVA DEL CONSEJO</t>
        </is>
      </c>
      <c r="M1582" t="n">
        <v>60</v>
      </c>
      <c r="N1582" t="inlineStr">
        <is>
          <t>DIRECCION RIESGOS</t>
        </is>
      </c>
      <c r="O1582" t="n">
        <v>460</v>
      </c>
      <c r="P1582" t="inlineStr">
        <is>
          <t>DIRECCION CREDITO</t>
        </is>
      </c>
      <c r="Q1582" t="n">
        <v>4610</v>
      </c>
      <c r="R1582" t="inlineStr">
        <is>
          <t>SUBDIRECCION ADMINISTRACION DE CREDITO</t>
        </is>
      </c>
      <c r="S1582" t="n">
        <v>46130</v>
      </c>
      <c r="T1582" t="inlineStr">
        <is>
          <t>GERENCIA DE MONITOREO DE FINANCIAMIENTO</t>
        </is>
      </c>
      <c r="U1582" t="n">
        <v>461300</v>
      </c>
      <c r="V1582" t="inlineStr">
        <is>
          <t>GERENCIA DE MONITOREO DE FINANCIAMIENTO</t>
        </is>
      </c>
      <c r="W1582" t="n">
        <v>100101</v>
      </c>
      <c r="X1582" t="inlineStr">
        <is>
          <t>CORPORATIVO</t>
        </is>
      </c>
      <c r="Y1582" t="n">
        <v>4</v>
      </c>
      <c r="Z1582" t="inlineStr">
        <is>
          <t>CORPORATIVO</t>
        </is>
      </c>
      <c r="AA1582" t="n">
        <v>1</v>
      </c>
      <c r="AB1582" t="inlineStr">
        <is>
          <t>NEGOCIO EN MARCHA</t>
        </is>
      </c>
      <c r="AC1582" t="n">
        <v>1</v>
      </c>
      <c r="AD1582" t="inlineStr">
        <is>
          <t>BANCO</t>
        </is>
      </c>
      <c r="AE1582" t="n">
        <v>1</v>
      </c>
      <c r="AF1582" t="inlineStr">
        <is>
          <t>BACK</t>
        </is>
      </c>
      <c r="AG1582" t="n">
        <v>100101</v>
      </c>
      <c r="AH1582" t="inlineStr">
        <is>
          <t>CORPORATIVO</t>
        </is>
      </c>
      <c r="AI1582" t="inlineStr">
        <is>
          <t>VAGUILAR@BANCOBASE.COM</t>
        </is>
      </c>
      <c r="AJ1582" s="151" t="n">
        <v>45544</v>
      </c>
    </row>
    <row r="1583" hidden="1" s="150">
      <c r="A1583" t="inlineStr">
        <is>
          <t>ZCIENFUEGO</t>
        </is>
      </c>
      <c r="B1583" t="n">
        <v>3379</v>
      </c>
      <c r="C1583" t="inlineStr">
        <is>
          <t>ZURISADAY CIENFUEGOS AGUIRRE</t>
        </is>
      </c>
      <c r="D1583" t="n">
        <v>9875</v>
      </c>
      <c r="E1583" t="inlineStr">
        <is>
          <t>ANALISTA ADMINISTRACION DE CREDITO</t>
        </is>
      </c>
      <c r="F1583" t="inlineStr">
        <is>
          <t>MEXICO</t>
        </is>
      </c>
      <c r="G1583" t="n">
        <v>1780</v>
      </c>
      <c r="H1583" t="inlineStr">
        <is>
          <t>GERARDO MANUEL TEJEDA CRUZ</t>
        </is>
      </c>
      <c r="I1583" t="n">
        <v>10203</v>
      </c>
      <c r="J1583" t="inlineStr">
        <is>
          <t>GERENTE DE MONITOREO DE SOLICITUDES DE FINANCIAMIENTO</t>
        </is>
      </c>
      <c r="K1583" t="n">
        <v>1</v>
      </c>
      <c r="L1583" t="inlineStr">
        <is>
          <t>PRESIDENCIA EJECUTIVA DEL CONSEJO</t>
        </is>
      </c>
      <c r="M1583" t="n">
        <v>60</v>
      </c>
      <c r="N1583" t="inlineStr">
        <is>
          <t>DIRECCION RIESGOS</t>
        </is>
      </c>
      <c r="O1583" t="n">
        <v>460</v>
      </c>
      <c r="P1583" t="inlineStr">
        <is>
          <t>DIRECCION CREDITO</t>
        </is>
      </c>
      <c r="Q1583" t="n">
        <v>4610</v>
      </c>
      <c r="R1583" t="inlineStr">
        <is>
          <t>SUBDIRECCION ADMINISTRACION DE CREDITO</t>
        </is>
      </c>
      <c r="S1583" t="n">
        <v>46130</v>
      </c>
      <c r="T1583" t="inlineStr">
        <is>
          <t>GERENCIA DE MONITOREO DE FINANCIAMIENTO</t>
        </is>
      </c>
      <c r="U1583" t="n">
        <v>461300</v>
      </c>
      <c r="V1583" t="inlineStr">
        <is>
          <t>GERENCIA DE MONITOREO DE FINANCIAMIENTO</t>
        </is>
      </c>
      <c r="W1583" t="n">
        <v>134111</v>
      </c>
      <c r="X1583" t="inlineStr">
        <is>
          <t>LOMAS</t>
        </is>
      </c>
      <c r="Y1583" t="n">
        <v>4</v>
      </c>
      <c r="Z1583" t="inlineStr">
        <is>
          <t>CORPORATIVO</t>
        </is>
      </c>
      <c r="AA1583" t="n">
        <v>1</v>
      </c>
      <c r="AB1583" t="inlineStr">
        <is>
          <t>NEGOCIO EN MARCHA</t>
        </is>
      </c>
      <c r="AC1583" t="n">
        <v>1</v>
      </c>
      <c r="AD1583" t="inlineStr">
        <is>
          <t>BANCO</t>
        </is>
      </c>
      <c r="AE1583" t="n">
        <v>1</v>
      </c>
      <c r="AF1583" t="inlineStr">
        <is>
          <t>BACK</t>
        </is>
      </c>
      <c r="AG1583" t="n">
        <v>134111</v>
      </c>
      <c r="AH1583" t="inlineStr">
        <is>
          <t>LOMAS</t>
        </is>
      </c>
      <c r="AI1583" t="inlineStr">
        <is>
          <t>ZCIENFUEGO@BANCOBASE.COM</t>
        </is>
      </c>
      <c r="AJ1583" s="151" t="n">
        <v>45748</v>
      </c>
    </row>
    <row r="1584" hidden="1" s="150">
      <c r="A1584" t="inlineStr">
        <is>
          <t>HRODRIGUEZ</t>
        </is>
      </c>
      <c r="B1584" t="n">
        <v>840</v>
      </c>
      <c r="C1584" t="inlineStr">
        <is>
          <t>HECTOR DE JESUS RODRIGUEZ DE LUNA</t>
        </is>
      </c>
      <c r="D1584" t="n">
        <v>9997</v>
      </c>
      <c r="E1584" t="inlineStr">
        <is>
          <t>GERENTE SECRETARIADO DE CREDITO</t>
        </is>
      </c>
      <c r="F1584" t="inlineStr">
        <is>
          <t>MONTERREY</t>
        </is>
      </c>
      <c r="G1584" t="n">
        <v>1471</v>
      </c>
      <c r="H1584" t="inlineStr">
        <is>
          <t>MARIA DE LA LUZ LEDEZMA GOMEZ</t>
        </is>
      </c>
      <c r="I1584" t="n">
        <v>9448</v>
      </c>
      <c r="J1584" t="inlineStr">
        <is>
          <t>SUBDIRECTOR DE ADMINISTRACION DE CREDITO</t>
        </is>
      </c>
      <c r="K1584" t="n">
        <v>1</v>
      </c>
      <c r="L1584" t="inlineStr">
        <is>
          <t>PRESIDENCIA EJECUTIVA DEL CONSEJO</t>
        </is>
      </c>
      <c r="M1584" t="n">
        <v>60</v>
      </c>
      <c r="N1584" t="inlineStr">
        <is>
          <t>DIRECCION RIESGOS</t>
        </is>
      </c>
      <c r="O1584" t="n">
        <v>460</v>
      </c>
      <c r="P1584" t="inlineStr">
        <is>
          <t>DIRECCION CREDITO</t>
        </is>
      </c>
      <c r="Q1584" t="n">
        <v>4610</v>
      </c>
      <c r="R1584" t="inlineStr">
        <is>
          <t>SUBDIRECCION ADMINISTRACION DE CREDITO</t>
        </is>
      </c>
      <c r="S1584" t="n">
        <v>46300</v>
      </c>
      <c r="T1584" t="inlineStr">
        <is>
          <t>GERENCIA SECRETARIADO DE CREDITO</t>
        </is>
      </c>
      <c r="U1584" t="n">
        <v>463000</v>
      </c>
      <c r="V1584" t="inlineStr">
        <is>
          <t>GERENCIA SECRETARIADO DE CREDITO</t>
        </is>
      </c>
      <c r="W1584" t="n">
        <v>100101</v>
      </c>
      <c r="X1584" t="inlineStr">
        <is>
          <t>CORPORATIVO</t>
        </is>
      </c>
      <c r="Y1584" t="n">
        <v>4</v>
      </c>
      <c r="Z1584" t="inlineStr">
        <is>
          <t>CORPORATIVO</t>
        </is>
      </c>
      <c r="AA1584" t="n">
        <v>1</v>
      </c>
      <c r="AB1584" t="inlineStr">
        <is>
          <t>NEGOCIO EN MARCHA</t>
        </is>
      </c>
      <c r="AC1584" t="n">
        <v>1</v>
      </c>
      <c r="AD1584" t="inlineStr">
        <is>
          <t>BANCO</t>
        </is>
      </c>
      <c r="AE1584" t="n">
        <v>1</v>
      </c>
      <c r="AF1584" t="inlineStr">
        <is>
          <t>BACK</t>
        </is>
      </c>
      <c r="AG1584" t="n">
        <v>100101</v>
      </c>
      <c r="AH1584" t="inlineStr">
        <is>
          <t>CORPORATIVO</t>
        </is>
      </c>
      <c r="AI1584" t="inlineStr">
        <is>
          <t>HRODRIGUEZ@BANCOBASE.COM</t>
        </is>
      </c>
      <c r="AJ1584" s="151" t="n">
        <v>40955</v>
      </c>
    </row>
    <row r="1585" hidden="1" s="150">
      <c r="A1585" t="inlineStr">
        <is>
          <t>JDANIEL</t>
        </is>
      </c>
      <c r="B1585" t="n">
        <v>1834</v>
      </c>
      <c r="C1585" t="inlineStr">
        <is>
          <t>JUAN DAVID DANIEL ALDANA</t>
        </is>
      </c>
      <c r="D1585" t="n">
        <v>10034</v>
      </c>
      <c r="E1585" t="inlineStr">
        <is>
          <t>ANALISTA SECRETARIADO DE CREDITO</t>
        </is>
      </c>
      <c r="F1585" t="inlineStr">
        <is>
          <t>MONTERREY</t>
        </is>
      </c>
      <c r="G1585" t="n">
        <v>840</v>
      </c>
      <c r="H1585" t="inlineStr">
        <is>
          <t>HECTOR DE JESUS RODRIGUEZ DE LUNA</t>
        </is>
      </c>
      <c r="I1585" t="n">
        <v>9997</v>
      </c>
      <c r="J1585" t="inlineStr">
        <is>
          <t>GERENTE SECRETARIADO DE CREDITO</t>
        </is>
      </c>
      <c r="K1585" t="n">
        <v>1</v>
      </c>
      <c r="L1585" t="inlineStr">
        <is>
          <t>PRESIDENCIA EJECUTIVA DEL CONSEJO</t>
        </is>
      </c>
      <c r="M1585" t="n">
        <v>60</v>
      </c>
      <c r="N1585" t="inlineStr">
        <is>
          <t>DIRECCION RIESGOS</t>
        </is>
      </c>
      <c r="O1585" t="n">
        <v>460</v>
      </c>
      <c r="P1585" t="inlineStr">
        <is>
          <t>DIRECCION CREDITO</t>
        </is>
      </c>
      <c r="Q1585" t="n">
        <v>4610</v>
      </c>
      <c r="R1585" t="inlineStr">
        <is>
          <t>SUBDIRECCION ADMINISTRACION DE CREDITO</t>
        </is>
      </c>
      <c r="S1585" t="n">
        <v>46300</v>
      </c>
      <c r="T1585" t="inlineStr">
        <is>
          <t>GERENCIA SECRETARIADO DE CREDITO</t>
        </is>
      </c>
      <c r="U1585" t="n">
        <v>463000</v>
      </c>
      <c r="V1585" t="inlineStr">
        <is>
          <t>GERENCIA SECRETARIADO DE CREDITO</t>
        </is>
      </c>
      <c r="W1585" t="n">
        <v>100101</v>
      </c>
      <c r="X1585" t="inlineStr">
        <is>
          <t>CORPORATIVO</t>
        </is>
      </c>
      <c r="Y1585" t="n">
        <v>4</v>
      </c>
      <c r="Z1585" t="inlineStr">
        <is>
          <t>CORPORATIVO</t>
        </is>
      </c>
      <c r="AA1585" t="n">
        <v>1</v>
      </c>
      <c r="AB1585" t="inlineStr">
        <is>
          <t>NEGOCIO EN MARCHA</t>
        </is>
      </c>
      <c r="AC1585" t="n">
        <v>1</v>
      </c>
      <c r="AD1585" t="inlineStr">
        <is>
          <t>BANCO</t>
        </is>
      </c>
      <c r="AE1585" t="n">
        <v>1</v>
      </c>
      <c r="AF1585" t="inlineStr">
        <is>
          <t>BACK</t>
        </is>
      </c>
      <c r="AG1585" t="n">
        <v>100101</v>
      </c>
      <c r="AH1585" t="inlineStr">
        <is>
          <t>CORPORATIVO</t>
        </is>
      </c>
      <c r="AI1585" t="inlineStr">
        <is>
          <t>JDANIEL@BANCOBASE.COM</t>
        </is>
      </c>
      <c r="AJ1585" s="151" t="n">
        <v>42979</v>
      </c>
    </row>
    <row r="1586" hidden="1" s="150">
      <c r="A1586" t="inlineStr">
        <is>
          <t>NIBARRA</t>
        </is>
      </c>
      <c r="B1586" t="n">
        <v>3249</v>
      </c>
      <c r="C1586" t="inlineStr">
        <is>
          <t>ALAIDE NAHOMI IBARRA BARRON</t>
        </is>
      </c>
      <c r="D1586" t="n">
        <v>9348</v>
      </c>
      <c r="E1586" t="inlineStr">
        <is>
          <t>ANALISTA SEGUIMIENTO CARTERA</t>
        </is>
      </c>
      <c r="F1586" t="inlineStr">
        <is>
          <t>MONTERREY</t>
        </is>
      </c>
      <c r="G1586" t="n">
        <v>840</v>
      </c>
      <c r="H1586" t="inlineStr">
        <is>
          <t>HECTOR DE JESUS RODRIGUEZ DE LUNA</t>
        </is>
      </c>
      <c r="I1586" t="n">
        <v>9997</v>
      </c>
      <c r="J1586" t="inlineStr">
        <is>
          <t>GERENTE SECRETARIADO DE CREDITO</t>
        </is>
      </c>
      <c r="K1586" t="n">
        <v>1</v>
      </c>
      <c r="L1586" t="inlineStr">
        <is>
          <t>PRESIDENCIA EJECUTIVA DEL CONSEJO</t>
        </is>
      </c>
      <c r="M1586" t="n">
        <v>60</v>
      </c>
      <c r="N1586" t="inlineStr">
        <is>
          <t>DIRECCION RIESGOS</t>
        </is>
      </c>
      <c r="O1586" t="n">
        <v>460</v>
      </c>
      <c r="P1586" t="inlineStr">
        <is>
          <t>DIRECCION CREDITO</t>
        </is>
      </c>
      <c r="Q1586" t="n">
        <v>4610</v>
      </c>
      <c r="R1586" t="inlineStr">
        <is>
          <t>SUBDIRECCION ADMINISTRACION DE CREDITO</t>
        </is>
      </c>
      <c r="S1586" t="n">
        <v>46300</v>
      </c>
      <c r="T1586" t="inlineStr">
        <is>
          <t>GERENCIA SECRETARIADO DE CREDITO</t>
        </is>
      </c>
      <c r="U1586" t="n">
        <v>463000</v>
      </c>
      <c r="V1586" t="inlineStr">
        <is>
          <t>GERENCIA SECRETARIADO DE CREDITO</t>
        </is>
      </c>
      <c r="W1586" t="n">
        <v>100101</v>
      </c>
      <c r="X1586" t="inlineStr">
        <is>
          <t>CORPORATIVO</t>
        </is>
      </c>
      <c r="Y1586" t="n">
        <v>4</v>
      </c>
      <c r="Z1586" t="inlineStr">
        <is>
          <t>CORPORATIVO</t>
        </is>
      </c>
      <c r="AA1586" t="n">
        <v>1</v>
      </c>
      <c r="AB1586" t="inlineStr">
        <is>
          <t>NEGOCIO EN MARCHA</t>
        </is>
      </c>
      <c r="AC1586" t="n">
        <v>1</v>
      </c>
      <c r="AD1586" t="inlineStr">
        <is>
          <t>BANCO</t>
        </is>
      </c>
      <c r="AE1586" t="n">
        <v>1</v>
      </c>
      <c r="AF1586" t="inlineStr">
        <is>
          <t>BACK</t>
        </is>
      </c>
      <c r="AG1586" t="n">
        <v>100101</v>
      </c>
      <c r="AH1586" t="inlineStr">
        <is>
          <t>CORPORATIVO</t>
        </is>
      </c>
      <c r="AI1586" t="inlineStr">
        <is>
          <t>NIBARRA@BANCOBASE.COM</t>
        </is>
      </c>
      <c r="AJ1586" s="151" t="n">
        <v>45600</v>
      </c>
    </row>
    <row r="1587" hidden="1" s="150">
      <c r="A1587" t="inlineStr">
        <is>
          <t>ACANTU</t>
        </is>
      </c>
      <c r="B1587" t="n">
        <v>1132</v>
      </c>
      <c r="C1587" t="inlineStr">
        <is>
          <t>AARON CANTU CANTU</t>
        </is>
      </c>
      <c r="D1587" t="n">
        <v>10009</v>
      </c>
      <c r="E1587" t="inlineStr">
        <is>
          <t>SUBDIRECTOR DE ANALISIS DE CREDITO</t>
        </is>
      </c>
      <c r="F1587" t="inlineStr">
        <is>
          <t>MONTERREY</t>
        </is>
      </c>
      <c r="G1587" t="n">
        <v>1881</v>
      </c>
      <c r="H1587" t="inlineStr">
        <is>
          <t>LUIS ANTONIO NOVELO LAZO</t>
        </is>
      </c>
      <c r="I1587" t="n">
        <v>5</v>
      </c>
      <c r="J1587" t="inlineStr">
        <is>
          <t>DIRECTOR DE CREDITO</t>
        </is>
      </c>
      <c r="K1587" t="n">
        <v>1</v>
      </c>
      <c r="L1587" t="inlineStr">
        <is>
          <t>PRESIDENCIA EJECUTIVA DEL CONSEJO</t>
        </is>
      </c>
      <c r="M1587" t="n">
        <v>60</v>
      </c>
      <c r="N1587" t="inlineStr">
        <is>
          <t>DIRECCION RIESGOS</t>
        </is>
      </c>
      <c r="O1587" t="n">
        <v>460</v>
      </c>
      <c r="P1587" t="inlineStr">
        <is>
          <t>DIRECCION CREDITO</t>
        </is>
      </c>
      <c r="Q1587" t="n">
        <v>4620</v>
      </c>
      <c r="R1587" t="inlineStr">
        <is>
          <t>ANALISIS DE CREDITO</t>
        </is>
      </c>
      <c r="S1587" t="n">
        <v>46220</v>
      </c>
      <c r="T1587" t="inlineStr">
        <is>
          <t>ANALISIS DE CREDITO 1</t>
        </is>
      </c>
      <c r="U1587" t="n">
        <v>462200</v>
      </c>
      <c r="V1587" t="inlineStr">
        <is>
          <t>ANALISIS DE CREDITO 1</t>
        </is>
      </c>
      <c r="W1587" t="n">
        <v>100101</v>
      </c>
      <c r="X1587" t="inlineStr">
        <is>
          <t>CORPORATIVO</t>
        </is>
      </c>
      <c r="Y1587" t="n">
        <v>4</v>
      </c>
      <c r="Z1587" t="inlineStr">
        <is>
          <t>CORPORATIVO</t>
        </is>
      </c>
      <c r="AA1587" t="n">
        <v>1</v>
      </c>
      <c r="AB1587" t="inlineStr">
        <is>
          <t>NEGOCIO EN MARCHA</t>
        </is>
      </c>
      <c r="AC1587" t="n">
        <v>1</v>
      </c>
      <c r="AD1587" t="inlineStr">
        <is>
          <t>BANCO</t>
        </is>
      </c>
      <c r="AE1587" t="n">
        <v>1</v>
      </c>
      <c r="AF1587" t="inlineStr">
        <is>
          <t>BACK</t>
        </is>
      </c>
      <c r="AG1587" t="n">
        <v>100101</v>
      </c>
      <c r="AH1587" t="inlineStr">
        <is>
          <t>CORPORATIVO</t>
        </is>
      </c>
      <c r="AI1587" t="inlineStr">
        <is>
          <t>ACANTU@BANCOBASE.COM</t>
        </is>
      </c>
      <c r="AJ1587" s="151" t="n">
        <v>44487</v>
      </c>
    </row>
    <row r="1588" hidden="1" s="150">
      <c r="A1588" t="inlineStr">
        <is>
          <t>DMARTINEV</t>
        </is>
      </c>
      <c r="B1588" t="n">
        <v>2255</v>
      </c>
      <c r="C1588" t="inlineStr">
        <is>
          <t>DIEGO GERARDO MARTINEZ VIESCA</t>
        </is>
      </c>
      <c r="D1588" t="n">
        <v>19</v>
      </c>
      <c r="E1588" t="inlineStr">
        <is>
          <t>LIDER ANALISIS DE CREDITO</t>
        </is>
      </c>
      <c r="F1588" t="inlineStr">
        <is>
          <t>MONTERREY</t>
        </is>
      </c>
      <c r="G1588" t="n">
        <v>1132</v>
      </c>
      <c r="H1588" t="inlineStr">
        <is>
          <t>AARON CANTU CANTU</t>
        </is>
      </c>
      <c r="I1588" t="n">
        <v>10009</v>
      </c>
      <c r="J1588" t="inlineStr">
        <is>
          <t>SUBDIRECTOR DE ANALISIS DE CREDITO</t>
        </is>
      </c>
      <c r="K1588" t="n">
        <v>1</v>
      </c>
      <c r="L1588" t="inlineStr">
        <is>
          <t>PRESIDENCIA EJECUTIVA DEL CONSEJO</t>
        </is>
      </c>
      <c r="M1588" t="n">
        <v>60</v>
      </c>
      <c r="N1588" t="inlineStr">
        <is>
          <t>DIRECCION RIESGOS</t>
        </is>
      </c>
      <c r="O1588" t="n">
        <v>460</v>
      </c>
      <c r="P1588" t="inlineStr">
        <is>
          <t>DIRECCION CREDITO</t>
        </is>
      </c>
      <c r="Q1588" t="n">
        <v>4620</v>
      </c>
      <c r="R1588" t="inlineStr">
        <is>
          <t>ANALISIS DE CREDITO</t>
        </is>
      </c>
      <c r="S1588" t="n">
        <v>46220</v>
      </c>
      <c r="T1588" t="inlineStr">
        <is>
          <t>ANALISIS DE CREDITO 1</t>
        </is>
      </c>
      <c r="U1588" t="n">
        <v>462200</v>
      </c>
      <c r="V1588" t="inlineStr">
        <is>
          <t>ANALISIS DE CREDITO 1</t>
        </is>
      </c>
      <c r="W1588" t="n">
        <v>100101</v>
      </c>
      <c r="X1588" t="inlineStr">
        <is>
          <t>CORPORATIVO</t>
        </is>
      </c>
      <c r="Y1588" t="n">
        <v>9</v>
      </c>
      <c r="Z1588" t="inlineStr">
        <is>
          <t>BANCARIO</t>
        </is>
      </c>
      <c r="AA1588" t="n">
        <v>1</v>
      </c>
      <c r="AB1588" t="inlineStr">
        <is>
          <t>NEGOCIO EN MARCHA</t>
        </is>
      </c>
      <c r="AC1588" t="n">
        <v>1</v>
      </c>
      <c r="AD1588" t="inlineStr">
        <is>
          <t>BANCO</t>
        </is>
      </c>
      <c r="AE1588" t="n">
        <v>1</v>
      </c>
      <c r="AF1588" t="inlineStr">
        <is>
          <t>BACK</t>
        </is>
      </c>
      <c r="AG1588" t="n">
        <v>100101</v>
      </c>
      <c r="AH1588" t="inlineStr">
        <is>
          <t>CORPORATIVO</t>
        </is>
      </c>
      <c r="AI1588" t="inlineStr">
        <is>
          <t>DMARTINEV@BANCOBASE.COM</t>
        </is>
      </c>
      <c r="AJ1588" s="151" t="n">
        <v>43612</v>
      </c>
    </row>
    <row r="1589" hidden="1" s="150">
      <c r="A1589" t="inlineStr">
        <is>
          <t>AOCHOMAL</t>
        </is>
      </c>
      <c r="B1589" t="n">
        <v>2879</v>
      </c>
      <c r="C1589" t="inlineStr">
        <is>
          <t>ALISON OCHOA MALDONADO</t>
        </is>
      </c>
      <c r="D1589" t="n">
        <v>9350</v>
      </c>
      <c r="E1589" t="inlineStr">
        <is>
          <t>ANALISTA DE CREDITO JR</t>
        </is>
      </c>
      <c r="F1589" t="inlineStr">
        <is>
          <t>MONTERREY</t>
        </is>
      </c>
      <c r="G1589" t="n">
        <v>2255</v>
      </c>
      <c r="H1589" t="inlineStr">
        <is>
          <t>DIEGO GERARDO MARTINEZ VIESCA</t>
        </is>
      </c>
      <c r="I1589" t="n">
        <v>19</v>
      </c>
      <c r="J1589" t="inlineStr">
        <is>
          <t>LIDER ANALISIS DE CREDITO</t>
        </is>
      </c>
      <c r="K1589" t="n">
        <v>1</v>
      </c>
      <c r="L1589" t="inlineStr">
        <is>
          <t>PRESIDENCIA EJECUTIVA DEL CONSEJO</t>
        </is>
      </c>
      <c r="M1589" t="n">
        <v>60</v>
      </c>
      <c r="N1589" t="inlineStr">
        <is>
          <t>DIRECCION RIESGOS</t>
        </is>
      </c>
      <c r="O1589" t="n">
        <v>460</v>
      </c>
      <c r="P1589" t="inlineStr">
        <is>
          <t>DIRECCION CREDITO</t>
        </is>
      </c>
      <c r="Q1589" t="n">
        <v>4620</v>
      </c>
      <c r="R1589" t="inlineStr">
        <is>
          <t>ANALISIS DE CREDITO</t>
        </is>
      </c>
      <c r="S1589" t="n">
        <v>46220</v>
      </c>
      <c r="T1589" t="inlineStr">
        <is>
          <t>ANALISIS DE CREDITO 1</t>
        </is>
      </c>
      <c r="U1589" t="n">
        <v>462200</v>
      </c>
      <c r="V1589" t="inlineStr">
        <is>
          <t>ANALISIS DE CREDITO 1</t>
        </is>
      </c>
      <c r="W1589" t="n">
        <v>100101</v>
      </c>
      <c r="X1589" t="inlineStr">
        <is>
          <t>CORPORATIVO</t>
        </is>
      </c>
      <c r="Y1589" t="n">
        <v>3</v>
      </c>
      <c r="Z1589" t="inlineStr">
        <is>
          <t>CAMBIARIO</t>
        </is>
      </c>
      <c r="AA1589" t="n">
        <v>1</v>
      </c>
      <c r="AB1589" t="inlineStr">
        <is>
          <t>NEGOCIO EN MARCHA</t>
        </is>
      </c>
      <c r="AC1589" t="n">
        <v>1</v>
      </c>
      <c r="AD1589" t="inlineStr">
        <is>
          <t>BANCO</t>
        </is>
      </c>
      <c r="AE1589" t="n">
        <v>1</v>
      </c>
      <c r="AF1589" t="inlineStr">
        <is>
          <t>BACK</t>
        </is>
      </c>
      <c r="AG1589" t="n">
        <v>100101</v>
      </c>
      <c r="AH1589" t="inlineStr">
        <is>
          <t>CORPORATIVO</t>
        </is>
      </c>
      <c r="AI1589" t="inlineStr">
        <is>
          <t>AOCHOMAL@BANCOBASE.COM</t>
        </is>
      </c>
      <c r="AJ1589" s="151" t="n">
        <v>45033</v>
      </c>
    </row>
    <row r="1590" hidden="1" s="150">
      <c r="A1590" t="inlineStr">
        <is>
          <t>ENIETO</t>
        </is>
      </c>
      <c r="B1590" t="n">
        <v>3722</v>
      </c>
      <c r="C1590" t="inlineStr">
        <is>
          <t>ELIAN FRANCISCO NIETO IBARRA</t>
        </is>
      </c>
      <c r="D1590" t="n">
        <v>8061</v>
      </c>
      <c r="E1590" t="inlineStr">
        <is>
          <t>ANALISTA DE CREDITO JR</t>
        </is>
      </c>
      <c r="F1590" t="inlineStr">
        <is>
          <t>MONTERREY</t>
        </is>
      </c>
      <c r="G1590" t="n">
        <v>2255</v>
      </c>
      <c r="H1590" t="inlineStr">
        <is>
          <t>DIEGO GERARDO MARTINEZ VIESCA</t>
        </is>
      </c>
      <c r="I1590" t="n">
        <v>19</v>
      </c>
      <c r="J1590" t="inlineStr">
        <is>
          <t>LIDER ANALISIS DE CREDITO</t>
        </is>
      </c>
      <c r="K1590" t="n">
        <v>1</v>
      </c>
      <c r="L1590" t="inlineStr">
        <is>
          <t>PRESIDENCIA EJECUTIVA DEL CONSEJO</t>
        </is>
      </c>
      <c r="M1590" t="n">
        <v>60</v>
      </c>
      <c r="N1590" t="inlineStr">
        <is>
          <t>DIRECCION RIESGOS</t>
        </is>
      </c>
      <c r="O1590" t="n">
        <v>460</v>
      </c>
      <c r="P1590" t="inlineStr">
        <is>
          <t>DIRECCION CREDITO</t>
        </is>
      </c>
      <c r="Q1590" t="n">
        <v>4620</v>
      </c>
      <c r="R1590" t="inlineStr">
        <is>
          <t>ANALISIS DE CREDITO</t>
        </is>
      </c>
      <c r="S1590" t="n">
        <v>46220</v>
      </c>
      <c r="T1590" t="inlineStr">
        <is>
          <t>ANALISIS DE CREDITO 1</t>
        </is>
      </c>
      <c r="U1590" t="n">
        <v>462200</v>
      </c>
      <c r="V1590" t="inlineStr">
        <is>
          <t>ANALISIS DE CREDITO 1</t>
        </is>
      </c>
      <c r="W1590" t="n">
        <v>100101</v>
      </c>
      <c r="X1590" t="inlineStr">
        <is>
          <t>CORPORATIVO</t>
        </is>
      </c>
      <c r="Y1590" t="n">
        <v>3</v>
      </c>
      <c r="Z1590" t="inlineStr">
        <is>
          <t>CAMBIARIO</t>
        </is>
      </c>
      <c r="AA1590" t="n">
        <v>1</v>
      </c>
      <c r="AB1590" t="inlineStr">
        <is>
          <t>NEGOCIO EN MARCHA</t>
        </is>
      </c>
      <c r="AC1590" t="n">
        <v>1</v>
      </c>
      <c r="AD1590" t="inlineStr">
        <is>
          <t>BANCO</t>
        </is>
      </c>
      <c r="AE1590" t="n">
        <v>1</v>
      </c>
      <c r="AF1590" t="inlineStr">
        <is>
          <t>BACK</t>
        </is>
      </c>
      <c r="AG1590" t="n">
        <v>100101</v>
      </c>
      <c r="AH1590" t="inlineStr">
        <is>
          <t>CORPORATIVO</t>
        </is>
      </c>
      <c r="AI1590" t="inlineStr">
        <is>
          <t>ENIETO@BANCOBASE.COM</t>
        </is>
      </c>
      <c r="AJ1590" s="151" t="n">
        <v>46027</v>
      </c>
    </row>
    <row r="1591" hidden="1" s="150">
      <c r="A1591" t="inlineStr">
        <is>
          <t>ICASTILLO</t>
        </is>
      </c>
      <c r="B1591" t="n">
        <v>1870</v>
      </c>
      <c r="C1591" t="inlineStr">
        <is>
          <t>IRMA CAROLINA CASTILLO OLIVARES</t>
        </is>
      </c>
      <c r="D1591" t="n">
        <v>9469</v>
      </c>
      <c r="E1591" t="inlineStr">
        <is>
          <t>ANALISTA DE CREDITO SR</t>
        </is>
      </c>
      <c r="F1591" t="inlineStr">
        <is>
          <t>MONTERREY</t>
        </is>
      </c>
      <c r="G1591" t="n">
        <v>2255</v>
      </c>
      <c r="H1591" t="inlineStr">
        <is>
          <t>DIEGO GERARDO MARTINEZ VIESCA</t>
        </is>
      </c>
      <c r="I1591" t="n">
        <v>19</v>
      </c>
      <c r="J1591" t="inlineStr">
        <is>
          <t>LIDER ANALISIS DE CREDITO</t>
        </is>
      </c>
      <c r="K1591" t="n">
        <v>1</v>
      </c>
      <c r="L1591" t="inlineStr">
        <is>
          <t>PRESIDENCIA EJECUTIVA DEL CONSEJO</t>
        </is>
      </c>
      <c r="M1591" t="n">
        <v>60</v>
      </c>
      <c r="N1591" t="inlineStr">
        <is>
          <t>DIRECCION RIESGOS</t>
        </is>
      </c>
      <c r="O1591" t="n">
        <v>460</v>
      </c>
      <c r="P1591" t="inlineStr">
        <is>
          <t>DIRECCION CREDITO</t>
        </is>
      </c>
      <c r="Q1591" t="n">
        <v>4620</v>
      </c>
      <c r="R1591" t="inlineStr">
        <is>
          <t>ANALISIS DE CREDITO</t>
        </is>
      </c>
      <c r="S1591" t="n">
        <v>46220</v>
      </c>
      <c r="T1591" t="inlineStr">
        <is>
          <t>ANALISIS DE CREDITO 1</t>
        </is>
      </c>
      <c r="U1591" t="n">
        <v>462200</v>
      </c>
      <c r="V1591" t="inlineStr">
        <is>
          <t>ANALISIS DE CREDITO 1</t>
        </is>
      </c>
      <c r="W1591" t="n">
        <v>100101</v>
      </c>
      <c r="X1591" t="inlineStr">
        <is>
          <t>CORPORATIVO</t>
        </is>
      </c>
      <c r="Y1591" t="n">
        <v>3</v>
      </c>
      <c r="Z1591" t="inlineStr">
        <is>
          <t>CAMBIARIO</t>
        </is>
      </c>
      <c r="AA1591" t="n">
        <v>1</v>
      </c>
      <c r="AB1591" t="inlineStr">
        <is>
          <t>NEGOCIO EN MARCHA</t>
        </is>
      </c>
      <c r="AC1591" t="n">
        <v>1</v>
      </c>
      <c r="AD1591" t="inlineStr">
        <is>
          <t>BANCO</t>
        </is>
      </c>
      <c r="AE1591" t="n">
        <v>1</v>
      </c>
      <c r="AF1591" t="inlineStr">
        <is>
          <t>BACK</t>
        </is>
      </c>
      <c r="AG1591" t="n">
        <v>100101</v>
      </c>
      <c r="AH1591" t="inlineStr">
        <is>
          <t>CORPORATIVO</t>
        </is>
      </c>
      <c r="AI1591" t="inlineStr">
        <is>
          <t>ICASTILLO@BANCOBASE.COM</t>
        </is>
      </c>
      <c r="AJ1591" s="151" t="n">
        <v>43040</v>
      </c>
    </row>
    <row r="1592" hidden="1" s="150">
      <c r="A1592" t="inlineStr">
        <is>
          <t>JMARTINER</t>
        </is>
      </c>
      <c r="B1592" t="n">
        <v>3366</v>
      </c>
      <c r="C1592" t="inlineStr">
        <is>
          <t>JOSE ANTONIO MARTINEZ RENDON</t>
        </is>
      </c>
      <c r="D1592" t="n">
        <v>10328</v>
      </c>
      <c r="E1592" t="inlineStr">
        <is>
          <t>ANALISTA DE CREDITO SR</t>
        </is>
      </c>
      <c r="F1592" t="inlineStr">
        <is>
          <t>MONTERREY</t>
        </is>
      </c>
      <c r="G1592" t="n">
        <v>2255</v>
      </c>
      <c r="H1592" t="inlineStr">
        <is>
          <t>DIEGO GERARDO MARTINEZ VIESCA</t>
        </is>
      </c>
      <c r="I1592" t="n">
        <v>19</v>
      </c>
      <c r="J1592" t="inlineStr">
        <is>
          <t>LIDER ANALISIS DE CREDITO</t>
        </is>
      </c>
      <c r="K1592" t="n">
        <v>1</v>
      </c>
      <c r="L1592" t="inlineStr">
        <is>
          <t>PRESIDENCIA EJECUTIVA DEL CONSEJO</t>
        </is>
      </c>
      <c r="M1592" t="n">
        <v>60</v>
      </c>
      <c r="N1592" t="inlineStr">
        <is>
          <t>DIRECCION RIESGOS</t>
        </is>
      </c>
      <c r="O1592" t="n">
        <v>460</v>
      </c>
      <c r="P1592" t="inlineStr">
        <is>
          <t>DIRECCION CREDITO</t>
        </is>
      </c>
      <c r="Q1592" t="n">
        <v>4620</v>
      </c>
      <c r="R1592" t="inlineStr">
        <is>
          <t>ANALISIS DE CREDITO</t>
        </is>
      </c>
      <c r="S1592" t="n">
        <v>46220</v>
      </c>
      <c r="T1592" t="inlineStr">
        <is>
          <t>ANALISIS DE CREDITO 1</t>
        </is>
      </c>
      <c r="U1592" t="n">
        <v>462200</v>
      </c>
      <c r="V1592" t="inlineStr">
        <is>
          <t>ANALISIS DE CREDITO 1</t>
        </is>
      </c>
      <c r="W1592" t="n">
        <v>100101</v>
      </c>
      <c r="X1592" t="inlineStr">
        <is>
          <t>CORPORATIVO</t>
        </is>
      </c>
      <c r="Y1592" t="n">
        <v>9</v>
      </c>
      <c r="Z1592" t="inlineStr">
        <is>
          <t>BANCARIO</t>
        </is>
      </c>
      <c r="AA1592" t="n">
        <v>1</v>
      </c>
      <c r="AB1592" t="inlineStr">
        <is>
          <t>NEGOCIO EN MARCHA</t>
        </is>
      </c>
      <c r="AC1592" t="n">
        <v>1</v>
      </c>
      <c r="AD1592" t="inlineStr">
        <is>
          <t>BANCO</t>
        </is>
      </c>
      <c r="AE1592" t="n">
        <v>1</v>
      </c>
      <c r="AF1592" t="inlineStr">
        <is>
          <t>BACK</t>
        </is>
      </c>
      <c r="AG1592" t="n">
        <v>100101</v>
      </c>
      <c r="AH1592" t="inlineStr">
        <is>
          <t>CORPORATIVO</t>
        </is>
      </c>
      <c r="AI1592" t="inlineStr">
        <is>
          <t>JMARTINER@BANCOBASE.COM</t>
        </is>
      </c>
      <c r="AJ1592" s="151" t="n">
        <v>45734</v>
      </c>
    </row>
    <row r="1593" hidden="1" s="150">
      <c r="A1593" t="inlineStr">
        <is>
          <t>SQUINTERO</t>
        </is>
      </c>
      <c r="B1593" t="n">
        <v>3250</v>
      </c>
      <c r="C1593" t="inlineStr">
        <is>
          <t>SUSANA QUINTERO RICO</t>
        </is>
      </c>
      <c r="D1593" t="n">
        <v>9514</v>
      </c>
      <c r="E1593" t="inlineStr">
        <is>
          <t>ANALISTA DE CREDITO ASOCIADO</t>
        </is>
      </c>
      <c r="F1593" t="inlineStr">
        <is>
          <t>MONTERREY</t>
        </is>
      </c>
      <c r="G1593" t="n">
        <v>2255</v>
      </c>
      <c r="H1593" t="inlineStr">
        <is>
          <t>DIEGO GERARDO MARTINEZ VIESCA</t>
        </is>
      </c>
      <c r="I1593" t="n">
        <v>19</v>
      </c>
      <c r="J1593" t="inlineStr">
        <is>
          <t>LIDER ANALISIS DE CREDITO</t>
        </is>
      </c>
      <c r="K1593" t="n">
        <v>1</v>
      </c>
      <c r="L1593" t="inlineStr">
        <is>
          <t>PRESIDENCIA EJECUTIVA DEL CONSEJO</t>
        </is>
      </c>
      <c r="M1593" t="n">
        <v>60</v>
      </c>
      <c r="N1593" t="inlineStr">
        <is>
          <t>DIRECCION RIESGOS</t>
        </is>
      </c>
      <c r="O1593" t="n">
        <v>460</v>
      </c>
      <c r="P1593" t="inlineStr">
        <is>
          <t>DIRECCION CREDITO</t>
        </is>
      </c>
      <c r="Q1593" t="n">
        <v>4620</v>
      </c>
      <c r="R1593" t="inlineStr">
        <is>
          <t>ANALISIS DE CREDITO</t>
        </is>
      </c>
      <c r="S1593" t="n">
        <v>46220</v>
      </c>
      <c r="T1593" t="inlineStr">
        <is>
          <t>ANALISIS DE CREDITO 1</t>
        </is>
      </c>
      <c r="U1593" t="n">
        <v>462200</v>
      </c>
      <c r="V1593" t="inlineStr">
        <is>
          <t>ANALISIS DE CREDITO 1</t>
        </is>
      </c>
      <c r="W1593" t="n">
        <v>100101</v>
      </c>
      <c r="X1593" t="inlineStr">
        <is>
          <t>CORPORATIVO</t>
        </is>
      </c>
      <c r="Y1593" t="n">
        <v>9</v>
      </c>
      <c r="Z1593" t="inlineStr">
        <is>
          <t>BANCARIO</t>
        </is>
      </c>
      <c r="AA1593" t="n">
        <v>1</v>
      </c>
      <c r="AB1593" t="inlineStr">
        <is>
          <t>NEGOCIO EN MARCHA</t>
        </is>
      </c>
      <c r="AC1593" t="n">
        <v>1</v>
      </c>
      <c r="AD1593" t="inlineStr">
        <is>
          <t>BANCO</t>
        </is>
      </c>
      <c r="AE1593" t="n">
        <v>1</v>
      </c>
      <c r="AF1593" t="inlineStr">
        <is>
          <t>BACK</t>
        </is>
      </c>
      <c r="AG1593" t="n">
        <v>100101</v>
      </c>
      <c r="AH1593" t="inlineStr">
        <is>
          <t>CORPORATIVO</t>
        </is>
      </c>
      <c r="AI1593" t="inlineStr">
        <is>
          <t>SQUINTERO@BANCOBASE.COM</t>
        </is>
      </c>
      <c r="AJ1593" s="151" t="n">
        <v>45600</v>
      </c>
    </row>
    <row r="1594" hidden="1" s="150">
      <c r="A1594" t="inlineStr">
        <is>
          <t>FSAADE</t>
        </is>
      </c>
      <c r="B1594" t="n">
        <v>99528</v>
      </c>
      <c r="C1594" t="inlineStr">
        <is>
          <t>FARID SAADE GUZMAN</t>
        </is>
      </c>
      <c r="D1594" t="n">
        <v>9050</v>
      </c>
      <c r="E1594" t="inlineStr">
        <is>
          <t>PRACTICANTE</t>
        </is>
      </c>
      <c r="F1594" t="inlineStr">
        <is>
          <t>MONTERREY</t>
        </is>
      </c>
      <c r="G1594" t="n">
        <v>2255</v>
      </c>
      <c r="H1594" t="inlineStr">
        <is>
          <t>DIEGO GERARDO MARTINEZ VIESCA</t>
        </is>
      </c>
      <c r="I1594" t="n">
        <v>19</v>
      </c>
      <c r="J1594" t="inlineStr">
        <is>
          <t>LIDER ANALISIS DE CREDITO</t>
        </is>
      </c>
      <c r="K1594" t="n">
        <v>1</v>
      </c>
      <c r="L1594" t="inlineStr">
        <is>
          <t>PRESIDENCIA EJECUTIVA DEL CONSEJO</t>
        </is>
      </c>
      <c r="M1594" t="n">
        <v>60</v>
      </c>
      <c r="N1594" t="inlineStr">
        <is>
          <t>DIRECCION RIESGOS</t>
        </is>
      </c>
      <c r="O1594" t="n">
        <v>460</v>
      </c>
      <c r="P1594" t="inlineStr">
        <is>
          <t>DIRECCION CREDITO</t>
        </is>
      </c>
      <c r="Q1594" t="n">
        <v>4620</v>
      </c>
      <c r="R1594" t="inlineStr">
        <is>
          <t>ANALISIS DE CREDITO</t>
        </is>
      </c>
      <c r="S1594" t="n">
        <v>46220</v>
      </c>
      <c r="T1594" t="inlineStr">
        <is>
          <t>ANALISIS DE CREDITO 1</t>
        </is>
      </c>
      <c r="U1594" t="n">
        <v>462200</v>
      </c>
      <c r="V1594" t="inlineStr">
        <is>
          <t>ANALISIS DE CREDITO 1</t>
        </is>
      </c>
      <c r="W1594" t="n">
        <v>100101</v>
      </c>
      <c r="X1594" t="inlineStr">
        <is>
          <t>CORPORATIVO</t>
        </is>
      </c>
      <c r="Y1594" t="n">
        <v>3</v>
      </c>
      <c r="Z1594" t="inlineStr">
        <is>
          <t>CAMBIARIO</t>
        </is>
      </c>
      <c r="AA1594" t="n">
        <v>1</v>
      </c>
      <c r="AB1594" t="inlineStr">
        <is>
          <t>NEGOCIO EN MARCHA</t>
        </is>
      </c>
      <c r="AC1594" t="n">
        <v>1</v>
      </c>
      <c r="AD1594" t="inlineStr">
        <is>
          <t>BANCO</t>
        </is>
      </c>
      <c r="AE1594" t="n">
        <v>1</v>
      </c>
      <c r="AF1594" t="inlineStr">
        <is>
          <t>BACK</t>
        </is>
      </c>
      <c r="AG1594" t="n">
        <v>100101</v>
      </c>
      <c r="AH1594" t="inlineStr">
        <is>
          <t>CORPORATIVO</t>
        </is>
      </c>
      <c r="AI1594" t="inlineStr">
        <is>
          <t>FSAADE@BANCOBASE.COM</t>
        </is>
      </c>
      <c r="AJ1594" s="151" t="n">
        <v>46056</v>
      </c>
    </row>
    <row r="1595" hidden="1" s="150">
      <c r="A1595" t="inlineStr">
        <is>
          <t>MNAVARRO</t>
        </is>
      </c>
      <c r="B1595" t="n">
        <v>2100</v>
      </c>
      <c r="C1595" t="inlineStr">
        <is>
          <t>MAGALY NAVARRO GONZALEZ</t>
        </is>
      </c>
      <c r="D1595" t="n">
        <v>9035</v>
      </c>
      <c r="E1595" t="inlineStr">
        <is>
          <t>LIDER ANALISIS DE CREDITO</t>
        </is>
      </c>
      <c r="F1595" t="inlineStr">
        <is>
          <t>MONTERREY</t>
        </is>
      </c>
      <c r="G1595" t="n">
        <v>1132</v>
      </c>
      <c r="H1595" t="inlineStr">
        <is>
          <t>AARON CANTU CANTU</t>
        </is>
      </c>
      <c r="I1595" t="n">
        <v>10009</v>
      </c>
      <c r="J1595" t="inlineStr">
        <is>
          <t>SUBDIRECTOR DE ANALISIS DE CREDITO</t>
        </is>
      </c>
      <c r="K1595" t="n">
        <v>1</v>
      </c>
      <c r="L1595" t="inlineStr">
        <is>
          <t>PRESIDENCIA EJECUTIVA DEL CONSEJO</t>
        </is>
      </c>
      <c r="M1595" t="n">
        <v>60</v>
      </c>
      <c r="N1595" t="inlineStr">
        <is>
          <t>DIRECCION RIESGOS</t>
        </is>
      </c>
      <c r="O1595" t="n">
        <v>460</v>
      </c>
      <c r="P1595" t="inlineStr">
        <is>
          <t>DIRECCION CREDITO</t>
        </is>
      </c>
      <c r="Q1595" t="n">
        <v>4620</v>
      </c>
      <c r="R1595" t="inlineStr">
        <is>
          <t>ANALISIS DE CREDITO</t>
        </is>
      </c>
      <c r="S1595" t="n">
        <v>46220</v>
      </c>
      <c r="T1595" t="inlineStr">
        <is>
          <t>ANALISIS DE CREDITO 1</t>
        </is>
      </c>
      <c r="U1595" t="n">
        <v>462200</v>
      </c>
      <c r="V1595" t="inlineStr">
        <is>
          <t>ANALISIS DE CREDITO 1</t>
        </is>
      </c>
      <c r="W1595" t="n">
        <v>100101</v>
      </c>
      <c r="X1595" t="inlineStr">
        <is>
          <t>CORPORATIVO</t>
        </is>
      </c>
      <c r="Y1595" t="n">
        <v>3</v>
      </c>
      <c r="Z1595" t="inlineStr">
        <is>
          <t>CAMBIARIO</t>
        </is>
      </c>
      <c r="AA1595" t="n">
        <v>1</v>
      </c>
      <c r="AB1595" t="inlineStr">
        <is>
          <t>NEGOCIO EN MARCHA</t>
        </is>
      </c>
      <c r="AC1595" t="n">
        <v>1</v>
      </c>
      <c r="AD1595" t="inlineStr">
        <is>
          <t>BANCO</t>
        </is>
      </c>
      <c r="AE1595" t="n">
        <v>1</v>
      </c>
      <c r="AF1595" t="inlineStr">
        <is>
          <t>BACK</t>
        </is>
      </c>
      <c r="AG1595" t="n">
        <v>100101</v>
      </c>
      <c r="AH1595" t="inlineStr">
        <is>
          <t>CORPORATIVO</t>
        </is>
      </c>
      <c r="AI1595" t="inlineStr">
        <is>
          <t>MNAVARRO@BANCOBASE.COM</t>
        </is>
      </c>
      <c r="AJ1595" s="151" t="n">
        <v>43360</v>
      </c>
    </row>
    <row r="1596" hidden="1" s="150">
      <c r="A1596" t="inlineStr">
        <is>
          <t>ERAMIREZC</t>
        </is>
      </c>
      <c r="B1596" t="n">
        <v>2761</v>
      </c>
      <c r="C1596" t="inlineStr">
        <is>
          <t>EDUARDO RAMIREZ CONTRERAS</t>
        </is>
      </c>
      <c r="D1596" t="n">
        <v>8015</v>
      </c>
      <c r="E1596" t="inlineStr">
        <is>
          <t>ANALISTA DE CREDITO SR</t>
        </is>
      </c>
      <c r="F1596" t="inlineStr">
        <is>
          <t>MONTERREY</t>
        </is>
      </c>
      <c r="G1596" t="n">
        <v>2100</v>
      </c>
      <c r="H1596" t="inlineStr">
        <is>
          <t>MAGALY NAVARRO GONZALEZ</t>
        </is>
      </c>
      <c r="I1596" t="n">
        <v>9035</v>
      </c>
      <c r="J1596" t="inlineStr">
        <is>
          <t>LIDER ANALISIS DE CREDITO</t>
        </is>
      </c>
      <c r="K1596" t="n">
        <v>1</v>
      </c>
      <c r="L1596" t="inlineStr">
        <is>
          <t>PRESIDENCIA EJECUTIVA DEL CONSEJO</t>
        </is>
      </c>
      <c r="M1596" t="n">
        <v>60</v>
      </c>
      <c r="N1596" t="inlineStr">
        <is>
          <t>DIRECCION RIESGOS</t>
        </is>
      </c>
      <c r="O1596" t="n">
        <v>460</v>
      </c>
      <c r="P1596" t="inlineStr">
        <is>
          <t>DIRECCION CREDITO</t>
        </is>
      </c>
      <c r="Q1596" t="n">
        <v>4620</v>
      </c>
      <c r="R1596" t="inlineStr">
        <is>
          <t>ANALISIS DE CREDITO</t>
        </is>
      </c>
      <c r="S1596" t="n">
        <v>46220</v>
      </c>
      <c r="T1596" t="inlineStr">
        <is>
          <t>ANALISIS DE CREDITO 1</t>
        </is>
      </c>
      <c r="U1596" t="n">
        <v>462200</v>
      </c>
      <c r="V1596" t="inlineStr">
        <is>
          <t>ANALISIS DE CREDITO 1</t>
        </is>
      </c>
      <c r="W1596" t="n">
        <v>100101</v>
      </c>
      <c r="X1596" t="inlineStr">
        <is>
          <t>CORPORATIVO</t>
        </is>
      </c>
      <c r="Y1596" t="n">
        <v>9</v>
      </c>
      <c r="Z1596" t="inlineStr">
        <is>
          <t>BANCARIO</t>
        </is>
      </c>
      <c r="AA1596" t="n">
        <v>1</v>
      </c>
      <c r="AB1596" t="inlineStr">
        <is>
          <t>NEGOCIO EN MARCHA</t>
        </is>
      </c>
      <c r="AC1596" t="n">
        <v>1</v>
      </c>
      <c r="AD1596" t="inlineStr">
        <is>
          <t>BANCO</t>
        </is>
      </c>
      <c r="AE1596" t="n">
        <v>1</v>
      </c>
      <c r="AF1596" t="inlineStr">
        <is>
          <t>BACK</t>
        </is>
      </c>
      <c r="AG1596" t="n">
        <v>100101</v>
      </c>
      <c r="AH1596" t="inlineStr">
        <is>
          <t>CORPORATIVO</t>
        </is>
      </c>
      <c r="AI1596" t="inlineStr">
        <is>
          <t>ERAMIREZC@BANCOBASE.COM</t>
        </is>
      </c>
      <c r="AJ1596" s="151" t="n">
        <v>44858</v>
      </c>
    </row>
    <row r="1597" hidden="1" s="150">
      <c r="A1597" t="inlineStr">
        <is>
          <t>MREYESE</t>
        </is>
      </c>
      <c r="B1597" t="n">
        <v>3493</v>
      </c>
      <c r="C1597" t="inlineStr">
        <is>
          <t>MAURICIO GERARDO REYES EQUIHUA</t>
        </is>
      </c>
      <c r="D1597" t="n">
        <v>8003</v>
      </c>
      <c r="E1597" t="inlineStr">
        <is>
          <t>ANALISTA DE CONTRAPARTE</t>
        </is>
      </c>
      <c r="F1597" t="inlineStr">
        <is>
          <t>MONTERREY</t>
        </is>
      </c>
      <c r="G1597" t="n">
        <v>2100</v>
      </c>
      <c r="H1597" t="inlineStr">
        <is>
          <t>MAGALY NAVARRO GONZALEZ</t>
        </is>
      </c>
      <c r="I1597" t="n">
        <v>9035</v>
      </c>
      <c r="J1597" t="inlineStr">
        <is>
          <t>LIDER ANALISIS DE CREDITO</t>
        </is>
      </c>
      <c r="K1597" t="n">
        <v>1</v>
      </c>
      <c r="L1597" t="inlineStr">
        <is>
          <t>PRESIDENCIA EJECUTIVA DEL CONSEJO</t>
        </is>
      </c>
      <c r="M1597" t="n">
        <v>60</v>
      </c>
      <c r="N1597" t="inlineStr">
        <is>
          <t>DIRECCION RIESGOS</t>
        </is>
      </c>
      <c r="O1597" t="n">
        <v>460</v>
      </c>
      <c r="P1597" t="inlineStr">
        <is>
          <t>DIRECCION CREDITO</t>
        </is>
      </c>
      <c r="Q1597" t="n">
        <v>4620</v>
      </c>
      <c r="R1597" t="inlineStr">
        <is>
          <t>ANALISIS DE CREDITO</t>
        </is>
      </c>
      <c r="S1597" t="n">
        <v>46220</v>
      </c>
      <c r="T1597" t="inlineStr">
        <is>
          <t>ANALISIS DE CREDITO 1</t>
        </is>
      </c>
      <c r="U1597" t="n">
        <v>462200</v>
      </c>
      <c r="V1597" t="inlineStr">
        <is>
          <t>ANALISIS DE CREDITO 1</t>
        </is>
      </c>
      <c r="W1597" t="n">
        <v>100101</v>
      </c>
      <c r="X1597" t="inlineStr">
        <is>
          <t>CORPORATIVO</t>
        </is>
      </c>
      <c r="Y1597" t="n">
        <v>3</v>
      </c>
      <c r="Z1597" t="inlineStr">
        <is>
          <t>CAMBIARIO</t>
        </is>
      </c>
      <c r="AA1597" t="n">
        <v>1</v>
      </c>
      <c r="AB1597" t="inlineStr">
        <is>
          <t>NEGOCIO EN MARCHA</t>
        </is>
      </c>
      <c r="AC1597" t="n">
        <v>1</v>
      </c>
      <c r="AD1597" t="inlineStr">
        <is>
          <t>BANCO</t>
        </is>
      </c>
      <c r="AE1597" t="n">
        <v>1</v>
      </c>
      <c r="AF1597" t="inlineStr">
        <is>
          <t>BACK</t>
        </is>
      </c>
      <c r="AG1597" t="n">
        <v>100101</v>
      </c>
      <c r="AH1597" t="inlineStr">
        <is>
          <t>CORPORATIVO</t>
        </is>
      </c>
      <c r="AI1597" t="inlineStr">
        <is>
          <t>MREYESE@BANCOBASE.COM</t>
        </is>
      </c>
      <c r="AJ1597" s="151" t="n">
        <v>45870</v>
      </c>
    </row>
    <row r="1598" hidden="1" s="150">
      <c r="A1598" t="inlineStr">
        <is>
          <t>MTOVAR</t>
        </is>
      </c>
      <c r="B1598" t="n">
        <v>2823</v>
      </c>
      <c r="C1598" t="inlineStr">
        <is>
          <t>MIRIAM GUADALUPE TOVAR JIMENEZ</t>
        </is>
      </c>
      <c r="D1598" t="n">
        <v>9436</v>
      </c>
      <c r="E1598" t="inlineStr">
        <is>
          <t>ANALISTA DE CREDITO SR</t>
        </is>
      </c>
      <c r="F1598" t="inlineStr">
        <is>
          <t>MONTERREY</t>
        </is>
      </c>
      <c r="G1598" t="n">
        <v>2100</v>
      </c>
      <c r="H1598" t="inlineStr">
        <is>
          <t>MAGALY NAVARRO GONZALEZ</t>
        </is>
      </c>
      <c r="I1598" t="n">
        <v>9035</v>
      </c>
      <c r="J1598" t="inlineStr">
        <is>
          <t>LIDER ANALISIS DE CREDITO</t>
        </is>
      </c>
      <c r="K1598" t="n">
        <v>1</v>
      </c>
      <c r="L1598" t="inlineStr">
        <is>
          <t>PRESIDENCIA EJECUTIVA DEL CONSEJO</t>
        </is>
      </c>
      <c r="M1598" t="n">
        <v>60</v>
      </c>
      <c r="N1598" t="inlineStr">
        <is>
          <t>DIRECCION RIESGOS</t>
        </is>
      </c>
      <c r="O1598" t="n">
        <v>460</v>
      </c>
      <c r="P1598" t="inlineStr">
        <is>
          <t>DIRECCION CREDITO</t>
        </is>
      </c>
      <c r="Q1598" t="n">
        <v>4620</v>
      </c>
      <c r="R1598" t="inlineStr">
        <is>
          <t>ANALISIS DE CREDITO</t>
        </is>
      </c>
      <c r="S1598" t="n">
        <v>46220</v>
      </c>
      <c r="T1598" t="inlineStr">
        <is>
          <t>ANALISIS DE CREDITO 1</t>
        </is>
      </c>
      <c r="U1598" t="n">
        <v>462200</v>
      </c>
      <c r="V1598" t="inlineStr">
        <is>
          <t>ANALISIS DE CREDITO 1</t>
        </is>
      </c>
      <c r="W1598" t="n">
        <v>100101</v>
      </c>
      <c r="X1598" t="inlineStr">
        <is>
          <t>CORPORATIVO</t>
        </is>
      </c>
      <c r="Y1598" t="n">
        <v>9</v>
      </c>
      <c r="Z1598" t="inlineStr">
        <is>
          <t>BANCARIO</t>
        </is>
      </c>
      <c r="AA1598" t="n">
        <v>1</v>
      </c>
      <c r="AB1598" t="inlineStr">
        <is>
          <t>NEGOCIO EN MARCHA</t>
        </is>
      </c>
      <c r="AC1598" t="n">
        <v>1</v>
      </c>
      <c r="AD1598" t="inlineStr">
        <is>
          <t>BANCO</t>
        </is>
      </c>
      <c r="AE1598" t="n">
        <v>1</v>
      </c>
      <c r="AF1598" t="inlineStr">
        <is>
          <t>BACK</t>
        </is>
      </c>
      <c r="AG1598" t="n">
        <v>100101</v>
      </c>
      <c r="AH1598" t="inlineStr">
        <is>
          <t>CORPORATIVO</t>
        </is>
      </c>
      <c r="AI1598" t="inlineStr">
        <is>
          <t>MTOVAR@BANCOBASE.COM</t>
        </is>
      </c>
      <c r="AJ1598" s="151" t="n">
        <v>44959</v>
      </c>
    </row>
    <row r="1599" hidden="1" s="150">
      <c r="A1599" t="inlineStr">
        <is>
          <t>PSALCE</t>
        </is>
      </c>
      <c r="B1599" t="n">
        <v>2260</v>
      </c>
      <c r="C1599" t="inlineStr">
        <is>
          <t>PATRICIA SALCE GARZA</t>
        </is>
      </c>
      <c r="D1599" t="n">
        <v>8158</v>
      </c>
      <c r="E1599" t="inlineStr">
        <is>
          <t>ANALISTA DE CREDITO SR</t>
        </is>
      </c>
      <c r="F1599" t="inlineStr">
        <is>
          <t>MONTERREY</t>
        </is>
      </c>
      <c r="G1599" t="n">
        <v>2100</v>
      </c>
      <c r="H1599" t="inlineStr">
        <is>
          <t>MAGALY NAVARRO GONZALEZ</t>
        </is>
      </c>
      <c r="I1599" t="n">
        <v>9035</v>
      </c>
      <c r="J1599" t="inlineStr">
        <is>
          <t>LIDER ANALISIS DE CREDITO</t>
        </is>
      </c>
      <c r="K1599" t="n">
        <v>1</v>
      </c>
      <c r="L1599" t="inlineStr">
        <is>
          <t>PRESIDENCIA EJECUTIVA DEL CONSEJO</t>
        </is>
      </c>
      <c r="M1599" t="n">
        <v>60</v>
      </c>
      <c r="N1599" t="inlineStr">
        <is>
          <t>DIRECCION RIESGOS</t>
        </is>
      </c>
      <c r="O1599" t="n">
        <v>460</v>
      </c>
      <c r="P1599" t="inlineStr">
        <is>
          <t>DIRECCION CREDITO</t>
        </is>
      </c>
      <c r="Q1599" t="n">
        <v>4620</v>
      </c>
      <c r="R1599" t="inlineStr">
        <is>
          <t>ANALISIS DE CREDITO</t>
        </is>
      </c>
      <c r="S1599" t="n">
        <v>46220</v>
      </c>
      <c r="T1599" t="inlineStr">
        <is>
          <t>ANALISIS DE CREDITO 1</t>
        </is>
      </c>
      <c r="U1599" t="n">
        <v>462200</v>
      </c>
      <c r="V1599" t="inlineStr">
        <is>
          <t>ANALISIS DE CREDITO 1</t>
        </is>
      </c>
      <c r="W1599" t="n">
        <v>100101</v>
      </c>
      <c r="X1599" t="inlineStr">
        <is>
          <t>CORPORATIVO</t>
        </is>
      </c>
      <c r="Y1599" t="n">
        <v>3</v>
      </c>
      <c r="Z1599" t="inlineStr">
        <is>
          <t>CAMBIARIO</t>
        </is>
      </c>
      <c r="AA1599" t="n">
        <v>1</v>
      </c>
      <c r="AB1599" t="inlineStr">
        <is>
          <t>NEGOCIO EN MARCHA</t>
        </is>
      </c>
      <c r="AC1599" t="n">
        <v>1</v>
      </c>
      <c r="AD1599" t="inlineStr">
        <is>
          <t>BANCO</t>
        </is>
      </c>
      <c r="AE1599" t="n">
        <v>1</v>
      </c>
      <c r="AF1599" t="inlineStr">
        <is>
          <t>BACK</t>
        </is>
      </c>
      <c r="AG1599" t="n">
        <v>100101</v>
      </c>
      <c r="AH1599" t="inlineStr">
        <is>
          <t>CORPORATIVO</t>
        </is>
      </c>
      <c r="AI1599" t="inlineStr">
        <is>
          <t>PSALCE@BANCOBASE.COM</t>
        </is>
      </c>
      <c r="AJ1599" s="151" t="n">
        <v>43619</v>
      </c>
    </row>
    <row r="1600" hidden="1" s="150">
      <c r="A1600" t="inlineStr">
        <is>
          <t>SREYNAM</t>
        </is>
      </c>
      <c r="B1600" t="n">
        <v>2518</v>
      </c>
      <c r="C1600" t="inlineStr">
        <is>
          <t>SANDRA DEYANIRA REYNA MOYA</t>
        </is>
      </c>
      <c r="D1600" t="n">
        <v>9936</v>
      </c>
      <c r="E1600" t="inlineStr">
        <is>
          <t>ANALISTA DE CREDITO JR</t>
        </is>
      </c>
      <c r="F1600" t="inlineStr">
        <is>
          <t>MONTERREY</t>
        </is>
      </c>
      <c r="G1600" t="n">
        <v>2100</v>
      </c>
      <c r="H1600" t="inlineStr">
        <is>
          <t>MAGALY NAVARRO GONZALEZ</t>
        </is>
      </c>
      <c r="I1600" t="n">
        <v>9035</v>
      </c>
      <c r="J1600" t="inlineStr">
        <is>
          <t>LIDER ANALISIS DE CREDITO</t>
        </is>
      </c>
      <c r="K1600" t="n">
        <v>1</v>
      </c>
      <c r="L1600" t="inlineStr">
        <is>
          <t>PRESIDENCIA EJECUTIVA DEL CONSEJO</t>
        </is>
      </c>
      <c r="M1600" t="n">
        <v>60</v>
      </c>
      <c r="N1600" t="inlineStr">
        <is>
          <t>DIRECCION RIESGOS</t>
        </is>
      </c>
      <c r="O1600" t="n">
        <v>460</v>
      </c>
      <c r="P1600" t="inlineStr">
        <is>
          <t>DIRECCION CREDITO</t>
        </is>
      </c>
      <c r="Q1600" t="n">
        <v>4620</v>
      </c>
      <c r="R1600" t="inlineStr">
        <is>
          <t>ANALISIS DE CREDITO</t>
        </is>
      </c>
      <c r="S1600" t="n">
        <v>46220</v>
      </c>
      <c r="T1600" t="inlineStr">
        <is>
          <t>ANALISIS DE CREDITO 1</t>
        </is>
      </c>
      <c r="U1600" t="n">
        <v>462200</v>
      </c>
      <c r="V1600" t="inlineStr">
        <is>
          <t>ANALISIS DE CREDITO 1</t>
        </is>
      </c>
      <c r="W1600" t="n">
        <v>100101</v>
      </c>
      <c r="X1600" t="inlineStr">
        <is>
          <t>CORPORATIVO</t>
        </is>
      </c>
      <c r="Y1600" t="n">
        <v>9</v>
      </c>
      <c r="Z1600" t="inlineStr">
        <is>
          <t>BANCARIO</t>
        </is>
      </c>
      <c r="AA1600" t="n">
        <v>1</v>
      </c>
      <c r="AB1600" t="inlineStr">
        <is>
          <t>NEGOCIO EN MARCHA</t>
        </is>
      </c>
      <c r="AC1600" t="n">
        <v>1</v>
      </c>
      <c r="AD1600" t="inlineStr">
        <is>
          <t>BANCO</t>
        </is>
      </c>
      <c r="AE1600" t="n">
        <v>1</v>
      </c>
      <c r="AF1600" t="inlineStr">
        <is>
          <t>BACK</t>
        </is>
      </c>
      <c r="AG1600" t="n">
        <v>100101</v>
      </c>
      <c r="AH1600" t="inlineStr">
        <is>
          <t>CORPORATIVO</t>
        </is>
      </c>
      <c r="AI1600" t="inlineStr">
        <is>
          <t>SREYNAM@BANCOBASE.COM</t>
        </is>
      </c>
      <c r="AJ1600" s="151" t="n">
        <v>44378</v>
      </c>
    </row>
    <row r="1601" hidden="1" s="150">
      <c r="A1601" t="inlineStr">
        <is>
          <t>THERNANDEM</t>
        </is>
      </c>
      <c r="B1601" t="n">
        <v>2569</v>
      </c>
      <c r="C1601" t="inlineStr">
        <is>
          <t>TATIANA HERNANDEZ MORALES</t>
        </is>
      </c>
      <c r="D1601" t="n">
        <v>9785</v>
      </c>
      <c r="E1601" t="inlineStr">
        <is>
          <t>SUBDIRECTOR DE ANALISIS DE CREDITO</t>
        </is>
      </c>
      <c r="F1601" t="inlineStr">
        <is>
          <t>MEXICO</t>
        </is>
      </c>
      <c r="G1601" t="n">
        <v>1881</v>
      </c>
      <c r="H1601" t="inlineStr">
        <is>
          <t>LUIS ANTONIO NOVELO LAZO</t>
        </is>
      </c>
      <c r="I1601" t="n">
        <v>5</v>
      </c>
      <c r="J1601" t="inlineStr">
        <is>
          <t>DIRECTOR DE CREDITO</t>
        </is>
      </c>
      <c r="K1601" t="n">
        <v>1</v>
      </c>
      <c r="L1601" t="inlineStr">
        <is>
          <t>PRESIDENCIA EJECUTIVA DEL CONSEJO</t>
        </is>
      </c>
      <c r="M1601" t="n">
        <v>60</v>
      </c>
      <c r="N1601" t="inlineStr">
        <is>
          <t>DIRECCION RIESGOS</t>
        </is>
      </c>
      <c r="O1601" t="n">
        <v>460</v>
      </c>
      <c r="P1601" t="inlineStr">
        <is>
          <t>DIRECCION CREDITO</t>
        </is>
      </c>
      <c r="Q1601" t="n">
        <v>4620</v>
      </c>
      <c r="R1601" t="inlineStr">
        <is>
          <t>ANALISIS DE CREDITO</t>
        </is>
      </c>
      <c r="S1601" t="n">
        <v>46230</v>
      </c>
      <c r="T1601" t="inlineStr">
        <is>
          <t>ANALISIS DE CREDITO 2</t>
        </is>
      </c>
      <c r="U1601" t="n">
        <v>462300</v>
      </c>
      <c r="V1601" t="inlineStr">
        <is>
          <t>ANALISIS DE CREDITO 2</t>
        </is>
      </c>
      <c r="W1601" t="n">
        <v>134111</v>
      </c>
      <c r="X1601" t="inlineStr">
        <is>
          <t>LOMAS</t>
        </is>
      </c>
      <c r="Y1601" t="n">
        <v>4</v>
      </c>
      <c r="Z1601" t="inlineStr">
        <is>
          <t>CORPORATIVO</t>
        </is>
      </c>
      <c r="AA1601" t="n">
        <v>1</v>
      </c>
      <c r="AB1601" t="inlineStr">
        <is>
          <t>NEGOCIO EN MARCHA</t>
        </is>
      </c>
      <c r="AC1601" t="n">
        <v>1</v>
      </c>
      <c r="AD1601" t="inlineStr">
        <is>
          <t>BANCO</t>
        </is>
      </c>
      <c r="AE1601" t="n">
        <v>1</v>
      </c>
      <c r="AF1601" t="inlineStr">
        <is>
          <t>BACK</t>
        </is>
      </c>
      <c r="AG1601" t="n">
        <v>134111</v>
      </c>
      <c r="AH1601" t="inlineStr">
        <is>
          <t>LOMAS</t>
        </is>
      </c>
      <c r="AI1601" t="inlineStr">
        <is>
          <t>THERNANDEM@BANCOBASE.COM</t>
        </is>
      </c>
      <c r="AJ1601" s="151" t="n">
        <v>44508</v>
      </c>
    </row>
    <row r="1602" hidden="1" s="150">
      <c r="A1602" t="inlineStr">
        <is>
          <t>IBAEZ</t>
        </is>
      </c>
      <c r="B1602" t="n">
        <v>3317</v>
      </c>
      <c r="C1602" t="inlineStr">
        <is>
          <t>IVAN BAEZ ARANZA</t>
        </is>
      </c>
      <c r="D1602" t="n">
        <v>9844</v>
      </c>
      <c r="E1602" t="inlineStr">
        <is>
          <t>LIDER ANALISIS DE CREDITO</t>
        </is>
      </c>
      <c r="F1602" t="inlineStr">
        <is>
          <t>MEXICO</t>
        </is>
      </c>
      <c r="G1602" t="n">
        <v>2569</v>
      </c>
      <c r="H1602" t="inlineStr">
        <is>
          <t>TATIANA HERNANDEZ MORALES</t>
        </is>
      </c>
      <c r="I1602" t="n">
        <v>9785</v>
      </c>
      <c r="J1602" t="inlineStr">
        <is>
          <t>SUBDIRECTOR DE ANALISIS DE CREDITO</t>
        </is>
      </c>
      <c r="K1602" t="n">
        <v>1</v>
      </c>
      <c r="L1602" t="inlineStr">
        <is>
          <t>PRESIDENCIA EJECUTIVA DEL CONSEJO</t>
        </is>
      </c>
      <c r="M1602" t="n">
        <v>60</v>
      </c>
      <c r="N1602" t="inlineStr">
        <is>
          <t>DIRECCION RIESGOS</t>
        </is>
      </c>
      <c r="O1602" t="n">
        <v>460</v>
      </c>
      <c r="P1602" t="inlineStr">
        <is>
          <t>DIRECCION CREDITO</t>
        </is>
      </c>
      <c r="Q1602" t="n">
        <v>4620</v>
      </c>
      <c r="R1602" t="inlineStr">
        <is>
          <t>ANALISIS DE CREDITO</t>
        </is>
      </c>
      <c r="S1602" t="n">
        <v>46230</v>
      </c>
      <c r="T1602" t="inlineStr">
        <is>
          <t>ANALISIS DE CREDITO 2</t>
        </is>
      </c>
      <c r="U1602" t="n">
        <v>462300</v>
      </c>
      <c r="V1602" t="inlineStr">
        <is>
          <t>ANALISIS DE CREDITO 2</t>
        </is>
      </c>
      <c r="W1602" t="n">
        <v>134111</v>
      </c>
      <c r="X1602" t="inlineStr">
        <is>
          <t>LOMAS</t>
        </is>
      </c>
      <c r="Y1602" t="n">
        <v>9</v>
      </c>
      <c r="Z1602" t="inlineStr">
        <is>
          <t>BANCARIO</t>
        </is>
      </c>
      <c r="AA1602" t="n">
        <v>1</v>
      </c>
      <c r="AB1602" t="inlineStr">
        <is>
          <t>NEGOCIO EN MARCHA</t>
        </is>
      </c>
      <c r="AC1602" t="n">
        <v>1</v>
      </c>
      <c r="AD1602" t="inlineStr">
        <is>
          <t>BANCO</t>
        </is>
      </c>
      <c r="AE1602" t="n">
        <v>1</v>
      </c>
      <c r="AF1602" t="inlineStr">
        <is>
          <t>BACK</t>
        </is>
      </c>
      <c r="AG1602" t="n">
        <v>134111</v>
      </c>
      <c r="AH1602" t="inlineStr">
        <is>
          <t>LOMAS</t>
        </is>
      </c>
      <c r="AI1602" t="inlineStr">
        <is>
          <t>IBAEZ@BANCOBASE.COM</t>
        </is>
      </c>
      <c r="AJ1602" s="151" t="n">
        <v>45673</v>
      </c>
    </row>
    <row r="1603" hidden="1" s="150">
      <c r="A1603" t="inlineStr">
        <is>
          <t>AURBAN</t>
        </is>
      </c>
      <c r="B1603" t="n">
        <v>2908</v>
      </c>
      <c r="C1603" t="inlineStr">
        <is>
          <t>ANDRES URBAN VICTORIA</t>
        </is>
      </c>
      <c r="D1603" t="n">
        <v>9853</v>
      </c>
      <c r="E1603" t="inlineStr">
        <is>
          <t>ANALISTA DE CREDITO SR</t>
        </is>
      </c>
      <c r="F1603" t="inlineStr">
        <is>
          <t>MEXICO</t>
        </is>
      </c>
      <c r="G1603" t="n">
        <v>3317</v>
      </c>
      <c r="H1603" t="inlineStr">
        <is>
          <t>IVAN BAEZ ARANZA</t>
        </is>
      </c>
      <c r="I1603" t="n">
        <v>9844</v>
      </c>
      <c r="J1603" t="inlineStr">
        <is>
          <t>LIDER ANALISIS DE CREDITO</t>
        </is>
      </c>
      <c r="K1603" t="n">
        <v>1</v>
      </c>
      <c r="L1603" t="inlineStr">
        <is>
          <t>PRESIDENCIA EJECUTIVA DEL CONSEJO</t>
        </is>
      </c>
      <c r="M1603" t="n">
        <v>60</v>
      </c>
      <c r="N1603" t="inlineStr">
        <is>
          <t>DIRECCION RIESGOS</t>
        </is>
      </c>
      <c r="O1603" t="n">
        <v>460</v>
      </c>
      <c r="P1603" t="inlineStr">
        <is>
          <t>DIRECCION CREDITO</t>
        </is>
      </c>
      <c r="Q1603" t="n">
        <v>4620</v>
      </c>
      <c r="R1603" t="inlineStr">
        <is>
          <t>ANALISIS DE CREDITO</t>
        </is>
      </c>
      <c r="S1603" t="n">
        <v>46230</v>
      </c>
      <c r="T1603" t="inlineStr">
        <is>
          <t>ANALISIS DE CREDITO 2</t>
        </is>
      </c>
      <c r="U1603" t="n">
        <v>462300</v>
      </c>
      <c r="V1603" t="inlineStr">
        <is>
          <t>ANALISIS DE CREDITO 2</t>
        </is>
      </c>
      <c r="W1603" t="n">
        <v>134111</v>
      </c>
      <c r="X1603" t="inlineStr">
        <is>
          <t>LOMAS</t>
        </is>
      </c>
      <c r="Y1603" t="n">
        <v>9</v>
      </c>
      <c r="Z1603" t="inlineStr">
        <is>
          <t>BANCARIO</t>
        </is>
      </c>
      <c r="AA1603" t="n">
        <v>1</v>
      </c>
      <c r="AB1603" t="inlineStr">
        <is>
          <t>NEGOCIO EN MARCHA</t>
        </is>
      </c>
      <c r="AC1603" t="n">
        <v>1</v>
      </c>
      <c r="AD1603" t="inlineStr">
        <is>
          <t>BANCO</t>
        </is>
      </c>
      <c r="AE1603" t="n">
        <v>1</v>
      </c>
      <c r="AF1603" t="inlineStr">
        <is>
          <t>BACK</t>
        </is>
      </c>
      <c r="AG1603" t="n">
        <v>134111</v>
      </c>
      <c r="AH1603" t="inlineStr">
        <is>
          <t>LOMAS</t>
        </is>
      </c>
      <c r="AI1603" t="inlineStr">
        <is>
          <t>AURBAN@BANCOBASE.COM</t>
        </is>
      </c>
      <c r="AJ1603" s="151" t="n">
        <v>45093</v>
      </c>
    </row>
    <row r="1604" hidden="1" s="150">
      <c r="A1604" t="inlineStr">
        <is>
          <t>CCOPADO</t>
        </is>
      </c>
      <c r="B1604" t="n">
        <v>3817</v>
      </c>
      <c r="C1604" t="inlineStr">
        <is>
          <t>CARLOS COPADO BARRIENTOS</t>
        </is>
      </c>
      <c r="D1604" t="n">
        <v>9788</v>
      </c>
      <c r="E1604" t="inlineStr">
        <is>
          <t>ANALISTA DE CREDITO SR</t>
        </is>
      </c>
      <c r="F1604" t="inlineStr">
        <is>
          <t>MEXICO</t>
        </is>
      </c>
      <c r="G1604" t="n">
        <v>3317</v>
      </c>
      <c r="H1604" t="inlineStr">
        <is>
          <t>IVAN BAEZ ARANZA</t>
        </is>
      </c>
      <c r="I1604" t="n">
        <v>9844</v>
      </c>
      <c r="J1604" t="inlineStr">
        <is>
          <t>LIDER ANALISIS DE CREDITO</t>
        </is>
      </c>
      <c r="K1604" t="n">
        <v>1</v>
      </c>
      <c r="L1604" t="inlineStr">
        <is>
          <t>PRESIDENCIA EJECUTIVA DEL CONSEJO</t>
        </is>
      </c>
      <c r="M1604" t="n">
        <v>60</v>
      </c>
      <c r="N1604" t="inlineStr">
        <is>
          <t>DIRECCION RIESGOS</t>
        </is>
      </c>
      <c r="O1604" t="n">
        <v>460</v>
      </c>
      <c r="P1604" t="inlineStr">
        <is>
          <t>DIRECCION CREDITO</t>
        </is>
      </c>
      <c r="Q1604" t="n">
        <v>4620</v>
      </c>
      <c r="R1604" t="inlineStr">
        <is>
          <t>ANALISIS DE CREDITO</t>
        </is>
      </c>
      <c r="S1604" t="n">
        <v>46230</v>
      </c>
      <c r="T1604" t="inlineStr">
        <is>
          <t>ANALISIS DE CREDITO 2</t>
        </is>
      </c>
      <c r="U1604" t="n">
        <v>462300</v>
      </c>
      <c r="V1604" t="inlineStr">
        <is>
          <t>ANALISIS DE CREDITO 2</t>
        </is>
      </c>
      <c r="W1604" t="n">
        <v>134111</v>
      </c>
      <c r="X1604" t="inlineStr">
        <is>
          <t>LOMAS</t>
        </is>
      </c>
      <c r="Y1604" t="n">
        <v>9</v>
      </c>
      <c r="Z1604" t="inlineStr">
        <is>
          <t>BANCARIO</t>
        </is>
      </c>
      <c r="AA1604" t="n">
        <v>1</v>
      </c>
      <c r="AB1604" t="inlineStr">
        <is>
          <t>NEGOCIO EN MARCHA</t>
        </is>
      </c>
      <c r="AC1604" t="n">
        <v>1</v>
      </c>
      <c r="AD1604" t="inlineStr">
        <is>
          <t>BANCO</t>
        </is>
      </c>
      <c r="AE1604" t="n">
        <v>1</v>
      </c>
      <c r="AF1604" t="inlineStr">
        <is>
          <t>BACK</t>
        </is>
      </c>
      <c r="AG1604" t="n">
        <v>134111</v>
      </c>
      <c r="AH1604" t="inlineStr">
        <is>
          <t>LOMAS</t>
        </is>
      </c>
      <c r="AI1604" t="inlineStr">
        <is>
          <t>CCOPADO@BANCOBASE.COM</t>
        </is>
      </c>
      <c r="AJ1604" s="151" t="n">
        <v>46128</v>
      </c>
    </row>
    <row r="1605" hidden="1" s="150">
      <c r="A1605" t="inlineStr">
        <is>
          <t>RESTRADAM</t>
        </is>
      </c>
      <c r="B1605" t="n">
        <v>2861</v>
      </c>
      <c r="C1605" t="inlineStr">
        <is>
          <t>ROCIO ALEJANDRA ESTRADA MORALES</t>
        </is>
      </c>
      <c r="D1605" t="n">
        <v>9787</v>
      </c>
      <c r="E1605" t="inlineStr">
        <is>
          <t>ANALISTA DE CREDITO JR</t>
        </is>
      </c>
      <c r="F1605" t="inlineStr">
        <is>
          <t>MEXICO</t>
        </is>
      </c>
      <c r="G1605" t="n">
        <v>3317</v>
      </c>
      <c r="H1605" t="inlineStr">
        <is>
          <t>IVAN BAEZ ARANZA</t>
        </is>
      </c>
      <c r="I1605" t="n">
        <v>9844</v>
      </c>
      <c r="J1605" t="inlineStr">
        <is>
          <t>LIDER ANALISIS DE CREDITO</t>
        </is>
      </c>
      <c r="K1605" t="n">
        <v>1</v>
      </c>
      <c r="L1605" t="inlineStr">
        <is>
          <t>PRESIDENCIA EJECUTIVA DEL CONSEJO</t>
        </is>
      </c>
      <c r="M1605" t="n">
        <v>60</v>
      </c>
      <c r="N1605" t="inlineStr">
        <is>
          <t>DIRECCION RIESGOS</t>
        </is>
      </c>
      <c r="O1605" t="n">
        <v>460</v>
      </c>
      <c r="P1605" t="inlineStr">
        <is>
          <t>DIRECCION CREDITO</t>
        </is>
      </c>
      <c r="Q1605" t="n">
        <v>4620</v>
      </c>
      <c r="R1605" t="inlineStr">
        <is>
          <t>ANALISIS DE CREDITO</t>
        </is>
      </c>
      <c r="S1605" t="n">
        <v>46230</v>
      </c>
      <c r="T1605" t="inlineStr">
        <is>
          <t>ANALISIS DE CREDITO 2</t>
        </is>
      </c>
      <c r="U1605" t="n">
        <v>462300</v>
      </c>
      <c r="V1605" t="inlineStr">
        <is>
          <t>ANALISIS DE CREDITO 2</t>
        </is>
      </c>
      <c r="W1605" t="n">
        <v>134111</v>
      </c>
      <c r="X1605" t="inlineStr">
        <is>
          <t>LOMAS</t>
        </is>
      </c>
      <c r="Y1605" t="n">
        <v>9</v>
      </c>
      <c r="Z1605" t="inlineStr">
        <is>
          <t>BANCARIO</t>
        </is>
      </c>
      <c r="AA1605" t="n">
        <v>1</v>
      </c>
      <c r="AB1605" t="inlineStr">
        <is>
          <t>NEGOCIO EN MARCHA</t>
        </is>
      </c>
      <c r="AC1605" t="n">
        <v>1</v>
      </c>
      <c r="AD1605" t="inlineStr">
        <is>
          <t>BANCO</t>
        </is>
      </c>
      <c r="AE1605" t="n">
        <v>1</v>
      </c>
      <c r="AF1605" t="inlineStr">
        <is>
          <t>BACK</t>
        </is>
      </c>
      <c r="AG1605" t="n">
        <v>134111</v>
      </c>
      <c r="AH1605" t="inlineStr">
        <is>
          <t>LOMAS</t>
        </is>
      </c>
      <c r="AI1605" t="inlineStr">
        <is>
          <t>RESTRADAM@BANCOBASE.COM</t>
        </is>
      </c>
      <c r="AJ1605" s="151" t="n">
        <v>45001</v>
      </c>
    </row>
    <row r="1606" hidden="1" s="150">
      <c r="A1606" t="inlineStr">
        <is>
          <t>NMARTINEZA</t>
        </is>
      </c>
      <c r="B1606" t="n">
        <v>2312</v>
      </c>
      <c r="C1606" t="inlineStr">
        <is>
          <t>NADEZHDA MARTINEZ AGUILAR</t>
        </is>
      </c>
      <c r="D1606" t="n">
        <v>8382</v>
      </c>
      <c r="E1606" t="inlineStr">
        <is>
          <t>LIDER ANALISIS DE CREDITO</t>
        </is>
      </c>
      <c r="F1606" t="inlineStr">
        <is>
          <t>MONTERREY</t>
        </is>
      </c>
      <c r="G1606" t="n">
        <v>2569</v>
      </c>
      <c r="H1606" t="inlineStr">
        <is>
          <t>TATIANA HERNANDEZ MORALES</t>
        </is>
      </c>
      <c r="I1606" t="n">
        <v>9785</v>
      </c>
      <c r="J1606" t="inlineStr">
        <is>
          <t>SUBDIRECTOR DE ANALISIS DE CREDITO</t>
        </is>
      </c>
      <c r="K1606" t="n">
        <v>1</v>
      </c>
      <c r="L1606" t="inlineStr">
        <is>
          <t>PRESIDENCIA EJECUTIVA DEL CONSEJO</t>
        </is>
      </c>
      <c r="M1606" t="n">
        <v>60</v>
      </c>
      <c r="N1606" t="inlineStr">
        <is>
          <t>DIRECCION RIESGOS</t>
        </is>
      </c>
      <c r="O1606" t="n">
        <v>460</v>
      </c>
      <c r="P1606" t="inlineStr">
        <is>
          <t>DIRECCION CREDITO</t>
        </is>
      </c>
      <c r="Q1606" t="n">
        <v>4620</v>
      </c>
      <c r="R1606" t="inlineStr">
        <is>
          <t>ANALISIS DE CREDITO</t>
        </is>
      </c>
      <c r="S1606" t="n">
        <v>46230</v>
      </c>
      <c r="T1606" t="inlineStr">
        <is>
          <t>ANALISIS DE CREDITO 2</t>
        </is>
      </c>
      <c r="U1606" t="n">
        <v>462300</v>
      </c>
      <c r="V1606" t="inlineStr">
        <is>
          <t>ANALISIS DE CREDITO 2</t>
        </is>
      </c>
      <c r="W1606" t="n">
        <v>100101</v>
      </c>
      <c r="X1606" t="inlineStr">
        <is>
          <t>CORPORATIVO</t>
        </is>
      </c>
      <c r="Y1606" t="n">
        <v>3</v>
      </c>
      <c r="Z1606" t="inlineStr">
        <is>
          <t>CAMBIARIO</t>
        </is>
      </c>
      <c r="AA1606" t="n">
        <v>1</v>
      </c>
      <c r="AB1606" t="inlineStr">
        <is>
          <t>NEGOCIO EN MARCHA</t>
        </is>
      </c>
      <c r="AC1606" t="n">
        <v>1</v>
      </c>
      <c r="AD1606" t="inlineStr">
        <is>
          <t>BANCO</t>
        </is>
      </c>
      <c r="AE1606" t="n">
        <v>1</v>
      </c>
      <c r="AF1606" t="inlineStr">
        <is>
          <t>BACK</t>
        </is>
      </c>
      <c r="AG1606" t="n">
        <v>100101</v>
      </c>
      <c r="AH1606" t="inlineStr">
        <is>
          <t>CORPORATIVO</t>
        </is>
      </c>
      <c r="AI1606" t="inlineStr">
        <is>
          <t>NMARTINEZA@BANCOBASE.COM</t>
        </is>
      </c>
      <c r="AJ1606" s="151" t="n">
        <v>43710</v>
      </c>
    </row>
    <row r="1607" hidden="1" s="150">
      <c r="A1607" t="inlineStr">
        <is>
          <t>ABARRERAC</t>
        </is>
      </c>
      <c r="B1607" t="n">
        <v>3068</v>
      </c>
      <c r="C1607" t="inlineStr">
        <is>
          <t>ALBERTO BARRERA CANTU</t>
        </is>
      </c>
      <c r="D1607" t="n">
        <v>9478</v>
      </c>
      <c r="E1607" t="inlineStr">
        <is>
          <t>ANALISTA DE CONTRAPARTE</t>
        </is>
      </c>
      <c r="F1607" t="inlineStr">
        <is>
          <t>MONTERREY</t>
        </is>
      </c>
      <c r="G1607" t="n">
        <v>2312</v>
      </c>
      <c r="H1607" t="inlineStr">
        <is>
          <t>NADEZHDA MARTINEZ AGUILAR</t>
        </is>
      </c>
      <c r="I1607" t="n">
        <v>8382</v>
      </c>
      <c r="J1607" t="inlineStr">
        <is>
          <t>LIDER ANALISIS DE CREDITO</t>
        </is>
      </c>
      <c r="K1607" t="n">
        <v>1</v>
      </c>
      <c r="L1607" t="inlineStr">
        <is>
          <t>PRESIDENCIA EJECUTIVA DEL CONSEJO</t>
        </is>
      </c>
      <c r="M1607" t="n">
        <v>60</v>
      </c>
      <c r="N1607" t="inlineStr">
        <is>
          <t>DIRECCION RIESGOS</t>
        </is>
      </c>
      <c r="O1607" t="n">
        <v>460</v>
      </c>
      <c r="P1607" t="inlineStr">
        <is>
          <t>DIRECCION CREDITO</t>
        </is>
      </c>
      <c r="Q1607" t="n">
        <v>4620</v>
      </c>
      <c r="R1607" t="inlineStr">
        <is>
          <t>ANALISIS DE CREDITO</t>
        </is>
      </c>
      <c r="S1607" t="n">
        <v>46230</v>
      </c>
      <c r="T1607" t="inlineStr">
        <is>
          <t>ANALISIS DE CREDITO 2</t>
        </is>
      </c>
      <c r="U1607" t="n">
        <v>462300</v>
      </c>
      <c r="V1607" t="inlineStr">
        <is>
          <t>ANALISIS DE CREDITO 2</t>
        </is>
      </c>
      <c r="W1607" t="n">
        <v>100101</v>
      </c>
      <c r="X1607" t="inlineStr">
        <is>
          <t>CORPORATIVO</t>
        </is>
      </c>
      <c r="Y1607" t="n">
        <v>3</v>
      </c>
      <c r="Z1607" t="inlineStr">
        <is>
          <t>CAMBIARIO</t>
        </is>
      </c>
      <c r="AA1607" t="n">
        <v>1</v>
      </c>
      <c r="AB1607" t="inlineStr">
        <is>
          <t>NEGOCIO EN MARCHA</t>
        </is>
      </c>
      <c r="AC1607" t="n">
        <v>1</v>
      </c>
      <c r="AD1607" t="inlineStr">
        <is>
          <t>BANCO</t>
        </is>
      </c>
      <c r="AE1607" t="n">
        <v>1</v>
      </c>
      <c r="AF1607" t="inlineStr">
        <is>
          <t>BACK</t>
        </is>
      </c>
      <c r="AG1607" t="n">
        <v>100101</v>
      </c>
      <c r="AH1607" t="inlineStr">
        <is>
          <t>CORPORATIVO</t>
        </is>
      </c>
      <c r="AI1607" t="inlineStr">
        <is>
          <t>ABARRERAC@BANCOBASE.COM</t>
        </is>
      </c>
      <c r="AJ1607" s="151" t="n">
        <v>45383</v>
      </c>
    </row>
    <row r="1608" hidden="1" s="150">
      <c r="A1608" t="inlineStr">
        <is>
          <t>ACAVAZOSR</t>
        </is>
      </c>
      <c r="B1608" t="n">
        <v>2559</v>
      </c>
      <c r="C1608" t="inlineStr">
        <is>
          <t>ARELY CAVAZOS ROCHA</t>
        </is>
      </c>
      <c r="D1608" t="n">
        <v>9351</v>
      </c>
      <c r="E1608" t="inlineStr">
        <is>
          <t>ANALISTA DE CREDITO SR</t>
        </is>
      </c>
      <c r="F1608" t="inlineStr">
        <is>
          <t>MONTERREY</t>
        </is>
      </c>
      <c r="G1608" t="n">
        <v>2312</v>
      </c>
      <c r="H1608" t="inlineStr">
        <is>
          <t>NADEZHDA MARTINEZ AGUILAR</t>
        </is>
      </c>
      <c r="I1608" t="n">
        <v>8382</v>
      </c>
      <c r="J1608" t="inlineStr">
        <is>
          <t>LIDER ANALISIS DE CREDITO</t>
        </is>
      </c>
      <c r="K1608" t="n">
        <v>1</v>
      </c>
      <c r="L1608" t="inlineStr">
        <is>
          <t>PRESIDENCIA EJECUTIVA DEL CONSEJO</t>
        </is>
      </c>
      <c r="M1608" t="n">
        <v>60</v>
      </c>
      <c r="N1608" t="inlineStr">
        <is>
          <t>DIRECCION RIESGOS</t>
        </is>
      </c>
      <c r="O1608" t="n">
        <v>460</v>
      </c>
      <c r="P1608" t="inlineStr">
        <is>
          <t>DIRECCION CREDITO</t>
        </is>
      </c>
      <c r="Q1608" t="n">
        <v>4620</v>
      </c>
      <c r="R1608" t="inlineStr">
        <is>
          <t>ANALISIS DE CREDITO</t>
        </is>
      </c>
      <c r="S1608" t="n">
        <v>46230</v>
      </c>
      <c r="T1608" t="inlineStr">
        <is>
          <t>ANALISIS DE CREDITO 2</t>
        </is>
      </c>
      <c r="U1608" t="n">
        <v>462300</v>
      </c>
      <c r="V1608" t="inlineStr">
        <is>
          <t>ANALISIS DE CREDITO 2</t>
        </is>
      </c>
      <c r="W1608" t="n">
        <v>100101</v>
      </c>
      <c r="X1608" t="inlineStr">
        <is>
          <t>CORPORATIVO</t>
        </is>
      </c>
      <c r="Y1608" t="n">
        <v>9</v>
      </c>
      <c r="Z1608" t="inlineStr">
        <is>
          <t>BANCARIO</t>
        </is>
      </c>
      <c r="AA1608" t="n">
        <v>1</v>
      </c>
      <c r="AB1608" t="inlineStr">
        <is>
          <t>NEGOCIO EN MARCHA</t>
        </is>
      </c>
      <c r="AC1608" t="n">
        <v>1</v>
      </c>
      <c r="AD1608" t="inlineStr">
        <is>
          <t>BANCO</t>
        </is>
      </c>
      <c r="AE1608" t="n">
        <v>1</v>
      </c>
      <c r="AF1608" t="inlineStr">
        <is>
          <t>BACK</t>
        </is>
      </c>
      <c r="AG1608" t="n">
        <v>100101</v>
      </c>
      <c r="AH1608" t="inlineStr">
        <is>
          <t>CORPORATIVO</t>
        </is>
      </c>
      <c r="AI1608" t="inlineStr">
        <is>
          <t>ACAVAZOSR@BANCOBASE.COM</t>
        </is>
      </c>
      <c r="AJ1608" s="151" t="n">
        <v>44480</v>
      </c>
    </row>
    <row r="1609" hidden="1" s="150">
      <c r="A1609" t="inlineStr">
        <is>
          <t>ALEDEZMA</t>
        </is>
      </c>
      <c r="B1609" t="n">
        <v>3051</v>
      </c>
      <c r="C1609" t="inlineStr">
        <is>
          <t>ALEJANDRA ASTRID LEDEZMA JUAREZ</t>
        </is>
      </c>
      <c r="D1609" t="n">
        <v>9726</v>
      </c>
      <c r="E1609" t="inlineStr">
        <is>
          <t>ANALISTA DE CONTRAPARTE</t>
        </is>
      </c>
      <c r="F1609" t="inlineStr">
        <is>
          <t>MONTERREY</t>
        </is>
      </c>
      <c r="G1609" t="n">
        <v>2312</v>
      </c>
      <c r="H1609" t="inlineStr">
        <is>
          <t>NADEZHDA MARTINEZ AGUILAR</t>
        </is>
      </c>
      <c r="I1609" t="n">
        <v>8382</v>
      </c>
      <c r="J1609" t="inlineStr">
        <is>
          <t>LIDER ANALISIS DE CREDITO</t>
        </is>
      </c>
      <c r="K1609" t="n">
        <v>1</v>
      </c>
      <c r="L1609" t="inlineStr">
        <is>
          <t>PRESIDENCIA EJECUTIVA DEL CONSEJO</t>
        </is>
      </c>
      <c r="M1609" t="n">
        <v>60</v>
      </c>
      <c r="N1609" t="inlineStr">
        <is>
          <t>DIRECCION RIESGOS</t>
        </is>
      </c>
      <c r="O1609" t="n">
        <v>460</v>
      </c>
      <c r="P1609" t="inlineStr">
        <is>
          <t>DIRECCION CREDITO</t>
        </is>
      </c>
      <c r="Q1609" t="n">
        <v>4620</v>
      </c>
      <c r="R1609" t="inlineStr">
        <is>
          <t>ANALISIS DE CREDITO</t>
        </is>
      </c>
      <c r="S1609" t="n">
        <v>46230</v>
      </c>
      <c r="T1609" t="inlineStr">
        <is>
          <t>ANALISIS DE CREDITO 2</t>
        </is>
      </c>
      <c r="U1609" t="n">
        <v>462300</v>
      </c>
      <c r="V1609" t="inlineStr">
        <is>
          <t>ANALISIS DE CREDITO 2</t>
        </is>
      </c>
      <c r="W1609" t="n">
        <v>100101</v>
      </c>
      <c r="X1609" t="inlineStr">
        <is>
          <t>CORPORATIVO</t>
        </is>
      </c>
      <c r="Y1609" t="n">
        <v>3</v>
      </c>
      <c r="Z1609" t="inlineStr">
        <is>
          <t>CAMBIARIO</t>
        </is>
      </c>
      <c r="AA1609" t="n">
        <v>1</v>
      </c>
      <c r="AB1609" t="inlineStr">
        <is>
          <t>NEGOCIO EN MARCHA</t>
        </is>
      </c>
      <c r="AC1609" t="n">
        <v>1</v>
      </c>
      <c r="AD1609" t="inlineStr">
        <is>
          <t>BANCO</t>
        </is>
      </c>
      <c r="AE1609" t="n">
        <v>1</v>
      </c>
      <c r="AF1609" t="inlineStr">
        <is>
          <t>BACK</t>
        </is>
      </c>
      <c r="AG1609" t="n">
        <v>100101</v>
      </c>
      <c r="AH1609" t="inlineStr">
        <is>
          <t>CORPORATIVO</t>
        </is>
      </c>
      <c r="AI1609" t="inlineStr">
        <is>
          <t>ALEDEZMA@BANCOBASE.COM</t>
        </is>
      </c>
      <c r="AJ1609" s="151" t="n">
        <v>45357</v>
      </c>
    </row>
    <row r="1610" hidden="1" s="150">
      <c r="A1610" t="inlineStr">
        <is>
          <t>BANTONIO</t>
        </is>
      </c>
      <c r="B1610" t="n">
        <v>3378</v>
      </c>
      <c r="C1610" t="inlineStr">
        <is>
          <t>BRENDA IVETTE ANTONIO HERNANDEZ</t>
        </is>
      </c>
      <c r="D1610" t="n">
        <v>8160</v>
      </c>
      <c r="E1610" t="inlineStr">
        <is>
          <t>ANALISTA DE CONTRAPARTE</t>
        </is>
      </c>
      <c r="F1610" t="inlineStr">
        <is>
          <t>MONTERREY</t>
        </is>
      </c>
      <c r="G1610" t="n">
        <v>2312</v>
      </c>
      <c r="H1610" t="inlineStr">
        <is>
          <t>NADEZHDA MARTINEZ AGUILAR</t>
        </is>
      </c>
      <c r="I1610" t="n">
        <v>8382</v>
      </c>
      <c r="J1610" t="inlineStr">
        <is>
          <t>LIDER ANALISIS DE CREDITO</t>
        </is>
      </c>
      <c r="K1610" t="n">
        <v>1</v>
      </c>
      <c r="L1610" t="inlineStr">
        <is>
          <t>PRESIDENCIA EJECUTIVA DEL CONSEJO</t>
        </is>
      </c>
      <c r="M1610" t="n">
        <v>60</v>
      </c>
      <c r="N1610" t="inlineStr">
        <is>
          <t>DIRECCION RIESGOS</t>
        </is>
      </c>
      <c r="O1610" t="n">
        <v>460</v>
      </c>
      <c r="P1610" t="inlineStr">
        <is>
          <t>DIRECCION CREDITO</t>
        </is>
      </c>
      <c r="Q1610" t="n">
        <v>4620</v>
      </c>
      <c r="R1610" t="inlineStr">
        <is>
          <t>ANALISIS DE CREDITO</t>
        </is>
      </c>
      <c r="S1610" t="n">
        <v>46230</v>
      </c>
      <c r="T1610" t="inlineStr">
        <is>
          <t>ANALISIS DE CREDITO 2</t>
        </is>
      </c>
      <c r="U1610" t="n">
        <v>462300</v>
      </c>
      <c r="V1610" t="inlineStr">
        <is>
          <t>ANALISIS DE CREDITO 2</t>
        </is>
      </c>
      <c r="W1610" t="n">
        <v>100101</v>
      </c>
      <c r="X1610" t="inlineStr">
        <is>
          <t>CORPORATIVO</t>
        </is>
      </c>
      <c r="Y1610" t="n">
        <v>3</v>
      </c>
      <c r="Z1610" t="inlineStr">
        <is>
          <t>CAMBIARIO</t>
        </is>
      </c>
      <c r="AA1610" t="n">
        <v>1</v>
      </c>
      <c r="AB1610" t="inlineStr">
        <is>
          <t>NEGOCIO EN MARCHA</t>
        </is>
      </c>
      <c r="AC1610" t="n">
        <v>1</v>
      </c>
      <c r="AD1610" t="inlineStr">
        <is>
          <t>BANCO</t>
        </is>
      </c>
      <c r="AE1610" t="n">
        <v>1</v>
      </c>
      <c r="AF1610" t="inlineStr">
        <is>
          <t>BACK</t>
        </is>
      </c>
      <c r="AG1610" t="n">
        <v>100101</v>
      </c>
      <c r="AH1610" t="inlineStr">
        <is>
          <t>CORPORATIVO</t>
        </is>
      </c>
      <c r="AI1610" t="inlineStr">
        <is>
          <t>BANTONIO@BANCOBASE.COM</t>
        </is>
      </c>
      <c r="AJ1610" s="151" t="n">
        <v>45748</v>
      </c>
    </row>
    <row r="1611" hidden="1" s="150">
      <c r="A1611" t="inlineStr">
        <is>
          <t>ETOBIAS</t>
        </is>
      </c>
      <c r="B1611" t="n">
        <v>3272</v>
      </c>
      <c r="C1611" t="inlineStr">
        <is>
          <t>ERIKA YAZMIN TOBIAS TOVAR</t>
        </is>
      </c>
      <c r="D1611" t="n">
        <v>9353</v>
      </c>
      <c r="E1611" t="inlineStr">
        <is>
          <t>ANALISTA DE CREDITO SR</t>
        </is>
      </c>
      <c r="F1611" t="inlineStr">
        <is>
          <t>LEON</t>
        </is>
      </c>
      <c r="G1611" t="n">
        <v>2312</v>
      </c>
      <c r="H1611" t="inlineStr">
        <is>
          <t>NADEZHDA MARTINEZ AGUILAR</t>
        </is>
      </c>
      <c r="I1611" t="n">
        <v>8382</v>
      </c>
      <c r="J1611" t="inlineStr">
        <is>
          <t>LIDER ANALISIS DE CREDITO</t>
        </is>
      </c>
      <c r="K1611" t="n">
        <v>1</v>
      </c>
      <c r="L1611" t="inlineStr">
        <is>
          <t>PRESIDENCIA EJECUTIVA DEL CONSEJO</t>
        </is>
      </c>
      <c r="M1611" t="n">
        <v>60</v>
      </c>
      <c r="N1611" t="inlineStr">
        <is>
          <t>DIRECCION RIESGOS</t>
        </is>
      </c>
      <c r="O1611" t="n">
        <v>460</v>
      </c>
      <c r="P1611" t="inlineStr">
        <is>
          <t>DIRECCION CREDITO</t>
        </is>
      </c>
      <c r="Q1611" t="n">
        <v>4620</v>
      </c>
      <c r="R1611" t="inlineStr">
        <is>
          <t>ANALISIS DE CREDITO</t>
        </is>
      </c>
      <c r="S1611" t="n">
        <v>46230</v>
      </c>
      <c r="T1611" t="inlineStr">
        <is>
          <t>ANALISIS DE CREDITO 2</t>
        </is>
      </c>
      <c r="U1611" t="n">
        <v>462300</v>
      </c>
      <c r="V1611" t="inlineStr">
        <is>
          <t>ANALISIS DE CREDITO 2</t>
        </is>
      </c>
      <c r="W1611" t="n">
        <v>126128</v>
      </c>
      <c r="X1611" t="inlineStr">
        <is>
          <t>LEON</t>
        </is>
      </c>
      <c r="Y1611" t="n">
        <v>9</v>
      </c>
      <c r="Z1611" t="inlineStr">
        <is>
          <t>BANCARIO</t>
        </is>
      </c>
      <c r="AA1611" t="n">
        <v>1</v>
      </c>
      <c r="AB1611" t="inlineStr">
        <is>
          <t>NEGOCIO EN MARCHA</t>
        </is>
      </c>
      <c r="AC1611" t="n">
        <v>1</v>
      </c>
      <c r="AD1611" t="inlineStr">
        <is>
          <t>BANCO</t>
        </is>
      </c>
      <c r="AE1611" t="n">
        <v>1</v>
      </c>
      <c r="AF1611" t="inlineStr">
        <is>
          <t>BACK</t>
        </is>
      </c>
      <c r="AG1611" t="n">
        <v>126128</v>
      </c>
      <c r="AH1611" t="inlineStr">
        <is>
          <t>LEON</t>
        </is>
      </c>
      <c r="AI1611" t="inlineStr">
        <is>
          <t>ETOBIAS@BANCOBASE.COM</t>
        </is>
      </c>
      <c r="AJ1611" s="151" t="n">
        <v>45615</v>
      </c>
    </row>
    <row r="1612" hidden="1" s="150">
      <c r="A1612" t="inlineStr">
        <is>
          <t>OSUAREZ</t>
        </is>
      </c>
      <c r="B1612" t="n">
        <v>3684</v>
      </c>
      <c r="C1612" t="inlineStr">
        <is>
          <t>OLGA LYDIA SUAREZ RODRIGUEZ</t>
        </is>
      </c>
      <c r="D1612" t="n">
        <v>9104</v>
      </c>
      <c r="E1612" t="inlineStr">
        <is>
          <t>ANALISTA DE CREDITO ASOCIADO</t>
        </is>
      </c>
      <c r="F1612" t="inlineStr">
        <is>
          <t>MONTERREY</t>
        </is>
      </c>
      <c r="G1612" t="n">
        <v>2312</v>
      </c>
      <c r="H1612" t="inlineStr">
        <is>
          <t>NADEZHDA MARTINEZ AGUILAR</t>
        </is>
      </c>
      <c r="I1612" t="n">
        <v>8382</v>
      </c>
      <c r="J1612" t="inlineStr">
        <is>
          <t>LIDER ANALISIS DE CREDITO</t>
        </is>
      </c>
      <c r="K1612" t="n">
        <v>1</v>
      </c>
      <c r="L1612" t="inlineStr">
        <is>
          <t>PRESIDENCIA EJECUTIVA DEL CONSEJO</t>
        </is>
      </c>
      <c r="M1612" t="n">
        <v>60</v>
      </c>
      <c r="N1612" t="inlineStr">
        <is>
          <t>DIRECCION RIESGOS</t>
        </is>
      </c>
      <c r="O1612" t="n">
        <v>460</v>
      </c>
      <c r="P1612" t="inlineStr">
        <is>
          <t>DIRECCION CREDITO</t>
        </is>
      </c>
      <c r="Q1612" t="n">
        <v>4620</v>
      </c>
      <c r="R1612" t="inlineStr">
        <is>
          <t>ANALISIS DE CREDITO</t>
        </is>
      </c>
      <c r="S1612" t="n">
        <v>46230</v>
      </c>
      <c r="T1612" t="inlineStr">
        <is>
          <t>ANALISIS DE CREDITO 2</t>
        </is>
      </c>
      <c r="U1612" t="n">
        <v>462300</v>
      </c>
      <c r="V1612" t="inlineStr">
        <is>
          <t>ANALISIS DE CREDITO 2</t>
        </is>
      </c>
      <c r="W1612" t="n">
        <v>100101</v>
      </c>
      <c r="X1612" t="inlineStr">
        <is>
          <t>CORPORATIVO</t>
        </is>
      </c>
      <c r="Y1612" t="n">
        <v>9</v>
      </c>
      <c r="Z1612" t="inlineStr">
        <is>
          <t>BANCARIO</t>
        </is>
      </c>
      <c r="AA1612" t="n">
        <v>1</v>
      </c>
      <c r="AB1612" t="inlineStr">
        <is>
          <t>NEGOCIO EN MARCHA</t>
        </is>
      </c>
      <c r="AC1612" t="n">
        <v>1</v>
      </c>
      <c r="AD1612" t="inlineStr">
        <is>
          <t>BANCO</t>
        </is>
      </c>
      <c r="AE1612" t="n">
        <v>1</v>
      </c>
      <c r="AF1612" t="inlineStr">
        <is>
          <t>BACK</t>
        </is>
      </c>
      <c r="AG1612" t="n">
        <v>100101</v>
      </c>
      <c r="AH1612" t="inlineStr">
        <is>
          <t>CORPORATIVO</t>
        </is>
      </c>
      <c r="AI1612" t="inlineStr">
        <is>
          <t>OSUAREZ@BANCOBASE.COM</t>
        </is>
      </c>
      <c r="AJ1612" s="151" t="n">
        <v>45979</v>
      </c>
    </row>
    <row r="1613" hidden="1" s="150">
      <c r="A1613" t="inlineStr">
        <is>
          <t>PMAIZ</t>
        </is>
      </c>
      <c r="B1613" t="n">
        <v>2858</v>
      </c>
      <c r="C1613" t="inlineStr">
        <is>
          <t>MARIA PATRICIA MAIZ GIL</t>
        </is>
      </c>
      <c r="D1613" t="n">
        <v>10329</v>
      </c>
      <c r="E1613" t="inlineStr">
        <is>
          <t>ANALISTA DE CREDITO JR</t>
        </is>
      </c>
      <c r="F1613" t="inlineStr">
        <is>
          <t>MONTERREY</t>
        </is>
      </c>
      <c r="G1613" t="n">
        <v>2312</v>
      </c>
      <c r="H1613" t="inlineStr">
        <is>
          <t>NADEZHDA MARTINEZ AGUILAR</t>
        </is>
      </c>
      <c r="I1613" t="n">
        <v>8382</v>
      </c>
      <c r="J1613" t="inlineStr">
        <is>
          <t>LIDER ANALISIS DE CREDITO</t>
        </is>
      </c>
      <c r="K1613" t="n">
        <v>1</v>
      </c>
      <c r="L1613" t="inlineStr">
        <is>
          <t>PRESIDENCIA EJECUTIVA DEL CONSEJO</t>
        </is>
      </c>
      <c r="M1613" t="n">
        <v>60</v>
      </c>
      <c r="N1613" t="inlineStr">
        <is>
          <t>DIRECCION RIESGOS</t>
        </is>
      </c>
      <c r="O1613" t="n">
        <v>460</v>
      </c>
      <c r="P1613" t="inlineStr">
        <is>
          <t>DIRECCION CREDITO</t>
        </is>
      </c>
      <c r="Q1613" t="n">
        <v>4620</v>
      </c>
      <c r="R1613" t="inlineStr">
        <is>
          <t>ANALISIS DE CREDITO</t>
        </is>
      </c>
      <c r="S1613" t="n">
        <v>46230</v>
      </c>
      <c r="T1613" t="inlineStr">
        <is>
          <t>ANALISIS DE CREDITO 2</t>
        </is>
      </c>
      <c r="U1613" t="n">
        <v>462300</v>
      </c>
      <c r="V1613" t="inlineStr">
        <is>
          <t>ANALISIS DE CREDITO 2</t>
        </is>
      </c>
      <c r="W1613" t="n">
        <v>100101</v>
      </c>
      <c r="X1613" t="inlineStr">
        <is>
          <t>CORPORATIVO</t>
        </is>
      </c>
      <c r="Y1613" t="n">
        <v>9</v>
      </c>
      <c r="Z1613" t="inlineStr">
        <is>
          <t>BANCARIO</t>
        </is>
      </c>
      <c r="AA1613" t="n">
        <v>1</v>
      </c>
      <c r="AB1613" t="inlineStr">
        <is>
          <t>NEGOCIO EN MARCHA</t>
        </is>
      </c>
      <c r="AC1613" t="n">
        <v>1</v>
      </c>
      <c r="AD1613" t="inlineStr">
        <is>
          <t>BANCO</t>
        </is>
      </c>
      <c r="AE1613" t="n">
        <v>1</v>
      </c>
      <c r="AF1613" t="inlineStr">
        <is>
          <t>BACK</t>
        </is>
      </c>
      <c r="AG1613" t="n">
        <v>100101</v>
      </c>
      <c r="AH1613" t="inlineStr">
        <is>
          <t>CORPORATIVO</t>
        </is>
      </c>
      <c r="AI1613" t="inlineStr">
        <is>
          <t>PMAIZ@BANCOBASE.COM</t>
        </is>
      </c>
      <c r="AJ1613" s="151" t="n">
        <v>44991</v>
      </c>
    </row>
    <row r="1614" hidden="1" s="150">
      <c r="A1614" t="inlineStr">
        <is>
          <t>JGARCIAMA</t>
        </is>
      </c>
      <c r="B1614" t="n">
        <v>3157</v>
      </c>
      <c r="C1614" t="inlineStr">
        <is>
          <t>JOSE ANGEL GARCIA MARTINEZ</t>
        </is>
      </c>
      <c r="D1614" t="n">
        <v>8392</v>
      </c>
      <c r="E1614" t="inlineStr">
        <is>
          <t>SUBDIRECTOR DE ANALISIS DE CREDITO</t>
        </is>
      </c>
      <c r="F1614" t="inlineStr">
        <is>
          <t>MONTERREY</t>
        </is>
      </c>
      <c r="G1614" t="n">
        <v>1881</v>
      </c>
      <c r="H1614" t="inlineStr">
        <is>
          <t>LUIS ANTONIO NOVELO LAZO</t>
        </is>
      </c>
      <c r="I1614" t="n">
        <v>5</v>
      </c>
      <c r="J1614" t="inlineStr">
        <is>
          <t>DIRECTOR DE CREDITO</t>
        </is>
      </c>
      <c r="K1614" t="n">
        <v>1</v>
      </c>
      <c r="L1614" t="inlineStr">
        <is>
          <t>PRESIDENCIA EJECUTIVA DEL CONSEJO</t>
        </is>
      </c>
      <c r="M1614" t="n">
        <v>60</v>
      </c>
      <c r="N1614" t="inlineStr">
        <is>
          <t>DIRECCION RIESGOS</t>
        </is>
      </c>
      <c r="O1614" t="n">
        <v>460</v>
      </c>
      <c r="P1614" t="inlineStr">
        <is>
          <t>DIRECCION CREDITO</t>
        </is>
      </c>
      <c r="Q1614" t="n">
        <v>4620</v>
      </c>
      <c r="R1614" t="inlineStr">
        <is>
          <t>ANALISIS DE CREDITO</t>
        </is>
      </c>
      <c r="S1614" t="n">
        <v>46240</v>
      </c>
      <c r="T1614" t="inlineStr">
        <is>
          <t>ANALISIS DE CREDITO 3</t>
        </is>
      </c>
      <c r="U1614" t="n">
        <v>462400</v>
      </c>
      <c r="V1614" t="inlineStr">
        <is>
          <t>ANALISIS DE CREDITO 3</t>
        </is>
      </c>
      <c r="W1614" t="n">
        <v>100101</v>
      </c>
      <c r="X1614" t="inlineStr">
        <is>
          <t>CORPORATIVO</t>
        </is>
      </c>
      <c r="Y1614" t="n">
        <v>4</v>
      </c>
      <c r="Z1614" t="inlineStr">
        <is>
          <t>CORPORATIVO</t>
        </is>
      </c>
      <c r="AA1614" t="n">
        <v>1</v>
      </c>
      <c r="AB1614" t="inlineStr">
        <is>
          <t>NEGOCIO EN MARCHA</t>
        </is>
      </c>
      <c r="AC1614" t="n">
        <v>1</v>
      </c>
      <c r="AD1614" t="inlineStr">
        <is>
          <t>BANCO</t>
        </is>
      </c>
      <c r="AE1614" t="n">
        <v>1</v>
      </c>
      <c r="AF1614" t="inlineStr">
        <is>
          <t>BACK</t>
        </is>
      </c>
      <c r="AG1614" t="n">
        <v>100101</v>
      </c>
      <c r="AH1614" t="inlineStr">
        <is>
          <t>CORPORATIVO</t>
        </is>
      </c>
      <c r="AI1614" t="inlineStr">
        <is>
          <t>JGARCIAMA@BANCOBASE.COM</t>
        </is>
      </c>
      <c r="AJ1614" s="151" t="n">
        <v>45489</v>
      </c>
    </row>
    <row r="1615" hidden="1" s="150">
      <c r="A1615" t="inlineStr">
        <is>
          <t>AAGUILARS</t>
        </is>
      </c>
      <c r="B1615" t="n">
        <v>3280</v>
      </c>
      <c r="C1615" t="inlineStr">
        <is>
          <t>ANDRES JARIB AGUILAR SALGADO</t>
        </is>
      </c>
      <c r="D1615" t="n">
        <v>9694</v>
      </c>
      <c r="E1615" t="inlineStr">
        <is>
          <t>LIDER ANALISIS DE CREDITO</t>
        </is>
      </c>
      <c r="F1615" t="inlineStr">
        <is>
          <t>MONTERREY</t>
        </is>
      </c>
      <c r="G1615" t="n">
        <v>3157</v>
      </c>
      <c r="H1615" t="inlineStr">
        <is>
          <t>JOSE ANGEL GARCIA MARTINEZ</t>
        </is>
      </c>
      <c r="I1615" t="n">
        <v>8392</v>
      </c>
      <c r="J1615" t="inlineStr">
        <is>
          <t>SUBDIRECTOR DE ANALISIS DE CREDITO</t>
        </is>
      </c>
      <c r="K1615" t="n">
        <v>1</v>
      </c>
      <c r="L1615" t="inlineStr">
        <is>
          <t>PRESIDENCIA EJECUTIVA DEL CONSEJO</t>
        </is>
      </c>
      <c r="M1615" t="n">
        <v>60</v>
      </c>
      <c r="N1615" t="inlineStr">
        <is>
          <t>DIRECCION RIESGOS</t>
        </is>
      </c>
      <c r="O1615" t="n">
        <v>460</v>
      </c>
      <c r="P1615" t="inlineStr">
        <is>
          <t>DIRECCION CREDITO</t>
        </is>
      </c>
      <c r="Q1615" t="n">
        <v>4620</v>
      </c>
      <c r="R1615" t="inlineStr">
        <is>
          <t>ANALISIS DE CREDITO</t>
        </is>
      </c>
      <c r="S1615" t="n">
        <v>46240</v>
      </c>
      <c r="T1615" t="inlineStr">
        <is>
          <t>ANALISIS DE CREDITO 3</t>
        </is>
      </c>
      <c r="U1615" t="n">
        <v>462400</v>
      </c>
      <c r="V1615" t="inlineStr">
        <is>
          <t>ANALISIS DE CREDITO 3</t>
        </is>
      </c>
      <c r="W1615" t="n">
        <v>100101</v>
      </c>
      <c r="X1615" t="inlineStr">
        <is>
          <t>CORPORATIVO</t>
        </is>
      </c>
      <c r="Y1615" t="n">
        <v>3</v>
      </c>
      <c r="Z1615" t="inlineStr">
        <is>
          <t>CAMBIARIO</t>
        </is>
      </c>
      <c r="AA1615" t="n">
        <v>1</v>
      </c>
      <c r="AB1615" t="inlineStr">
        <is>
          <t>NEGOCIO EN MARCHA</t>
        </is>
      </c>
      <c r="AC1615" t="n">
        <v>1</v>
      </c>
      <c r="AD1615" t="inlineStr">
        <is>
          <t>BANCO</t>
        </is>
      </c>
      <c r="AE1615" t="n">
        <v>1</v>
      </c>
      <c r="AF1615" t="inlineStr">
        <is>
          <t>BACK</t>
        </is>
      </c>
      <c r="AG1615" t="n">
        <v>100101</v>
      </c>
      <c r="AH1615" t="inlineStr">
        <is>
          <t>CORPORATIVO</t>
        </is>
      </c>
      <c r="AI1615" t="inlineStr">
        <is>
          <t>AAGUILARS@BANCOBASE.COM</t>
        </is>
      </c>
      <c r="AJ1615" s="151" t="n">
        <v>45628</v>
      </c>
    </row>
    <row r="1616" hidden="1" s="150">
      <c r="A1616" t="inlineStr">
        <is>
          <t>JCUELLAR</t>
        </is>
      </c>
      <c r="B1616" t="n">
        <v>3430</v>
      </c>
      <c r="C1616" t="inlineStr">
        <is>
          <t>JUAN ANGEL CUELLAR AREVALO</t>
        </is>
      </c>
      <c r="D1616" t="n">
        <v>8161</v>
      </c>
      <c r="E1616" t="inlineStr">
        <is>
          <t>ANALISTA DE CONTRAPARTE</t>
        </is>
      </c>
      <c r="F1616" t="inlineStr">
        <is>
          <t>MONTERREY</t>
        </is>
      </c>
      <c r="G1616" t="n">
        <v>3280</v>
      </c>
      <c r="H1616" t="inlineStr">
        <is>
          <t>ANDRES JARIB AGUILAR SALGADO</t>
        </is>
      </c>
      <c r="I1616" t="n">
        <v>9694</v>
      </c>
      <c r="J1616" t="inlineStr">
        <is>
          <t>LIDER ANALISIS DE CREDITO</t>
        </is>
      </c>
      <c r="K1616" t="n">
        <v>1</v>
      </c>
      <c r="L1616" t="inlineStr">
        <is>
          <t>PRESIDENCIA EJECUTIVA DEL CONSEJO</t>
        </is>
      </c>
      <c r="M1616" t="n">
        <v>60</v>
      </c>
      <c r="N1616" t="inlineStr">
        <is>
          <t>DIRECCION RIESGOS</t>
        </is>
      </c>
      <c r="O1616" t="n">
        <v>460</v>
      </c>
      <c r="P1616" t="inlineStr">
        <is>
          <t>DIRECCION CREDITO</t>
        </is>
      </c>
      <c r="Q1616" t="n">
        <v>4620</v>
      </c>
      <c r="R1616" t="inlineStr">
        <is>
          <t>ANALISIS DE CREDITO</t>
        </is>
      </c>
      <c r="S1616" t="n">
        <v>46240</v>
      </c>
      <c r="T1616" t="inlineStr">
        <is>
          <t>ANALISIS DE CREDITO 3</t>
        </is>
      </c>
      <c r="U1616" t="n">
        <v>462400</v>
      </c>
      <c r="V1616" t="inlineStr">
        <is>
          <t>ANALISIS DE CREDITO 3</t>
        </is>
      </c>
      <c r="W1616" t="n">
        <v>100101</v>
      </c>
      <c r="X1616" t="inlineStr">
        <is>
          <t>CORPORATIVO</t>
        </is>
      </c>
      <c r="Y1616" t="n">
        <v>3</v>
      </c>
      <c r="Z1616" t="inlineStr">
        <is>
          <t>CAMBIARIO</t>
        </is>
      </c>
      <c r="AA1616" t="n">
        <v>1</v>
      </c>
      <c r="AB1616" t="inlineStr">
        <is>
          <t>NEGOCIO EN MARCHA</t>
        </is>
      </c>
      <c r="AC1616" t="n">
        <v>1</v>
      </c>
      <c r="AD1616" t="inlineStr">
        <is>
          <t>BANCO</t>
        </is>
      </c>
      <c r="AE1616" t="n">
        <v>1</v>
      </c>
      <c r="AF1616" t="inlineStr">
        <is>
          <t>BACK</t>
        </is>
      </c>
      <c r="AG1616" t="n">
        <v>100101</v>
      </c>
      <c r="AH1616" t="inlineStr">
        <is>
          <t>CORPORATIVO</t>
        </is>
      </c>
      <c r="AI1616" t="inlineStr">
        <is>
          <t>JCUELLAR@BANCOBASE.COM</t>
        </is>
      </c>
      <c r="AJ1616" s="151" t="n">
        <v>45796</v>
      </c>
    </row>
    <row r="1617" hidden="1" s="150">
      <c r="A1617" t="inlineStr">
        <is>
          <t>KRUIZ</t>
        </is>
      </c>
      <c r="B1617" t="n">
        <v>3267</v>
      </c>
      <c r="C1617" t="inlineStr">
        <is>
          <t>KARLA IRENE RUIZ JUAREZ</t>
        </is>
      </c>
      <c r="D1617" t="n">
        <v>8442</v>
      </c>
      <c r="E1617" t="inlineStr">
        <is>
          <t>ANALISTA DE CREDITO JR</t>
        </is>
      </c>
      <c r="F1617" t="inlineStr">
        <is>
          <t>MONTERREY</t>
        </is>
      </c>
      <c r="G1617" t="n">
        <v>3280</v>
      </c>
      <c r="H1617" t="inlineStr">
        <is>
          <t>ANDRES JARIB AGUILAR SALGADO</t>
        </is>
      </c>
      <c r="I1617" t="n">
        <v>9694</v>
      </c>
      <c r="J1617" t="inlineStr">
        <is>
          <t>LIDER ANALISIS DE CREDITO</t>
        </is>
      </c>
      <c r="K1617" t="n">
        <v>1</v>
      </c>
      <c r="L1617" t="inlineStr">
        <is>
          <t>PRESIDENCIA EJECUTIVA DEL CONSEJO</t>
        </is>
      </c>
      <c r="M1617" t="n">
        <v>60</v>
      </c>
      <c r="N1617" t="inlineStr">
        <is>
          <t>DIRECCION RIESGOS</t>
        </is>
      </c>
      <c r="O1617" t="n">
        <v>460</v>
      </c>
      <c r="P1617" t="inlineStr">
        <is>
          <t>DIRECCION CREDITO</t>
        </is>
      </c>
      <c r="Q1617" t="n">
        <v>4620</v>
      </c>
      <c r="R1617" t="inlineStr">
        <is>
          <t>ANALISIS DE CREDITO</t>
        </is>
      </c>
      <c r="S1617" t="n">
        <v>46240</v>
      </c>
      <c r="T1617" t="inlineStr">
        <is>
          <t>ANALISIS DE CREDITO 3</t>
        </is>
      </c>
      <c r="U1617" t="n">
        <v>462400</v>
      </c>
      <c r="V1617" t="inlineStr">
        <is>
          <t>ANALISIS DE CREDITO 3</t>
        </is>
      </c>
      <c r="W1617" t="n">
        <v>100101</v>
      </c>
      <c r="X1617" t="inlineStr">
        <is>
          <t>CORPORATIVO</t>
        </is>
      </c>
      <c r="Y1617" t="n">
        <v>3</v>
      </c>
      <c r="Z1617" t="inlineStr">
        <is>
          <t>CAMBIARIO</t>
        </is>
      </c>
      <c r="AA1617" t="n">
        <v>1</v>
      </c>
      <c r="AB1617" t="inlineStr">
        <is>
          <t>NEGOCIO EN MARCHA</t>
        </is>
      </c>
      <c r="AC1617" t="n">
        <v>1</v>
      </c>
      <c r="AD1617" t="inlineStr">
        <is>
          <t>BANCO</t>
        </is>
      </c>
      <c r="AE1617" t="n">
        <v>1</v>
      </c>
      <c r="AF1617" t="inlineStr">
        <is>
          <t>BACK</t>
        </is>
      </c>
      <c r="AG1617" t="n">
        <v>100101</v>
      </c>
      <c r="AH1617" t="inlineStr">
        <is>
          <t>CORPORATIVO</t>
        </is>
      </c>
      <c r="AI1617" t="inlineStr">
        <is>
          <t>KRUIZ@BANCOBASE.COM</t>
        </is>
      </c>
      <c r="AJ1617" s="151" t="n">
        <v>45615</v>
      </c>
    </row>
    <row r="1618" hidden="1" s="150">
      <c r="A1618" t="inlineStr">
        <is>
          <t>OALONSO</t>
        </is>
      </c>
      <c r="B1618" t="n">
        <v>2527</v>
      </c>
      <c r="C1618" t="inlineStr">
        <is>
          <t>OZIEL ALONSO PAREDES</t>
        </is>
      </c>
      <c r="D1618" t="n">
        <v>10014</v>
      </c>
      <c r="E1618" t="inlineStr">
        <is>
          <t>ANALISTA DE CREDITO SR</t>
        </is>
      </c>
      <c r="F1618" t="inlineStr">
        <is>
          <t>MONTERREY</t>
        </is>
      </c>
      <c r="G1618" t="n">
        <v>3280</v>
      </c>
      <c r="H1618" t="inlineStr">
        <is>
          <t>ANDRES JARIB AGUILAR SALGADO</t>
        </is>
      </c>
      <c r="I1618" t="n">
        <v>9694</v>
      </c>
      <c r="J1618" t="inlineStr">
        <is>
          <t>LIDER ANALISIS DE CREDITO</t>
        </is>
      </c>
      <c r="K1618" t="n">
        <v>1</v>
      </c>
      <c r="L1618" t="inlineStr">
        <is>
          <t>PRESIDENCIA EJECUTIVA DEL CONSEJO</t>
        </is>
      </c>
      <c r="M1618" t="n">
        <v>60</v>
      </c>
      <c r="N1618" t="inlineStr">
        <is>
          <t>DIRECCION RIESGOS</t>
        </is>
      </c>
      <c r="O1618" t="n">
        <v>460</v>
      </c>
      <c r="P1618" t="inlineStr">
        <is>
          <t>DIRECCION CREDITO</t>
        </is>
      </c>
      <c r="Q1618" t="n">
        <v>4620</v>
      </c>
      <c r="R1618" t="inlineStr">
        <is>
          <t>ANALISIS DE CREDITO</t>
        </is>
      </c>
      <c r="S1618" t="n">
        <v>46240</v>
      </c>
      <c r="T1618" t="inlineStr">
        <is>
          <t>ANALISIS DE CREDITO 3</t>
        </is>
      </c>
      <c r="U1618" t="n">
        <v>462400</v>
      </c>
      <c r="V1618" t="inlineStr">
        <is>
          <t>ANALISIS DE CREDITO 3</t>
        </is>
      </c>
      <c r="W1618" t="n">
        <v>100101</v>
      </c>
      <c r="X1618" t="inlineStr">
        <is>
          <t>CORPORATIVO</t>
        </is>
      </c>
      <c r="Y1618" t="n">
        <v>3</v>
      </c>
      <c r="Z1618" t="inlineStr">
        <is>
          <t>CAMBIARIO</t>
        </is>
      </c>
      <c r="AA1618" t="n">
        <v>1</v>
      </c>
      <c r="AB1618" t="inlineStr">
        <is>
          <t>NEGOCIO EN MARCHA</t>
        </is>
      </c>
      <c r="AC1618" t="n">
        <v>1</v>
      </c>
      <c r="AD1618" t="inlineStr">
        <is>
          <t>BANCO</t>
        </is>
      </c>
      <c r="AE1618" t="n">
        <v>1</v>
      </c>
      <c r="AF1618" t="inlineStr">
        <is>
          <t>BACK</t>
        </is>
      </c>
      <c r="AG1618" t="n">
        <v>100101</v>
      </c>
      <c r="AH1618" t="inlineStr">
        <is>
          <t>CORPORATIVO</t>
        </is>
      </c>
      <c r="AI1618" t="inlineStr">
        <is>
          <t>OALONSO@BANCOBASE.COM</t>
        </is>
      </c>
      <c r="AJ1618" s="151" t="n">
        <v>44396</v>
      </c>
    </row>
    <row r="1619" hidden="1" s="150">
      <c r="A1619" t="inlineStr">
        <is>
          <t>PDELANGEL</t>
        </is>
      </c>
      <c r="B1619" t="n">
        <v>2957</v>
      </c>
      <c r="C1619" t="inlineStr">
        <is>
          <t>PAOLA HUERTA DEL ANGEL</t>
        </is>
      </c>
      <c r="D1619" t="n">
        <v>9515</v>
      </c>
      <c r="E1619" t="inlineStr">
        <is>
          <t>ANALISTA DE CREDITO ASOCIADO</t>
        </is>
      </c>
      <c r="F1619" t="inlineStr">
        <is>
          <t>MONTERREY</t>
        </is>
      </c>
      <c r="G1619" t="n">
        <v>3280</v>
      </c>
      <c r="H1619" t="inlineStr">
        <is>
          <t>ANDRES JARIB AGUILAR SALGADO</t>
        </is>
      </c>
      <c r="I1619" t="n">
        <v>9694</v>
      </c>
      <c r="J1619" t="inlineStr">
        <is>
          <t>LIDER ANALISIS DE CREDITO</t>
        </is>
      </c>
      <c r="K1619" t="n">
        <v>1</v>
      </c>
      <c r="L1619" t="inlineStr">
        <is>
          <t>PRESIDENCIA EJECUTIVA DEL CONSEJO</t>
        </is>
      </c>
      <c r="M1619" t="n">
        <v>60</v>
      </c>
      <c r="N1619" t="inlineStr">
        <is>
          <t>DIRECCION RIESGOS</t>
        </is>
      </c>
      <c r="O1619" t="n">
        <v>460</v>
      </c>
      <c r="P1619" t="inlineStr">
        <is>
          <t>DIRECCION CREDITO</t>
        </is>
      </c>
      <c r="Q1619" t="n">
        <v>4620</v>
      </c>
      <c r="R1619" t="inlineStr">
        <is>
          <t>ANALISIS DE CREDITO</t>
        </is>
      </c>
      <c r="S1619" t="n">
        <v>46240</v>
      </c>
      <c r="T1619" t="inlineStr">
        <is>
          <t>ANALISIS DE CREDITO 3</t>
        </is>
      </c>
      <c r="U1619" t="n">
        <v>462400</v>
      </c>
      <c r="V1619" t="inlineStr">
        <is>
          <t>ANALISIS DE CREDITO 3</t>
        </is>
      </c>
      <c r="W1619" t="n">
        <v>100101</v>
      </c>
      <c r="X1619" t="inlineStr">
        <is>
          <t>CORPORATIVO</t>
        </is>
      </c>
      <c r="Y1619" t="n">
        <v>9</v>
      </c>
      <c r="Z1619" t="inlineStr">
        <is>
          <t>BANCARIO</t>
        </is>
      </c>
      <c r="AA1619" t="n">
        <v>1</v>
      </c>
      <c r="AB1619" t="inlineStr">
        <is>
          <t>NEGOCIO EN MARCHA</t>
        </is>
      </c>
      <c r="AC1619" t="n">
        <v>1</v>
      </c>
      <c r="AD1619" t="inlineStr">
        <is>
          <t>BANCO</t>
        </is>
      </c>
      <c r="AE1619" t="n">
        <v>1</v>
      </c>
      <c r="AF1619" t="inlineStr">
        <is>
          <t>BACK</t>
        </is>
      </c>
      <c r="AG1619" t="n">
        <v>100101</v>
      </c>
      <c r="AH1619" t="inlineStr">
        <is>
          <t>CORPORATIVO</t>
        </is>
      </c>
      <c r="AI1619" t="inlineStr">
        <is>
          <t>PDELANGEL@BANCOBASE.COM</t>
        </is>
      </c>
      <c r="AJ1619" s="151" t="n">
        <v>45187</v>
      </c>
    </row>
    <row r="1620" hidden="1" s="150">
      <c r="A1620" t="inlineStr">
        <is>
          <t>SRAMIREZM</t>
        </is>
      </c>
      <c r="B1620" t="n">
        <v>3392</v>
      </c>
      <c r="C1620" t="inlineStr">
        <is>
          <t>ROMAN SEBASTIAN RAMIREZ MARTINEZ</t>
        </is>
      </c>
      <c r="D1620" t="n">
        <v>9352</v>
      </c>
      <c r="E1620" t="inlineStr">
        <is>
          <t>ANALISTA DE CREDITO JR</t>
        </is>
      </c>
      <c r="F1620" t="inlineStr">
        <is>
          <t>MONTERREY</t>
        </is>
      </c>
      <c r="G1620" t="n">
        <v>3280</v>
      </c>
      <c r="H1620" t="inlineStr">
        <is>
          <t>ANDRES JARIB AGUILAR SALGADO</t>
        </is>
      </c>
      <c r="I1620" t="n">
        <v>9694</v>
      </c>
      <c r="J1620" t="inlineStr">
        <is>
          <t>LIDER ANALISIS DE CREDITO</t>
        </is>
      </c>
      <c r="K1620" t="n">
        <v>1</v>
      </c>
      <c r="L1620" t="inlineStr">
        <is>
          <t>PRESIDENCIA EJECUTIVA DEL CONSEJO</t>
        </is>
      </c>
      <c r="M1620" t="n">
        <v>60</v>
      </c>
      <c r="N1620" t="inlineStr">
        <is>
          <t>DIRECCION RIESGOS</t>
        </is>
      </c>
      <c r="O1620" t="n">
        <v>460</v>
      </c>
      <c r="P1620" t="inlineStr">
        <is>
          <t>DIRECCION CREDITO</t>
        </is>
      </c>
      <c r="Q1620" t="n">
        <v>4620</v>
      </c>
      <c r="R1620" t="inlineStr">
        <is>
          <t>ANALISIS DE CREDITO</t>
        </is>
      </c>
      <c r="S1620" t="n">
        <v>46240</v>
      </c>
      <c r="T1620" t="inlineStr">
        <is>
          <t>ANALISIS DE CREDITO 3</t>
        </is>
      </c>
      <c r="U1620" t="n">
        <v>462400</v>
      </c>
      <c r="V1620" t="inlineStr">
        <is>
          <t>ANALISIS DE CREDITO 3</t>
        </is>
      </c>
      <c r="W1620" t="n">
        <v>100101</v>
      </c>
      <c r="X1620" t="inlineStr">
        <is>
          <t>CORPORATIVO</t>
        </is>
      </c>
      <c r="Y1620" t="n">
        <v>9</v>
      </c>
      <c r="Z1620" t="inlineStr">
        <is>
          <t>BANCARIO</t>
        </is>
      </c>
      <c r="AA1620" t="n">
        <v>1</v>
      </c>
      <c r="AB1620" t="inlineStr">
        <is>
          <t>NEGOCIO EN MARCHA</t>
        </is>
      </c>
      <c r="AC1620" t="n">
        <v>1</v>
      </c>
      <c r="AD1620" t="inlineStr">
        <is>
          <t>BANCO</t>
        </is>
      </c>
      <c r="AE1620" t="n">
        <v>1</v>
      </c>
      <c r="AF1620" t="inlineStr">
        <is>
          <t>BACK</t>
        </is>
      </c>
      <c r="AG1620" t="n">
        <v>100101</v>
      </c>
      <c r="AH1620" t="inlineStr">
        <is>
          <t>CORPORATIVO</t>
        </is>
      </c>
      <c r="AI1620" t="inlineStr">
        <is>
          <t>SRAMIREZM@BANCOBASE.COM</t>
        </is>
      </c>
      <c r="AJ1620" s="151" t="n">
        <v>45768</v>
      </c>
    </row>
    <row r="1621" hidden="1" s="150">
      <c r="A1621" t="inlineStr">
        <is>
          <t>VRODRIGUEZ</t>
        </is>
      </c>
      <c r="B1621" t="n">
        <v>2715</v>
      </c>
      <c r="C1621" t="inlineStr">
        <is>
          <t>VALERIA RODRIGUEZ SALAZAR</t>
        </is>
      </c>
      <c r="D1621" t="n">
        <v>9724</v>
      </c>
      <c r="E1621" t="inlineStr">
        <is>
          <t>ANALISTA DE CREDITO SR</t>
        </is>
      </c>
      <c r="F1621" t="inlineStr">
        <is>
          <t>MONTERREY</t>
        </is>
      </c>
      <c r="G1621" t="n">
        <v>3280</v>
      </c>
      <c r="H1621" t="inlineStr">
        <is>
          <t>ANDRES JARIB AGUILAR SALGADO</t>
        </is>
      </c>
      <c r="I1621" t="n">
        <v>9694</v>
      </c>
      <c r="J1621" t="inlineStr">
        <is>
          <t>LIDER ANALISIS DE CREDITO</t>
        </is>
      </c>
      <c r="K1621" t="n">
        <v>1</v>
      </c>
      <c r="L1621" t="inlineStr">
        <is>
          <t>PRESIDENCIA EJECUTIVA DEL CONSEJO</t>
        </is>
      </c>
      <c r="M1621" t="n">
        <v>60</v>
      </c>
      <c r="N1621" t="inlineStr">
        <is>
          <t>DIRECCION RIESGOS</t>
        </is>
      </c>
      <c r="O1621" t="n">
        <v>460</v>
      </c>
      <c r="P1621" t="inlineStr">
        <is>
          <t>DIRECCION CREDITO</t>
        </is>
      </c>
      <c r="Q1621" t="n">
        <v>4620</v>
      </c>
      <c r="R1621" t="inlineStr">
        <is>
          <t>ANALISIS DE CREDITO</t>
        </is>
      </c>
      <c r="S1621" t="n">
        <v>46240</v>
      </c>
      <c r="T1621" t="inlineStr">
        <is>
          <t>ANALISIS DE CREDITO 3</t>
        </is>
      </c>
      <c r="U1621" t="n">
        <v>462400</v>
      </c>
      <c r="V1621" t="inlineStr">
        <is>
          <t>ANALISIS DE CREDITO 3</t>
        </is>
      </c>
      <c r="W1621" t="n">
        <v>100101</v>
      </c>
      <c r="X1621" t="inlineStr">
        <is>
          <t>CORPORATIVO</t>
        </is>
      </c>
      <c r="Y1621" t="n">
        <v>9</v>
      </c>
      <c r="Z1621" t="inlineStr">
        <is>
          <t>BANCARIO</t>
        </is>
      </c>
      <c r="AA1621" t="n">
        <v>1</v>
      </c>
      <c r="AB1621" t="inlineStr">
        <is>
          <t>NEGOCIO EN MARCHA</t>
        </is>
      </c>
      <c r="AC1621" t="n">
        <v>1</v>
      </c>
      <c r="AD1621" t="inlineStr">
        <is>
          <t>BANCO</t>
        </is>
      </c>
      <c r="AE1621" t="n">
        <v>1</v>
      </c>
      <c r="AF1621" t="inlineStr">
        <is>
          <t>BACK</t>
        </is>
      </c>
      <c r="AG1621" t="n">
        <v>100101</v>
      </c>
      <c r="AH1621" t="inlineStr">
        <is>
          <t>CORPORATIVO</t>
        </is>
      </c>
      <c r="AI1621" t="inlineStr">
        <is>
          <t>VRODRIGUEZ@BANCOBASE.COM</t>
        </is>
      </c>
      <c r="AJ1621" s="151" t="n">
        <v>44789</v>
      </c>
    </row>
    <row r="1622" hidden="1" s="150">
      <c r="A1622" t="inlineStr">
        <is>
          <t>JDEISLA</t>
        </is>
      </c>
      <c r="B1622" t="n">
        <v>1440</v>
      </c>
      <c r="C1622" t="inlineStr">
        <is>
          <t>JOSE ANGEL DE ISLA QUIROGA</t>
        </is>
      </c>
      <c r="D1622" t="n">
        <v>10205</v>
      </c>
      <c r="E1622" t="inlineStr">
        <is>
          <t>LIDER ANALISIS DE CREDITO</t>
        </is>
      </c>
      <c r="F1622" t="inlineStr">
        <is>
          <t>MONTERREY</t>
        </is>
      </c>
      <c r="G1622" t="n">
        <v>1881</v>
      </c>
      <c r="H1622" t="inlineStr">
        <is>
          <t>LUIS ANTONIO NOVELO LAZO</t>
        </is>
      </c>
      <c r="I1622" t="n">
        <v>5</v>
      </c>
      <c r="J1622" t="inlineStr">
        <is>
          <t>DIRECTOR DE CREDITO</t>
        </is>
      </c>
      <c r="K1622" t="n">
        <v>1</v>
      </c>
      <c r="L1622" t="inlineStr">
        <is>
          <t>PRESIDENCIA EJECUTIVA DEL CONSEJO</t>
        </is>
      </c>
      <c r="M1622" t="n">
        <v>60</v>
      </c>
      <c r="N1622" t="inlineStr">
        <is>
          <t>DIRECCION RIESGOS</t>
        </is>
      </c>
      <c r="O1622" t="n">
        <v>460</v>
      </c>
      <c r="P1622" t="inlineStr">
        <is>
          <t>DIRECCION CREDITO</t>
        </is>
      </c>
      <c r="Q1622" t="n">
        <v>4620</v>
      </c>
      <c r="R1622" t="inlineStr">
        <is>
          <t>ANALISIS DE CREDITO</t>
        </is>
      </c>
      <c r="S1622" t="n">
        <v>46250</v>
      </c>
      <c r="T1622" t="inlineStr">
        <is>
          <t>ANALISIS DE CREDITO 4</t>
        </is>
      </c>
      <c r="U1622" t="n">
        <v>462500</v>
      </c>
      <c r="V1622" t="inlineStr">
        <is>
          <t>ANALISIS DE CREDITO 4</t>
        </is>
      </c>
      <c r="W1622" t="n">
        <v>100101</v>
      </c>
      <c r="X1622" t="inlineStr">
        <is>
          <t>CORPORATIVO</t>
        </is>
      </c>
      <c r="Y1622" t="n">
        <v>4</v>
      </c>
      <c r="Z1622" t="inlineStr">
        <is>
          <t>CORPORATIVO</t>
        </is>
      </c>
      <c r="AA1622" t="n">
        <v>1</v>
      </c>
      <c r="AB1622" t="inlineStr">
        <is>
          <t>NEGOCIO EN MARCHA</t>
        </is>
      </c>
      <c r="AC1622" t="n">
        <v>1</v>
      </c>
      <c r="AD1622" t="inlineStr">
        <is>
          <t>BANCO</t>
        </is>
      </c>
      <c r="AE1622" t="n">
        <v>1</v>
      </c>
      <c r="AF1622" t="inlineStr">
        <is>
          <t>BACK</t>
        </is>
      </c>
      <c r="AG1622" t="n">
        <v>100101</v>
      </c>
      <c r="AH1622" t="inlineStr">
        <is>
          <t>CORPORATIVO</t>
        </is>
      </c>
      <c r="AI1622" t="inlineStr">
        <is>
          <t>JDEISLA@BANCOBASE.COM</t>
        </is>
      </c>
      <c r="AJ1622" s="151" t="n">
        <v>42374</v>
      </c>
    </row>
    <row r="1623" hidden="1" s="150">
      <c r="A1623" t="inlineStr">
        <is>
          <t>JCANTUC</t>
        </is>
      </c>
      <c r="B1623" t="n">
        <v>2969</v>
      </c>
      <c r="C1623" t="inlineStr">
        <is>
          <t>JOSE LUIS CANTU CANTU</t>
        </is>
      </c>
      <c r="D1623" t="n">
        <v>9445</v>
      </c>
      <c r="E1623" t="inlineStr">
        <is>
          <t>ANALISTA DE CREDITO SR</t>
        </is>
      </c>
      <c r="F1623" t="inlineStr">
        <is>
          <t>MONTERREY</t>
        </is>
      </c>
      <c r="G1623" t="n">
        <v>1440</v>
      </c>
      <c r="H1623" t="inlineStr">
        <is>
          <t>JOSE ANGEL DE ISLA QUIROGA</t>
        </is>
      </c>
      <c r="I1623" t="n">
        <v>10205</v>
      </c>
      <c r="J1623" t="inlineStr">
        <is>
          <t>LIDER ANALISIS DE CREDITO</t>
        </is>
      </c>
      <c r="K1623" t="n">
        <v>1</v>
      </c>
      <c r="L1623" t="inlineStr">
        <is>
          <t>PRESIDENCIA EJECUTIVA DEL CONSEJO</t>
        </is>
      </c>
      <c r="M1623" t="n">
        <v>60</v>
      </c>
      <c r="N1623" t="inlineStr">
        <is>
          <t>DIRECCION RIESGOS</t>
        </is>
      </c>
      <c r="O1623" t="n">
        <v>460</v>
      </c>
      <c r="P1623" t="inlineStr">
        <is>
          <t>DIRECCION CREDITO</t>
        </is>
      </c>
      <c r="Q1623" t="n">
        <v>4620</v>
      </c>
      <c r="R1623" t="inlineStr">
        <is>
          <t>ANALISIS DE CREDITO</t>
        </is>
      </c>
      <c r="S1623" t="n">
        <v>46250</v>
      </c>
      <c r="T1623" t="inlineStr">
        <is>
          <t>ANALISIS DE CREDITO 4</t>
        </is>
      </c>
      <c r="U1623" t="n">
        <v>462500</v>
      </c>
      <c r="V1623" t="inlineStr">
        <is>
          <t>ANALISIS DE CREDITO 4</t>
        </is>
      </c>
      <c r="W1623" t="n">
        <v>100101</v>
      </c>
      <c r="X1623" t="inlineStr">
        <is>
          <t>CORPORATIVO</t>
        </is>
      </c>
      <c r="Y1623" t="n">
        <v>3</v>
      </c>
      <c r="Z1623" t="inlineStr">
        <is>
          <t>CAMBIARIO</t>
        </is>
      </c>
      <c r="AA1623" t="n">
        <v>1</v>
      </c>
      <c r="AB1623" t="inlineStr">
        <is>
          <t>NEGOCIO EN MARCHA</t>
        </is>
      </c>
      <c r="AC1623" t="n">
        <v>1</v>
      </c>
      <c r="AD1623" t="inlineStr">
        <is>
          <t>BANCO</t>
        </is>
      </c>
      <c r="AE1623" t="n">
        <v>1</v>
      </c>
      <c r="AF1623" t="inlineStr">
        <is>
          <t>BACK</t>
        </is>
      </c>
      <c r="AG1623" t="n">
        <v>100101</v>
      </c>
      <c r="AH1623" t="inlineStr">
        <is>
          <t>CORPORATIVO</t>
        </is>
      </c>
      <c r="AI1623" t="inlineStr">
        <is>
          <t>JCANTUC@BANCOBASE.COM</t>
        </is>
      </c>
      <c r="AJ1623" s="151" t="n">
        <v>45201</v>
      </c>
    </row>
    <row r="1624" hidden="1" s="150">
      <c r="A1624" t="inlineStr">
        <is>
          <t>JLEON</t>
        </is>
      </c>
      <c r="B1624" t="n">
        <v>3495</v>
      </c>
      <c r="C1624" t="inlineStr">
        <is>
          <t>JULIAN ALEJANDRO LEON TAMAYO</t>
        </is>
      </c>
      <c r="D1624" t="n">
        <v>10030</v>
      </c>
      <c r="E1624" t="inlineStr">
        <is>
          <t>ANALISTA DE CREDITO ASOCIADO</t>
        </is>
      </c>
      <c r="F1624" t="inlineStr">
        <is>
          <t>MONTERREY</t>
        </is>
      </c>
      <c r="G1624" t="n">
        <v>1440</v>
      </c>
      <c r="H1624" t="inlineStr">
        <is>
          <t>JOSE ANGEL DE ISLA QUIROGA</t>
        </is>
      </c>
      <c r="I1624" t="n">
        <v>10205</v>
      </c>
      <c r="J1624" t="inlineStr">
        <is>
          <t>LIDER ANALISIS DE CREDITO</t>
        </is>
      </c>
      <c r="K1624" t="n">
        <v>1</v>
      </c>
      <c r="L1624" t="inlineStr">
        <is>
          <t>PRESIDENCIA EJECUTIVA DEL CONSEJO</t>
        </is>
      </c>
      <c r="M1624" t="n">
        <v>60</v>
      </c>
      <c r="N1624" t="inlineStr">
        <is>
          <t>DIRECCION RIESGOS</t>
        </is>
      </c>
      <c r="O1624" t="n">
        <v>460</v>
      </c>
      <c r="P1624" t="inlineStr">
        <is>
          <t>DIRECCION CREDITO</t>
        </is>
      </c>
      <c r="Q1624" t="n">
        <v>4620</v>
      </c>
      <c r="R1624" t="inlineStr">
        <is>
          <t>ANALISIS DE CREDITO</t>
        </is>
      </c>
      <c r="S1624" t="n">
        <v>46250</v>
      </c>
      <c r="T1624" t="inlineStr">
        <is>
          <t>ANALISIS DE CREDITO 4</t>
        </is>
      </c>
      <c r="U1624" t="n">
        <v>462500</v>
      </c>
      <c r="V1624" t="inlineStr">
        <is>
          <t>ANALISIS DE CREDITO 4</t>
        </is>
      </c>
      <c r="W1624" t="n">
        <v>100101</v>
      </c>
      <c r="X1624" t="inlineStr">
        <is>
          <t>CORPORATIVO</t>
        </is>
      </c>
      <c r="Y1624" t="n">
        <v>9</v>
      </c>
      <c r="Z1624" t="inlineStr">
        <is>
          <t>BANCARIO</t>
        </is>
      </c>
      <c r="AA1624" t="n">
        <v>1</v>
      </c>
      <c r="AB1624" t="inlineStr">
        <is>
          <t>NEGOCIO EN MARCHA</t>
        </is>
      </c>
      <c r="AC1624" t="n">
        <v>1</v>
      </c>
      <c r="AD1624" t="inlineStr">
        <is>
          <t>BANCO</t>
        </is>
      </c>
      <c r="AE1624" t="n">
        <v>1</v>
      </c>
      <c r="AF1624" t="inlineStr">
        <is>
          <t>BACK</t>
        </is>
      </c>
      <c r="AG1624" t="n">
        <v>100101</v>
      </c>
      <c r="AH1624" t="inlineStr">
        <is>
          <t>CORPORATIVO</t>
        </is>
      </c>
      <c r="AI1624" t="inlineStr">
        <is>
          <t>JLEON@BANCOBASE.COM</t>
        </is>
      </c>
      <c r="AJ1624" s="151" t="n">
        <v>45873</v>
      </c>
    </row>
    <row r="1625" hidden="1" s="150">
      <c r="A1625" t="inlineStr">
        <is>
          <t>ZGUILLEN</t>
        </is>
      </c>
      <c r="B1625" t="n">
        <v>2026</v>
      </c>
      <c r="C1625" t="inlineStr">
        <is>
          <t>ZABDI HARUMI GUILLEN SALCE</t>
        </is>
      </c>
      <c r="D1625" t="n">
        <v>9599</v>
      </c>
      <c r="E1625" t="inlineStr">
        <is>
          <t>ANALISTA DE CREDITO SR</t>
        </is>
      </c>
      <c r="F1625" t="inlineStr">
        <is>
          <t>MONTERREY</t>
        </is>
      </c>
      <c r="G1625" t="n">
        <v>1440</v>
      </c>
      <c r="H1625" t="inlineStr">
        <is>
          <t>JOSE ANGEL DE ISLA QUIROGA</t>
        </is>
      </c>
      <c r="I1625" t="n">
        <v>10205</v>
      </c>
      <c r="J1625" t="inlineStr">
        <is>
          <t>LIDER ANALISIS DE CREDITO</t>
        </is>
      </c>
      <c r="K1625" t="n">
        <v>1</v>
      </c>
      <c r="L1625" t="inlineStr">
        <is>
          <t>PRESIDENCIA EJECUTIVA DEL CONSEJO</t>
        </is>
      </c>
      <c r="M1625" t="n">
        <v>60</v>
      </c>
      <c r="N1625" t="inlineStr">
        <is>
          <t>DIRECCION RIESGOS</t>
        </is>
      </c>
      <c r="O1625" t="n">
        <v>460</v>
      </c>
      <c r="P1625" t="inlineStr">
        <is>
          <t>DIRECCION CREDITO</t>
        </is>
      </c>
      <c r="Q1625" t="n">
        <v>4620</v>
      </c>
      <c r="R1625" t="inlineStr">
        <is>
          <t>ANALISIS DE CREDITO</t>
        </is>
      </c>
      <c r="S1625" t="n">
        <v>46250</v>
      </c>
      <c r="T1625" t="inlineStr">
        <is>
          <t>ANALISIS DE CREDITO 4</t>
        </is>
      </c>
      <c r="U1625" t="n">
        <v>462500</v>
      </c>
      <c r="V1625" t="inlineStr">
        <is>
          <t>ANALISIS DE CREDITO 4</t>
        </is>
      </c>
      <c r="W1625" t="n">
        <v>100101</v>
      </c>
      <c r="X1625" t="inlineStr">
        <is>
          <t>CORPORATIVO</t>
        </is>
      </c>
      <c r="Y1625" t="n">
        <v>3</v>
      </c>
      <c r="Z1625" t="inlineStr">
        <is>
          <t>CAMBIARIO</t>
        </is>
      </c>
      <c r="AA1625" t="n">
        <v>1</v>
      </c>
      <c r="AB1625" t="inlineStr">
        <is>
          <t>NEGOCIO EN MARCHA</t>
        </is>
      </c>
      <c r="AC1625" t="n">
        <v>1</v>
      </c>
      <c r="AD1625" t="inlineStr">
        <is>
          <t>BANCO</t>
        </is>
      </c>
      <c r="AE1625" t="n">
        <v>1</v>
      </c>
      <c r="AF1625" t="inlineStr">
        <is>
          <t>BACK</t>
        </is>
      </c>
      <c r="AG1625" t="n">
        <v>100101</v>
      </c>
      <c r="AH1625" t="inlineStr">
        <is>
          <t>CORPORATIVO</t>
        </is>
      </c>
      <c r="AI1625" t="inlineStr">
        <is>
          <t>ZGUILLEN@BANCOBASE.COM</t>
        </is>
      </c>
      <c r="AJ1625" s="151" t="n">
        <v>43252</v>
      </c>
    </row>
    <row r="1626" hidden="1" s="150">
      <c r="A1626" t="inlineStr">
        <is>
          <t>DLONGORIA</t>
        </is>
      </c>
      <c r="B1626" t="n">
        <v>99527</v>
      </c>
      <c r="C1626" t="inlineStr">
        <is>
          <t>DAVID LONGORIA ROBLESGIL</t>
        </is>
      </c>
      <c r="D1626" t="n">
        <v>9635</v>
      </c>
      <c r="E1626" t="inlineStr">
        <is>
          <t>PRACTICANTE</t>
        </is>
      </c>
      <c r="F1626" t="inlineStr">
        <is>
          <t>MONTERREY</t>
        </is>
      </c>
      <c r="G1626" t="n">
        <v>1440</v>
      </c>
      <c r="H1626" t="inlineStr">
        <is>
          <t>JOSE ANGEL DE ISLA QUIROGA</t>
        </is>
      </c>
      <c r="I1626" t="n">
        <v>10205</v>
      </c>
      <c r="J1626" t="inlineStr">
        <is>
          <t>LIDER ANALISIS DE CREDITO</t>
        </is>
      </c>
      <c r="K1626" t="n">
        <v>1</v>
      </c>
      <c r="L1626" t="inlineStr">
        <is>
          <t>PRESIDENCIA EJECUTIVA DEL CONSEJO</t>
        </is>
      </c>
      <c r="M1626" t="n">
        <v>60</v>
      </c>
      <c r="N1626" t="inlineStr">
        <is>
          <t>DIRECCION RIESGOS</t>
        </is>
      </c>
      <c r="O1626" t="n">
        <v>460</v>
      </c>
      <c r="P1626" t="inlineStr">
        <is>
          <t>DIRECCION CREDITO</t>
        </is>
      </c>
      <c r="Q1626" t="n">
        <v>4620</v>
      </c>
      <c r="R1626" t="inlineStr">
        <is>
          <t>ANALISIS DE CREDITO</t>
        </is>
      </c>
      <c r="S1626" t="n">
        <v>46250</v>
      </c>
      <c r="T1626" t="inlineStr">
        <is>
          <t>ANALISIS DE CREDITO 4</t>
        </is>
      </c>
      <c r="U1626" t="n">
        <v>462500</v>
      </c>
      <c r="V1626" t="inlineStr">
        <is>
          <t>ANALISIS DE CREDITO 4</t>
        </is>
      </c>
      <c r="W1626" t="n">
        <v>100101</v>
      </c>
      <c r="X1626" t="inlineStr">
        <is>
          <t>CORPORATIVO</t>
        </is>
      </c>
      <c r="Y1626" t="n">
        <v>3</v>
      </c>
      <c r="Z1626" t="inlineStr">
        <is>
          <t>CAMBIARIO</t>
        </is>
      </c>
      <c r="AA1626" t="n">
        <v>1</v>
      </c>
      <c r="AB1626" t="inlineStr">
        <is>
          <t>NEGOCIO EN MARCHA</t>
        </is>
      </c>
      <c r="AC1626" t="n">
        <v>1</v>
      </c>
      <c r="AD1626" t="inlineStr">
        <is>
          <t>BANCO</t>
        </is>
      </c>
      <c r="AE1626" t="n">
        <v>1</v>
      </c>
      <c r="AF1626" t="inlineStr">
        <is>
          <t>BACK</t>
        </is>
      </c>
      <c r="AG1626" t="n">
        <v>100101</v>
      </c>
      <c r="AH1626" t="inlineStr">
        <is>
          <t>CORPORATIVO</t>
        </is>
      </c>
      <c r="AI1626" t="inlineStr">
        <is>
          <t>DLONGORIA@BANCOBASE.COM</t>
        </is>
      </c>
      <c r="AJ1626" s="151" t="n">
        <v>46041</v>
      </c>
    </row>
    <row r="1627" hidden="1" s="150">
      <c r="A1627" t="inlineStr">
        <is>
          <t>JJGARCIA</t>
        </is>
      </c>
      <c r="B1627" t="n">
        <v>1245</v>
      </c>
      <c r="C1627" t="inlineStr">
        <is>
          <t>JOSE JUAN GARCIA VILLARREAL</t>
        </is>
      </c>
      <c r="D1627" t="n">
        <v>10145</v>
      </c>
      <c r="E1627" t="inlineStr">
        <is>
          <t>SUBDIRECTOR DE GESTION DE CARTERA</t>
        </is>
      </c>
      <c r="F1627" t="inlineStr">
        <is>
          <t>MONTERREY</t>
        </is>
      </c>
      <c r="G1627" t="n">
        <v>1881</v>
      </c>
      <c r="H1627" t="inlineStr">
        <is>
          <t>LUIS ANTONIO NOVELO LAZO</t>
        </is>
      </c>
      <c r="I1627" t="n">
        <v>5</v>
      </c>
      <c r="J1627" t="inlineStr">
        <is>
          <t>DIRECTOR DE CREDITO</t>
        </is>
      </c>
      <c r="K1627" t="n">
        <v>1</v>
      </c>
      <c r="L1627" t="inlineStr">
        <is>
          <t>PRESIDENCIA EJECUTIVA DEL CONSEJO</t>
        </is>
      </c>
      <c r="M1627" t="n">
        <v>60</v>
      </c>
      <c r="N1627" t="inlineStr">
        <is>
          <t>DIRECCION RIESGOS</t>
        </is>
      </c>
      <c r="O1627" t="n">
        <v>460</v>
      </c>
      <c r="P1627" t="inlineStr">
        <is>
          <t>DIRECCION CREDITO</t>
        </is>
      </c>
      <c r="Q1627" t="n">
        <v>4640</v>
      </c>
      <c r="R1627" t="inlineStr">
        <is>
          <t>SUBDIRECCION DE GESTION DE CARTERA</t>
        </is>
      </c>
      <c r="S1627" t="n">
        <v>46400</v>
      </c>
      <c r="T1627" t="inlineStr">
        <is>
          <t>SUBDIRECCION DE GESTION DE CARTERA</t>
        </is>
      </c>
      <c r="U1627" t="n">
        <v>464000</v>
      </c>
      <c r="V1627" t="inlineStr">
        <is>
          <t>SUBDIRECCION DE GESTION DE CARTERA</t>
        </is>
      </c>
      <c r="W1627" t="n">
        <v>100101</v>
      </c>
      <c r="X1627" t="inlineStr">
        <is>
          <t>CORPORATIVO</t>
        </is>
      </c>
      <c r="Y1627" t="n">
        <v>4</v>
      </c>
      <c r="Z1627" t="inlineStr">
        <is>
          <t>CORPORATIVO</t>
        </is>
      </c>
      <c r="AA1627" t="n">
        <v>1</v>
      </c>
      <c r="AB1627" t="inlineStr">
        <is>
          <t>NEGOCIO EN MARCHA</t>
        </is>
      </c>
      <c r="AC1627" t="n">
        <v>1</v>
      </c>
      <c r="AD1627" t="inlineStr">
        <is>
          <t>BANCO</t>
        </is>
      </c>
      <c r="AE1627" t="n">
        <v>1</v>
      </c>
      <c r="AF1627" t="inlineStr">
        <is>
          <t>BACK</t>
        </is>
      </c>
      <c r="AG1627" t="n">
        <v>100101</v>
      </c>
      <c r="AH1627" t="inlineStr">
        <is>
          <t>CORPORATIVO</t>
        </is>
      </c>
      <c r="AI1627" t="inlineStr">
        <is>
          <t>JJGARCIA@BANCOBASE.COM</t>
        </is>
      </c>
      <c r="AJ1627" s="151" t="n">
        <v>42005</v>
      </c>
    </row>
    <row r="1628" hidden="1" s="150">
      <c r="A1628" t="inlineStr">
        <is>
          <t>SMARTINEZV</t>
        </is>
      </c>
      <c r="B1628" t="n">
        <v>3274</v>
      </c>
      <c r="C1628" t="inlineStr">
        <is>
          <t>SOFIA MARTINEZ VELEZ</t>
        </is>
      </c>
      <c r="D1628" t="n">
        <v>8443</v>
      </c>
      <c r="E1628" t="inlineStr">
        <is>
          <t>ANALISTA DE GESTION DE CARTERA</t>
        </is>
      </c>
      <c r="F1628" t="inlineStr">
        <is>
          <t>MONTERREY</t>
        </is>
      </c>
      <c r="G1628" t="n">
        <v>1245</v>
      </c>
      <c r="H1628" t="inlineStr">
        <is>
          <t>JOSE JUAN GARCIA VILLARREAL</t>
        </is>
      </c>
      <c r="I1628" t="n">
        <v>10145</v>
      </c>
      <c r="J1628" t="inlineStr">
        <is>
          <t>SUBDIRECTOR DE GESTION DE CARTERA</t>
        </is>
      </c>
      <c r="K1628" t="n">
        <v>1</v>
      </c>
      <c r="L1628" t="inlineStr">
        <is>
          <t>PRESIDENCIA EJECUTIVA DEL CONSEJO</t>
        </is>
      </c>
      <c r="M1628" t="n">
        <v>60</v>
      </c>
      <c r="N1628" t="inlineStr">
        <is>
          <t>DIRECCION RIESGOS</t>
        </is>
      </c>
      <c r="O1628" t="n">
        <v>460</v>
      </c>
      <c r="P1628" t="inlineStr">
        <is>
          <t>DIRECCION CREDITO</t>
        </is>
      </c>
      <c r="Q1628" t="n">
        <v>4640</v>
      </c>
      <c r="R1628" t="inlineStr">
        <is>
          <t>SUBDIRECCION DE GESTION DE CARTERA</t>
        </is>
      </c>
      <c r="S1628" t="n">
        <v>46400</v>
      </c>
      <c r="T1628" t="inlineStr">
        <is>
          <t>SUBDIRECCION DE GESTION DE CARTERA</t>
        </is>
      </c>
      <c r="U1628" t="n">
        <v>464000</v>
      </c>
      <c r="V1628" t="inlineStr">
        <is>
          <t>SUBDIRECCION DE GESTION DE CARTERA</t>
        </is>
      </c>
      <c r="W1628" t="n">
        <v>100101</v>
      </c>
      <c r="X1628" t="inlineStr">
        <is>
          <t>CORPORATIVO</t>
        </is>
      </c>
      <c r="Y1628" t="n">
        <v>4</v>
      </c>
      <c r="Z1628" t="inlineStr">
        <is>
          <t>CORPORATIVO</t>
        </is>
      </c>
      <c r="AA1628" t="n">
        <v>1</v>
      </c>
      <c r="AB1628" t="inlineStr">
        <is>
          <t>NEGOCIO EN MARCHA</t>
        </is>
      </c>
      <c r="AC1628" t="n">
        <v>1</v>
      </c>
      <c r="AD1628" t="inlineStr">
        <is>
          <t>BANCO</t>
        </is>
      </c>
      <c r="AE1628" t="n">
        <v>1</v>
      </c>
      <c r="AF1628" t="inlineStr">
        <is>
          <t>BACK</t>
        </is>
      </c>
      <c r="AG1628" t="n">
        <v>100101</v>
      </c>
      <c r="AH1628" t="inlineStr">
        <is>
          <t>CORPORATIVO</t>
        </is>
      </c>
      <c r="AI1628" t="inlineStr">
        <is>
          <t>SMARTINEZV@BANCOBASE.COM</t>
        </is>
      </c>
      <c r="AJ1628" s="151" t="n">
        <v>45615</v>
      </c>
    </row>
    <row r="1629" hidden="1" s="150">
      <c r="A1629" t="inlineStr">
        <is>
          <t>AVARGAS</t>
        </is>
      </c>
      <c r="B1629" t="n">
        <v>1586</v>
      </c>
      <c r="C1629" t="inlineStr">
        <is>
          <t>ALBINO VARGAS GRACIA</t>
        </is>
      </c>
      <c r="D1629" t="n">
        <v>9877</v>
      </c>
      <c r="E1629" t="inlineStr">
        <is>
          <t>DIRECTOR DE DESARROLLO INMOBILIARIO</t>
        </is>
      </c>
      <c r="F1629" t="inlineStr">
        <is>
          <t>MONTERREY</t>
        </is>
      </c>
      <c r="G1629" t="n">
        <v>1881</v>
      </c>
      <c r="H1629" t="inlineStr">
        <is>
          <t>LUIS ANTONIO NOVELO LAZO</t>
        </is>
      </c>
      <c r="I1629" t="n">
        <v>5</v>
      </c>
      <c r="J1629" t="inlineStr">
        <is>
          <t>DIRECTOR DE CREDITO</t>
        </is>
      </c>
      <c r="K1629" t="n">
        <v>1</v>
      </c>
      <c r="L1629" t="inlineStr">
        <is>
          <t>PRESIDENCIA EJECUTIVA DEL CONSEJO</t>
        </is>
      </c>
      <c r="M1629" t="n">
        <v>60</v>
      </c>
      <c r="N1629" t="inlineStr">
        <is>
          <t>DIRECCION RIESGOS</t>
        </is>
      </c>
      <c r="O1629" t="n">
        <v>460</v>
      </c>
      <c r="P1629" t="inlineStr">
        <is>
          <t>DIRECCION CREDITO</t>
        </is>
      </c>
      <c r="Q1629" t="n">
        <v>4650</v>
      </c>
      <c r="R1629" t="inlineStr">
        <is>
          <t>DIRECCION DESARROLLO INMOBILIARIO</t>
        </is>
      </c>
      <c r="S1629" t="n">
        <v>46500</v>
      </c>
      <c r="T1629" t="inlineStr">
        <is>
          <t>DIRECCION DESARROLLO INMOBILIARIO</t>
        </is>
      </c>
      <c r="U1629" t="n">
        <v>465000</v>
      </c>
      <c r="V1629" t="inlineStr">
        <is>
          <t>DIRECCION DESARROLLO INMOBILIARIO</t>
        </is>
      </c>
      <c r="W1629" t="n">
        <v>100101</v>
      </c>
      <c r="X1629" t="inlineStr">
        <is>
          <t>CORPORATIVO</t>
        </is>
      </c>
      <c r="Y1629" t="n">
        <v>9</v>
      </c>
      <c r="Z1629" t="inlineStr">
        <is>
          <t>BANCARIO</t>
        </is>
      </c>
      <c r="AA1629" t="n">
        <v>1</v>
      </c>
      <c r="AB1629" t="inlineStr">
        <is>
          <t>NEGOCIO EN MARCHA</t>
        </is>
      </c>
      <c r="AC1629" t="n">
        <v>1</v>
      </c>
      <c r="AD1629" t="inlineStr">
        <is>
          <t>BANCO</t>
        </is>
      </c>
      <c r="AE1629" t="n">
        <v>2</v>
      </c>
      <c r="AF1629" t="inlineStr">
        <is>
          <t>MIDDLE</t>
        </is>
      </c>
      <c r="AG1629" t="n">
        <v>100101</v>
      </c>
      <c r="AH1629" t="inlineStr">
        <is>
          <t>CORPORATIVO</t>
        </is>
      </c>
      <c r="AI1629" t="inlineStr">
        <is>
          <t>AVARGAS@BANCOBASE.COM</t>
        </is>
      </c>
      <c r="AJ1629" s="151" t="n">
        <v>42552</v>
      </c>
    </row>
    <row r="1630" hidden="1" s="150">
      <c r="A1630" t="inlineStr">
        <is>
          <t>AHERNANDEL</t>
        </is>
      </c>
      <c r="B1630" t="n">
        <v>1657</v>
      </c>
      <c r="C1630" t="inlineStr">
        <is>
          <t>ANDREA HERNANDEZ LARA</t>
        </is>
      </c>
      <c r="D1630" t="n">
        <v>9910</v>
      </c>
      <c r="E1630" t="inlineStr">
        <is>
          <t>ANALISTA DE DESARROLLO INMOBILIARIO</t>
        </is>
      </c>
      <c r="F1630" t="inlineStr">
        <is>
          <t>MONTERREY</t>
        </is>
      </c>
      <c r="G1630" t="n">
        <v>1586</v>
      </c>
      <c r="H1630" t="inlineStr">
        <is>
          <t>ALBINO VARGAS GRACIA</t>
        </is>
      </c>
      <c r="I1630" t="n">
        <v>9877</v>
      </c>
      <c r="J1630" t="inlineStr">
        <is>
          <t>DIRECTOR DE DESARROLLO INMOBILIARIO</t>
        </is>
      </c>
      <c r="K1630" t="n">
        <v>1</v>
      </c>
      <c r="L1630" t="inlineStr">
        <is>
          <t>PRESIDENCIA EJECUTIVA DEL CONSEJO</t>
        </is>
      </c>
      <c r="M1630" t="n">
        <v>60</v>
      </c>
      <c r="N1630" t="inlineStr">
        <is>
          <t>DIRECCION RIESGOS</t>
        </is>
      </c>
      <c r="O1630" t="n">
        <v>460</v>
      </c>
      <c r="P1630" t="inlineStr">
        <is>
          <t>DIRECCION CREDITO</t>
        </is>
      </c>
      <c r="Q1630" t="n">
        <v>4650</v>
      </c>
      <c r="R1630" t="inlineStr">
        <is>
          <t>DIRECCION DESARROLLO INMOBILIARIO</t>
        </is>
      </c>
      <c r="S1630" t="n">
        <v>46500</v>
      </c>
      <c r="T1630" t="inlineStr">
        <is>
          <t>DIRECCION DESARROLLO INMOBILIARIO</t>
        </is>
      </c>
      <c r="U1630" t="n">
        <v>465000</v>
      </c>
      <c r="V1630" t="inlineStr">
        <is>
          <t>DIRECCION DESARROLLO INMOBILIARIO</t>
        </is>
      </c>
      <c r="W1630" t="n">
        <v>100101</v>
      </c>
      <c r="X1630" t="inlineStr">
        <is>
          <t>CORPORATIVO</t>
        </is>
      </c>
      <c r="Y1630" t="n">
        <v>9</v>
      </c>
      <c r="Z1630" t="inlineStr">
        <is>
          <t>BANCARIO</t>
        </is>
      </c>
      <c r="AA1630" t="n">
        <v>1</v>
      </c>
      <c r="AB1630" t="inlineStr">
        <is>
          <t>NEGOCIO EN MARCHA</t>
        </is>
      </c>
      <c r="AC1630" t="n">
        <v>1</v>
      </c>
      <c r="AD1630" t="inlineStr">
        <is>
          <t>BANCO</t>
        </is>
      </c>
      <c r="AE1630" t="n">
        <v>2</v>
      </c>
      <c r="AF1630" t="inlineStr">
        <is>
          <t>MIDDLE</t>
        </is>
      </c>
      <c r="AG1630" t="n">
        <v>100101</v>
      </c>
      <c r="AH1630" t="inlineStr">
        <is>
          <t>CORPORATIVO</t>
        </is>
      </c>
      <c r="AI1630" t="inlineStr">
        <is>
          <t>AHERNANDEL@BANCOBASE.COM</t>
        </is>
      </c>
      <c r="AJ1630" s="151" t="n">
        <v>42690</v>
      </c>
    </row>
    <row r="1631" hidden="1" s="150">
      <c r="A1631" t="inlineStr">
        <is>
          <t>PALMAGUER</t>
        </is>
      </c>
      <c r="B1631" t="n">
        <v>1609</v>
      </c>
      <c r="C1631" t="inlineStr">
        <is>
          <t>PATRICIA ALMAGUER CAZARES</t>
        </is>
      </c>
      <c r="D1631" t="n">
        <v>9889</v>
      </c>
      <c r="E1631" t="inlineStr">
        <is>
          <t>GERENTE DE AVALUOS</t>
        </is>
      </c>
      <c r="F1631" t="inlineStr">
        <is>
          <t>MONTERREY</t>
        </is>
      </c>
      <c r="G1631" t="n">
        <v>1586</v>
      </c>
      <c r="H1631" t="inlineStr">
        <is>
          <t>ALBINO VARGAS GRACIA</t>
        </is>
      </c>
      <c r="I1631" t="n">
        <v>9877</v>
      </c>
      <c r="J1631" t="inlineStr">
        <is>
          <t>DIRECTOR DE DESARROLLO INMOBILIARIO</t>
        </is>
      </c>
      <c r="K1631" t="n">
        <v>1</v>
      </c>
      <c r="L1631" t="inlineStr">
        <is>
          <t>PRESIDENCIA EJECUTIVA DEL CONSEJO</t>
        </is>
      </c>
      <c r="M1631" t="n">
        <v>60</v>
      </c>
      <c r="N1631" t="inlineStr">
        <is>
          <t>DIRECCION RIESGOS</t>
        </is>
      </c>
      <c r="O1631" t="n">
        <v>460</v>
      </c>
      <c r="P1631" t="inlineStr">
        <is>
          <t>DIRECCION CREDITO</t>
        </is>
      </c>
      <c r="Q1631" t="n">
        <v>4650</v>
      </c>
      <c r="R1631" t="inlineStr">
        <is>
          <t>DIRECCION DESARROLLO INMOBILIARIO</t>
        </is>
      </c>
      <c r="S1631" t="n">
        <v>46510</v>
      </c>
      <c r="T1631" t="inlineStr">
        <is>
          <t>GERENCIA DE AVALUOS</t>
        </is>
      </c>
      <c r="U1631" t="n">
        <v>465100</v>
      </c>
      <c r="V1631" t="inlineStr">
        <is>
          <t>GERENCIA DE AVALUOS</t>
        </is>
      </c>
      <c r="W1631" t="n">
        <v>100101</v>
      </c>
      <c r="X1631" t="inlineStr">
        <is>
          <t>CORPORATIVO</t>
        </is>
      </c>
      <c r="Y1631" t="n">
        <v>9</v>
      </c>
      <c r="Z1631" t="inlineStr">
        <is>
          <t>BANCARIO</t>
        </is>
      </c>
      <c r="AA1631" t="n">
        <v>1</v>
      </c>
      <c r="AB1631" t="inlineStr">
        <is>
          <t>NEGOCIO EN MARCHA</t>
        </is>
      </c>
      <c r="AC1631" t="n">
        <v>1</v>
      </c>
      <c r="AD1631" t="inlineStr">
        <is>
          <t>BANCO</t>
        </is>
      </c>
      <c r="AE1631" t="n">
        <v>2</v>
      </c>
      <c r="AF1631" t="inlineStr">
        <is>
          <t>MIDDLE</t>
        </is>
      </c>
      <c r="AG1631" t="n">
        <v>100101</v>
      </c>
      <c r="AH1631" t="inlineStr">
        <is>
          <t>CORPORATIVO</t>
        </is>
      </c>
      <c r="AI1631" t="inlineStr">
        <is>
          <t>PALMAGUER@BANCOBASE.COM</t>
        </is>
      </c>
      <c r="AJ1631" s="151" t="n">
        <v>42598</v>
      </c>
    </row>
    <row r="1632" hidden="1" s="150">
      <c r="A1632" t="inlineStr">
        <is>
          <t>FRAMOSL</t>
        </is>
      </c>
      <c r="B1632" t="n">
        <v>2282</v>
      </c>
      <c r="C1632" t="inlineStr">
        <is>
          <t>FEDERICO ERNESTO RAMOS LEON</t>
        </is>
      </c>
      <c r="D1632" t="n">
        <v>9906</v>
      </c>
      <c r="E1632" t="inlineStr">
        <is>
          <t>ANALISTA DE AVALUOS</t>
        </is>
      </c>
      <c r="F1632" t="inlineStr">
        <is>
          <t>MONTERREY</t>
        </is>
      </c>
      <c r="G1632" t="n">
        <v>1609</v>
      </c>
      <c r="H1632" t="inlineStr">
        <is>
          <t>PATRICIA ALMAGUER CAZARES</t>
        </is>
      </c>
      <c r="I1632" t="n">
        <v>9889</v>
      </c>
      <c r="J1632" t="inlineStr">
        <is>
          <t>GERENTE DE AVALUOS</t>
        </is>
      </c>
      <c r="K1632" t="n">
        <v>1</v>
      </c>
      <c r="L1632" t="inlineStr">
        <is>
          <t>PRESIDENCIA EJECUTIVA DEL CONSEJO</t>
        </is>
      </c>
      <c r="M1632" t="n">
        <v>60</v>
      </c>
      <c r="N1632" t="inlineStr">
        <is>
          <t>DIRECCION RIESGOS</t>
        </is>
      </c>
      <c r="O1632" t="n">
        <v>460</v>
      </c>
      <c r="P1632" t="inlineStr">
        <is>
          <t>DIRECCION CREDITO</t>
        </is>
      </c>
      <c r="Q1632" t="n">
        <v>4650</v>
      </c>
      <c r="R1632" t="inlineStr">
        <is>
          <t>DIRECCION DESARROLLO INMOBILIARIO</t>
        </is>
      </c>
      <c r="S1632" t="n">
        <v>46510</v>
      </c>
      <c r="T1632" t="inlineStr">
        <is>
          <t>GERENCIA DE AVALUOS</t>
        </is>
      </c>
      <c r="U1632" t="n">
        <v>465100</v>
      </c>
      <c r="V1632" t="inlineStr">
        <is>
          <t>GERENCIA DE AVALUOS</t>
        </is>
      </c>
      <c r="W1632" t="n">
        <v>100101</v>
      </c>
      <c r="X1632" t="inlineStr">
        <is>
          <t>CORPORATIVO</t>
        </is>
      </c>
      <c r="Y1632" t="n">
        <v>9</v>
      </c>
      <c r="Z1632" t="inlineStr">
        <is>
          <t>BANCARIO</t>
        </is>
      </c>
      <c r="AA1632" t="n">
        <v>1</v>
      </c>
      <c r="AB1632" t="inlineStr">
        <is>
          <t>NEGOCIO EN MARCHA</t>
        </is>
      </c>
      <c r="AC1632" t="n">
        <v>1</v>
      </c>
      <c r="AD1632" t="inlineStr">
        <is>
          <t>BANCO</t>
        </is>
      </c>
      <c r="AE1632" t="n">
        <v>2</v>
      </c>
      <c r="AF1632" t="inlineStr">
        <is>
          <t>MIDDLE</t>
        </is>
      </c>
      <c r="AG1632" t="n">
        <v>100101</v>
      </c>
      <c r="AH1632" t="inlineStr">
        <is>
          <t>CORPORATIVO</t>
        </is>
      </c>
      <c r="AI1632" t="inlineStr">
        <is>
          <t>FRAMOSL@BANCOBASE.COM</t>
        </is>
      </c>
      <c r="AJ1632" s="151" t="n">
        <v>43656</v>
      </c>
    </row>
    <row r="1633" hidden="1" s="150">
      <c r="A1633" t="inlineStr">
        <is>
          <t>CARAGON</t>
        </is>
      </c>
      <c r="B1633" t="n">
        <v>1979</v>
      </c>
      <c r="C1633" t="inlineStr">
        <is>
          <t>CARLOS GERARDO ARAGON MEDINA</t>
        </is>
      </c>
      <c r="D1633" t="n">
        <v>10173</v>
      </c>
      <c r="E1633" t="inlineStr">
        <is>
          <t>GERENTE TECNICO INMOBILIARIO SUR</t>
        </is>
      </c>
      <c r="F1633" t="inlineStr">
        <is>
          <t>MEXICO</t>
        </is>
      </c>
      <c r="G1633" t="n">
        <v>1586</v>
      </c>
      <c r="H1633" t="inlineStr">
        <is>
          <t>ALBINO VARGAS GRACIA</t>
        </is>
      </c>
      <c r="I1633" t="n">
        <v>9877</v>
      </c>
      <c r="J1633" t="inlineStr">
        <is>
          <t>DIRECTOR DE DESARROLLO INMOBILIARIO</t>
        </is>
      </c>
      <c r="K1633" t="n">
        <v>1</v>
      </c>
      <c r="L1633" t="inlineStr">
        <is>
          <t>PRESIDENCIA EJECUTIVA DEL CONSEJO</t>
        </is>
      </c>
      <c r="M1633" t="n">
        <v>60</v>
      </c>
      <c r="N1633" t="inlineStr">
        <is>
          <t>DIRECCION RIESGOS</t>
        </is>
      </c>
      <c r="O1633" t="n">
        <v>460</v>
      </c>
      <c r="P1633" t="inlineStr">
        <is>
          <t>DIRECCION CREDITO</t>
        </is>
      </c>
      <c r="Q1633" t="n">
        <v>4650</v>
      </c>
      <c r="R1633" t="inlineStr">
        <is>
          <t>DIRECCION DESARROLLO INMOBILIARIO</t>
        </is>
      </c>
      <c r="S1633" t="n">
        <v>46530</v>
      </c>
      <c r="T1633" t="inlineStr">
        <is>
          <t>GERENCIA DE TECNICO INMOBILIARIO SUR</t>
        </is>
      </c>
      <c r="U1633" t="n">
        <v>465200</v>
      </c>
      <c r="V1633" t="inlineStr">
        <is>
          <t>GERENCIA DE TECNICO INMOBILIARIO</t>
        </is>
      </c>
      <c r="W1633" t="n">
        <v>134111</v>
      </c>
      <c r="X1633" t="inlineStr">
        <is>
          <t>LOMAS</t>
        </is>
      </c>
      <c r="Y1633" t="n">
        <v>9</v>
      </c>
      <c r="Z1633" t="inlineStr">
        <is>
          <t>BANCARIO</t>
        </is>
      </c>
      <c r="AA1633" t="n">
        <v>1</v>
      </c>
      <c r="AB1633" t="inlineStr">
        <is>
          <t>NEGOCIO EN MARCHA</t>
        </is>
      </c>
      <c r="AC1633" t="n">
        <v>1</v>
      </c>
      <c r="AD1633" t="inlineStr">
        <is>
          <t>BANCO</t>
        </is>
      </c>
      <c r="AE1633" t="n">
        <v>2</v>
      </c>
      <c r="AF1633" t="inlineStr">
        <is>
          <t>MIDDLE</t>
        </is>
      </c>
      <c r="AG1633" t="n">
        <v>134111</v>
      </c>
      <c r="AH1633" t="inlineStr">
        <is>
          <t>LOMAS</t>
        </is>
      </c>
      <c r="AI1633" t="inlineStr">
        <is>
          <t>CARAGON@BANCOBASE.COM</t>
        </is>
      </c>
      <c r="AJ1633" s="151" t="n">
        <v>43206</v>
      </c>
    </row>
    <row r="1634" hidden="1" s="150">
      <c r="A1634" t="inlineStr">
        <is>
          <t>EMORALESR</t>
        </is>
      </c>
      <c r="B1634" t="n">
        <v>2018</v>
      </c>
      <c r="C1634" t="inlineStr">
        <is>
          <t>ERNESTO MORALES RAMOS</t>
        </is>
      </c>
      <c r="D1634" t="n">
        <v>9890</v>
      </c>
      <c r="E1634" t="inlineStr">
        <is>
          <t>GERENTE TECNICO INMOBILIARIO</t>
        </is>
      </c>
      <c r="F1634" t="inlineStr">
        <is>
          <t>MONTERREY</t>
        </is>
      </c>
      <c r="G1634" t="n">
        <v>1586</v>
      </c>
      <c r="H1634" t="inlineStr">
        <is>
          <t>ALBINO VARGAS GRACIA</t>
        </is>
      </c>
      <c r="I1634" t="n">
        <v>9877</v>
      </c>
      <c r="J1634" t="inlineStr">
        <is>
          <t>DIRECTOR DE DESARROLLO INMOBILIARIO</t>
        </is>
      </c>
      <c r="K1634" t="n">
        <v>1</v>
      </c>
      <c r="L1634" t="inlineStr">
        <is>
          <t>PRESIDENCIA EJECUTIVA DEL CONSEJO</t>
        </is>
      </c>
      <c r="M1634" t="n">
        <v>60</v>
      </c>
      <c r="N1634" t="inlineStr">
        <is>
          <t>DIRECCION RIESGOS</t>
        </is>
      </c>
      <c r="O1634" t="n">
        <v>460</v>
      </c>
      <c r="P1634" t="inlineStr">
        <is>
          <t>DIRECCION CREDITO</t>
        </is>
      </c>
      <c r="Q1634" t="n">
        <v>4650</v>
      </c>
      <c r="R1634" t="inlineStr">
        <is>
          <t>DIRECCION DESARROLLO INMOBILIARIO</t>
        </is>
      </c>
      <c r="S1634" t="n">
        <v>46520</v>
      </c>
      <c r="T1634" t="inlineStr">
        <is>
          <t>GERENCIA DE TECNICO INMOBILIARIO</t>
        </is>
      </c>
      <c r="U1634" t="n">
        <v>465200</v>
      </c>
      <c r="V1634" t="inlineStr">
        <is>
          <t>GERENCIA DE TECNICO INMOBILIARIO</t>
        </is>
      </c>
      <c r="W1634" t="n">
        <v>100101</v>
      </c>
      <c r="X1634" t="inlineStr">
        <is>
          <t>CORPORATIVO</t>
        </is>
      </c>
      <c r="Y1634" t="n">
        <v>9</v>
      </c>
      <c r="Z1634" t="inlineStr">
        <is>
          <t>BANCARIO</t>
        </is>
      </c>
      <c r="AA1634" t="n">
        <v>1</v>
      </c>
      <c r="AB1634" t="inlineStr">
        <is>
          <t>NEGOCIO EN MARCHA</t>
        </is>
      </c>
      <c r="AC1634" t="n">
        <v>1</v>
      </c>
      <c r="AD1634" t="inlineStr">
        <is>
          <t>BANCO</t>
        </is>
      </c>
      <c r="AE1634" t="n">
        <v>2</v>
      </c>
      <c r="AF1634" t="inlineStr">
        <is>
          <t>MIDDLE</t>
        </is>
      </c>
      <c r="AG1634" t="n">
        <v>100101</v>
      </c>
      <c r="AH1634" t="inlineStr">
        <is>
          <t>CORPORATIVO</t>
        </is>
      </c>
      <c r="AI1634" t="inlineStr">
        <is>
          <t>EMORALESR@BANCOBASE.COM</t>
        </is>
      </c>
      <c r="AJ1634" s="151" t="n">
        <v>43242</v>
      </c>
    </row>
    <row r="1635" hidden="1" s="150">
      <c r="A1635" t="inlineStr">
        <is>
          <t>BMANRIQUE</t>
        </is>
      </c>
      <c r="B1635" t="n">
        <v>2680</v>
      </c>
      <c r="C1635" t="inlineStr">
        <is>
          <t>BONIFACIO AQUILINO MANRIQUE MARQUEZ</t>
        </is>
      </c>
      <c r="D1635" t="n">
        <v>9908</v>
      </c>
      <c r="E1635" t="inlineStr">
        <is>
          <t>ANALISTA DE DICTAMINACION</t>
        </is>
      </c>
      <c r="F1635" t="inlineStr">
        <is>
          <t>MONTERREY</t>
        </is>
      </c>
      <c r="G1635" t="n">
        <v>2018</v>
      </c>
      <c r="H1635" t="inlineStr">
        <is>
          <t>ERNESTO MORALES RAMOS</t>
        </is>
      </c>
      <c r="I1635" t="n">
        <v>9890</v>
      </c>
      <c r="J1635" t="inlineStr">
        <is>
          <t>GERENTE TECNICO INMOBILIARIO</t>
        </is>
      </c>
      <c r="K1635" t="n">
        <v>1</v>
      </c>
      <c r="L1635" t="inlineStr">
        <is>
          <t>PRESIDENCIA EJECUTIVA DEL CONSEJO</t>
        </is>
      </c>
      <c r="M1635" t="n">
        <v>60</v>
      </c>
      <c r="N1635" t="inlineStr">
        <is>
          <t>DIRECCION RIESGOS</t>
        </is>
      </c>
      <c r="O1635" t="n">
        <v>460</v>
      </c>
      <c r="P1635" t="inlineStr">
        <is>
          <t>DIRECCION CREDITO</t>
        </is>
      </c>
      <c r="Q1635" t="n">
        <v>4650</v>
      </c>
      <c r="R1635" t="inlineStr">
        <is>
          <t>DIRECCION DESARROLLO INMOBILIARIO</t>
        </is>
      </c>
      <c r="S1635" t="n">
        <v>46520</v>
      </c>
      <c r="T1635" t="inlineStr">
        <is>
          <t>GERENCIA DE TECNICO INMOBILIARIO</t>
        </is>
      </c>
      <c r="U1635" t="n">
        <v>465200</v>
      </c>
      <c r="V1635" t="inlineStr">
        <is>
          <t>GERENCIA DE TECNICO INMOBILIARIO</t>
        </is>
      </c>
      <c r="W1635" t="n">
        <v>100101</v>
      </c>
      <c r="X1635" t="inlineStr">
        <is>
          <t>CORPORATIVO</t>
        </is>
      </c>
      <c r="Y1635" t="n">
        <v>9</v>
      </c>
      <c r="Z1635" t="inlineStr">
        <is>
          <t>BANCARIO</t>
        </is>
      </c>
      <c r="AA1635" t="n">
        <v>1</v>
      </c>
      <c r="AB1635" t="inlineStr">
        <is>
          <t>NEGOCIO EN MARCHA</t>
        </is>
      </c>
      <c r="AC1635" t="n">
        <v>1</v>
      </c>
      <c r="AD1635" t="inlineStr">
        <is>
          <t>BANCO</t>
        </is>
      </c>
      <c r="AE1635" t="n">
        <v>2</v>
      </c>
      <c r="AF1635" t="inlineStr">
        <is>
          <t>MIDDLE</t>
        </is>
      </c>
      <c r="AG1635" t="n">
        <v>100101</v>
      </c>
      <c r="AH1635" t="inlineStr">
        <is>
          <t>CORPORATIVO</t>
        </is>
      </c>
      <c r="AI1635" t="inlineStr">
        <is>
          <t>BMANRIQUE@BANCOBASE.COM</t>
        </is>
      </c>
      <c r="AJ1635" s="151" t="n">
        <v>44743</v>
      </c>
    </row>
    <row r="1636" hidden="1" s="150">
      <c r="A1636" t="inlineStr">
        <is>
          <t>LMORALESN</t>
        </is>
      </c>
      <c r="B1636" t="n">
        <v>3955</v>
      </c>
      <c r="C1636" t="inlineStr">
        <is>
          <t>LILIAN MORALES NUNEZ</t>
        </is>
      </c>
      <c r="D1636" t="n">
        <v>3678</v>
      </c>
      <c r="E1636" t="inlineStr">
        <is>
          <t>SUBDIRECTOR DE RIESGOS, ESTRUCTURAL Y CAPITAL</t>
        </is>
      </c>
      <c r="F1636" t="inlineStr">
        <is>
          <t>MEXICO</t>
        </is>
      </c>
      <c r="G1636" t="n">
        <v>2718</v>
      </c>
      <c r="H1636" t="inlineStr">
        <is>
          <t>DANIEL EDMUNDO ZAMUDIO ROSALES</t>
        </is>
      </c>
      <c r="I1636" t="n">
        <v>10085</v>
      </c>
      <c r="J1636" t="inlineStr">
        <is>
          <t>DIRECTOR DE RIESGOS</t>
        </is>
      </c>
      <c r="K1636" t="n">
        <v>1</v>
      </c>
      <c r="L1636" t="inlineStr">
        <is>
          <t>PRESIDENCIA EJECUTIVA DEL CONSEJO</t>
        </is>
      </c>
      <c r="M1636" t="n">
        <v>60</v>
      </c>
      <c r="N1636" t="inlineStr">
        <is>
          <t>DIRECCION RIESGOS</t>
        </is>
      </c>
      <c r="O1636" t="n">
        <v>460</v>
      </c>
      <c r="P1636" t="inlineStr">
        <is>
          <t>DIRECCION CREDITO</t>
        </is>
      </c>
      <c r="Q1636" t="n">
        <v>4621</v>
      </c>
      <c r="R1636" t="inlineStr">
        <is>
          <t>SUBDIRECCION ANALISIS DE CONTRAPARTE</t>
        </is>
      </c>
      <c r="S1636" t="n">
        <v>46210</v>
      </c>
      <c r="T1636" t="inlineStr">
        <is>
          <t>ANALISIS DE CONTRAPARTE</t>
        </is>
      </c>
      <c r="U1636" t="n">
        <v>462100</v>
      </c>
      <c r="V1636" t="inlineStr">
        <is>
          <t>ANALISIS DE CONTRAPARTE</t>
        </is>
      </c>
      <c r="W1636" t="n">
        <v>134111</v>
      </c>
      <c r="X1636" t="inlineStr">
        <is>
          <t>LOMAS</t>
        </is>
      </c>
      <c r="Y1636" t="n">
        <v>3</v>
      </c>
      <c r="Z1636" t="inlineStr">
        <is>
          <t>CAMBIARIO</t>
        </is>
      </c>
      <c r="AA1636" t="n">
        <v>1</v>
      </c>
      <c r="AB1636" t="inlineStr">
        <is>
          <t>NEGOCIO EN MARCHA</t>
        </is>
      </c>
      <c r="AC1636" t="n">
        <v>1</v>
      </c>
      <c r="AD1636" t="inlineStr">
        <is>
          <t>BANCO</t>
        </is>
      </c>
      <c r="AE1636" t="n">
        <v>1</v>
      </c>
      <c r="AF1636" t="inlineStr">
        <is>
          <t>BACK</t>
        </is>
      </c>
      <c r="AG1636" t="n">
        <v>134111</v>
      </c>
      <c r="AH1636" t="inlineStr">
        <is>
          <t>LOMAS</t>
        </is>
      </c>
      <c r="AI1636" t="inlineStr">
        <is>
          <t>LMORALESN@BANCOBASE.COM</t>
        </is>
      </c>
      <c r="AJ1636" s="151" t="n">
        <v>46237</v>
      </c>
    </row>
    <row r="1637" hidden="1" s="150">
      <c r="A1637" t="inlineStr">
        <is>
          <t>JRODRIGURA</t>
        </is>
      </c>
      <c r="B1637" t="n">
        <v>1162</v>
      </c>
      <c r="C1637" t="inlineStr">
        <is>
          <t>JESUS RODRIGUEZ RAMIREZ</t>
        </is>
      </c>
      <c r="D1637" t="n">
        <v>1009</v>
      </c>
      <c r="E1637" t="inlineStr">
        <is>
          <t>LIDER DE OPERACION DE CONTRAPARTE</t>
        </is>
      </c>
      <c r="F1637" t="inlineStr">
        <is>
          <t>MONTERREY</t>
        </is>
      </c>
      <c r="G1637" t="n">
        <v>3955</v>
      </c>
      <c r="H1637" t="inlineStr">
        <is>
          <t>LILIAN MORALES NUNEZ</t>
        </is>
      </c>
      <c r="I1637" t="n">
        <v>3678</v>
      </c>
      <c r="J1637" t="inlineStr">
        <is>
          <t>SUBDIRECTOR DE RIESGOS, ESTRUCTURAL Y CAPITAL</t>
        </is>
      </c>
      <c r="K1637" t="n">
        <v>1</v>
      </c>
      <c r="L1637" t="inlineStr">
        <is>
          <t>PRESIDENCIA EJECUTIVA DEL CONSEJO</t>
        </is>
      </c>
      <c r="M1637" t="n">
        <v>60</v>
      </c>
      <c r="N1637" t="inlineStr">
        <is>
          <t>DIRECCION RIESGOS</t>
        </is>
      </c>
      <c r="O1637" t="n">
        <v>460</v>
      </c>
      <c r="P1637" t="inlineStr">
        <is>
          <t>DIRECCION CREDITO</t>
        </is>
      </c>
      <c r="Q1637" t="n">
        <v>4621</v>
      </c>
      <c r="R1637" t="inlineStr">
        <is>
          <t>SUBDIRECCION ANALISIS DE CONTRAPARTE</t>
        </is>
      </c>
      <c r="S1637" t="n">
        <v>46210</v>
      </c>
      <c r="T1637" t="inlineStr">
        <is>
          <t>ANALISIS DE CONTRAPARTE</t>
        </is>
      </c>
      <c r="U1637" t="n">
        <v>462100</v>
      </c>
      <c r="V1637" t="inlineStr">
        <is>
          <t>ANALISIS DE CONTRAPARTE</t>
        </is>
      </c>
      <c r="W1637" t="n">
        <v>100101</v>
      </c>
      <c r="X1637" t="inlineStr">
        <is>
          <t>CORPORATIVO</t>
        </is>
      </c>
      <c r="Y1637" t="n">
        <v>3</v>
      </c>
      <c r="Z1637" t="inlineStr">
        <is>
          <t>CAMBIARIO</t>
        </is>
      </c>
      <c r="AA1637" t="n">
        <v>1</v>
      </c>
      <c r="AB1637" t="inlineStr">
        <is>
          <t>NEGOCIO EN MARCHA</t>
        </is>
      </c>
      <c r="AC1637" t="n">
        <v>1</v>
      </c>
      <c r="AD1637" t="inlineStr">
        <is>
          <t>BANCO</t>
        </is>
      </c>
      <c r="AE1637" t="n">
        <v>1</v>
      </c>
      <c r="AF1637" t="inlineStr">
        <is>
          <t>BACK</t>
        </is>
      </c>
      <c r="AG1637" t="n">
        <v>100101</v>
      </c>
      <c r="AH1637" t="inlineStr">
        <is>
          <t>CORPORATIVO</t>
        </is>
      </c>
      <c r="AI1637" t="inlineStr">
        <is>
          <t>JRODRIGURA@BANCOBASE.COM</t>
        </is>
      </c>
      <c r="AJ1637" s="151" t="n">
        <v>41799</v>
      </c>
    </row>
    <row r="1638" hidden="1" s="150">
      <c r="A1638" t="inlineStr">
        <is>
          <t>DSANCHEZP</t>
        </is>
      </c>
      <c r="B1638" t="n">
        <v>2352</v>
      </c>
      <c r="C1638" t="inlineStr">
        <is>
          <t>DANIELA BERENICE SANCHEZ PEREZ</t>
        </is>
      </c>
      <c r="D1638" t="n">
        <v>3741</v>
      </c>
      <c r="E1638" t="inlineStr">
        <is>
          <t>ANALISTA DE OPERACION DE CONTRAPARTE</t>
        </is>
      </c>
      <c r="F1638" t="inlineStr">
        <is>
          <t>MONTERREY</t>
        </is>
      </c>
      <c r="G1638" t="n">
        <v>1162</v>
      </c>
      <c r="H1638" t="inlineStr">
        <is>
          <t>JESUS RODRIGUEZ RAMIREZ</t>
        </is>
      </c>
      <c r="I1638" t="n">
        <v>1009</v>
      </c>
      <c r="J1638" t="inlineStr">
        <is>
          <t>LIDER DE OPERACION DE CONTRAPARTE</t>
        </is>
      </c>
      <c r="K1638" t="n">
        <v>1</v>
      </c>
      <c r="L1638" t="inlineStr">
        <is>
          <t>PRESIDENCIA EJECUTIVA DEL CONSEJO</t>
        </is>
      </c>
      <c r="M1638" t="n">
        <v>60</v>
      </c>
      <c r="N1638" t="inlineStr">
        <is>
          <t>DIRECCION RIESGOS</t>
        </is>
      </c>
      <c r="O1638" t="n">
        <v>460</v>
      </c>
      <c r="P1638" t="inlineStr">
        <is>
          <t>DIRECCION CREDITO</t>
        </is>
      </c>
      <c r="Q1638" t="n">
        <v>4621</v>
      </c>
      <c r="R1638" t="inlineStr">
        <is>
          <t>SUBDIRECCION ANALISIS DE CONTRAPARTE</t>
        </is>
      </c>
      <c r="S1638" t="n">
        <v>46210</v>
      </c>
      <c r="T1638" t="inlineStr">
        <is>
          <t>ANALISIS DE CONTRAPARTE</t>
        </is>
      </c>
      <c r="U1638" t="n">
        <v>462100</v>
      </c>
      <c r="V1638" t="inlineStr">
        <is>
          <t>ANALISIS DE CONTRAPARTE</t>
        </is>
      </c>
      <c r="W1638" t="n">
        <v>100101</v>
      </c>
      <c r="X1638" t="inlineStr">
        <is>
          <t>CORPORATIVO</t>
        </is>
      </c>
      <c r="Y1638" t="n">
        <v>3</v>
      </c>
      <c r="Z1638" t="inlineStr">
        <is>
          <t>CAMBIARIO</t>
        </is>
      </c>
      <c r="AA1638" t="n">
        <v>1</v>
      </c>
      <c r="AB1638" t="inlineStr">
        <is>
          <t>NEGOCIO EN MARCHA</t>
        </is>
      </c>
      <c r="AC1638" t="n">
        <v>1</v>
      </c>
      <c r="AD1638" t="inlineStr">
        <is>
          <t>BANCO</t>
        </is>
      </c>
      <c r="AE1638" t="n">
        <v>1</v>
      </c>
      <c r="AF1638" t="inlineStr">
        <is>
          <t>BACK</t>
        </is>
      </c>
      <c r="AG1638" t="n">
        <v>100101</v>
      </c>
      <c r="AH1638" t="inlineStr">
        <is>
          <t>CORPORATIVO</t>
        </is>
      </c>
      <c r="AI1638" t="inlineStr">
        <is>
          <t>DSANCHEZP@BANCOBASE.COM</t>
        </is>
      </c>
      <c r="AJ1638" s="151" t="n">
        <v>43800</v>
      </c>
    </row>
    <row r="1639" hidden="1" s="150">
      <c r="A1639" t="inlineStr">
        <is>
          <t>JOLIVA</t>
        </is>
      </c>
      <c r="B1639" t="n">
        <v>2227</v>
      </c>
      <c r="C1639" t="inlineStr">
        <is>
          <t>JESUS ALEJANDRO OLIVA DE LEON</t>
        </is>
      </c>
      <c r="D1639" t="n">
        <v>9600</v>
      </c>
      <c r="E1639" t="inlineStr">
        <is>
          <t>ANALISTA DE OPERACION DE CONTRAPARTE</t>
        </is>
      </c>
      <c r="F1639" t="inlineStr">
        <is>
          <t>MONTERREY</t>
        </is>
      </c>
      <c r="G1639" t="n">
        <v>1162</v>
      </c>
      <c r="H1639" t="inlineStr">
        <is>
          <t>JESUS RODRIGUEZ RAMIREZ</t>
        </is>
      </c>
      <c r="I1639" t="n">
        <v>1009</v>
      </c>
      <c r="J1639" t="inlineStr">
        <is>
          <t>LIDER DE OPERACION DE CONTRAPARTE</t>
        </is>
      </c>
      <c r="K1639" t="n">
        <v>1</v>
      </c>
      <c r="L1639" t="inlineStr">
        <is>
          <t>PRESIDENCIA EJECUTIVA DEL CONSEJO</t>
        </is>
      </c>
      <c r="M1639" t="n">
        <v>60</v>
      </c>
      <c r="N1639" t="inlineStr">
        <is>
          <t>DIRECCION RIESGOS</t>
        </is>
      </c>
      <c r="O1639" t="n">
        <v>460</v>
      </c>
      <c r="P1639" t="inlineStr">
        <is>
          <t>DIRECCION CREDITO</t>
        </is>
      </c>
      <c r="Q1639" t="n">
        <v>4621</v>
      </c>
      <c r="R1639" t="inlineStr">
        <is>
          <t>SUBDIRECCION ANALISIS DE CONTRAPARTE</t>
        </is>
      </c>
      <c r="S1639" t="n">
        <v>46210</v>
      </c>
      <c r="T1639" t="inlineStr">
        <is>
          <t>ANALISIS DE CONTRAPARTE</t>
        </is>
      </c>
      <c r="U1639" t="n">
        <v>462100</v>
      </c>
      <c r="V1639" t="inlineStr">
        <is>
          <t>ANALISIS DE CONTRAPARTE</t>
        </is>
      </c>
      <c r="W1639" t="n">
        <v>100101</v>
      </c>
      <c r="X1639" t="inlineStr">
        <is>
          <t>CORPORATIVO</t>
        </is>
      </c>
      <c r="Y1639" t="n">
        <v>3</v>
      </c>
      <c r="Z1639" t="inlineStr">
        <is>
          <t>CAMBIARIO</t>
        </is>
      </c>
      <c r="AA1639" t="n">
        <v>1</v>
      </c>
      <c r="AB1639" t="inlineStr">
        <is>
          <t>NEGOCIO EN MARCHA</t>
        </is>
      </c>
      <c r="AC1639" t="n">
        <v>1</v>
      </c>
      <c r="AD1639" t="inlineStr">
        <is>
          <t>BANCO</t>
        </is>
      </c>
      <c r="AE1639" t="n">
        <v>1</v>
      </c>
      <c r="AF1639" t="inlineStr">
        <is>
          <t>BACK</t>
        </is>
      </c>
      <c r="AG1639" t="n">
        <v>100101</v>
      </c>
      <c r="AH1639" t="inlineStr">
        <is>
          <t>CORPORATIVO</t>
        </is>
      </c>
      <c r="AI1639" t="inlineStr">
        <is>
          <t>JOLIVA@BANCOBASE.COM</t>
        </is>
      </c>
      <c r="AJ1639" s="151" t="n">
        <v>43571</v>
      </c>
    </row>
    <row r="1640" hidden="1" s="150">
      <c r="A1640" t="inlineStr">
        <is>
          <t>EPABLO</t>
        </is>
      </c>
      <c r="B1640" t="n">
        <v>99531</v>
      </c>
      <c r="C1640" t="inlineStr">
        <is>
          <t>ERICK URIEL PABLO CACIQUE</t>
        </is>
      </c>
      <c r="D1640" t="n">
        <v>10278</v>
      </c>
      <c r="E1640" t="inlineStr">
        <is>
          <t>PRACTICANTE</t>
        </is>
      </c>
      <c r="F1640" t="inlineStr">
        <is>
          <t>MONTERREY</t>
        </is>
      </c>
      <c r="G1640" t="n">
        <v>1162</v>
      </c>
      <c r="H1640" t="inlineStr">
        <is>
          <t>JESUS RODRIGUEZ RAMIREZ</t>
        </is>
      </c>
      <c r="I1640" t="n">
        <v>1009</v>
      </c>
      <c r="J1640" t="inlineStr">
        <is>
          <t>LIDER DE OPERACION DE CONTRAPARTE</t>
        </is>
      </c>
      <c r="K1640" t="n">
        <v>1</v>
      </c>
      <c r="L1640" t="inlineStr">
        <is>
          <t>PRESIDENCIA EJECUTIVA DEL CONSEJO</t>
        </is>
      </c>
      <c r="M1640" t="n">
        <v>60</v>
      </c>
      <c r="N1640" t="inlineStr">
        <is>
          <t>DIRECCION RIESGOS</t>
        </is>
      </c>
      <c r="O1640" t="n">
        <v>460</v>
      </c>
      <c r="P1640" t="inlineStr">
        <is>
          <t>DIRECCION CREDITO</t>
        </is>
      </c>
      <c r="Q1640" t="n">
        <v>4621</v>
      </c>
      <c r="R1640" t="inlineStr">
        <is>
          <t>SUBDIRECCION ANALISIS DE CONTRAPARTE</t>
        </is>
      </c>
      <c r="S1640" t="n">
        <v>46210</v>
      </c>
      <c r="T1640" t="inlineStr">
        <is>
          <t>ANALISIS DE CONTRAPARTE</t>
        </is>
      </c>
      <c r="U1640" t="n">
        <v>462100</v>
      </c>
      <c r="V1640" t="inlineStr">
        <is>
          <t>ANALISIS DE CONTRAPARTE</t>
        </is>
      </c>
      <c r="W1640" t="n">
        <v>100101</v>
      </c>
      <c r="X1640" t="inlineStr">
        <is>
          <t>CORPORATIVO</t>
        </is>
      </c>
      <c r="Y1640" t="n">
        <v>3</v>
      </c>
      <c r="Z1640" t="inlineStr">
        <is>
          <t>CAMBIARIO</t>
        </is>
      </c>
      <c r="AA1640" t="n">
        <v>1</v>
      </c>
      <c r="AB1640" t="inlineStr">
        <is>
          <t>NEGOCIO EN MARCHA</t>
        </is>
      </c>
      <c r="AC1640" t="n">
        <v>1</v>
      </c>
      <c r="AD1640" t="inlineStr">
        <is>
          <t>BANCO</t>
        </is>
      </c>
      <c r="AE1640" t="n">
        <v>1</v>
      </c>
      <c r="AF1640" t="inlineStr">
        <is>
          <t>BACK</t>
        </is>
      </c>
      <c r="AG1640" t="n">
        <v>100101</v>
      </c>
      <c r="AH1640" t="inlineStr">
        <is>
          <t>CORPORATIVO</t>
        </is>
      </c>
      <c r="AI1640" t="inlineStr">
        <is>
          <t>EPABLO@BANCOBASE.COM</t>
        </is>
      </c>
      <c r="AJ1640" s="151" t="n">
        <v>46063</v>
      </c>
    </row>
    <row r="1641" hidden="1" s="150">
      <c r="A1641" t="inlineStr">
        <is>
          <t>VVIVEROSV</t>
        </is>
      </c>
      <c r="B1641" t="n">
        <v>531</v>
      </c>
      <c r="C1641" t="inlineStr">
        <is>
          <t>VICTOR ENRIQUE VIVEROS VALDEZ</t>
        </is>
      </c>
      <c r="D1641" t="n">
        <v>8441</v>
      </c>
      <c r="E1641" t="inlineStr">
        <is>
          <t>LIDER ANALISIS DE CONTRAPARTE</t>
        </is>
      </c>
      <c r="F1641" t="inlineStr">
        <is>
          <t>MONTERREY</t>
        </is>
      </c>
      <c r="G1641" t="n">
        <v>3955</v>
      </c>
      <c r="H1641" t="inlineStr">
        <is>
          <t>LILIAN MORALES NUNEZ</t>
        </is>
      </c>
      <c r="I1641" t="n">
        <v>3678</v>
      </c>
      <c r="J1641" t="inlineStr">
        <is>
          <t>SUBDIRECTOR DE RIESGOS, ESTRUCTURAL Y CAPITAL</t>
        </is>
      </c>
      <c r="K1641" t="n">
        <v>1</v>
      </c>
      <c r="L1641" t="inlineStr">
        <is>
          <t>PRESIDENCIA EJECUTIVA DEL CONSEJO</t>
        </is>
      </c>
      <c r="M1641" t="n">
        <v>60</v>
      </c>
      <c r="N1641" t="inlineStr">
        <is>
          <t>DIRECCION RIESGOS</t>
        </is>
      </c>
      <c r="O1641" t="n">
        <v>460</v>
      </c>
      <c r="P1641" t="inlineStr">
        <is>
          <t>DIRECCION CREDITO</t>
        </is>
      </c>
      <c r="Q1641" t="n">
        <v>4621</v>
      </c>
      <c r="R1641" t="inlineStr">
        <is>
          <t>SUBDIRECCION ANALISIS DE CONTRAPARTE</t>
        </is>
      </c>
      <c r="S1641" t="n">
        <v>46210</v>
      </c>
      <c r="T1641" t="inlineStr">
        <is>
          <t>ANALISIS DE CONTRAPARTE</t>
        </is>
      </c>
      <c r="U1641" t="n">
        <v>462100</v>
      </c>
      <c r="V1641" t="inlineStr">
        <is>
          <t>ANALISIS DE CONTRAPARTE</t>
        </is>
      </c>
      <c r="W1641" t="n">
        <v>100101</v>
      </c>
      <c r="X1641" t="inlineStr">
        <is>
          <t>CORPORATIVO</t>
        </is>
      </c>
      <c r="Y1641" t="n">
        <v>3</v>
      </c>
      <c r="Z1641" t="inlineStr">
        <is>
          <t>CAMBIARIO</t>
        </is>
      </c>
      <c r="AA1641" t="n">
        <v>1</v>
      </c>
      <c r="AB1641" t="inlineStr">
        <is>
          <t>NEGOCIO EN MARCHA</t>
        </is>
      </c>
      <c r="AC1641" t="n">
        <v>1</v>
      </c>
      <c r="AD1641" t="inlineStr">
        <is>
          <t>BANCO</t>
        </is>
      </c>
      <c r="AE1641" t="n">
        <v>1</v>
      </c>
      <c r="AF1641" t="inlineStr">
        <is>
          <t>BACK</t>
        </is>
      </c>
      <c r="AG1641" t="n">
        <v>100101</v>
      </c>
      <c r="AH1641" t="inlineStr">
        <is>
          <t>CORPORATIVO</t>
        </is>
      </c>
      <c r="AI1641" t="inlineStr">
        <is>
          <t>VVIVEROSV@BANCOBASE.COM</t>
        </is>
      </c>
      <c r="AJ1641" s="151" t="n">
        <v>40725</v>
      </c>
    </row>
    <row r="1642" hidden="1" s="150">
      <c r="A1642" t="inlineStr">
        <is>
          <t>MOYERVIDES</t>
        </is>
      </c>
      <c r="B1642" t="n">
        <v>3038</v>
      </c>
      <c r="C1642" t="inlineStr">
        <is>
          <t>MARIO DAVID OYERVIDES PADILLA</t>
        </is>
      </c>
      <c r="D1642" t="n">
        <v>9347</v>
      </c>
      <c r="E1642" t="inlineStr">
        <is>
          <t>ESPECIALISTA DE RIESGOS NO FINANCIEROS</t>
        </is>
      </c>
      <c r="F1642" t="inlineStr">
        <is>
          <t>MONTERREY</t>
        </is>
      </c>
      <c r="G1642" t="n">
        <v>2718</v>
      </c>
      <c r="H1642" t="inlineStr">
        <is>
          <t>DANIEL EDMUNDO ZAMUDIO ROSALES</t>
        </is>
      </c>
      <c r="I1642" t="n">
        <v>10085</v>
      </c>
      <c r="J1642" t="inlineStr">
        <is>
          <t>DIRECTOR DE RIESGOS</t>
        </is>
      </c>
      <c r="K1642" t="n">
        <v>1</v>
      </c>
      <c r="L1642" t="inlineStr">
        <is>
          <t>PRESIDENCIA EJECUTIVA DEL CONSEJO</t>
        </is>
      </c>
      <c r="M1642" t="n">
        <v>60</v>
      </c>
      <c r="N1642" t="inlineStr">
        <is>
          <t>DIRECCION RIESGOS</t>
        </is>
      </c>
      <c r="O1642" t="n">
        <v>600</v>
      </c>
      <c r="P1642" t="inlineStr">
        <is>
          <t>DIRECCION RIESGOS</t>
        </is>
      </c>
      <c r="Q1642" t="n">
        <v>6000</v>
      </c>
      <c r="R1642" t="inlineStr">
        <is>
          <t>DIRECCION RIESGOS</t>
        </is>
      </c>
      <c r="S1642" t="n">
        <v>60000</v>
      </c>
      <c r="T1642" t="inlineStr">
        <is>
          <t>DIRECCION RIESGOS</t>
        </is>
      </c>
      <c r="U1642" t="n">
        <v>600000</v>
      </c>
      <c r="V1642" t="inlineStr">
        <is>
          <t>DIRECCION RIESGOS</t>
        </is>
      </c>
      <c r="W1642" t="n">
        <v>100101</v>
      </c>
      <c r="X1642" t="inlineStr">
        <is>
          <t>CORPORATIVO</t>
        </is>
      </c>
      <c r="Y1642" t="n">
        <v>4</v>
      </c>
      <c r="Z1642" t="inlineStr">
        <is>
          <t>CORPORATIVO</t>
        </is>
      </c>
      <c r="AA1642" t="n">
        <v>1</v>
      </c>
      <c r="AB1642" t="inlineStr">
        <is>
          <t>NEGOCIO EN MARCHA</t>
        </is>
      </c>
      <c r="AC1642" t="n">
        <v>1</v>
      </c>
      <c r="AD1642" t="inlineStr">
        <is>
          <t>BANCO</t>
        </is>
      </c>
      <c r="AE1642" t="n">
        <v>1</v>
      </c>
      <c r="AF1642" t="inlineStr">
        <is>
          <t>BACK</t>
        </is>
      </c>
      <c r="AG1642" t="n">
        <v>100101</v>
      </c>
      <c r="AH1642" t="inlineStr">
        <is>
          <t>CORPORATIVO</t>
        </is>
      </c>
      <c r="AI1642" t="inlineStr">
        <is>
          <t>MOYERVIDES@BANCOBASE.COM</t>
        </is>
      </c>
      <c r="AJ1642" s="151" t="n">
        <v>45338</v>
      </c>
    </row>
    <row r="1643" hidden="1" s="150">
      <c r="A1643" t="inlineStr">
        <is>
          <t>XRODRIGUEZ</t>
        </is>
      </c>
      <c r="B1643" t="n">
        <v>1779</v>
      </c>
      <c r="C1643" t="inlineStr">
        <is>
          <t>XIOMARA MARIEL RODRIGUEZ RAMIREZ</t>
        </is>
      </c>
      <c r="D1643" t="n">
        <v>8242</v>
      </c>
      <c r="E1643" t="inlineStr">
        <is>
          <t>ESPECIALISTA RIESGO OPERACIONAL</t>
        </is>
      </c>
      <c r="F1643" t="inlineStr">
        <is>
          <t>MONTERREY</t>
        </is>
      </c>
      <c r="G1643" t="n">
        <v>2718</v>
      </c>
      <c r="H1643" t="inlineStr">
        <is>
          <t>DANIEL EDMUNDO ZAMUDIO ROSALES</t>
        </is>
      </c>
      <c r="I1643" t="n">
        <v>10085</v>
      </c>
      <c r="J1643" t="inlineStr">
        <is>
          <t>DIRECTOR DE RIESGOS</t>
        </is>
      </c>
      <c r="K1643" t="n">
        <v>1</v>
      </c>
      <c r="L1643" t="inlineStr">
        <is>
          <t>PRESIDENCIA EJECUTIVA DEL CONSEJO</t>
        </is>
      </c>
      <c r="M1643" t="n">
        <v>60</v>
      </c>
      <c r="N1643" t="inlineStr">
        <is>
          <t>DIRECCION RIESGOS</t>
        </is>
      </c>
      <c r="O1643" t="n">
        <v>600</v>
      </c>
      <c r="P1643" t="inlineStr">
        <is>
          <t>DIRECCION RIESGOS</t>
        </is>
      </c>
      <c r="Q1643" t="n">
        <v>6000</v>
      </c>
      <c r="R1643" t="inlineStr">
        <is>
          <t>DIRECCION RIESGOS</t>
        </is>
      </c>
      <c r="S1643" t="n">
        <v>60000</v>
      </c>
      <c r="T1643" t="inlineStr">
        <is>
          <t>DIRECCION RIESGOS</t>
        </is>
      </c>
      <c r="U1643" t="n">
        <v>600000</v>
      </c>
      <c r="V1643" t="inlineStr">
        <is>
          <t>DIRECCION RIESGOS</t>
        </is>
      </c>
      <c r="W1643" t="n">
        <v>100101</v>
      </c>
      <c r="X1643" t="inlineStr">
        <is>
          <t>CORPORATIVO</t>
        </is>
      </c>
      <c r="Y1643" t="n">
        <v>4</v>
      </c>
      <c r="Z1643" t="inlineStr">
        <is>
          <t>CORPORATIVO</t>
        </is>
      </c>
      <c r="AA1643" t="n">
        <v>1</v>
      </c>
      <c r="AB1643" t="inlineStr">
        <is>
          <t>NEGOCIO EN MARCHA</t>
        </is>
      </c>
      <c r="AC1643" t="n">
        <v>1</v>
      </c>
      <c r="AD1643" t="inlineStr">
        <is>
          <t>BANCO</t>
        </is>
      </c>
      <c r="AE1643" t="n">
        <v>1</v>
      </c>
      <c r="AF1643" t="inlineStr">
        <is>
          <t>BACK</t>
        </is>
      </c>
      <c r="AG1643" t="n">
        <v>100101</v>
      </c>
      <c r="AH1643" t="inlineStr">
        <is>
          <t>CORPORATIVO</t>
        </is>
      </c>
      <c r="AI1643" t="inlineStr">
        <is>
          <t>XRODRIGUEZ@BANCOBASE.COM</t>
        </is>
      </c>
      <c r="AJ1643" s="151" t="n">
        <v>42902</v>
      </c>
    </row>
    <row r="1644" hidden="1" s="150">
      <c r="A1644" t="inlineStr">
        <is>
          <t>LZAVALA</t>
        </is>
      </c>
      <c r="B1644" t="n">
        <v>1127</v>
      </c>
      <c r="C1644" t="inlineStr">
        <is>
          <t>LUIS ALFREDO ZAVALA ESPARZA</t>
        </is>
      </c>
      <c r="D1644" t="n">
        <v>9459</v>
      </c>
      <c r="E1644" t="inlineStr">
        <is>
          <t>GERENTE RIESGOS MERCADO, BALANCE Y LIQUIDEZ</t>
        </is>
      </c>
      <c r="F1644" t="inlineStr">
        <is>
          <t>MONTERREY</t>
        </is>
      </c>
      <c r="G1644" t="n">
        <v>2718</v>
      </c>
      <c r="H1644" t="inlineStr">
        <is>
          <t>DANIEL EDMUNDO ZAMUDIO ROSALES</t>
        </is>
      </c>
      <c r="I1644" t="n">
        <v>10085</v>
      </c>
      <c r="J1644" t="inlineStr">
        <is>
          <t>DIRECTOR DE RIESGOS</t>
        </is>
      </c>
      <c r="K1644" t="n">
        <v>1</v>
      </c>
      <c r="L1644" t="inlineStr">
        <is>
          <t>PRESIDENCIA EJECUTIVA DEL CONSEJO</t>
        </is>
      </c>
      <c r="M1644" t="n">
        <v>60</v>
      </c>
      <c r="N1644" t="inlineStr">
        <is>
          <t>DIRECCION RIESGOS</t>
        </is>
      </c>
      <c r="O1644" t="n">
        <v>600</v>
      </c>
      <c r="P1644" t="inlineStr">
        <is>
          <t>DIRECCION RIESGOS</t>
        </is>
      </c>
      <c r="Q1644" t="n">
        <v>6030</v>
      </c>
      <c r="R1644" t="inlineStr">
        <is>
          <t>RIESGOS MERCADO BALANCE Y LIQUIDEZ</t>
        </is>
      </c>
      <c r="S1644" t="n">
        <v>60300</v>
      </c>
      <c r="T1644" t="inlineStr">
        <is>
          <t>RIESGOS MERCADO BALANCE Y LIQUIDEZ</t>
        </is>
      </c>
      <c r="U1644" t="n">
        <v>603000</v>
      </c>
      <c r="V1644" t="inlineStr">
        <is>
          <t>GERENCIA RIESGOS MERCADO BALANCE Y LIQUIDEZ</t>
        </is>
      </c>
      <c r="W1644" t="n">
        <v>100101</v>
      </c>
      <c r="X1644" t="inlineStr">
        <is>
          <t>CORPORATIVO</t>
        </is>
      </c>
      <c r="Y1644" t="n">
        <v>4</v>
      </c>
      <c r="Z1644" t="inlineStr">
        <is>
          <t>CORPORATIVO</t>
        </is>
      </c>
      <c r="AA1644" t="n">
        <v>1</v>
      </c>
      <c r="AB1644" t="inlineStr">
        <is>
          <t>NEGOCIO EN MARCHA</t>
        </is>
      </c>
      <c r="AC1644" t="n">
        <v>1</v>
      </c>
      <c r="AD1644" t="inlineStr">
        <is>
          <t>BANCO</t>
        </is>
      </c>
      <c r="AE1644" t="n">
        <v>1</v>
      </c>
      <c r="AF1644" t="inlineStr">
        <is>
          <t>BACK</t>
        </is>
      </c>
      <c r="AG1644" t="n">
        <v>100101</v>
      </c>
      <c r="AH1644" t="inlineStr">
        <is>
          <t>CORPORATIVO</t>
        </is>
      </c>
      <c r="AI1644" t="inlineStr">
        <is>
          <t>LZAVALA@BANCOBASE.COM</t>
        </is>
      </c>
      <c r="AJ1644" s="151" t="n">
        <v>41709</v>
      </c>
    </row>
    <row r="1645" hidden="1" s="150">
      <c r="A1645" t="inlineStr">
        <is>
          <t>ARODRIGURE</t>
        </is>
      </c>
      <c r="B1645" t="n">
        <v>2589</v>
      </c>
      <c r="C1645" t="inlineStr">
        <is>
          <t>ANGEL MARIO RODRIGUEZ RETA</t>
        </is>
      </c>
      <c r="D1645" t="n">
        <v>8240</v>
      </c>
      <c r="E1645" t="inlineStr">
        <is>
          <t>ESPECIALISTA DE RIESGO BALANCE Y LIQUIDEZ</t>
        </is>
      </c>
      <c r="F1645" t="inlineStr">
        <is>
          <t>MONTERREY</t>
        </is>
      </c>
      <c r="G1645" t="n">
        <v>1127</v>
      </c>
      <c r="H1645" t="inlineStr">
        <is>
          <t>LUIS ALFREDO ZAVALA ESPARZA</t>
        </is>
      </c>
      <c r="I1645" t="n">
        <v>9459</v>
      </c>
      <c r="J1645" t="inlineStr">
        <is>
          <t>GERENTE RIESGOS MERCADO, BALANCE Y LIQUIDEZ</t>
        </is>
      </c>
      <c r="K1645" t="n">
        <v>1</v>
      </c>
      <c r="L1645" t="inlineStr">
        <is>
          <t>PRESIDENCIA EJECUTIVA DEL CONSEJO</t>
        </is>
      </c>
      <c r="M1645" t="n">
        <v>60</v>
      </c>
      <c r="N1645" t="inlineStr">
        <is>
          <t>DIRECCION RIESGOS</t>
        </is>
      </c>
      <c r="O1645" t="n">
        <v>600</v>
      </c>
      <c r="P1645" t="inlineStr">
        <is>
          <t>DIRECCION RIESGOS</t>
        </is>
      </c>
      <c r="Q1645" t="n">
        <v>6030</v>
      </c>
      <c r="R1645" t="inlineStr">
        <is>
          <t>RIESGOS MERCADO BALANCE Y LIQUIDEZ</t>
        </is>
      </c>
      <c r="S1645" t="n">
        <v>60300</v>
      </c>
      <c r="T1645" t="inlineStr">
        <is>
          <t>RIESGOS MERCADO BALANCE Y LIQUIDEZ</t>
        </is>
      </c>
      <c r="U1645" t="n">
        <v>603000</v>
      </c>
      <c r="V1645" t="inlineStr">
        <is>
          <t>GERENCIA RIESGOS MERCADO BALANCE Y LIQUIDEZ</t>
        </is>
      </c>
      <c r="W1645" t="n">
        <v>100101</v>
      </c>
      <c r="X1645" t="inlineStr">
        <is>
          <t>CORPORATIVO</t>
        </is>
      </c>
      <c r="Y1645" t="n">
        <v>4</v>
      </c>
      <c r="Z1645" t="inlineStr">
        <is>
          <t>CORPORATIVO</t>
        </is>
      </c>
      <c r="AA1645" t="n">
        <v>1</v>
      </c>
      <c r="AB1645" t="inlineStr">
        <is>
          <t>NEGOCIO EN MARCHA</t>
        </is>
      </c>
      <c r="AC1645" t="n">
        <v>1</v>
      </c>
      <c r="AD1645" t="inlineStr">
        <is>
          <t>BANCO</t>
        </is>
      </c>
      <c r="AE1645" t="n">
        <v>1</v>
      </c>
      <c r="AF1645" t="inlineStr">
        <is>
          <t>BACK</t>
        </is>
      </c>
      <c r="AG1645" t="n">
        <v>100101</v>
      </c>
      <c r="AH1645" t="inlineStr">
        <is>
          <t>CORPORATIVO</t>
        </is>
      </c>
      <c r="AI1645" t="inlineStr">
        <is>
          <t>ARODRIGURE@BANCOBASE.COM</t>
        </is>
      </c>
      <c r="AJ1645" s="151" t="n">
        <v>44538</v>
      </c>
    </row>
    <row r="1646" hidden="1" s="150">
      <c r="A1646" t="inlineStr">
        <is>
          <t>JMARES</t>
        </is>
      </c>
      <c r="B1646" t="n">
        <v>3810</v>
      </c>
      <c r="C1646" t="inlineStr">
        <is>
          <t>JOSE DE JESUS MARES GUERRA</t>
        </is>
      </c>
      <c r="D1646" t="n">
        <v>8060</v>
      </c>
      <c r="E1646" t="inlineStr">
        <is>
          <t>ESPECIALISTA DE RIESGO DE MERCADO</t>
        </is>
      </c>
      <c r="F1646" t="inlineStr">
        <is>
          <t>MEXICO</t>
        </is>
      </c>
      <c r="G1646" t="n">
        <v>1127</v>
      </c>
      <c r="H1646" t="inlineStr">
        <is>
          <t>LUIS ALFREDO ZAVALA ESPARZA</t>
        </is>
      </c>
      <c r="I1646" t="n">
        <v>9459</v>
      </c>
      <c r="J1646" t="inlineStr">
        <is>
          <t>GERENTE RIESGOS MERCADO, BALANCE Y LIQUIDEZ</t>
        </is>
      </c>
      <c r="K1646" t="n">
        <v>1</v>
      </c>
      <c r="L1646" t="inlineStr">
        <is>
          <t>PRESIDENCIA EJECUTIVA DEL CONSEJO</t>
        </is>
      </c>
      <c r="M1646" t="n">
        <v>60</v>
      </c>
      <c r="N1646" t="inlineStr">
        <is>
          <t>DIRECCION RIESGOS</t>
        </is>
      </c>
      <c r="O1646" t="n">
        <v>600</v>
      </c>
      <c r="P1646" t="inlineStr">
        <is>
          <t>DIRECCION RIESGOS</t>
        </is>
      </c>
      <c r="Q1646" t="n">
        <v>6030</v>
      </c>
      <c r="R1646" t="inlineStr">
        <is>
          <t>RIESGOS MERCADO BALANCE Y LIQUIDEZ</t>
        </is>
      </c>
      <c r="S1646" t="n">
        <v>60300</v>
      </c>
      <c r="T1646" t="inlineStr">
        <is>
          <t>RIESGOS MERCADO BALANCE Y LIQUIDEZ</t>
        </is>
      </c>
      <c r="U1646" t="n">
        <v>603000</v>
      </c>
      <c r="V1646" t="inlineStr">
        <is>
          <t>GERENCIA RIESGOS MERCADO BALANCE Y LIQUIDEZ</t>
        </is>
      </c>
      <c r="W1646" t="n">
        <v>134111</v>
      </c>
      <c r="X1646" t="inlineStr">
        <is>
          <t>LOMAS</t>
        </is>
      </c>
      <c r="Y1646" t="n">
        <v>4</v>
      </c>
      <c r="Z1646" t="inlineStr">
        <is>
          <t>CORPORATIVO</t>
        </is>
      </c>
      <c r="AA1646" t="n">
        <v>1</v>
      </c>
      <c r="AB1646" t="inlineStr">
        <is>
          <t>NEGOCIO EN MARCHA</t>
        </is>
      </c>
      <c r="AC1646" t="n">
        <v>1</v>
      </c>
      <c r="AD1646" t="inlineStr">
        <is>
          <t>BANCO</t>
        </is>
      </c>
      <c r="AE1646" t="n">
        <v>1</v>
      </c>
      <c r="AF1646" t="inlineStr">
        <is>
          <t>BACK</t>
        </is>
      </c>
      <c r="AG1646" t="n">
        <v>134111</v>
      </c>
      <c r="AH1646" t="inlineStr">
        <is>
          <t>LOMAS</t>
        </is>
      </c>
      <c r="AI1646" t="inlineStr">
        <is>
          <t>JMARES@BANCOBASE.COM</t>
        </is>
      </c>
      <c r="AJ1646" s="151" t="n">
        <v>46128</v>
      </c>
    </row>
    <row r="1647" hidden="1" s="150">
      <c r="A1647" t="inlineStr">
        <is>
          <t>LTORRESG</t>
        </is>
      </c>
      <c r="B1647" t="n">
        <v>3478</v>
      </c>
      <c r="C1647" t="inlineStr">
        <is>
          <t>ANDREA LUCIA TORRES GALLARDO</t>
        </is>
      </c>
      <c r="D1647" t="n">
        <v>8238</v>
      </c>
      <c r="E1647" t="inlineStr">
        <is>
          <t>ESPECIALISTA DE RIESGO BALANCE Y LIQUIDEZ</t>
        </is>
      </c>
      <c r="F1647" t="inlineStr">
        <is>
          <t>MONTERREY</t>
        </is>
      </c>
      <c r="G1647" t="n">
        <v>1127</v>
      </c>
      <c r="H1647" t="inlineStr">
        <is>
          <t>LUIS ALFREDO ZAVALA ESPARZA</t>
        </is>
      </c>
      <c r="I1647" t="n">
        <v>9459</v>
      </c>
      <c r="J1647" t="inlineStr">
        <is>
          <t>GERENTE RIESGOS MERCADO, BALANCE Y LIQUIDEZ</t>
        </is>
      </c>
      <c r="K1647" t="n">
        <v>1</v>
      </c>
      <c r="L1647" t="inlineStr">
        <is>
          <t>PRESIDENCIA EJECUTIVA DEL CONSEJO</t>
        </is>
      </c>
      <c r="M1647" t="n">
        <v>60</v>
      </c>
      <c r="N1647" t="inlineStr">
        <is>
          <t>DIRECCION RIESGOS</t>
        </is>
      </c>
      <c r="O1647" t="n">
        <v>600</v>
      </c>
      <c r="P1647" t="inlineStr">
        <is>
          <t>DIRECCION RIESGOS</t>
        </is>
      </c>
      <c r="Q1647" t="n">
        <v>6030</v>
      </c>
      <c r="R1647" t="inlineStr">
        <is>
          <t>RIESGOS MERCADO BALANCE Y LIQUIDEZ</t>
        </is>
      </c>
      <c r="S1647" t="n">
        <v>60300</v>
      </c>
      <c r="T1647" t="inlineStr">
        <is>
          <t>RIESGOS MERCADO BALANCE Y LIQUIDEZ</t>
        </is>
      </c>
      <c r="U1647" t="n">
        <v>603000</v>
      </c>
      <c r="V1647" t="inlineStr">
        <is>
          <t>GERENCIA RIESGOS MERCADO BALANCE Y LIQUIDEZ</t>
        </is>
      </c>
      <c r="W1647" t="n">
        <v>100101</v>
      </c>
      <c r="X1647" t="inlineStr">
        <is>
          <t>CORPORATIVO</t>
        </is>
      </c>
      <c r="Y1647" t="n">
        <v>4</v>
      </c>
      <c r="Z1647" t="inlineStr">
        <is>
          <t>CORPORATIVO</t>
        </is>
      </c>
      <c r="AA1647" t="n">
        <v>1</v>
      </c>
      <c r="AB1647" t="inlineStr">
        <is>
          <t>NEGOCIO EN MARCHA</t>
        </is>
      </c>
      <c r="AC1647" t="n">
        <v>1</v>
      </c>
      <c r="AD1647" t="inlineStr">
        <is>
          <t>BANCO</t>
        </is>
      </c>
      <c r="AE1647" t="n">
        <v>1</v>
      </c>
      <c r="AF1647" t="inlineStr">
        <is>
          <t>BACK</t>
        </is>
      </c>
      <c r="AG1647" t="n">
        <v>100101</v>
      </c>
      <c r="AH1647" t="inlineStr">
        <is>
          <t>CORPORATIVO</t>
        </is>
      </c>
      <c r="AI1647" t="inlineStr">
        <is>
          <t>LTORRESG@BANCOBASE.COM</t>
        </is>
      </c>
      <c r="AJ1647" s="151" t="n">
        <v>45854</v>
      </c>
    </row>
    <row r="1648" hidden="1" s="150">
      <c r="A1648" t="inlineStr">
        <is>
          <t>MMORALESD</t>
        </is>
      </c>
      <c r="B1648" t="n">
        <v>3812</v>
      </c>
      <c r="C1648" t="inlineStr">
        <is>
          <t>MOISES MORALES DECIGA</t>
        </is>
      </c>
      <c r="D1648" t="n">
        <v>8241</v>
      </c>
      <c r="E1648" t="inlineStr">
        <is>
          <t>ESPECIALISTA DE RIESGO DE MERCADO</t>
        </is>
      </c>
      <c r="F1648" t="inlineStr">
        <is>
          <t>MEXICO</t>
        </is>
      </c>
      <c r="G1648" t="n">
        <v>1127</v>
      </c>
      <c r="H1648" t="inlineStr">
        <is>
          <t>LUIS ALFREDO ZAVALA ESPARZA</t>
        </is>
      </c>
      <c r="I1648" t="n">
        <v>9459</v>
      </c>
      <c r="J1648" t="inlineStr">
        <is>
          <t>GERENTE RIESGOS MERCADO, BALANCE Y LIQUIDEZ</t>
        </is>
      </c>
      <c r="K1648" t="n">
        <v>1</v>
      </c>
      <c r="L1648" t="inlineStr">
        <is>
          <t>PRESIDENCIA EJECUTIVA DEL CONSEJO</t>
        </is>
      </c>
      <c r="M1648" t="n">
        <v>60</v>
      </c>
      <c r="N1648" t="inlineStr">
        <is>
          <t>DIRECCION RIESGOS</t>
        </is>
      </c>
      <c r="O1648" t="n">
        <v>600</v>
      </c>
      <c r="P1648" t="inlineStr">
        <is>
          <t>DIRECCION RIESGOS</t>
        </is>
      </c>
      <c r="Q1648" t="n">
        <v>6030</v>
      </c>
      <c r="R1648" t="inlineStr">
        <is>
          <t>RIESGOS MERCADO BALANCE Y LIQUIDEZ</t>
        </is>
      </c>
      <c r="S1648" t="n">
        <v>60300</v>
      </c>
      <c r="T1648" t="inlineStr">
        <is>
          <t>RIESGOS MERCADO BALANCE Y LIQUIDEZ</t>
        </is>
      </c>
      <c r="U1648" t="n">
        <v>603000</v>
      </c>
      <c r="V1648" t="inlineStr">
        <is>
          <t>GERENCIA RIESGOS MERCADO BALANCE Y LIQUIDEZ</t>
        </is>
      </c>
      <c r="W1648" t="n">
        <v>134111</v>
      </c>
      <c r="X1648" t="inlineStr">
        <is>
          <t>LOMAS</t>
        </is>
      </c>
      <c r="Y1648" t="n">
        <v>4</v>
      </c>
      <c r="Z1648" t="inlineStr">
        <is>
          <t>CORPORATIVO</t>
        </is>
      </c>
      <c r="AA1648" t="n">
        <v>1</v>
      </c>
      <c r="AB1648" t="inlineStr">
        <is>
          <t>NEGOCIO EN MARCHA</t>
        </is>
      </c>
      <c r="AC1648" t="n">
        <v>1</v>
      </c>
      <c r="AD1648" t="inlineStr">
        <is>
          <t>BANCO</t>
        </is>
      </c>
      <c r="AE1648" t="n">
        <v>1</v>
      </c>
      <c r="AF1648" t="inlineStr">
        <is>
          <t>BACK</t>
        </is>
      </c>
      <c r="AG1648" t="n">
        <v>134111</v>
      </c>
      <c r="AH1648" t="inlineStr">
        <is>
          <t>LOMAS</t>
        </is>
      </c>
      <c r="AI1648" t="inlineStr">
        <is>
          <t>MMORALESD@BANCOBASE.COM</t>
        </is>
      </c>
      <c r="AJ1648" s="151" t="n">
        <v>46128</v>
      </c>
    </row>
    <row r="1649" hidden="1" s="150">
      <c r="A1649" t="inlineStr">
        <is>
          <t>OMENDEZ</t>
        </is>
      </c>
      <c r="B1649" t="n">
        <v>3569</v>
      </c>
      <c r="C1649" t="inlineStr">
        <is>
          <t>OSCAR MENDEZ ANAYA</t>
        </is>
      </c>
      <c r="D1649" t="n">
        <v>8212</v>
      </c>
      <c r="E1649" t="inlineStr">
        <is>
          <t>ESPECIALISTA DE RIESGO BALANCE Y LIQUIDEZ</t>
        </is>
      </c>
      <c r="F1649" t="inlineStr">
        <is>
          <t>MEXICO</t>
        </is>
      </c>
      <c r="G1649" t="n">
        <v>1127</v>
      </c>
      <c r="H1649" t="inlineStr">
        <is>
          <t>LUIS ALFREDO ZAVALA ESPARZA</t>
        </is>
      </c>
      <c r="I1649" t="n">
        <v>9459</v>
      </c>
      <c r="J1649" t="inlineStr">
        <is>
          <t>GERENTE RIESGOS MERCADO, BALANCE Y LIQUIDEZ</t>
        </is>
      </c>
      <c r="K1649" t="n">
        <v>1</v>
      </c>
      <c r="L1649" t="inlineStr">
        <is>
          <t>PRESIDENCIA EJECUTIVA DEL CONSEJO</t>
        </is>
      </c>
      <c r="M1649" t="n">
        <v>60</v>
      </c>
      <c r="N1649" t="inlineStr">
        <is>
          <t>DIRECCION RIESGOS</t>
        </is>
      </c>
      <c r="O1649" t="n">
        <v>600</v>
      </c>
      <c r="P1649" t="inlineStr">
        <is>
          <t>DIRECCION RIESGOS</t>
        </is>
      </c>
      <c r="Q1649" t="n">
        <v>6030</v>
      </c>
      <c r="R1649" t="inlineStr">
        <is>
          <t>RIESGOS MERCADO BALANCE Y LIQUIDEZ</t>
        </is>
      </c>
      <c r="S1649" t="n">
        <v>60300</v>
      </c>
      <c r="T1649" t="inlineStr">
        <is>
          <t>RIESGOS MERCADO BALANCE Y LIQUIDEZ</t>
        </is>
      </c>
      <c r="U1649" t="n">
        <v>603000</v>
      </c>
      <c r="V1649" t="inlineStr">
        <is>
          <t>GERENCIA RIESGOS MERCADO BALANCE Y LIQUIDEZ</t>
        </is>
      </c>
      <c r="W1649" t="n">
        <v>134111</v>
      </c>
      <c r="X1649" t="inlineStr">
        <is>
          <t>LOMAS</t>
        </is>
      </c>
      <c r="Y1649" t="n">
        <v>4</v>
      </c>
      <c r="Z1649" t="inlineStr">
        <is>
          <t>CORPORATIVO</t>
        </is>
      </c>
      <c r="AA1649" t="n">
        <v>1</v>
      </c>
      <c r="AB1649" t="inlineStr">
        <is>
          <t>NEGOCIO EN MARCHA</t>
        </is>
      </c>
      <c r="AC1649" t="n">
        <v>1</v>
      </c>
      <c r="AD1649" t="inlineStr">
        <is>
          <t>BANCO</t>
        </is>
      </c>
      <c r="AE1649" t="n">
        <v>1</v>
      </c>
      <c r="AF1649" t="inlineStr">
        <is>
          <t>BACK</t>
        </is>
      </c>
      <c r="AG1649" t="n">
        <v>134111</v>
      </c>
      <c r="AH1649" t="inlineStr">
        <is>
          <t>LOMAS</t>
        </is>
      </c>
      <c r="AI1649" t="inlineStr">
        <is>
          <t>OMENDEZ@BANCOBASE.COM</t>
        </is>
      </c>
      <c r="AJ1649" s="151" t="n">
        <v>45917</v>
      </c>
    </row>
    <row r="1650">
      <c r="A1650" t="inlineStr">
        <is>
          <t>ELEON</t>
        </is>
      </c>
      <c r="B1650" t="n">
        <v>3731</v>
      </c>
      <c r="C1650" t="inlineStr">
        <is>
          <t>EDWIN JOSE LEON SANCHEZ</t>
        </is>
      </c>
      <c r="D1650" t="n">
        <v>9941</v>
      </c>
      <c r="E1650" t="inlineStr">
        <is>
          <t>SUBDIRECTOR VISION INTEGRAL DE RIESGO Y RIESGO CREDITICIO</t>
        </is>
      </c>
      <c r="F1650" t="inlineStr">
        <is>
          <t>MEXICO</t>
        </is>
      </c>
      <c r="G1650" t="n">
        <v>2718</v>
      </c>
      <c r="H1650" t="inlineStr">
        <is>
          <t>DANIEL EDMUNDO ZAMUDIO ROSALES</t>
        </is>
      </c>
      <c r="I1650" t="n">
        <v>10085</v>
      </c>
      <c r="J1650" t="inlineStr">
        <is>
          <t>DIRECTOR DE RIESGOS</t>
        </is>
      </c>
      <c r="K1650" t="n">
        <v>1</v>
      </c>
      <c r="L1650" t="inlineStr">
        <is>
          <t>PRESIDENCIA EJECUTIVA DEL CONSEJO</t>
        </is>
      </c>
      <c r="M1650" t="n">
        <v>60</v>
      </c>
      <c r="N1650" t="inlineStr">
        <is>
          <t>DIRECCION RIESGOS</t>
        </is>
      </c>
      <c r="O1650" t="n">
        <v>600</v>
      </c>
      <c r="P1650" t="inlineStr">
        <is>
          <t>DIRECCION RIESGOS</t>
        </is>
      </c>
      <c r="Q1650" t="n">
        <v>6020</v>
      </c>
      <c r="R1650" t="inlineStr">
        <is>
          <t>VISION INTEGRAL DE RIESGO Y RIESGO CREDITICIO</t>
        </is>
      </c>
      <c r="S1650" t="n">
        <v>60200</v>
      </c>
      <c r="T1650" t="inlineStr">
        <is>
          <t>VISION INTEGRAL DE RIESGO Y RIESGO CREDITICIO</t>
        </is>
      </c>
      <c r="U1650" t="n">
        <v>605000</v>
      </c>
      <c r="V1650" t="inlineStr">
        <is>
          <t>SUBDIRECCION VISION INTEGRAL DE RIESGO</t>
        </is>
      </c>
      <c r="W1650" t="n">
        <v>134111</v>
      </c>
      <c r="X1650" t="inlineStr">
        <is>
          <t>LOMAS</t>
        </is>
      </c>
      <c r="Y1650" t="n">
        <v>4</v>
      </c>
      <c r="Z1650" t="inlineStr">
        <is>
          <t>CORPORATIVO</t>
        </is>
      </c>
      <c r="AA1650" t="n">
        <v>1</v>
      </c>
      <c r="AB1650" t="inlineStr">
        <is>
          <t>NEGOCIO EN MARCHA</t>
        </is>
      </c>
      <c r="AC1650" t="n">
        <v>1</v>
      </c>
      <c r="AD1650" t="inlineStr">
        <is>
          <t>BANCO</t>
        </is>
      </c>
      <c r="AE1650" t="n">
        <v>1</v>
      </c>
      <c r="AF1650" t="inlineStr">
        <is>
          <t>BACK</t>
        </is>
      </c>
      <c r="AG1650" t="n">
        <v>134111</v>
      </c>
      <c r="AH1650" t="inlineStr">
        <is>
          <t>LOMAS</t>
        </is>
      </c>
      <c r="AI1650" t="inlineStr">
        <is>
          <t>ELEON@BANCOBASE.COM</t>
        </is>
      </c>
      <c r="AJ1650" s="151" t="n">
        <v>46027</v>
      </c>
    </row>
    <row r="1651" hidden="1" s="150">
      <c r="A1651" t="inlineStr">
        <is>
          <t>CGONZALEZA</t>
        </is>
      </c>
      <c r="B1651" t="n">
        <v>3315</v>
      </c>
      <c r="C1651" t="inlineStr">
        <is>
          <t>CHRISTIAN GERARDO GONZALEZ ARREOLA</t>
        </is>
      </c>
      <c r="D1651" t="n">
        <v>6086</v>
      </c>
      <c r="E1651" t="inlineStr">
        <is>
          <t>LIDER DE RIESGO DE CREDITO</t>
        </is>
      </c>
      <c r="F1651" t="inlineStr">
        <is>
          <t>MONTERREY</t>
        </is>
      </c>
      <c r="G1651" t="n">
        <v>3731</v>
      </c>
      <c r="H1651" t="inlineStr">
        <is>
          <t>EDWIN JOSE LEON SANCHEZ</t>
        </is>
      </c>
      <c r="I1651" t="n">
        <v>9941</v>
      </c>
      <c r="J1651" t="inlineStr">
        <is>
          <t>SUBDIRECTOR VISION INTEGRAL DE RIESGO Y RIESGO CREDITICIO</t>
        </is>
      </c>
      <c r="K1651" t="n">
        <v>1</v>
      </c>
      <c r="L1651" t="inlineStr">
        <is>
          <t>PRESIDENCIA EJECUTIVA DEL CONSEJO</t>
        </is>
      </c>
      <c r="M1651" t="n">
        <v>60</v>
      </c>
      <c r="N1651" t="inlineStr">
        <is>
          <t>DIRECCION RIESGOS</t>
        </is>
      </c>
      <c r="O1651" t="n">
        <v>600</v>
      </c>
      <c r="P1651" t="inlineStr">
        <is>
          <t>DIRECCION RIESGOS</t>
        </is>
      </c>
      <c r="Q1651" t="n">
        <v>6020</v>
      </c>
      <c r="R1651" t="inlineStr">
        <is>
          <t>VISION INTEGRAL DE RIESGO Y RIESGO CREDITICIO</t>
        </is>
      </c>
      <c r="S1651" t="n">
        <v>60200</v>
      </c>
      <c r="T1651" t="inlineStr">
        <is>
          <t>VISION INTEGRAL DE RIESGO Y RIESGO CREDITICIO</t>
        </is>
      </c>
      <c r="U1651" t="n">
        <v>602000</v>
      </c>
      <c r="V1651" t="inlineStr">
        <is>
          <t>GERENCIA DE RIESGOS DISCRECIONALES</t>
        </is>
      </c>
      <c r="W1651" t="n">
        <v>100101</v>
      </c>
      <c r="X1651" t="inlineStr">
        <is>
          <t>CORPORATIVO</t>
        </is>
      </c>
      <c r="Y1651" t="n">
        <v>4</v>
      </c>
      <c r="Z1651" t="inlineStr">
        <is>
          <t>CORPORATIVO</t>
        </is>
      </c>
      <c r="AA1651" t="n">
        <v>1</v>
      </c>
      <c r="AB1651" t="inlineStr">
        <is>
          <t>NEGOCIO EN MARCHA</t>
        </is>
      </c>
      <c r="AC1651" t="n">
        <v>1</v>
      </c>
      <c r="AD1651" t="inlineStr">
        <is>
          <t>BANCO</t>
        </is>
      </c>
      <c r="AE1651" t="n">
        <v>1</v>
      </c>
      <c r="AF1651" t="inlineStr">
        <is>
          <t>BACK</t>
        </is>
      </c>
      <c r="AG1651" t="n">
        <v>100101</v>
      </c>
      <c r="AH1651" t="inlineStr">
        <is>
          <t>CORPORATIVO</t>
        </is>
      </c>
      <c r="AI1651" t="inlineStr">
        <is>
          <t>CGONZALEZA@BANCOBASE.COM</t>
        </is>
      </c>
      <c r="AJ1651" s="151" t="n">
        <v>45673</v>
      </c>
    </row>
    <row r="1652" hidden="1" s="150">
      <c r="A1652" t="inlineStr">
        <is>
          <t>AROLDAN</t>
        </is>
      </c>
      <c r="B1652" t="n">
        <v>2746</v>
      </c>
      <c r="C1652" t="inlineStr">
        <is>
          <t>ALISON LEONOR ROLDAN SANCHEZ</t>
        </is>
      </c>
      <c r="D1652" t="n">
        <v>10058</v>
      </c>
      <c r="E1652" t="inlineStr">
        <is>
          <t>ESPECIALISTA CALIFICACION DE CARTERA</t>
        </is>
      </c>
      <c r="F1652" t="inlineStr">
        <is>
          <t>MONTERREY</t>
        </is>
      </c>
      <c r="G1652" t="n">
        <v>3315</v>
      </c>
      <c r="H1652" t="inlineStr">
        <is>
          <t>CHRISTIAN GERARDO GONZALEZ ARREOLA</t>
        </is>
      </c>
      <c r="I1652" t="n">
        <v>6086</v>
      </c>
      <c r="J1652" t="inlineStr">
        <is>
          <t>LIDER DE RIESGO DE CREDITO</t>
        </is>
      </c>
      <c r="K1652" t="n">
        <v>1</v>
      </c>
      <c r="L1652" t="inlineStr">
        <is>
          <t>PRESIDENCIA EJECUTIVA DEL CONSEJO</t>
        </is>
      </c>
      <c r="M1652" t="n">
        <v>60</v>
      </c>
      <c r="N1652" t="inlineStr">
        <is>
          <t>DIRECCION RIESGOS</t>
        </is>
      </c>
      <c r="O1652" t="n">
        <v>600</v>
      </c>
      <c r="P1652" t="inlineStr">
        <is>
          <t>DIRECCION RIESGOS</t>
        </is>
      </c>
      <c r="Q1652" t="n">
        <v>6020</v>
      </c>
      <c r="R1652" t="inlineStr">
        <is>
          <t>VISION INTEGRAL DE RIESGO Y RIESGO CREDITICIO</t>
        </is>
      </c>
      <c r="S1652" t="n">
        <v>60200</v>
      </c>
      <c r="T1652" t="inlineStr">
        <is>
          <t>VISION INTEGRAL DE RIESGO Y RIESGO CREDITICIO</t>
        </is>
      </c>
      <c r="U1652" t="n">
        <v>602000</v>
      </c>
      <c r="V1652" t="inlineStr">
        <is>
          <t>GERENCIA DE RIESGOS DISCRECIONALES</t>
        </is>
      </c>
      <c r="W1652" t="n">
        <v>100101</v>
      </c>
      <c r="X1652" t="inlineStr">
        <is>
          <t>CORPORATIVO</t>
        </is>
      </c>
      <c r="Y1652" t="n">
        <v>4</v>
      </c>
      <c r="Z1652" t="inlineStr">
        <is>
          <t>CORPORATIVO</t>
        </is>
      </c>
      <c r="AA1652" t="n">
        <v>1</v>
      </c>
      <c r="AB1652" t="inlineStr">
        <is>
          <t>NEGOCIO EN MARCHA</t>
        </is>
      </c>
      <c r="AC1652" t="n">
        <v>1</v>
      </c>
      <c r="AD1652" t="inlineStr">
        <is>
          <t>BANCO</t>
        </is>
      </c>
      <c r="AE1652" t="n">
        <v>1</v>
      </c>
      <c r="AF1652" t="inlineStr">
        <is>
          <t>BACK</t>
        </is>
      </c>
      <c r="AG1652" t="n">
        <v>100101</v>
      </c>
      <c r="AH1652" t="inlineStr">
        <is>
          <t>CORPORATIVO</t>
        </is>
      </c>
      <c r="AI1652" t="inlineStr">
        <is>
          <t>AROLDAN@BANCOBASE.COM</t>
        </is>
      </c>
      <c r="AJ1652" s="151" t="n">
        <v>44838</v>
      </c>
    </row>
    <row r="1653" hidden="1" s="150">
      <c r="A1653" t="inlineStr">
        <is>
          <t>JPEREAM</t>
        </is>
      </c>
      <c r="B1653" t="n">
        <v>2776</v>
      </c>
      <c r="C1653" t="inlineStr">
        <is>
          <t>JESUS DARIO PEREZ AMARO</t>
        </is>
      </c>
      <c r="D1653" t="n">
        <v>8197</v>
      </c>
      <c r="E1653" t="inlineStr">
        <is>
          <t>LIDER DE RIESGO CAMBIARIO</t>
        </is>
      </c>
      <c r="F1653" t="inlineStr">
        <is>
          <t>MONTERREY</t>
        </is>
      </c>
      <c r="G1653" t="n">
        <v>3731</v>
      </c>
      <c r="H1653" t="inlineStr">
        <is>
          <t>EDWIN JOSE LEON SANCHEZ</t>
        </is>
      </c>
      <c r="I1653" t="n">
        <v>9941</v>
      </c>
      <c r="J1653" t="inlineStr">
        <is>
          <t>SUBDIRECTOR VISION INTEGRAL DE RIESGO Y RIESGO CREDITICIO</t>
        </is>
      </c>
      <c r="K1653" t="n">
        <v>1</v>
      </c>
      <c r="L1653" t="inlineStr">
        <is>
          <t>PRESIDENCIA EJECUTIVA DEL CONSEJO</t>
        </is>
      </c>
      <c r="M1653" t="n">
        <v>60</v>
      </c>
      <c r="N1653" t="inlineStr">
        <is>
          <t>DIRECCION RIESGOS</t>
        </is>
      </c>
      <c r="O1653" t="n">
        <v>600</v>
      </c>
      <c r="P1653" t="inlineStr">
        <is>
          <t>DIRECCION RIESGOS</t>
        </is>
      </c>
      <c r="Q1653" t="n">
        <v>6020</v>
      </c>
      <c r="R1653" t="inlineStr">
        <is>
          <t>VISION INTEGRAL DE RIESGO Y RIESGO CREDITICIO</t>
        </is>
      </c>
      <c r="S1653" t="n">
        <v>60200</v>
      </c>
      <c r="T1653" t="inlineStr">
        <is>
          <t>VISION INTEGRAL DE RIESGO Y RIESGO CREDITICIO</t>
        </is>
      </c>
      <c r="U1653" t="n">
        <v>605000</v>
      </c>
      <c r="V1653" t="inlineStr">
        <is>
          <t>SUBDIRECCION VISION INTEGRAL DE RIESGO</t>
        </is>
      </c>
      <c r="W1653" t="n">
        <v>100101</v>
      </c>
      <c r="X1653" t="inlineStr">
        <is>
          <t>CORPORATIVO</t>
        </is>
      </c>
      <c r="Y1653" t="n">
        <v>4</v>
      </c>
      <c r="Z1653" t="inlineStr">
        <is>
          <t>CORPORATIVO</t>
        </is>
      </c>
      <c r="AA1653" t="n">
        <v>1</v>
      </c>
      <c r="AB1653" t="inlineStr">
        <is>
          <t>NEGOCIO EN MARCHA</t>
        </is>
      </c>
      <c r="AC1653" t="n">
        <v>1</v>
      </c>
      <c r="AD1653" t="inlineStr">
        <is>
          <t>BANCO</t>
        </is>
      </c>
      <c r="AE1653" t="n">
        <v>1</v>
      </c>
      <c r="AF1653" t="inlineStr">
        <is>
          <t>BACK</t>
        </is>
      </c>
      <c r="AG1653" t="n">
        <v>100101</v>
      </c>
      <c r="AH1653" t="inlineStr">
        <is>
          <t>CORPORATIVO</t>
        </is>
      </c>
      <c r="AI1653" t="inlineStr">
        <is>
          <t>JPEREAM@BANCOBASE.COM</t>
        </is>
      </c>
      <c r="AJ1653" s="151" t="n">
        <v>44887</v>
      </c>
    </row>
    <row r="1654" hidden="1" s="150">
      <c r="A1654" t="inlineStr">
        <is>
          <t>AALVARADO</t>
        </is>
      </c>
      <c r="B1654" t="n">
        <v>2634</v>
      </c>
      <c r="C1654" t="inlineStr">
        <is>
          <t>ARMANDO NETZAHUALCOYOTL ALVARADO PEREZ</t>
        </is>
      </c>
      <c r="D1654" t="n">
        <v>8239</v>
      </c>
      <c r="E1654" t="inlineStr">
        <is>
          <t>ESPECIALISTA CAPITAL</t>
        </is>
      </c>
      <c r="F1654" t="inlineStr">
        <is>
          <t>MONTERREY</t>
        </is>
      </c>
      <c r="G1654" t="n">
        <v>3731</v>
      </c>
      <c r="H1654" t="inlineStr">
        <is>
          <t>EDWIN JOSE LEON SANCHEZ</t>
        </is>
      </c>
      <c r="I1654" t="n">
        <v>9941</v>
      </c>
      <c r="J1654" t="inlineStr">
        <is>
          <t>SUBDIRECTOR VISION INTEGRAL DE RIESGO Y RIESGO CREDITICIO</t>
        </is>
      </c>
      <c r="K1654" t="n">
        <v>1</v>
      </c>
      <c r="L1654" t="inlineStr">
        <is>
          <t>PRESIDENCIA EJECUTIVA DEL CONSEJO</t>
        </is>
      </c>
      <c r="M1654" t="n">
        <v>60</v>
      </c>
      <c r="N1654" t="inlineStr">
        <is>
          <t>DIRECCION RIESGOS</t>
        </is>
      </c>
      <c r="O1654" t="n">
        <v>600</v>
      </c>
      <c r="P1654" t="inlineStr">
        <is>
          <t>DIRECCION RIESGOS</t>
        </is>
      </c>
      <c r="Q1654" t="n">
        <v>6020</v>
      </c>
      <c r="R1654" t="inlineStr">
        <is>
          <t>VISION INTEGRAL DE RIESGO Y RIESGO CREDITICIO</t>
        </is>
      </c>
      <c r="S1654" t="n">
        <v>60200</v>
      </c>
      <c r="T1654" t="inlineStr">
        <is>
          <t>VISION INTEGRAL DE RIESGO Y RIESGO CREDITICIO</t>
        </is>
      </c>
      <c r="U1654" t="n">
        <v>605000</v>
      </c>
      <c r="V1654" t="inlineStr">
        <is>
          <t>SUBDIRECCION VISION INTEGRAL DE RIESGO</t>
        </is>
      </c>
      <c r="W1654" t="n">
        <v>100101</v>
      </c>
      <c r="X1654" t="inlineStr">
        <is>
          <t>CORPORATIVO</t>
        </is>
      </c>
      <c r="Y1654" t="n">
        <v>4</v>
      </c>
      <c r="Z1654" t="inlineStr">
        <is>
          <t>CORPORATIVO</t>
        </is>
      </c>
      <c r="AA1654" t="n">
        <v>1</v>
      </c>
      <c r="AB1654" t="inlineStr">
        <is>
          <t>NEGOCIO EN MARCHA</t>
        </is>
      </c>
      <c r="AC1654" t="n">
        <v>1</v>
      </c>
      <c r="AD1654" t="inlineStr">
        <is>
          <t>BANCO</t>
        </is>
      </c>
      <c r="AE1654" t="n">
        <v>1</v>
      </c>
      <c r="AF1654" t="inlineStr">
        <is>
          <t>BACK</t>
        </is>
      </c>
      <c r="AG1654" t="n">
        <v>100101</v>
      </c>
      <c r="AH1654" t="inlineStr">
        <is>
          <t>CORPORATIVO</t>
        </is>
      </c>
      <c r="AI1654" t="inlineStr">
        <is>
          <t>AALVARADO@BANCOBASE.COM</t>
        </is>
      </c>
      <c r="AJ1654" s="151" t="n">
        <v>44662</v>
      </c>
    </row>
    <row r="1655" hidden="1" s="150">
      <c r="A1655" t="inlineStr">
        <is>
          <t>AGONZALEC</t>
        </is>
      </c>
      <c r="B1655" t="n">
        <v>2304</v>
      </c>
      <c r="C1655" t="inlineStr">
        <is>
          <t>ANA KAREN GONZALEZ CANTU</t>
        </is>
      </c>
      <c r="D1655" t="n">
        <v>9607</v>
      </c>
      <c r="E1655" t="inlineStr">
        <is>
          <t>ESPECIALISTA CAPITAL</t>
        </is>
      </c>
      <c r="F1655" t="inlineStr">
        <is>
          <t>MONTERREY</t>
        </is>
      </c>
      <c r="G1655" t="n">
        <v>3731</v>
      </c>
      <c r="H1655" t="inlineStr">
        <is>
          <t>EDWIN JOSE LEON SANCHEZ</t>
        </is>
      </c>
      <c r="I1655" t="n">
        <v>9941</v>
      </c>
      <c r="J1655" t="inlineStr">
        <is>
          <t>SUBDIRECTOR VISION INTEGRAL DE RIESGO Y RIESGO CREDITICIO</t>
        </is>
      </c>
      <c r="K1655" t="n">
        <v>1</v>
      </c>
      <c r="L1655" t="inlineStr">
        <is>
          <t>PRESIDENCIA EJECUTIVA DEL CONSEJO</t>
        </is>
      </c>
      <c r="M1655" t="n">
        <v>60</v>
      </c>
      <c r="N1655" t="inlineStr">
        <is>
          <t>DIRECCION RIESGOS</t>
        </is>
      </c>
      <c r="O1655" t="n">
        <v>600</v>
      </c>
      <c r="P1655" t="inlineStr">
        <is>
          <t>DIRECCION RIESGOS</t>
        </is>
      </c>
      <c r="Q1655" t="n">
        <v>6020</v>
      </c>
      <c r="R1655" t="inlineStr">
        <is>
          <t>VISION INTEGRAL DE RIESGO Y RIESGO CREDITICIO</t>
        </is>
      </c>
      <c r="S1655" t="n">
        <v>60200</v>
      </c>
      <c r="T1655" t="inlineStr">
        <is>
          <t>VISION INTEGRAL DE RIESGO Y RIESGO CREDITICIO</t>
        </is>
      </c>
      <c r="U1655" t="n">
        <v>605000</v>
      </c>
      <c r="V1655" t="inlineStr">
        <is>
          <t>SUBDIRECCION VISION INTEGRAL DE RIESGO</t>
        </is>
      </c>
      <c r="W1655" t="n">
        <v>100101</v>
      </c>
      <c r="X1655" t="inlineStr">
        <is>
          <t>CORPORATIVO</t>
        </is>
      </c>
      <c r="Y1655" t="n">
        <v>4</v>
      </c>
      <c r="Z1655" t="inlineStr">
        <is>
          <t>CORPORATIVO</t>
        </is>
      </c>
      <c r="AA1655" t="n">
        <v>1</v>
      </c>
      <c r="AB1655" t="inlineStr">
        <is>
          <t>NEGOCIO EN MARCHA</t>
        </is>
      </c>
      <c r="AC1655" t="n">
        <v>1</v>
      </c>
      <c r="AD1655" t="inlineStr">
        <is>
          <t>BANCO</t>
        </is>
      </c>
      <c r="AE1655" t="n">
        <v>1</v>
      </c>
      <c r="AF1655" t="inlineStr">
        <is>
          <t>BACK</t>
        </is>
      </c>
      <c r="AG1655" t="n">
        <v>100101</v>
      </c>
      <c r="AH1655" t="inlineStr">
        <is>
          <t>CORPORATIVO</t>
        </is>
      </c>
      <c r="AI1655" t="inlineStr">
        <is>
          <t>AGONZALEC@BANCOBASE.COM</t>
        </is>
      </c>
      <c r="AJ1655" s="151" t="n">
        <v>43696</v>
      </c>
    </row>
    <row r="1656" hidden="1" s="150">
      <c r="A1656" t="inlineStr">
        <is>
          <t>RZAVALA</t>
        </is>
      </c>
      <c r="B1656" t="n">
        <v>3159</v>
      </c>
      <c r="C1656" t="inlineStr">
        <is>
          <t>RICARDO ALFREDO ZAVALA CORDERO</t>
        </is>
      </c>
      <c r="D1656" t="n">
        <v>10169</v>
      </c>
      <c r="E1656" t="inlineStr">
        <is>
          <t>ESPECIALISTA DE RIESGO DE CREDITO</t>
        </is>
      </c>
      <c r="F1656" t="inlineStr">
        <is>
          <t>MONTERREY</t>
        </is>
      </c>
      <c r="G1656" t="n">
        <v>3731</v>
      </c>
      <c r="H1656" t="inlineStr">
        <is>
          <t>EDWIN JOSE LEON SANCHEZ</t>
        </is>
      </c>
      <c r="I1656" t="n">
        <v>9941</v>
      </c>
      <c r="J1656" t="inlineStr">
        <is>
          <t>SUBDIRECTOR VISION INTEGRAL DE RIESGO Y RIESGO CREDITICIO</t>
        </is>
      </c>
      <c r="K1656" t="n">
        <v>1</v>
      </c>
      <c r="L1656" t="inlineStr">
        <is>
          <t>PRESIDENCIA EJECUTIVA DEL CONSEJO</t>
        </is>
      </c>
      <c r="M1656" t="n">
        <v>60</v>
      </c>
      <c r="N1656" t="inlineStr">
        <is>
          <t>DIRECCION RIESGOS</t>
        </is>
      </c>
      <c r="O1656" t="n">
        <v>600</v>
      </c>
      <c r="P1656" t="inlineStr">
        <is>
          <t>DIRECCION RIESGOS</t>
        </is>
      </c>
      <c r="Q1656" t="n">
        <v>6020</v>
      </c>
      <c r="R1656" t="inlineStr">
        <is>
          <t>VISION INTEGRAL DE RIESGO Y RIESGO CREDITICIO</t>
        </is>
      </c>
      <c r="S1656" t="n">
        <v>60200</v>
      </c>
      <c r="T1656" t="inlineStr">
        <is>
          <t>VISION INTEGRAL DE RIESGO Y RIESGO CREDITICIO</t>
        </is>
      </c>
      <c r="U1656" t="n">
        <v>605000</v>
      </c>
      <c r="V1656" t="inlineStr">
        <is>
          <t>SUBDIRECCION VISION INTEGRAL DE RIESGO</t>
        </is>
      </c>
      <c r="W1656" t="n">
        <v>100101</v>
      </c>
      <c r="X1656" t="inlineStr">
        <is>
          <t>CORPORATIVO</t>
        </is>
      </c>
      <c r="Y1656" t="n">
        <v>4</v>
      </c>
      <c r="Z1656" t="inlineStr">
        <is>
          <t>CORPORATIVO</t>
        </is>
      </c>
      <c r="AA1656" t="n">
        <v>1</v>
      </c>
      <c r="AB1656" t="inlineStr">
        <is>
          <t>NEGOCIO EN MARCHA</t>
        </is>
      </c>
      <c r="AC1656" t="n">
        <v>1</v>
      </c>
      <c r="AD1656" t="inlineStr">
        <is>
          <t>BANCO</t>
        </is>
      </c>
      <c r="AE1656" t="n">
        <v>1</v>
      </c>
      <c r="AF1656" t="inlineStr">
        <is>
          <t>BACK</t>
        </is>
      </c>
      <c r="AG1656" t="n">
        <v>100101</v>
      </c>
      <c r="AH1656" t="inlineStr">
        <is>
          <t>CORPORATIVO</t>
        </is>
      </c>
      <c r="AI1656" t="inlineStr">
        <is>
          <t>RZAVALA@BANCOBASE.COM</t>
        </is>
      </c>
      <c r="AJ1656" s="151" t="n">
        <v>45489</v>
      </c>
    </row>
  </sheetData>
  <autoFilter ref="A4:AL1656">
    <filterColumn colId="2" hiddenButton="0" showButton="1">
      <filters>
        <filter val="EDWIN JOSE LEON SANCHEZ"/>
      </filters>
    </filterColumn>
  </autoFilter>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Blanca Nelly Gutierrez Garza</dc:creator>
  <dcterms:created xmlns:dcterms="http://purl.org/dc/terms/" xmlns:xsi="http://www.w3.org/2001/XMLSchema-instance" xsi:type="dcterms:W3CDTF">2018-09-05T22:50:00Z</dcterms:created>
  <dcterms:modified xmlns:dcterms="http://purl.org/dc/terms/" xmlns:xsi="http://www.w3.org/2001/XMLSchema-instance" xsi:type="dcterms:W3CDTF">2026-10-07T02:57:44Z</dcterms:modified>
  <cp:lastModifiedBy>Blanca Nelly Gutierrez Garza</cp:lastModifiedBy>
  <cp:lastPrinted>2026-09-25T16:59:27Z</cp:lastPrinted>
</cp:coreProperties>
</file>